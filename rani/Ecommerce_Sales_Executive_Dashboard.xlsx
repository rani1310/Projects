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Data" sheetId="2" state="visible" r:id="rId4"/>
    <sheet name="Summary" sheetId="3" state="visible" r:id="rId5"/>
  </sheets>
  <definedNames>
    <definedName function="false" hidden="false" localSheetId="0" name="_xlnm.Print_Area" vbProcedure="false">Dashboard!$A$1:$N$50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<sst xmlns="http://schemas.openxmlformats.org/spreadsheetml/2006/main" count="15094" uniqueCount="74">
  <si>
    <t xml:space="preserve">E-COMMERCE SALES PERFORMANCE — EXECUTIVE DASHBOARD</t>
  </si>
  <si>
    <t xml:space="preserve">Data period: 2022–2035  |  Source: SalesData table  |  All figures in USD unless noted</t>
  </si>
  <si>
    <t xml:space="preserve">TOTAL REVENUE</t>
  </si>
  <si>
    <t xml:space="preserve">TOTAL ORDERS</t>
  </si>
  <si>
    <t xml:space="preserve">AVG ORDER VALUE</t>
  </si>
  <si>
    <t xml:space="preserve">AVG CUSTOMER RATING (/5)</t>
  </si>
  <si>
    <t xml:space="preserve">AVG DELIVERY TIME (DAYS)</t>
  </si>
  <si>
    <t xml:space="preserve">YoY GROWTH (FY34 vs FY33)</t>
  </si>
  <si>
    <t xml:space="preserve">Prepared from SalesData (5,000 orders, Jan 2022–Sep 2035). Revenue figures are net of discounts. Refer to the Summary tab for underlying calculations and the Data tab for the full transaction-level dataset.</t>
  </si>
  <si>
    <t xml:space="preserve">Order ID</t>
  </si>
  <si>
    <t xml:space="preserve">Order Date</t>
  </si>
  <si>
    <t xml:space="preserve">Customer ID</t>
  </si>
  <si>
    <t xml:space="preserve">Product Category</t>
  </si>
  <si>
    <t xml:space="preserve">Region</t>
  </si>
  <si>
    <t xml:space="preserve">Quantity</t>
  </si>
  <si>
    <t xml:space="preserve">Unit Price</t>
  </si>
  <si>
    <t xml:space="preserve">Discount</t>
  </si>
  <si>
    <t xml:space="preserve">Payment Method</t>
  </si>
  <si>
    <t xml:space="preserve">Delivery Days</t>
  </si>
  <si>
    <t xml:space="preserve">Customer Rating</t>
  </si>
  <si>
    <t xml:space="preserve">Revenue</t>
  </si>
  <si>
    <t xml:space="preserve">Gross Revenue</t>
  </si>
  <si>
    <t xml:space="preserve">Discount Amount</t>
  </si>
  <si>
    <t xml:space="preserve">Order Year</t>
  </si>
  <si>
    <t xml:space="preserve">Order Month</t>
  </si>
  <si>
    <t xml:space="preserve">Month Name</t>
  </si>
  <si>
    <t xml:space="preserve">Quarter</t>
  </si>
  <si>
    <t xml:space="preserve">Beauty</t>
  </si>
  <si>
    <t xml:space="preserve">South</t>
  </si>
  <si>
    <t xml:space="preserve">Wallet</t>
  </si>
  <si>
    <t xml:space="preserve">Clothing</t>
  </si>
  <si>
    <t xml:space="preserve">Card</t>
  </si>
  <si>
    <t xml:space="preserve">East</t>
  </si>
  <si>
    <t xml:space="preserve">COD</t>
  </si>
  <si>
    <t xml:space="preserve">Electronics</t>
  </si>
  <si>
    <t xml:space="preserve">West</t>
  </si>
  <si>
    <t xml:space="preserve">North</t>
  </si>
  <si>
    <t xml:space="preserve">Home</t>
  </si>
  <si>
    <t xml:space="preserve">Executive KPI Summary</t>
  </si>
  <si>
    <t xml:space="preserve">Revenue by Product Category</t>
  </si>
  <si>
    <t xml:space="preserve">Revenue by Region</t>
  </si>
  <si>
    <t xml:space="preserve">Revenue by Payment Method</t>
  </si>
  <si>
    <t xml:space="preserve">Category</t>
  </si>
  <si>
    <t xml:space="preserve">Orders</t>
  </si>
  <si>
    <t xml:space="preserve">Method</t>
  </si>
  <si>
    <t xml:space="preserve">Total Revenue</t>
  </si>
  <si>
    <t xml:space="preserve">Total Orders</t>
  </si>
  <si>
    <t xml:space="preserve">Total Units Sold</t>
  </si>
  <si>
    <t xml:space="preserve">Average Order Value</t>
  </si>
  <si>
    <t xml:space="preserve">Average Discount Rate</t>
  </si>
  <si>
    <t xml:space="preserve">Average Customer Rating</t>
  </si>
  <si>
    <t xml:space="preserve">Average Delivery Days (days)</t>
  </si>
  <si>
    <t xml:space="preserve">Latest Full Year Revenue</t>
  </si>
  <si>
    <t xml:space="preserve">Prior Full Year Revenue</t>
  </si>
  <si>
    <t xml:space="preserve">YoY Growth %</t>
  </si>
  <si>
    <t xml:space="preserve">Revenue Trend by Year</t>
  </si>
  <si>
    <t xml:space="preserve">Seasonality: Revenue by Month</t>
  </si>
  <si>
    <t xml:space="preserve">Service Quality Metrics</t>
  </si>
  <si>
    <t xml:space="preserve">Year</t>
  </si>
  <si>
    <t xml:space="preserve">Month</t>
  </si>
  <si>
    <t xml:space="preserve">Avg Rating</t>
  </si>
  <si>
    <t xml:space="preserve">Avg Delivery (days)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</si>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</sst>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\$#,##0"/>
    <numFmt numFmtId="166" formatCode="#,##0"/>
    <numFmt numFmtId="167" formatCode="\$#,##0.00"/>
    <numFmt numFmtId="168" formatCode="0.00"/>
    <numFmt numFmtId="169" formatCode="0.0%;\(0.0%\)"/>
    <numFmt numFmtId="170" formatCode="yyyy\-mm\-dd"/>
    <numFmt numFmtId="171" formatCode="0%"/>
    <numFmt numFmtId="172" formatCode="0.0%"/>
    <numFmt numFmtId="173" formatCode="0.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20"/>
      <color rgb="FF1F3864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0"/>
      <color rgb="FFFFFFFF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4F81BD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1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1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3B3B3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BF8F00"/>
      <rgbColor rgb="FFFF6600"/>
      <rgbColor rgb="FF595959"/>
      <rgbColor rgb="FF969696"/>
      <rgbColor rgb="FF1F3864"/>
      <rgbColor rgb="FF4F81BD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Trend by Year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Summary!B16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2e75b6"/>
            </a:solidFill>
            <a:ln w="2484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Summary!$A$17:$A$30</c:f>
              <c:strCache>
                <c:ptCount val="1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</c:strCache>
            </c:strRef>
          </c:cat>
          <c:val>
            <c:numRef>
              <c:f>Summary!$B$17:$B$30</c:f>
              <c:numCache>
                <c:formatCode>\$#,##0</c:formatCode>
                <c:ptCount val="14"/>
                <c:pt idx="0">
                  <c:v>371824.3</c:v>
                </c:pt>
                <c:pt idx="1">
                  <c:v>365915.79</c:v>
                </c:pt>
                <c:pt idx="2">
                  <c:v>363209.13</c:v>
                </c:pt>
                <c:pt idx="3">
                  <c:v>349802.33</c:v>
                </c:pt>
                <c:pt idx="4">
                  <c:v>386369.69</c:v>
                </c:pt>
                <c:pt idx="5">
                  <c:v>386151.91</c:v>
                </c:pt>
                <c:pt idx="6">
                  <c:v>376844.8</c:v>
                </c:pt>
                <c:pt idx="7">
                  <c:v>359239.24</c:v>
                </c:pt>
                <c:pt idx="8">
                  <c:v>387884.46</c:v>
                </c:pt>
                <c:pt idx="9">
                  <c:v>365250.83</c:v>
                </c:pt>
                <c:pt idx="10">
                  <c:v>386584.63</c:v>
                </c:pt>
                <c:pt idx="11">
                  <c:v>408725.72</c:v>
                </c:pt>
                <c:pt idx="12">
                  <c:v>363239.55</c:v>
                </c:pt>
                <c:pt idx="13">
                  <c:v>238733.36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9851760"/>
        <c:axId val="36423841"/>
      </c:lineChart>
      <c:catAx>
        <c:axId val="9985176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423841"/>
        <c:crosses val="autoZero"/>
        <c:auto val="1"/>
        <c:lblAlgn val="ctr"/>
        <c:lblOffset val="100"/>
        <c:noMultiLvlLbl val="0"/>
      </c:catAx>
      <c:valAx>
        <c:axId val="3642384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(USD)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85176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Product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Summary!E2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Summary!$D$3:$D$6</c:f>
              <c:strCache>
                <c:ptCount val="4"/>
                <c:pt idx="0">
                  <c:v>Electronics</c:v>
                </c:pt>
                <c:pt idx="1">
                  <c:v>Clothing</c:v>
                </c:pt>
                <c:pt idx="2">
                  <c:v>Home</c:v>
                </c:pt>
                <c:pt idx="3">
                  <c:v>Beauty</c:v>
                </c:pt>
              </c:strCache>
            </c:strRef>
          </c:cat>
          <c:val>
            <c:numRef>
              <c:f>Summary!$E$3:$E$6</c:f>
              <c:numCache>
                <c:formatCode>\$#,##0</c:formatCode>
                <c:ptCount val="4"/>
                <c:pt idx="0">
                  <c:v>1829899.22</c:v>
                </c:pt>
                <c:pt idx="1">
                  <c:v>1531931.72</c:v>
                </c:pt>
                <c:pt idx="2">
                  <c:v>982083.92</c:v>
                </c:pt>
                <c:pt idx="3">
                  <c:v>765860.88</c:v>
                </c:pt>
              </c:numCache>
            </c:numRef>
          </c:val>
        </c:ser>
        <c:gapWidth val="150"/>
        <c:overlap val="0"/>
        <c:axId val="86919626"/>
        <c:axId val="13102988"/>
      </c:barChart>
      <c:catAx>
        <c:axId val="8691962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102988"/>
        <c:crosses val="autoZero"/>
        <c:auto val="1"/>
        <c:lblAlgn val="ctr"/>
        <c:lblOffset val="100"/>
        <c:noMultiLvlLbl val="0"/>
      </c:catAx>
      <c:valAx>
        <c:axId val="1310298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(USD)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91962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Summary!I2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54823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Summary!$H$3:$H$6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Summary!$I$3:$I$6</c:f>
              <c:numCache>
                <c:formatCode>\$#,##0</c:formatCode>
                <c:ptCount val="4"/>
                <c:pt idx="0">
                  <c:v>1281508.45</c:v>
                </c:pt>
                <c:pt idx="1">
                  <c:v>1246640.9</c:v>
                </c:pt>
                <c:pt idx="2">
                  <c:v>1236044.23</c:v>
                </c:pt>
                <c:pt idx="3">
                  <c:v>1345582.16</c:v>
                </c:pt>
              </c:numCache>
            </c:numRef>
          </c:val>
        </c:ser>
        <c:gapWidth val="150"/>
        <c:overlap val="0"/>
        <c:axId val="57587705"/>
        <c:axId val="97972210"/>
      </c:barChart>
      <c:catAx>
        <c:axId val="5758770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972210"/>
        <c:crosses val="autoZero"/>
        <c:auto val="1"/>
        <c:lblAlgn val="ctr"/>
        <c:lblOffset val="100"/>
        <c:noMultiLvlLbl val="0"/>
      </c:catAx>
      <c:valAx>
        <c:axId val="9797221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(USD)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58770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Payment Method Mix (by Revenue)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Summary!M2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2e75b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bf8f00"/>
              </a:solidFill>
              <a:ln w="0">
                <a:noFill/>
              </a:ln>
            </c:spPr>
          </c:dPt>
          <c:dPt>
            <c:idx val="2"/>
            <c:spPr>
              <a:solidFill>
                <a:srgbClr val="548235"/>
              </a:solidFill>
              <a:ln w="0">
                <a:noFill/>
              </a:ln>
            </c:spPr>
          </c:dPt>
          <c:dLbls>
            <c:numFmt formatCode="\$#,##0" sourceLinked="1"/>
            <c:dLbl>
              <c:idx val="0"/>
              <c:numFmt formatCode="\$#,##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numFmt formatCode="\$#,##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numFmt formatCode="\$#,##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Summary!$L$3:$L$5</c:f>
              <c:strCache>
                <c:ptCount val="3"/>
                <c:pt idx="0">
                  <c:v>Card</c:v>
                </c:pt>
                <c:pt idx="1">
                  <c:v>COD</c:v>
                </c:pt>
                <c:pt idx="2">
                  <c:v>Wallet</c:v>
                </c:pt>
              </c:strCache>
            </c:strRef>
          </c:cat>
          <c:val>
            <c:numRef>
              <c:f>Summary!$M$3:$M$5</c:f>
              <c:numCache>
                <c:formatCode>\$#,##0</c:formatCode>
                <c:ptCount val="3"/>
                <c:pt idx="0">
                  <c:v>2366248.2</c:v>
                </c:pt>
                <c:pt idx="1">
                  <c:v>1788408.44</c:v>
                </c:pt>
                <c:pt idx="2">
                  <c:v>955119.1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Seasonality: Revenue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Summary!F16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2e75b6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Summary!$E$17:$E$28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Summary!$F$17:$F$28</c:f>
              <c:numCache>
                <c:formatCode>\$#,##0</c:formatCode>
                <c:ptCount val="12"/>
                <c:pt idx="0">
                  <c:v>426374.92</c:v>
                </c:pt>
                <c:pt idx="1">
                  <c:v>413890.24</c:v>
                </c:pt>
                <c:pt idx="2">
                  <c:v>425050.52</c:v>
                </c:pt>
                <c:pt idx="3">
                  <c:v>398715.16</c:v>
                </c:pt>
                <c:pt idx="4">
                  <c:v>479772.55</c:v>
                </c:pt>
                <c:pt idx="5">
                  <c:v>442941.58</c:v>
                </c:pt>
                <c:pt idx="6">
                  <c:v>440570.72</c:v>
                </c:pt>
                <c:pt idx="7">
                  <c:v>460874.78</c:v>
                </c:pt>
                <c:pt idx="8">
                  <c:v>402368.11</c:v>
                </c:pt>
                <c:pt idx="9">
                  <c:v>407873.12</c:v>
                </c:pt>
                <c:pt idx="10">
                  <c:v>410657.88</c:v>
                </c:pt>
                <c:pt idx="11">
                  <c:v>400686.16</c:v>
                </c:pt>
              </c:numCache>
            </c:numRef>
          </c:val>
        </c:ser>
        <c:gapWidth val="150"/>
        <c:overlap val="0"/>
        <c:axId val="43663912"/>
        <c:axId val="95821279"/>
      </c:barChart>
      <c:catAx>
        <c:axId val="4366391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821279"/>
        <c:crosses val="autoZero"/>
        <c:auto val="1"/>
        <c:lblAlgn val="ctr"/>
        <c:lblOffset val="100"/>
        <c:noMultiLvlLbl val="0"/>
      </c:catAx>
      <c:valAx>
        <c:axId val="9582127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(USD)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66391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Avg Customer Rating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Summary!J16</c:f>
              <c:strCache>
                <c:ptCount val="1"/>
                <c:pt idx="0">
                  <c:v>Avg Rating</c:v>
                </c:pt>
              </c:strCache>
            </c:strRef>
          </c:tx>
          <c:spPr>
            <a:solidFill>
              <a:srgbClr val="bf8f00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Summary!$I$17:$I$20</c:f>
              <c:strCache>
                <c:ptCount val="4"/>
                <c:pt idx="0">
                  <c:v>Electronics</c:v>
                </c:pt>
                <c:pt idx="1">
                  <c:v>Clothing</c:v>
                </c:pt>
                <c:pt idx="2">
                  <c:v>Home</c:v>
                </c:pt>
                <c:pt idx="3">
                  <c:v>Beauty</c:v>
                </c:pt>
              </c:strCache>
            </c:strRef>
          </c:cat>
          <c:val>
            <c:numRef>
              <c:f>Summary!$J$17:$J$20</c:f>
              <c:numCache>
                <c:formatCode>0.00</c:formatCode>
                <c:ptCount val="4"/>
                <c:pt idx="0">
                  <c:v>2.95109735509285</c:v>
                </c:pt>
                <c:pt idx="1">
                  <c:v>3.0050947093403</c:v>
                </c:pt>
                <c:pt idx="2">
                  <c:v>2.9406604747162</c:v>
                </c:pt>
                <c:pt idx="3">
                  <c:v>3.00899031811895</c:v>
                </c:pt>
              </c:numCache>
            </c:numRef>
          </c:val>
        </c:ser>
        <c:gapWidth val="150"/>
        <c:overlap val="0"/>
        <c:axId val="25642141"/>
        <c:axId val="18897837"/>
      </c:barChart>
      <c:catAx>
        <c:axId val="2564214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897837"/>
        <c:crosses val="autoZero"/>
        <c:auto val="1"/>
        <c:lblAlgn val="ctr"/>
        <c:lblOffset val="100"/>
        <c:noMultiLvlLbl val="0"/>
      </c:catAx>
      <c:valAx>
        <c:axId val="18897837"/>
        <c:scaling>
          <c:orientation val="minMax"/>
          <c:max val="5"/>
          <c:min val="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Rating (/5)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64214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15</xdr:row>
      <xdr:rowOff>0</xdr:rowOff>
    </xdr:from>
    <xdr:to>
      <xdr:col>7</xdr:col>
      <xdr:colOff>483840</xdr:colOff>
      <xdr:row>31</xdr:row>
      <xdr:rowOff>11520</xdr:rowOff>
    </xdr:to>
    <xdr:graphicFrame>
      <xdr:nvGraphicFramePr>
        <xdr:cNvPr id="0" name="Chart 1"/>
        <xdr:cNvGraphicFramePr/>
      </xdr:nvGraphicFramePr>
      <xdr:xfrm>
        <a:off x="176400" y="2800440"/>
        <a:ext cx="6299280" cy="305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15</xdr:row>
      <xdr:rowOff>0</xdr:rowOff>
    </xdr:from>
    <xdr:to>
      <xdr:col>12</xdr:col>
      <xdr:colOff>483840</xdr:colOff>
      <xdr:row>31</xdr:row>
      <xdr:rowOff>11520</xdr:rowOff>
    </xdr:to>
    <xdr:graphicFrame>
      <xdr:nvGraphicFramePr>
        <xdr:cNvPr id="1" name="Chart 2"/>
        <xdr:cNvGraphicFramePr/>
      </xdr:nvGraphicFramePr>
      <xdr:xfrm>
        <a:off x="4863960" y="2800440"/>
        <a:ext cx="6299280" cy="305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0</xdr:colOff>
      <xdr:row>15</xdr:row>
      <xdr:rowOff>0</xdr:rowOff>
    </xdr:from>
    <xdr:to>
      <xdr:col>20</xdr:col>
      <xdr:colOff>198000</xdr:colOff>
      <xdr:row>31</xdr:row>
      <xdr:rowOff>11520</xdr:rowOff>
    </xdr:to>
    <xdr:graphicFrame>
      <xdr:nvGraphicFramePr>
        <xdr:cNvPr id="2" name="Chart 3"/>
        <xdr:cNvGraphicFramePr/>
      </xdr:nvGraphicFramePr>
      <xdr:xfrm>
        <a:off x="9551520" y="2800440"/>
        <a:ext cx="6299280" cy="305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0</xdr:colOff>
      <xdr:row>32</xdr:row>
      <xdr:rowOff>0</xdr:rowOff>
    </xdr:from>
    <xdr:to>
      <xdr:col>7</xdr:col>
      <xdr:colOff>483840</xdr:colOff>
      <xdr:row>48</xdr:row>
      <xdr:rowOff>11520</xdr:rowOff>
    </xdr:to>
    <xdr:graphicFrame>
      <xdr:nvGraphicFramePr>
        <xdr:cNvPr id="3" name="Chart 4"/>
        <xdr:cNvGraphicFramePr/>
      </xdr:nvGraphicFramePr>
      <xdr:xfrm>
        <a:off x="176400" y="6039000"/>
        <a:ext cx="6299280" cy="305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6</xdr:col>
      <xdr:colOff>0</xdr:colOff>
      <xdr:row>32</xdr:row>
      <xdr:rowOff>0</xdr:rowOff>
    </xdr:from>
    <xdr:to>
      <xdr:col>12</xdr:col>
      <xdr:colOff>483840</xdr:colOff>
      <xdr:row>48</xdr:row>
      <xdr:rowOff>11520</xdr:rowOff>
    </xdr:to>
    <xdr:graphicFrame>
      <xdr:nvGraphicFramePr>
        <xdr:cNvPr id="4" name="Chart 5"/>
        <xdr:cNvGraphicFramePr/>
      </xdr:nvGraphicFramePr>
      <xdr:xfrm>
        <a:off x="4863960" y="6039000"/>
        <a:ext cx="6299280" cy="305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11</xdr:col>
      <xdr:colOff>0</xdr:colOff>
      <xdr:row>32</xdr:row>
      <xdr:rowOff>0</xdr:rowOff>
    </xdr:from>
    <xdr:to>
      <xdr:col>20</xdr:col>
      <xdr:colOff>198000</xdr:colOff>
      <xdr:row>48</xdr:row>
      <xdr:rowOff>11520</xdr:rowOff>
    </xdr:to>
    <xdr:graphicFrame>
      <xdr:nvGraphicFramePr>
        <xdr:cNvPr id="5" name="Chart 6"/>
        <xdr:cNvGraphicFramePr/>
      </xdr:nvGraphicFramePr>
      <xdr:xfrm>
        <a:off x="9551520" y="6039000"/>
        <a:ext cx="6299280" cy="305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SalesData" displayName="SalesData" ref="A1:R5001" headerRowCount="1" totalsRowCount="0" totalsRowShown="0">
  <autoFilter ref="A1:R5001"/>
  <tableColumns count="18">
    <tableColumn id="1" name="Order ID"/>
    <tableColumn id="2" name="Order Date"/>
    <tableColumn id="3" name="Customer ID"/>
    <tableColumn id="4" name="Product Category"/>
    <tableColumn id="5" name="Region"/>
    <tableColumn id="6" name="Quantity"/>
    <tableColumn id="7" name="Unit Price"/>
    <tableColumn id="8" name="Discount"/>
    <tableColumn id="9" name="Payment Method"/>
    <tableColumn id="10" name="Delivery Days"/>
    <tableColumn id="11" name="Customer Rating"/>
    <tableColumn id="12" name="Revenue"/>
    <tableColumn id="13" name="Gross Revenue"/>
    <tableColumn id="14" name="Discount Amount"/>
    <tableColumn id="15" name="Order Year"/>
    <tableColumn id="16" name="Order Month"/>
    <tableColumn id="17" name="Month Name"/>
    <tableColumn id="18" name="Quarter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A1:N5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.5"/>
    <col collapsed="false" customWidth="true" hidden="false" outlineLevel="0" max="5" min="2" style="1" width="16"/>
    <col collapsed="false" customWidth="true" hidden="false" outlineLevel="0" max="6" min="6" style="1" width="2.5"/>
    <col collapsed="false" customWidth="true" hidden="false" outlineLevel="0" max="10" min="7" style="1" width="16"/>
    <col collapsed="false" customWidth="true" hidden="false" outlineLevel="0" max="11" min="11" style="1" width="2.5"/>
    <col collapsed="false" customWidth="true" hidden="false" outlineLevel="0" max="13" min="12" style="1" width="16"/>
    <col collapsed="false" customWidth="true" hidden="false" outlineLevel="0" max="14" min="14" style="1" width="2.5"/>
  </cols>
  <sheetData>
    <row r="1" customFormat="false" ht="6" hidden="false" customHeight="true" outlineLevel="0" collapsed="false"/>
    <row r="2" customFormat="false" ht="30" hidden="false" customHeight="true" outlineLevel="0" collapsed="false">
      <c r="A2" s="2"/>
      <c r="B2" s="3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2"/>
    </row>
    <row r="3" customFormat="false" ht="18" hidden="false" customHeight="true" outlineLevel="0" collapsed="false">
      <c r="B3" s="4" t="s">
        <v>1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customFormat="false" ht="6" hidden="false" customHeight="true" outlineLevel="0" collapsed="false"/>
    <row r="5" customFormat="false" ht="13.5" hidden="false" customHeight="true" outlineLevel="0" collapsed="false"/>
    <row r="6" customFormat="false" ht="19.5" hidden="false" customHeight="true" outlineLevel="0" collapsed="false">
      <c r="B6" s="5" t="s">
        <v>2</v>
      </c>
      <c r="C6" s="5"/>
      <c r="D6" s="5"/>
      <c r="E6" s="5"/>
      <c r="G6" s="5" t="s">
        <v>3</v>
      </c>
      <c r="H6" s="5"/>
      <c r="I6" s="5"/>
      <c r="J6" s="5"/>
      <c r="L6" s="5" t="s">
        <v>4</v>
      </c>
      <c r="M6" s="5"/>
    </row>
    <row r="7" customFormat="false" ht="19.5" hidden="false" customHeight="true" outlineLevel="0" collapsed="false">
      <c r="B7" s="6" t="n">
        <f aca="false">Summary!B3</f>
        <v>5109775.74</v>
      </c>
      <c r="C7" s="6"/>
      <c r="D7" s="6"/>
      <c r="E7" s="6"/>
      <c r="G7" s="7" t="n">
        <f aca="false">Summary!B4</f>
        <v>5000</v>
      </c>
      <c r="H7" s="7"/>
      <c r="I7" s="7"/>
      <c r="J7" s="7"/>
      <c r="L7" s="8" t="n">
        <f aca="false">Summary!B6</f>
        <v>1021.955148</v>
      </c>
      <c r="M7" s="8"/>
    </row>
    <row r="8" customFormat="false" ht="19.5" hidden="false" customHeight="true" outlineLevel="0" collapsed="false">
      <c r="B8" s="6"/>
      <c r="C8" s="6"/>
      <c r="D8" s="6"/>
      <c r="E8" s="6"/>
      <c r="G8" s="7"/>
      <c r="H8" s="7"/>
      <c r="I8" s="7"/>
      <c r="J8" s="7"/>
      <c r="L8" s="8"/>
      <c r="M8" s="8"/>
    </row>
    <row r="9" customFormat="false" ht="7.5" hidden="false" customHeight="true" outlineLevel="0" collapsed="false"/>
    <row r="10" customFormat="false" ht="6" hidden="false" customHeight="true" outlineLevel="0" collapsed="false"/>
    <row r="11" customFormat="false" ht="13.5" hidden="false" customHeight="true" outlineLevel="0" collapsed="false">
      <c r="B11" s="9" t="s">
        <v>5</v>
      </c>
      <c r="C11" s="9"/>
      <c r="D11" s="9"/>
      <c r="E11" s="9"/>
      <c r="G11" s="9" t="s">
        <v>6</v>
      </c>
      <c r="H11" s="9"/>
      <c r="I11" s="9"/>
      <c r="J11" s="9"/>
      <c r="L11" s="9" t="s">
        <v>7</v>
      </c>
      <c r="M11" s="9"/>
    </row>
    <row r="12" customFormat="false" ht="19.5" hidden="false" customHeight="true" outlineLevel="0" collapsed="false">
      <c r="B12" s="10" t="n">
        <f aca="false">Summary!B8</f>
        <v>2.97398</v>
      </c>
      <c r="C12" s="10"/>
      <c r="D12" s="10"/>
      <c r="E12" s="10"/>
      <c r="G12" s="10" t="n">
        <f aca="false">Summary!B9</f>
        <v>6.1188</v>
      </c>
      <c r="H12" s="10"/>
      <c r="I12" s="10"/>
      <c r="J12" s="10"/>
      <c r="L12" s="11" t="n">
        <f aca="false">Summary!B12</f>
        <v>-0.111287760408129</v>
      </c>
      <c r="M12" s="11"/>
    </row>
    <row r="13" customFormat="false" ht="19.5" hidden="false" customHeight="true" outlineLevel="0" collapsed="false">
      <c r="B13" s="10"/>
      <c r="C13" s="10"/>
      <c r="D13" s="10"/>
      <c r="E13" s="10"/>
      <c r="G13" s="10"/>
      <c r="H13" s="10"/>
      <c r="I13" s="10"/>
      <c r="J13" s="10"/>
      <c r="L13" s="11"/>
      <c r="M13" s="11"/>
    </row>
    <row r="14" customFormat="false" ht="7.5" hidden="false" customHeight="true" outlineLevel="0" collapsed="false"/>
    <row r="50" customFormat="false" ht="15" hidden="false" customHeight="true" outlineLevel="0" collapsed="false">
      <c r="B50" s="12" t="s">
        <v>8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</row>
  </sheetData>
  <mergeCells count="15">
    <mergeCell ref="B2:M2"/>
    <mergeCell ref="B3:M3"/>
    <mergeCell ref="B6:E6"/>
    <mergeCell ref="G6:J6"/>
    <mergeCell ref="L6:M6"/>
    <mergeCell ref="B7:E8"/>
    <mergeCell ref="G7:J8"/>
    <mergeCell ref="L7:M8"/>
    <mergeCell ref="B11:E11"/>
    <mergeCell ref="G11:J11"/>
    <mergeCell ref="L11:M11"/>
    <mergeCell ref="B12:E13"/>
    <mergeCell ref="G12:J13"/>
    <mergeCell ref="L12:M13"/>
    <mergeCell ref="B50:M50"/>
  </mergeCells>
  <printOptions headings="false" gridLines="false" gridLinesSet="true" horizontalCentered="false" verticalCentered="false"/>
  <pageMargins left="0.3" right="0.3" top="0.3" bottom="0.3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R5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3" min="2" style="1" width="12"/>
    <col collapsed="false" customWidth="true" hidden="false" outlineLevel="0" max="4" min="4" style="1" width="16"/>
    <col collapsed="false" customWidth="true" hidden="false" outlineLevel="0" max="6" min="5" style="1" width="10"/>
    <col collapsed="false" customWidth="true" hidden="false" outlineLevel="0" max="7" min="7" style="1" width="11"/>
    <col collapsed="false" customWidth="true" hidden="false" outlineLevel="0" max="8" min="8" style="1" width="10"/>
    <col collapsed="false" customWidth="true" hidden="false" outlineLevel="0" max="9" min="9" style="1" width="14"/>
    <col collapsed="false" customWidth="true" hidden="false" outlineLevel="0" max="10" min="10" style="1" width="12"/>
    <col collapsed="false" customWidth="true" hidden="false" outlineLevel="0" max="11" min="11" style="1" width="14"/>
    <col collapsed="false" customWidth="true" hidden="false" outlineLevel="0" max="12" min="12" style="1" width="12"/>
    <col collapsed="false" customWidth="true" hidden="false" outlineLevel="0" max="13" min="13" style="1" width="14"/>
    <col collapsed="false" customWidth="true" hidden="false" outlineLevel="0" max="14" min="14" style="1" width="15"/>
    <col collapsed="false" customWidth="true" hidden="false" outlineLevel="0" max="15" min="15" style="1" width="11"/>
    <col collapsed="false" customWidth="true" hidden="false" outlineLevel="0" max="16" min="16" style="1" width="12"/>
    <col collapsed="false" customWidth="true" hidden="false" outlineLevel="0" max="17" min="17" style="1" width="11"/>
    <col collapsed="false" customWidth="true" hidden="false" outlineLevel="0" max="18" min="18" style="1" width="8"/>
  </cols>
  <sheetData>
    <row r="1" customFormat="false" ht="15" hidden="false" customHeight="true" outlineLevel="0" collapsed="false">
      <c r="A1" s="13" t="s">
        <v>9</v>
      </c>
      <c r="B1" s="13" t="s">
        <v>10</v>
      </c>
      <c r="C1" s="13" t="s">
        <v>11</v>
      </c>
      <c r="D1" s="13" t="s">
        <v>12</v>
      </c>
      <c r="E1" s="13" t="s">
        <v>13</v>
      </c>
      <c r="F1" s="13" t="s">
        <v>14</v>
      </c>
      <c r="G1" s="13" t="s">
        <v>15</v>
      </c>
      <c r="H1" s="13" t="s">
        <v>16</v>
      </c>
      <c r="I1" s="13" t="s">
        <v>17</v>
      </c>
      <c r="J1" s="13" t="s">
        <v>18</v>
      </c>
      <c r="K1" s="13" t="s">
        <v>19</v>
      </c>
      <c r="L1" s="13" t="s">
        <v>20</v>
      </c>
      <c r="M1" s="13" t="s">
        <v>21</v>
      </c>
      <c r="N1" s="13" t="s">
        <v>22</v>
      </c>
      <c r="O1" s="13" t="s">
        <v>23</v>
      </c>
      <c r="P1" s="13" t="s">
        <v>24</v>
      </c>
      <c r="Q1" s="13" t="s">
        <v>25</v>
      </c>
      <c r="R1" s="13" t="s">
        <v>26</v>
      </c>
    </row>
    <row r="2" customFormat="false" ht="15" hidden="false" customHeight="true" outlineLevel="0" collapsed="false">
      <c r="A2" s="1" t="n">
        <v>10001</v>
      </c>
      <c r="B2" s="14" t="n">
        <v>44562</v>
      </c>
      <c r="C2" s="1" t="n">
        <v>1102</v>
      </c>
      <c r="D2" s="1" t="s">
        <v>27</v>
      </c>
      <c r="E2" s="1" t="s">
        <v>28</v>
      </c>
      <c r="F2" s="1" t="n">
        <v>7</v>
      </c>
      <c r="G2" s="15" t="n">
        <v>373.65</v>
      </c>
      <c r="H2" s="16" t="n">
        <v>0.28</v>
      </c>
      <c r="I2" s="1" t="s">
        <v>29</v>
      </c>
      <c r="J2" s="1" t="n">
        <v>10</v>
      </c>
      <c r="K2" s="1" t="n">
        <v>4.7</v>
      </c>
      <c r="L2" s="15" t="n">
        <v>1883.2</v>
      </c>
      <c r="M2" s="15" t="n">
        <f aca="false">F2*G2</f>
        <v>2615.55</v>
      </c>
      <c r="N2" s="15" t="n">
        <f aca="false">M2-L2</f>
        <v>732.35</v>
      </c>
      <c r="O2" s="1" t="n">
        <f aca="false">YEAR(B2)</f>
        <v>2022</v>
      </c>
      <c r="P2" s="1" t="n">
        <f aca="false">MONTH(B2)</f>
        <v>1</v>
      </c>
      <c r="Q2" s="1" t="str">
        <f aca="false">TEXT(B2,"mmm")</f>
        <v>Jan</v>
      </c>
      <c r="R2" s="1" t="str">
        <f aca="false">"Q"&amp;ROUNDUP(MONTH(B2)/3,0)</f>
        <v>Q1</v>
      </c>
    </row>
    <row r="3" customFormat="false" ht="15" hidden="false" customHeight="true" outlineLevel="0" collapsed="false">
      <c r="A3" s="1" t="n">
        <v>10002</v>
      </c>
      <c r="B3" s="14" t="n">
        <v>44563</v>
      </c>
      <c r="C3" s="1" t="n">
        <v>1435</v>
      </c>
      <c r="D3" s="1" t="s">
        <v>30</v>
      </c>
      <c r="E3" s="1" t="s">
        <v>28</v>
      </c>
      <c r="F3" s="1" t="n">
        <v>7</v>
      </c>
      <c r="G3" s="15" t="n">
        <v>47.74</v>
      </c>
      <c r="H3" s="16" t="n">
        <v>0.09</v>
      </c>
      <c r="I3" s="1" t="s">
        <v>31</v>
      </c>
      <c r="J3" s="1" t="n">
        <v>6</v>
      </c>
      <c r="K3" s="1" t="n">
        <v>3.9</v>
      </c>
      <c r="L3" s="15" t="n">
        <v>304.1</v>
      </c>
      <c r="M3" s="15" t="n">
        <f aca="false">F3*G3</f>
        <v>334.18</v>
      </c>
      <c r="N3" s="15" t="n">
        <f aca="false">M3-L3</f>
        <v>30.08</v>
      </c>
      <c r="O3" s="1" t="n">
        <f aca="false">YEAR(B3)</f>
        <v>2022</v>
      </c>
      <c r="P3" s="1" t="n">
        <f aca="false">MONTH(B3)</f>
        <v>1</v>
      </c>
      <c r="Q3" s="1" t="str">
        <f aca="false">TEXT(B3,"mmm")</f>
        <v>Jan</v>
      </c>
      <c r="R3" s="1" t="str">
        <f aca="false">"Q"&amp;ROUNDUP(MONTH(B3)/3,0)</f>
        <v>Q1</v>
      </c>
    </row>
    <row r="4" customFormat="false" ht="15" hidden="false" customHeight="true" outlineLevel="0" collapsed="false">
      <c r="A4" s="1" t="n">
        <v>10003</v>
      </c>
      <c r="B4" s="14" t="n">
        <v>44564</v>
      </c>
      <c r="C4" s="1" t="n">
        <v>1860</v>
      </c>
      <c r="D4" s="1" t="s">
        <v>27</v>
      </c>
      <c r="E4" s="1" t="s">
        <v>32</v>
      </c>
      <c r="F4" s="1" t="n">
        <v>3</v>
      </c>
      <c r="G4" s="15" t="n">
        <v>311.28</v>
      </c>
      <c r="H4" s="16" t="n">
        <v>0.31</v>
      </c>
      <c r="I4" s="1" t="s">
        <v>33</v>
      </c>
      <c r="J4" s="1" t="n">
        <v>6</v>
      </c>
      <c r="K4" s="1" t="n">
        <v>2.5</v>
      </c>
      <c r="L4" s="15" t="n">
        <v>644.35</v>
      </c>
      <c r="M4" s="15" t="n">
        <f aca="false">F4*G4</f>
        <v>933.84</v>
      </c>
      <c r="N4" s="15" t="n">
        <f aca="false">M4-L4</f>
        <v>289.49</v>
      </c>
      <c r="O4" s="1" t="n">
        <f aca="false">YEAR(B4)</f>
        <v>2022</v>
      </c>
      <c r="P4" s="1" t="n">
        <f aca="false">MONTH(B4)</f>
        <v>1</v>
      </c>
      <c r="Q4" s="1" t="str">
        <f aca="false">TEXT(B4,"mmm")</f>
        <v>Jan</v>
      </c>
      <c r="R4" s="1" t="str">
        <f aca="false">"Q"&amp;ROUNDUP(MONTH(B4)/3,0)</f>
        <v>Q1</v>
      </c>
    </row>
    <row r="5" customFormat="false" ht="15" hidden="false" customHeight="true" outlineLevel="0" collapsed="false">
      <c r="A5" s="1" t="n">
        <v>10004</v>
      </c>
      <c r="B5" s="14" t="n">
        <v>44565</v>
      </c>
      <c r="C5" s="1" t="n">
        <v>1270</v>
      </c>
      <c r="D5" s="1" t="s">
        <v>34</v>
      </c>
      <c r="E5" s="1" t="s">
        <v>35</v>
      </c>
      <c r="F5" s="1" t="n">
        <v>5</v>
      </c>
      <c r="G5" s="15" t="n">
        <v>524.47</v>
      </c>
      <c r="H5" s="16" t="n">
        <v>0.02</v>
      </c>
      <c r="I5" s="1" t="s">
        <v>29</v>
      </c>
      <c r="J5" s="1" t="n">
        <v>6</v>
      </c>
      <c r="K5" s="1" t="n">
        <v>1.6</v>
      </c>
      <c r="L5" s="15" t="n">
        <v>2569.9</v>
      </c>
      <c r="M5" s="15" t="n">
        <f aca="false">F5*G5</f>
        <v>2622.35</v>
      </c>
      <c r="N5" s="15" t="n">
        <f aca="false">M5-L5</f>
        <v>52.4500000000003</v>
      </c>
      <c r="O5" s="1" t="n">
        <f aca="false">YEAR(B5)</f>
        <v>2022</v>
      </c>
      <c r="P5" s="1" t="n">
        <f aca="false">MONTH(B5)</f>
        <v>1</v>
      </c>
      <c r="Q5" s="1" t="str">
        <f aca="false">TEXT(B5,"mmm")</f>
        <v>Jan</v>
      </c>
      <c r="R5" s="1" t="str">
        <f aca="false">"Q"&amp;ROUNDUP(MONTH(B5)/3,0)</f>
        <v>Q1</v>
      </c>
    </row>
    <row r="6" customFormat="false" ht="15" hidden="false" customHeight="true" outlineLevel="0" collapsed="false">
      <c r="A6" s="1" t="n">
        <v>10005</v>
      </c>
      <c r="B6" s="14" t="n">
        <v>44566</v>
      </c>
      <c r="C6" s="1" t="n">
        <v>1106</v>
      </c>
      <c r="D6" s="1" t="s">
        <v>30</v>
      </c>
      <c r="E6" s="1" t="s">
        <v>35</v>
      </c>
      <c r="F6" s="1" t="n">
        <v>5</v>
      </c>
      <c r="G6" s="15" t="n">
        <v>139.87</v>
      </c>
      <c r="H6" s="16" t="n">
        <v>0.33</v>
      </c>
      <c r="I6" s="1" t="s">
        <v>29</v>
      </c>
      <c r="J6" s="1" t="n">
        <v>4</v>
      </c>
      <c r="K6" s="1" t="n">
        <v>4.9</v>
      </c>
      <c r="L6" s="15" t="n">
        <v>468.56</v>
      </c>
      <c r="M6" s="15" t="n">
        <f aca="false">F6*G6</f>
        <v>699.35</v>
      </c>
      <c r="N6" s="15" t="n">
        <f aca="false">M6-L6</f>
        <v>230.79</v>
      </c>
      <c r="O6" s="1" t="n">
        <f aca="false">YEAR(B6)</f>
        <v>2022</v>
      </c>
      <c r="P6" s="1" t="n">
        <f aca="false">MONTH(B6)</f>
        <v>1</v>
      </c>
      <c r="Q6" s="1" t="str">
        <f aca="false">TEXT(B6,"mmm")</f>
        <v>Jan</v>
      </c>
      <c r="R6" s="1" t="str">
        <f aca="false">"Q"&amp;ROUNDUP(MONTH(B6)/3,0)</f>
        <v>Q1</v>
      </c>
    </row>
    <row r="7" customFormat="false" ht="15" hidden="false" customHeight="true" outlineLevel="0" collapsed="false">
      <c r="A7" s="1" t="n">
        <v>10006</v>
      </c>
      <c r="B7" s="14" t="n">
        <v>44567</v>
      </c>
      <c r="C7" s="1" t="n">
        <v>1071</v>
      </c>
      <c r="D7" s="1" t="s">
        <v>34</v>
      </c>
      <c r="E7" s="1" t="s">
        <v>35</v>
      </c>
      <c r="F7" s="1" t="n">
        <v>2</v>
      </c>
      <c r="G7" s="15" t="n">
        <v>264.44</v>
      </c>
      <c r="H7" s="16" t="n">
        <v>0.2</v>
      </c>
      <c r="I7" s="1" t="s">
        <v>31</v>
      </c>
      <c r="J7" s="1" t="n">
        <v>3</v>
      </c>
      <c r="K7" s="1" t="n">
        <v>3.3</v>
      </c>
      <c r="L7" s="15" t="n">
        <v>423.1</v>
      </c>
      <c r="M7" s="15" t="n">
        <f aca="false">F7*G7</f>
        <v>528.88</v>
      </c>
      <c r="N7" s="15" t="n">
        <f aca="false">M7-L7</f>
        <v>105.78</v>
      </c>
      <c r="O7" s="1" t="n">
        <f aca="false">YEAR(B7)</f>
        <v>2022</v>
      </c>
      <c r="P7" s="1" t="n">
        <f aca="false">MONTH(B7)</f>
        <v>1</v>
      </c>
      <c r="Q7" s="1" t="str">
        <f aca="false">TEXT(B7,"mmm")</f>
        <v>Jan</v>
      </c>
      <c r="R7" s="1" t="str">
        <f aca="false">"Q"&amp;ROUNDUP(MONTH(B7)/3,0)</f>
        <v>Q1</v>
      </c>
    </row>
    <row r="8" customFormat="false" ht="15" hidden="false" customHeight="true" outlineLevel="0" collapsed="false">
      <c r="A8" s="1" t="n">
        <v>10007</v>
      </c>
      <c r="B8" s="14" t="n">
        <v>44568</v>
      </c>
      <c r="C8" s="1" t="n">
        <v>1700</v>
      </c>
      <c r="D8" s="1" t="s">
        <v>30</v>
      </c>
      <c r="E8" s="1" t="s">
        <v>28</v>
      </c>
      <c r="F8" s="1" t="n">
        <v>6</v>
      </c>
      <c r="G8" s="15" t="n">
        <v>564.6</v>
      </c>
      <c r="H8" s="16" t="n">
        <v>0.23</v>
      </c>
      <c r="I8" s="1" t="s">
        <v>31</v>
      </c>
      <c r="J8" s="1" t="n">
        <v>1</v>
      </c>
      <c r="K8" s="1" t="n">
        <v>1.8</v>
      </c>
      <c r="L8" s="15" t="n">
        <v>2608.45</v>
      </c>
      <c r="M8" s="15" t="n">
        <f aca="false">F8*G8</f>
        <v>3387.6</v>
      </c>
      <c r="N8" s="15" t="n">
        <f aca="false">M8-L8</f>
        <v>779.150000000001</v>
      </c>
      <c r="O8" s="1" t="n">
        <f aca="false">YEAR(B8)</f>
        <v>2022</v>
      </c>
      <c r="P8" s="1" t="n">
        <f aca="false">MONTH(B8)</f>
        <v>1</v>
      </c>
      <c r="Q8" s="1" t="str">
        <f aca="false">TEXT(B8,"mmm")</f>
        <v>Jan</v>
      </c>
      <c r="R8" s="1" t="str">
        <f aca="false">"Q"&amp;ROUNDUP(MONTH(B8)/3,0)</f>
        <v>Q1</v>
      </c>
    </row>
    <row r="9" customFormat="false" ht="15" hidden="false" customHeight="true" outlineLevel="0" collapsed="false">
      <c r="A9" s="1" t="n">
        <v>10008</v>
      </c>
      <c r="B9" s="14" t="n">
        <v>44569</v>
      </c>
      <c r="C9" s="1" t="n">
        <v>1020</v>
      </c>
      <c r="D9" s="1" t="s">
        <v>27</v>
      </c>
      <c r="E9" s="1" t="s">
        <v>36</v>
      </c>
      <c r="F9" s="1" t="n">
        <v>6</v>
      </c>
      <c r="G9" s="15" t="n">
        <v>265.71</v>
      </c>
      <c r="H9" s="16" t="n">
        <v>0.13</v>
      </c>
      <c r="I9" s="1" t="s">
        <v>31</v>
      </c>
      <c r="J9" s="1" t="n">
        <v>2</v>
      </c>
      <c r="K9" s="1" t="n">
        <v>3.7</v>
      </c>
      <c r="L9" s="15" t="n">
        <v>1387.01</v>
      </c>
      <c r="M9" s="15" t="n">
        <f aca="false">F9*G9</f>
        <v>1594.26</v>
      </c>
      <c r="N9" s="15" t="n">
        <f aca="false">M9-L9</f>
        <v>207.25</v>
      </c>
      <c r="O9" s="1" t="n">
        <f aca="false">YEAR(B9)</f>
        <v>2022</v>
      </c>
      <c r="P9" s="1" t="n">
        <f aca="false">MONTH(B9)</f>
        <v>1</v>
      </c>
      <c r="Q9" s="1" t="str">
        <f aca="false">TEXT(B9,"mmm")</f>
        <v>Jan</v>
      </c>
      <c r="R9" s="1" t="str">
        <f aca="false">"Q"&amp;ROUNDUP(MONTH(B9)/3,0)</f>
        <v>Q1</v>
      </c>
    </row>
    <row r="10" customFormat="false" ht="15" hidden="false" customHeight="true" outlineLevel="0" collapsed="false">
      <c r="A10" s="1" t="n">
        <v>10009</v>
      </c>
      <c r="B10" s="14" t="n">
        <v>44570</v>
      </c>
      <c r="C10" s="1" t="n">
        <v>1614</v>
      </c>
      <c r="D10" s="1" t="s">
        <v>30</v>
      </c>
      <c r="E10" s="1" t="s">
        <v>28</v>
      </c>
      <c r="F10" s="1" t="n">
        <v>6</v>
      </c>
      <c r="G10" s="15" t="n">
        <v>224.65</v>
      </c>
      <c r="H10" s="16" t="n">
        <v>0.27</v>
      </c>
      <c r="I10" s="1" t="s">
        <v>31</v>
      </c>
      <c r="J10" s="1" t="n">
        <v>2</v>
      </c>
      <c r="K10" s="1" t="n">
        <v>1.4</v>
      </c>
      <c r="L10" s="15" t="n">
        <v>983.97</v>
      </c>
      <c r="M10" s="15" t="n">
        <f aca="false">F10*G10</f>
        <v>1347.9</v>
      </c>
      <c r="N10" s="15" t="n">
        <f aca="false">M10-L10</f>
        <v>363.93</v>
      </c>
      <c r="O10" s="1" t="n">
        <f aca="false">YEAR(B10)</f>
        <v>2022</v>
      </c>
      <c r="P10" s="1" t="n">
        <f aca="false">MONTH(B10)</f>
        <v>1</v>
      </c>
      <c r="Q10" s="1" t="str">
        <f aca="false">TEXT(B10,"mmm")</f>
        <v>Jan</v>
      </c>
      <c r="R10" s="1" t="str">
        <f aca="false">"Q"&amp;ROUNDUP(MONTH(B10)/3,0)</f>
        <v>Q1</v>
      </c>
    </row>
    <row r="11" customFormat="false" ht="15" hidden="false" customHeight="true" outlineLevel="0" collapsed="false">
      <c r="A11" s="1" t="n">
        <v>10010</v>
      </c>
      <c r="B11" s="14" t="n">
        <v>44571</v>
      </c>
      <c r="C11" s="1" t="n">
        <v>1121</v>
      </c>
      <c r="D11" s="1" t="s">
        <v>30</v>
      </c>
      <c r="E11" s="1" t="s">
        <v>35</v>
      </c>
      <c r="F11" s="1" t="n">
        <v>4</v>
      </c>
      <c r="G11" s="15" t="n">
        <v>272.71</v>
      </c>
      <c r="H11" s="16" t="n">
        <v>0.06</v>
      </c>
      <c r="I11" s="1" t="s">
        <v>31</v>
      </c>
      <c r="J11" s="1" t="n">
        <v>10</v>
      </c>
      <c r="K11" s="1" t="n">
        <v>4.5</v>
      </c>
      <c r="L11" s="15" t="n">
        <v>1025.39</v>
      </c>
      <c r="M11" s="15" t="n">
        <f aca="false">F11*G11</f>
        <v>1090.84</v>
      </c>
      <c r="N11" s="15" t="n">
        <f aca="false">M11-L11</f>
        <v>65.4499999999998</v>
      </c>
      <c r="O11" s="1" t="n">
        <f aca="false">YEAR(B11)</f>
        <v>2022</v>
      </c>
      <c r="P11" s="1" t="n">
        <f aca="false">MONTH(B11)</f>
        <v>1</v>
      </c>
      <c r="Q11" s="1" t="str">
        <f aca="false">TEXT(B11,"mmm")</f>
        <v>Jan</v>
      </c>
      <c r="R11" s="1" t="str">
        <f aca="false">"Q"&amp;ROUNDUP(MONTH(B11)/3,0)</f>
        <v>Q1</v>
      </c>
    </row>
    <row r="12" customFormat="false" ht="15" hidden="false" customHeight="true" outlineLevel="0" collapsed="false">
      <c r="A12" s="1" t="n">
        <v>10011</v>
      </c>
      <c r="B12" s="14" t="n">
        <v>44572</v>
      </c>
      <c r="C12" s="1" t="n">
        <v>1466</v>
      </c>
      <c r="D12" s="1" t="s">
        <v>30</v>
      </c>
      <c r="E12" s="1" t="s">
        <v>35</v>
      </c>
      <c r="F12" s="1" t="n">
        <v>6</v>
      </c>
      <c r="G12" s="15" t="n">
        <v>318.88</v>
      </c>
      <c r="H12" s="16" t="n">
        <v>0.02</v>
      </c>
      <c r="I12" s="1" t="s">
        <v>33</v>
      </c>
      <c r="J12" s="1" t="n">
        <v>7</v>
      </c>
      <c r="K12" s="1" t="n">
        <v>1.4</v>
      </c>
      <c r="L12" s="15" t="n">
        <v>1875.01</v>
      </c>
      <c r="M12" s="15" t="n">
        <f aca="false">F12*G12</f>
        <v>1913.28</v>
      </c>
      <c r="N12" s="15" t="n">
        <f aca="false">M12-L12</f>
        <v>38.27</v>
      </c>
      <c r="O12" s="1" t="n">
        <f aca="false">YEAR(B12)</f>
        <v>2022</v>
      </c>
      <c r="P12" s="1" t="n">
        <f aca="false">MONTH(B12)</f>
        <v>1</v>
      </c>
      <c r="Q12" s="1" t="str">
        <f aca="false">TEXT(B12,"mmm")</f>
        <v>Jan</v>
      </c>
      <c r="R12" s="1" t="str">
        <f aca="false">"Q"&amp;ROUNDUP(MONTH(B12)/3,0)</f>
        <v>Q1</v>
      </c>
    </row>
    <row r="13" customFormat="false" ht="15" hidden="false" customHeight="true" outlineLevel="0" collapsed="false">
      <c r="A13" s="1" t="n">
        <v>10012</v>
      </c>
      <c r="B13" s="14" t="n">
        <v>44573</v>
      </c>
      <c r="C13" s="1" t="n">
        <v>1214</v>
      </c>
      <c r="D13" s="1" t="s">
        <v>34</v>
      </c>
      <c r="E13" s="1" t="s">
        <v>35</v>
      </c>
      <c r="F13" s="1" t="n">
        <v>3</v>
      </c>
      <c r="G13" s="15" t="n">
        <v>384.71</v>
      </c>
      <c r="H13" s="16" t="n">
        <v>0.14</v>
      </c>
      <c r="I13" s="1" t="s">
        <v>33</v>
      </c>
      <c r="J13" s="1" t="n">
        <v>11</v>
      </c>
      <c r="K13" s="1" t="n">
        <v>1.9</v>
      </c>
      <c r="L13" s="15" t="n">
        <v>992.55</v>
      </c>
      <c r="M13" s="15" t="n">
        <f aca="false">F13*G13</f>
        <v>1154.13</v>
      </c>
      <c r="N13" s="15" t="n">
        <f aca="false">M13-L13</f>
        <v>161.58</v>
      </c>
      <c r="O13" s="1" t="n">
        <f aca="false">YEAR(B13)</f>
        <v>2022</v>
      </c>
      <c r="P13" s="1" t="n">
        <f aca="false">MONTH(B13)</f>
        <v>1</v>
      </c>
      <c r="Q13" s="1" t="str">
        <f aca="false">TEXT(B13,"mmm")</f>
        <v>Jan</v>
      </c>
      <c r="R13" s="1" t="str">
        <f aca="false">"Q"&amp;ROUNDUP(MONTH(B13)/3,0)</f>
        <v>Q1</v>
      </c>
    </row>
    <row r="14" customFormat="false" ht="15" hidden="false" customHeight="true" outlineLevel="0" collapsed="false">
      <c r="A14" s="1" t="n">
        <v>10013</v>
      </c>
      <c r="B14" s="14" t="n">
        <v>44574</v>
      </c>
      <c r="C14" s="1" t="n">
        <v>1330</v>
      </c>
      <c r="D14" s="1" t="s">
        <v>27</v>
      </c>
      <c r="E14" s="1" t="s">
        <v>28</v>
      </c>
      <c r="F14" s="1" t="n">
        <v>7</v>
      </c>
      <c r="G14" s="15" t="n">
        <v>483.41</v>
      </c>
      <c r="H14" s="16" t="n">
        <v>0.3</v>
      </c>
      <c r="I14" s="1" t="s">
        <v>33</v>
      </c>
      <c r="J14" s="1" t="n">
        <v>6</v>
      </c>
      <c r="K14" s="1" t="n">
        <v>1.4</v>
      </c>
      <c r="L14" s="15" t="n">
        <v>2368.71</v>
      </c>
      <c r="M14" s="15" t="n">
        <f aca="false">F14*G14</f>
        <v>3383.87</v>
      </c>
      <c r="N14" s="15" t="n">
        <f aca="false">M14-L14</f>
        <v>1015.16</v>
      </c>
      <c r="O14" s="1" t="n">
        <f aca="false">YEAR(B14)</f>
        <v>2022</v>
      </c>
      <c r="P14" s="1" t="n">
        <f aca="false">MONTH(B14)</f>
        <v>1</v>
      </c>
      <c r="Q14" s="1" t="str">
        <f aca="false">TEXT(B14,"mmm")</f>
        <v>Jan</v>
      </c>
      <c r="R14" s="1" t="str">
        <f aca="false">"Q"&amp;ROUNDUP(MONTH(B14)/3,0)</f>
        <v>Q1</v>
      </c>
    </row>
    <row r="15" customFormat="false" ht="15" hidden="false" customHeight="true" outlineLevel="0" collapsed="false">
      <c r="A15" s="1" t="n">
        <v>10014</v>
      </c>
      <c r="B15" s="14" t="n">
        <v>44575</v>
      </c>
      <c r="C15" s="1" t="n">
        <v>1458</v>
      </c>
      <c r="D15" s="1" t="s">
        <v>30</v>
      </c>
      <c r="E15" s="1" t="s">
        <v>35</v>
      </c>
      <c r="F15" s="1" t="n">
        <v>7</v>
      </c>
      <c r="G15" s="15" t="n">
        <v>279.48</v>
      </c>
      <c r="H15" s="16" t="n">
        <v>0.26</v>
      </c>
      <c r="I15" s="1" t="s">
        <v>33</v>
      </c>
      <c r="J15" s="1" t="n">
        <v>8</v>
      </c>
      <c r="K15" s="1" t="n">
        <v>1.4</v>
      </c>
      <c r="L15" s="15" t="n">
        <v>1447.71</v>
      </c>
      <c r="M15" s="15" t="n">
        <f aca="false">F15*G15</f>
        <v>1956.36</v>
      </c>
      <c r="N15" s="15" t="n">
        <f aca="false">M15-L15</f>
        <v>508.65</v>
      </c>
      <c r="O15" s="1" t="n">
        <f aca="false">YEAR(B15)</f>
        <v>2022</v>
      </c>
      <c r="P15" s="1" t="n">
        <f aca="false">MONTH(B15)</f>
        <v>1</v>
      </c>
      <c r="Q15" s="1" t="str">
        <f aca="false">TEXT(B15,"mmm")</f>
        <v>Jan</v>
      </c>
      <c r="R15" s="1" t="str">
        <f aca="false">"Q"&amp;ROUNDUP(MONTH(B15)/3,0)</f>
        <v>Q1</v>
      </c>
    </row>
    <row r="16" customFormat="false" ht="15" hidden="false" customHeight="true" outlineLevel="0" collapsed="false">
      <c r="A16" s="1" t="n">
        <v>10015</v>
      </c>
      <c r="B16" s="14" t="n">
        <v>44576</v>
      </c>
      <c r="C16" s="1" t="n">
        <v>1087</v>
      </c>
      <c r="D16" s="1" t="s">
        <v>30</v>
      </c>
      <c r="E16" s="1" t="s">
        <v>32</v>
      </c>
      <c r="F16" s="1" t="n">
        <v>4</v>
      </c>
      <c r="G16" s="15" t="n">
        <v>493.23</v>
      </c>
      <c r="H16" s="16" t="n">
        <v>0.18</v>
      </c>
      <c r="I16" s="1" t="s">
        <v>31</v>
      </c>
      <c r="J16" s="1" t="n">
        <v>9</v>
      </c>
      <c r="K16" s="1" t="n">
        <v>3.1</v>
      </c>
      <c r="L16" s="15" t="n">
        <v>1617.79</v>
      </c>
      <c r="M16" s="15" t="n">
        <f aca="false">F16*G16</f>
        <v>1972.92</v>
      </c>
      <c r="N16" s="15" t="n">
        <f aca="false">M16-L16</f>
        <v>355.13</v>
      </c>
      <c r="O16" s="1" t="n">
        <f aca="false">YEAR(B16)</f>
        <v>2022</v>
      </c>
      <c r="P16" s="1" t="n">
        <f aca="false">MONTH(B16)</f>
        <v>1</v>
      </c>
      <c r="Q16" s="1" t="str">
        <f aca="false">TEXT(B16,"mmm")</f>
        <v>Jan</v>
      </c>
      <c r="R16" s="1" t="str">
        <f aca="false">"Q"&amp;ROUNDUP(MONTH(B16)/3,0)</f>
        <v>Q1</v>
      </c>
    </row>
    <row r="17" customFormat="false" ht="15" hidden="false" customHeight="true" outlineLevel="0" collapsed="false">
      <c r="A17" s="1" t="n">
        <v>10016</v>
      </c>
      <c r="B17" s="14" t="n">
        <v>44577</v>
      </c>
      <c r="C17" s="1" t="n">
        <v>1372</v>
      </c>
      <c r="D17" s="1" t="s">
        <v>30</v>
      </c>
      <c r="E17" s="1" t="s">
        <v>35</v>
      </c>
      <c r="F17" s="1" t="n">
        <v>2</v>
      </c>
      <c r="G17" s="15" t="n">
        <v>327.23</v>
      </c>
      <c r="H17" s="16" t="n">
        <v>0.2</v>
      </c>
      <c r="I17" s="1" t="s">
        <v>29</v>
      </c>
      <c r="J17" s="1" t="n">
        <v>5</v>
      </c>
      <c r="K17" s="1" t="n">
        <v>3.7</v>
      </c>
      <c r="L17" s="15" t="n">
        <v>523.57</v>
      </c>
      <c r="M17" s="15" t="n">
        <f aca="false">F17*G17</f>
        <v>654.46</v>
      </c>
      <c r="N17" s="15" t="n">
        <f aca="false">M17-L17</f>
        <v>130.89</v>
      </c>
      <c r="O17" s="1" t="n">
        <f aca="false">YEAR(B17)</f>
        <v>2022</v>
      </c>
      <c r="P17" s="1" t="n">
        <f aca="false">MONTH(B17)</f>
        <v>1</v>
      </c>
      <c r="Q17" s="1" t="str">
        <f aca="false">TEXT(B17,"mmm")</f>
        <v>Jan</v>
      </c>
      <c r="R17" s="1" t="str">
        <f aca="false">"Q"&amp;ROUNDUP(MONTH(B17)/3,0)</f>
        <v>Q1</v>
      </c>
    </row>
    <row r="18" customFormat="false" ht="15" hidden="false" customHeight="true" outlineLevel="0" collapsed="false">
      <c r="A18" s="1" t="n">
        <v>10017</v>
      </c>
      <c r="B18" s="14" t="n">
        <v>44578</v>
      </c>
      <c r="C18" s="1" t="n">
        <v>1099</v>
      </c>
      <c r="D18" s="1" t="s">
        <v>30</v>
      </c>
      <c r="E18" s="1" t="s">
        <v>36</v>
      </c>
      <c r="F18" s="1" t="n">
        <v>3</v>
      </c>
      <c r="G18" s="15" t="n">
        <v>213.01</v>
      </c>
      <c r="H18" s="16" t="n">
        <v>0.05</v>
      </c>
      <c r="I18" s="1" t="s">
        <v>29</v>
      </c>
      <c r="J18" s="1" t="n">
        <v>11</v>
      </c>
      <c r="K18" s="1" t="n">
        <v>4.2</v>
      </c>
      <c r="L18" s="15" t="n">
        <v>607.08</v>
      </c>
      <c r="M18" s="15" t="n">
        <f aca="false">F18*G18</f>
        <v>639.03</v>
      </c>
      <c r="N18" s="15" t="n">
        <f aca="false">M18-L18</f>
        <v>31.9499999999999</v>
      </c>
      <c r="O18" s="1" t="n">
        <f aca="false">YEAR(B18)</f>
        <v>2022</v>
      </c>
      <c r="P18" s="1" t="n">
        <f aca="false">MONTH(B18)</f>
        <v>1</v>
      </c>
      <c r="Q18" s="1" t="str">
        <f aca="false">TEXT(B18,"mmm")</f>
        <v>Jan</v>
      </c>
      <c r="R18" s="1" t="str">
        <f aca="false">"Q"&amp;ROUNDUP(MONTH(B18)/3,0)</f>
        <v>Q1</v>
      </c>
    </row>
    <row r="19" customFormat="false" ht="15" hidden="false" customHeight="true" outlineLevel="0" collapsed="false">
      <c r="A19" s="1" t="n">
        <v>10018</v>
      </c>
      <c r="B19" s="14" t="n">
        <v>44579</v>
      </c>
      <c r="C19" s="1" t="n">
        <v>1871</v>
      </c>
      <c r="D19" s="1" t="s">
        <v>34</v>
      </c>
      <c r="E19" s="1" t="s">
        <v>32</v>
      </c>
      <c r="F19" s="1" t="n">
        <v>7</v>
      </c>
      <c r="G19" s="15" t="n">
        <v>399.9</v>
      </c>
      <c r="H19" s="16" t="n">
        <v>0.29</v>
      </c>
      <c r="I19" s="1" t="s">
        <v>33</v>
      </c>
      <c r="J19" s="1" t="n">
        <v>3</v>
      </c>
      <c r="K19" s="1" t="n">
        <v>3.8</v>
      </c>
      <c r="L19" s="15" t="n">
        <v>1987.5</v>
      </c>
      <c r="M19" s="15" t="n">
        <f aca="false">F19*G19</f>
        <v>2799.3</v>
      </c>
      <c r="N19" s="15" t="n">
        <f aca="false">M19-L19</f>
        <v>811.8</v>
      </c>
      <c r="O19" s="1" t="n">
        <f aca="false">YEAR(B19)</f>
        <v>2022</v>
      </c>
      <c r="P19" s="1" t="n">
        <f aca="false">MONTH(B19)</f>
        <v>1</v>
      </c>
      <c r="Q19" s="1" t="str">
        <f aca="false">TEXT(B19,"mmm")</f>
        <v>Jan</v>
      </c>
      <c r="R19" s="1" t="str">
        <f aca="false">"Q"&amp;ROUNDUP(MONTH(B19)/3,0)</f>
        <v>Q1</v>
      </c>
    </row>
    <row r="20" customFormat="false" ht="15" hidden="false" customHeight="true" outlineLevel="0" collapsed="false">
      <c r="A20" s="1" t="n">
        <v>10019</v>
      </c>
      <c r="B20" s="14" t="n">
        <v>44580</v>
      </c>
      <c r="C20" s="1" t="n">
        <v>1663</v>
      </c>
      <c r="D20" s="1" t="s">
        <v>37</v>
      </c>
      <c r="E20" s="1" t="s">
        <v>35</v>
      </c>
      <c r="F20" s="1" t="n">
        <v>3</v>
      </c>
      <c r="G20" s="15" t="n">
        <v>434.87</v>
      </c>
      <c r="H20" s="16" t="n">
        <v>0.28</v>
      </c>
      <c r="I20" s="1" t="s">
        <v>29</v>
      </c>
      <c r="J20" s="1" t="n">
        <v>4</v>
      </c>
      <c r="K20" s="1" t="n">
        <v>2.5</v>
      </c>
      <c r="L20" s="15" t="n">
        <v>939.32</v>
      </c>
      <c r="M20" s="15" t="n">
        <f aca="false">F20*G20</f>
        <v>1304.61</v>
      </c>
      <c r="N20" s="15" t="n">
        <f aca="false">M20-L20</f>
        <v>365.29</v>
      </c>
      <c r="O20" s="1" t="n">
        <f aca="false">YEAR(B20)</f>
        <v>2022</v>
      </c>
      <c r="P20" s="1" t="n">
        <f aca="false">MONTH(B20)</f>
        <v>1</v>
      </c>
      <c r="Q20" s="1" t="str">
        <f aca="false">TEXT(B20,"mmm")</f>
        <v>Jan</v>
      </c>
      <c r="R20" s="1" t="str">
        <f aca="false">"Q"&amp;ROUNDUP(MONTH(B20)/3,0)</f>
        <v>Q1</v>
      </c>
    </row>
    <row r="21" customFormat="false" ht="15" hidden="false" customHeight="true" outlineLevel="0" collapsed="false">
      <c r="A21" s="1" t="n">
        <v>10020</v>
      </c>
      <c r="B21" s="14" t="n">
        <v>44581</v>
      </c>
      <c r="C21" s="1" t="n">
        <v>1130</v>
      </c>
      <c r="D21" s="1" t="s">
        <v>34</v>
      </c>
      <c r="E21" s="1" t="s">
        <v>32</v>
      </c>
      <c r="F21" s="1" t="n">
        <v>7</v>
      </c>
      <c r="G21" s="15" t="n">
        <v>341.46</v>
      </c>
      <c r="H21" s="16" t="n">
        <v>0.23</v>
      </c>
      <c r="I21" s="1" t="s">
        <v>31</v>
      </c>
      <c r="J21" s="1" t="n">
        <v>11</v>
      </c>
      <c r="K21" s="1" t="n">
        <v>3.2</v>
      </c>
      <c r="L21" s="15" t="n">
        <v>1840.47</v>
      </c>
      <c r="M21" s="15" t="n">
        <f aca="false">F21*G21</f>
        <v>2390.22</v>
      </c>
      <c r="N21" s="15" t="n">
        <f aca="false">M21-L21</f>
        <v>549.75</v>
      </c>
      <c r="O21" s="1" t="n">
        <f aca="false">YEAR(B21)</f>
        <v>2022</v>
      </c>
      <c r="P21" s="1" t="n">
        <f aca="false">MONTH(B21)</f>
        <v>1</v>
      </c>
      <c r="Q21" s="1" t="str">
        <f aca="false">TEXT(B21,"mmm")</f>
        <v>Jan</v>
      </c>
      <c r="R21" s="1" t="str">
        <f aca="false">"Q"&amp;ROUNDUP(MONTH(B21)/3,0)</f>
        <v>Q1</v>
      </c>
    </row>
    <row r="22" customFormat="false" ht="15" hidden="false" customHeight="true" outlineLevel="0" collapsed="false">
      <c r="A22" s="1" t="n">
        <v>10021</v>
      </c>
      <c r="B22" s="14" t="n">
        <v>44582</v>
      </c>
      <c r="C22" s="1" t="n">
        <v>1661</v>
      </c>
      <c r="D22" s="1" t="s">
        <v>37</v>
      </c>
      <c r="E22" s="1" t="s">
        <v>35</v>
      </c>
      <c r="F22" s="1" t="n">
        <v>1</v>
      </c>
      <c r="G22" s="15" t="n">
        <v>48.12</v>
      </c>
      <c r="H22" s="16" t="n">
        <v>0.16</v>
      </c>
      <c r="I22" s="1" t="s">
        <v>33</v>
      </c>
      <c r="J22" s="1" t="n">
        <v>8</v>
      </c>
      <c r="K22" s="1" t="n">
        <v>4.7</v>
      </c>
      <c r="L22" s="15" t="n">
        <v>40.42</v>
      </c>
      <c r="M22" s="15" t="n">
        <f aca="false">F22*G22</f>
        <v>48.12</v>
      </c>
      <c r="N22" s="15" t="n">
        <f aca="false">M22-L22</f>
        <v>7.7</v>
      </c>
      <c r="O22" s="1" t="n">
        <f aca="false">YEAR(B22)</f>
        <v>2022</v>
      </c>
      <c r="P22" s="1" t="n">
        <f aca="false">MONTH(B22)</f>
        <v>1</v>
      </c>
      <c r="Q22" s="1" t="str">
        <f aca="false">TEXT(B22,"mmm")</f>
        <v>Jan</v>
      </c>
      <c r="R22" s="1" t="str">
        <f aca="false">"Q"&amp;ROUNDUP(MONTH(B22)/3,0)</f>
        <v>Q1</v>
      </c>
    </row>
    <row r="23" customFormat="false" ht="15" hidden="false" customHeight="true" outlineLevel="0" collapsed="false">
      <c r="A23" s="1" t="n">
        <v>10022</v>
      </c>
      <c r="B23" s="14" t="n">
        <v>44583</v>
      </c>
      <c r="C23" s="1" t="n">
        <v>1308</v>
      </c>
      <c r="D23" s="1" t="s">
        <v>37</v>
      </c>
      <c r="E23" s="1" t="s">
        <v>36</v>
      </c>
      <c r="F23" s="1" t="n">
        <v>2</v>
      </c>
      <c r="G23" s="15" t="n">
        <v>114.38</v>
      </c>
      <c r="H23" s="16" t="n">
        <v>0.34</v>
      </c>
      <c r="I23" s="1" t="s">
        <v>31</v>
      </c>
      <c r="J23" s="1" t="n">
        <v>3</v>
      </c>
      <c r="K23" s="1" t="n">
        <v>2.6</v>
      </c>
      <c r="L23" s="15" t="n">
        <v>150.98</v>
      </c>
      <c r="M23" s="15" t="n">
        <f aca="false">F23*G23</f>
        <v>228.76</v>
      </c>
      <c r="N23" s="15" t="n">
        <f aca="false">M23-L23</f>
        <v>77.78</v>
      </c>
      <c r="O23" s="1" t="n">
        <f aca="false">YEAR(B23)</f>
        <v>2022</v>
      </c>
      <c r="P23" s="1" t="n">
        <f aca="false">MONTH(B23)</f>
        <v>1</v>
      </c>
      <c r="Q23" s="1" t="str">
        <f aca="false">TEXT(B23,"mmm")</f>
        <v>Jan</v>
      </c>
      <c r="R23" s="1" t="str">
        <f aca="false">"Q"&amp;ROUNDUP(MONTH(B23)/3,0)</f>
        <v>Q1</v>
      </c>
    </row>
    <row r="24" customFormat="false" ht="15" hidden="false" customHeight="true" outlineLevel="0" collapsed="false">
      <c r="A24" s="1" t="n">
        <v>10023</v>
      </c>
      <c r="B24" s="14" t="n">
        <v>44584</v>
      </c>
      <c r="C24" s="1" t="n">
        <v>1769</v>
      </c>
      <c r="D24" s="1" t="s">
        <v>37</v>
      </c>
      <c r="E24" s="1" t="s">
        <v>35</v>
      </c>
      <c r="F24" s="1" t="n">
        <v>2</v>
      </c>
      <c r="G24" s="15" t="n">
        <v>181.9</v>
      </c>
      <c r="H24" s="16" t="n">
        <v>0.31</v>
      </c>
      <c r="I24" s="1" t="s">
        <v>31</v>
      </c>
      <c r="J24" s="1" t="n">
        <v>2</v>
      </c>
      <c r="K24" s="1" t="n">
        <v>2</v>
      </c>
      <c r="L24" s="15" t="n">
        <v>251.02</v>
      </c>
      <c r="M24" s="15" t="n">
        <f aca="false">F24*G24</f>
        <v>363.8</v>
      </c>
      <c r="N24" s="15" t="n">
        <f aca="false">M24-L24</f>
        <v>112.78</v>
      </c>
      <c r="O24" s="1" t="n">
        <f aca="false">YEAR(B24)</f>
        <v>2022</v>
      </c>
      <c r="P24" s="1" t="n">
        <f aca="false">MONTH(B24)</f>
        <v>1</v>
      </c>
      <c r="Q24" s="1" t="str">
        <f aca="false">TEXT(B24,"mmm")</f>
        <v>Jan</v>
      </c>
      <c r="R24" s="1" t="str">
        <f aca="false">"Q"&amp;ROUNDUP(MONTH(B24)/3,0)</f>
        <v>Q1</v>
      </c>
    </row>
    <row r="25" customFormat="false" ht="15" hidden="false" customHeight="true" outlineLevel="0" collapsed="false">
      <c r="A25" s="1" t="n">
        <v>10024</v>
      </c>
      <c r="B25" s="14" t="n">
        <v>44585</v>
      </c>
      <c r="C25" s="1" t="n">
        <v>1343</v>
      </c>
      <c r="D25" s="1" t="s">
        <v>30</v>
      </c>
      <c r="E25" s="1" t="s">
        <v>32</v>
      </c>
      <c r="F25" s="1" t="n">
        <v>1</v>
      </c>
      <c r="G25" s="15" t="n">
        <v>180.34</v>
      </c>
      <c r="H25" s="16" t="n">
        <v>0.23</v>
      </c>
      <c r="I25" s="1" t="s">
        <v>31</v>
      </c>
      <c r="J25" s="1" t="n">
        <v>7</v>
      </c>
      <c r="K25" s="1" t="n">
        <v>3.1</v>
      </c>
      <c r="L25" s="15" t="n">
        <v>138.86</v>
      </c>
      <c r="M25" s="15" t="n">
        <f aca="false">F25*G25</f>
        <v>180.34</v>
      </c>
      <c r="N25" s="15" t="n">
        <f aca="false">M25-L25</f>
        <v>41.48</v>
      </c>
      <c r="O25" s="1" t="n">
        <f aca="false">YEAR(B25)</f>
        <v>2022</v>
      </c>
      <c r="P25" s="1" t="n">
        <f aca="false">MONTH(B25)</f>
        <v>1</v>
      </c>
      <c r="Q25" s="1" t="str">
        <f aca="false">TEXT(B25,"mmm")</f>
        <v>Jan</v>
      </c>
      <c r="R25" s="1" t="str">
        <f aca="false">"Q"&amp;ROUNDUP(MONTH(B25)/3,0)</f>
        <v>Q1</v>
      </c>
    </row>
    <row r="26" customFormat="false" ht="15" hidden="false" customHeight="true" outlineLevel="0" collapsed="false">
      <c r="A26" s="1" t="n">
        <v>10025</v>
      </c>
      <c r="B26" s="14" t="n">
        <v>44586</v>
      </c>
      <c r="C26" s="1" t="n">
        <v>1491</v>
      </c>
      <c r="D26" s="1" t="s">
        <v>30</v>
      </c>
      <c r="E26" s="1" t="s">
        <v>36</v>
      </c>
      <c r="F26" s="1" t="n">
        <v>4</v>
      </c>
      <c r="G26" s="15" t="n">
        <v>408.95</v>
      </c>
      <c r="H26" s="16" t="n">
        <v>0.13</v>
      </c>
      <c r="I26" s="1" t="s">
        <v>33</v>
      </c>
      <c r="J26" s="1" t="n">
        <v>4</v>
      </c>
      <c r="K26" s="1" t="n">
        <v>2.2</v>
      </c>
      <c r="L26" s="15" t="n">
        <v>1423.15</v>
      </c>
      <c r="M26" s="15" t="n">
        <f aca="false">F26*G26</f>
        <v>1635.8</v>
      </c>
      <c r="N26" s="15" t="n">
        <f aca="false">M26-L26</f>
        <v>212.65</v>
      </c>
      <c r="O26" s="1" t="n">
        <f aca="false">YEAR(B26)</f>
        <v>2022</v>
      </c>
      <c r="P26" s="1" t="n">
        <f aca="false">MONTH(B26)</f>
        <v>1</v>
      </c>
      <c r="Q26" s="1" t="str">
        <f aca="false">TEXT(B26,"mmm")</f>
        <v>Jan</v>
      </c>
      <c r="R26" s="1" t="str">
        <f aca="false">"Q"&amp;ROUNDUP(MONTH(B26)/3,0)</f>
        <v>Q1</v>
      </c>
    </row>
    <row r="27" customFormat="false" ht="15" hidden="false" customHeight="true" outlineLevel="0" collapsed="false">
      <c r="A27" s="1" t="n">
        <v>10026</v>
      </c>
      <c r="B27" s="14" t="n">
        <v>44587</v>
      </c>
      <c r="C27" s="1" t="n">
        <v>1413</v>
      </c>
      <c r="D27" s="1" t="s">
        <v>34</v>
      </c>
      <c r="E27" s="1" t="s">
        <v>28</v>
      </c>
      <c r="F27" s="1" t="n">
        <v>7</v>
      </c>
      <c r="G27" s="15" t="n">
        <v>25.73</v>
      </c>
      <c r="H27" s="16" t="n">
        <v>0.22</v>
      </c>
      <c r="I27" s="1" t="s">
        <v>31</v>
      </c>
      <c r="J27" s="1" t="n">
        <v>8</v>
      </c>
      <c r="K27" s="1" t="n">
        <v>2</v>
      </c>
      <c r="L27" s="15" t="n">
        <v>140.49</v>
      </c>
      <c r="M27" s="15" t="n">
        <f aca="false">F27*G27</f>
        <v>180.11</v>
      </c>
      <c r="N27" s="15" t="n">
        <f aca="false">M27-L27</f>
        <v>39.62</v>
      </c>
      <c r="O27" s="1" t="n">
        <f aca="false">YEAR(B27)</f>
        <v>2022</v>
      </c>
      <c r="P27" s="1" t="n">
        <f aca="false">MONTH(B27)</f>
        <v>1</v>
      </c>
      <c r="Q27" s="1" t="str">
        <f aca="false">TEXT(B27,"mmm")</f>
        <v>Jan</v>
      </c>
      <c r="R27" s="1" t="str">
        <f aca="false">"Q"&amp;ROUNDUP(MONTH(B27)/3,0)</f>
        <v>Q1</v>
      </c>
    </row>
    <row r="28" customFormat="false" ht="15" hidden="false" customHeight="true" outlineLevel="0" collapsed="false">
      <c r="A28" s="1" t="n">
        <v>10027</v>
      </c>
      <c r="B28" s="14" t="n">
        <v>44588</v>
      </c>
      <c r="C28" s="1" t="n">
        <v>1805</v>
      </c>
      <c r="D28" s="1" t="s">
        <v>37</v>
      </c>
      <c r="E28" s="1" t="s">
        <v>36</v>
      </c>
      <c r="F28" s="1" t="n">
        <v>7</v>
      </c>
      <c r="G28" s="15" t="n">
        <v>457.07</v>
      </c>
      <c r="H28" s="16" t="n">
        <v>0.2</v>
      </c>
      <c r="I28" s="1" t="s">
        <v>33</v>
      </c>
      <c r="J28" s="1" t="n">
        <v>1</v>
      </c>
      <c r="K28" s="1" t="n">
        <v>4.1</v>
      </c>
      <c r="L28" s="15" t="n">
        <v>2559.59</v>
      </c>
      <c r="M28" s="15" t="n">
        <f aca="false">F28*G28</f>
        <v>3199.49</v>
      </c>
      <c r="N28" s="15" t="n">
        <f aca="false">M28-L28</f>
        <v>639.9</v>
      </c>
      <c r="O28" s="1" t="n">
        <f aca="false">YEAR(B28)</f>
        <v>2022</v>
      </c>
      <c r="P28" s="1" t="n">
        <f aca="false">MONTH(B28)</f>
        <v>1</v>
      </c>
      <c r="Q28" s="1" t="str">
        <f aca="false">TEXT(B28,"mmm")</f>
        <v>Jan</v>
      </c>
      <c r="R28" s="1" t="str">
        <f aca="false">"Q"&amp;ROUNDUP(MONTH(B28)/3,0)</f>
        <v>Q1</v>
      </c>
    </row>
    <row r="29" customFormat="false" ht="15" hidden="false" customHeight="true" outlineLevel="0" collapsed="false">
      <c r="A29" s="1" t="n">
        <v>10028</v>
      </c>
      <c r="B29" s="14" t="n">
        <v>44589</v>
      </c>
      <c r="C29" s="1" t="n">
        <v>1385</v>
      </c>
      <c r="D29" s="1" t="s">
        <v>34</v>
      </c>
      <c r="E29" s="1" t="s">
        <v>36</v>
      </c>
      <c r="F29" s="1" t="n">
        <v>7</v>
      </c>
      <c r="G29" s="15" t="n">
        <v>170.23</v>
      </c>
      <c r="H29" s="16" t="n">
        <v>0.14</v>
      </c>
      <c r="I29" s="1" t="s">
        <v>31</v>
      </c>
      <c r="J29" s="1" t="n">
        <v>8</v>
      </c>
      <c r="K29" s="1" t="n">
        <v>4.6</v>
      </c>
      <c r="L29" s="15" t="n">
        <v>1024.78</v>
      </c>
      <c r="M29" s="15" t="n">
        <f aca="false">F29*G29</f>
        <v>1191.61</v>
      </c>
      <c r="N29" s="15" t="n">
        <f aca="false">M29-L29</f>
        <v>166.83</v>
      </c>
      <c r="O29" s="1" t="n">
        <f aca="false">YEAR(B29)</f>
        <v>2022</v>
      </c>
      <c r="P29" s="1" t="n">
        <f aca="false">MONTH(B29)</f>
        <v>1</v>
      </c>
      <c r="Q29" s="1" t="str">
        <f aca="false">TEXT(B29,"mmm")</f>
        <v>Jan</v>
      </c>
      <c r="R29" s="1" t="str">
        <f aca="false">"Q"&amp;ROUNDUP(MONTH(B29)/3,0)</f>
        <v>Q1</v>
      </c>
    </row>
    <row r="30" customFormat="false" ht="15" hidden="false" customHeight="true" outlineLevel="0" collapsed="false">
      <c r="A30" s="1" t="n">
        <v>10029</v>
      </c>
      <c r="B30" s="14" t="n">
        <v>44590</v>
      </c>
      <c r="C30" s="1" t="n">
        <v>1191</v>
      </c>
      <c r="D30" s="1" t="s">
        <v>30</v>
      </c>
      <c r="E30" s="1" t="s">
        <v>36</v>
      </c>
      <c r="F30" s="1" t="n">
        <v>6</v>
      </c>
      <c r="G30" s="15" t="n">
        <v>196.36</v>
      </c>
      <c r="H30" s="16" t="n">
        <v>0.11</v>
      </c>
      <c r="I30" s="1" t="s">
        <v>29</v>
      </c>
      <c r="J30" s="1" t="n">
        <v>5</v>
      </c>
      <c r="K30" s="1" t="n">
        <v>3</v>
      </c>
      <c r="L30" s="15" t="n">
        <v>1048.56</v>
      </c>
      <c r="M30" s="15" t="n">
        <f aca="false">F30*G30</f>
        <v>1178.16</v>
      </c>
      <c r="N30" s="15" t="n">
        <f aca="false">M30-L30</f>
        <v>129.6</v>
      </c>
      <c r="O30" s="1" t="n">
        <f aca="false">YEAR(B30)</f>
        <v>2022</v>
      </c>
      <c r="P30" s="1" t="n">
        <f aca="false">MONTH(B30)</f>
        <v>1</v>
      </c>
      <c r="Q30" s="1" t="str">
        <f aca="false">TEXT(B30,"mmm")</f>
        <v>Jan</v>
      </c>
      <c r="R30" s="1" t="str">
        <f aca="false">"Q"&amp;ROUNDUP(MONTH(B30)/3,0)</f>
        <v>Q1</v>
      </c>
    </row>
    <row r="31" customFormat="false" ht="15" hidden="false" customHeight="true" outlineLevel="0" collapsed="false">
      <c r="A31" s="1" t="n">
        <v>10030</v>
      </c>
      <c r="B31" s="14" t="n">
        <v>44591</v>
      </c>
      <c r="C31" s="1" t="n">
        <v>1955</v>
      </c>
      <c r="D31" s="1" t="s">
        <v>34</v>
      </c>
      <c r="E31" s="1" t="s">
        <v>32</v>
      </c>
      <c r="F31" s="1" t="n">
        <v>6</v>
      </c>
      <c r="G31" s="15" t="n">
        <v>323.83</v>
      </c>
      <c r="H31" s="16" t="n">
        <v>0.14</v>
      </c>
      <c r="I31" s="1" t="s">
        <v>33</v>
      </c>
      <c r="J31" s="1" t="n">
        <v>2</v>
      </c>
      <c r="K31" s="1" t="n">
        <v>4.1</v>
      </c>
      <c r="L31" s="15" t="n">
        <v>1670.96</v>
      </c>
      <c r="M31" s="15" t="n">
        <f aca="false">F31*G31</f>
        <v>1942.98</v>
      </c>
      <c r="N31" s="15" t="n">
        <f aca="false">M31-L31</f>
        <v>272.02</v>
      </c>
      <c r="O31" s="1" t="n">
        <f aca="false">YEAR(B31)</f>
        <v>2022</v>
      </c>
      <c r="P31" s="1" t="n">
        <f aca="false">MONTH(B31)</f>
        <v>1</v>
      </c>
      <c r="Q31" s="1" t="str">
        <f aca="false">TEXT(B31,"mmm")</f>
        <v>Jan</v>
      </c>
      <c r="R31" s="1" t="str">
        <f aca="false">"Q"&amp;ROUNDUP(MONTH(B31)/3,0)</f>
        <v>Q1</v>
      </c>
    </row>
    <row r="32" customFormat="false" ht="15" hidden="false" customHeight="true" outlineLevel="0" collapsed="false">
      <c r="A32" s="1" t="n">
        <v>10031</v>
      </c>
      <c r="B32" s="14" t="n">
        <v>44592</v>
      </c>
      <c r="C32" s="1" t="n">
        <v>1276</v>
      </c>
      <c r="D32" s="1" t="s">
        <v>34</v>
      </c>
      <c r="E32" s="1" t="s">
        <v>36</v>
      </c>
      <c r="F32" s="1" t="n">
        <v>6</v>
      </c>
      <c r="G32" s="15" t="n">
        <v>141.32</v>
      </c>
      <c r="H32" s="16" t="n">
        <v>0.2</v>
      </c>
      <c r="I32" s="1" t="s">
        <v>31</v>
      </c>
      <c r="J32" s="1" t="n">
        <v>1</v>
      </c>
      <c r="K32" s="1" t="n">
        <v>1.7</v>
      </c>
      <c r="L32" s="15" t="n">
        <v>678.34</v>
      </c>
      <c r="M32" s="15" t="n">
        <f aca="false">F32*G32</f>
        <v>847.92</v>
      </c>
      <c r="N32" s="15" t="n">
        <f aca="false">M32-L32</f>
        <v>169.58</v>
      </c>
      <c r="O32" s="1" t="n">
        <f aca="false">YEAR(B32)</f>
        <v>2022</v>
      </c>
      <c r="P32" s="1" t="n">
        <f aca="false">MONTH(B32)</f>
        <v>1</v>
      </c>
      <c r="Q32" s="1" t="str">
        <f aca="false">TEXT(B32,"mmm")</f>
        <v>Jan</v>
      </c>
      <c r="R32" s="1" t="str">
        <f aca="false">"Q"&amp;ROUNDUP(MONTH(B32)/3,0)</f>
        <v>Q1</v>
      </c>
    </row>
    <row r="33" customFormat="false" ht="15" hidden="false" customHeight="true" outlineLevel="0" collapsed="false">
      <c r="A33" s="1" t="n">
        <v>10032</v>
      </c>
      <c r="B33" s="14" t="n">
        <v>44593</v>
      </c>
      <c r="C33" s="1" t="n">
        <v>1160</v>
      </c>
      <c r="D33" s="1" t="s">
        <v>30</v>
      </c>
      <c r="E33" s="1" t="s">
        <v>35</v>
      </c>
      <c r="F33" s="1" t="n">
        <v>6</v>
      </c>
      <c r="G33" s="15" t="n">
        <v>532.42</v>
      </c>
      <c r="H33" s="16" t="n">
        <v>0.15</v>
      </c>
      <c r="I33" s="1" t="s">
        <v>31</v>
      </c>
      <c r="J33" s="1" t="n">
        <v>6</v>
      </c>
      <c r="K33" s="1" t="n">
        <v>3.2</v>
      </c>
      <c r="L33" s="15" t="n">
        <v>2715.34</v>
      </c>
      <c r="M33" s="15" t="n">
        <f aca="false">F33*G33</f>
        <v>3194.52</v>
      </c>
      <c r="N33" s="15" t="n">
        <f aca="false">M33-L33</f>
        <v>479.179999999999</v>
      </c>
      <c r="O33" s="1" t="n">
        <f aca="false">YEAR(B33)</f>
        <v>2022</v>
      </c>
      <c r="P33" s="1" t="n">
        <f aca="false">MONTH(B33)</f>
        <v>2</v>
      </c>
      <c r="Q33" s="1" t="str">
        <f aca="false">TEXT(B33,"mmm")</f>
        <v>Feb</v>
      </c>
      <c r="R33" s="1" t="str">
        <f aca="false">"Q"&amp;ROUNDUP(MONTH(B33)/3,0)</f>
        <v>Q1</v>
      </c>
    </row>
    <row r="34" customFormat="false" ht="15" hidden="false" customHeight="true" outlineLevel="0" collapsed="false">
      <c r="A34" s="1" t="n">
        <v>10033</v>
      </c>
      <c r="B34" s="14" t="n">
        <v>44594</v>
      </c>
      <c r="C34" s="1" t="n">
        <v>1459</v>
      </c>
      <c r="D34" s="1" t="s">
        <v>34</v>
      </c>
      <c r="E34" s="1" t="s">
        <v>36</v>
      </c>
      <c r="F34" s="1" t="n">
        <v>6</v>
      </c>
      <c r="G34" s="15" t="n">
        <v>64.94</v>
      </c>
      <c r="H34" s="16" t="n">
        <v>0.09</v>
      </c>
      <c r="I34" s="1" t="s">
        <v>29</v>
      </c>
      <c r="J34" s="1" t="n">
        <v>9</v>
      </c>
      <c r="K34" s="1" t="n">
        <v>3.5</v>
      </c>
      <c r="L34" s="15" t="n">
        <v>354.57</v>
      </c>
      <c r="M34" s="15" t="n">
        <f aca="false">F34*G34</f>
        <v>389.64</v>
      </c>
      <c r="N34" s="15" t="n">
        <f aca="false">M34-L34</f>
        <v>35.07</v>
      </c>
      <c r="O34" s="1" t="n">
        <f aca="false">YEAR(B34)</f>
        <v>2022</v>
      </c>
      <c r="P34" s="1" t="n">
        <f aca="false">MONTH(B34)</f>
        <v>2</v>
      </c>
      <c r="Q34" s="1" t="str">
        <f aca="false">TEXT(B34,"mmm")</f>
        <v>Feb</v>
      </c>
      <c r="R34" s="1" t="str">
        <f aca="false">"Q"&amp;ROUNDUP(MONTH(B34)/3,0)</f>
        <v>Q1</v>
      </c>
    </row>
    <row r="35" customFormat="false" ht="15" hidden="false" customHeight="true" outlineLevel="0" collapsed="false">
      <c r="A35" s="1" t="n">
        <v>10034</v>
      </c>
      <c r="B35" s="14" t="n">
        <v>44595</v>
      </c>
      <c r="C35" s="1" t="n">
        <v>1313</v>
      </c>
      <c r="D35" s="1" t="s">
        <v>37</v>
      </c>
      <c r="E35" s="1" t="s">
        <v>36</v>
      </c>
      <c r="F35" s="1" t="n">
        <v>1</v>
      </c>
      <c r="G35" s="15" t="n">
        <v>274.96</v>
      </c>
      <c r="H35" s="16" t="n">
        <v>0.27</v>
      </c>
      <c r="I35" s="1" t="s">
        <v>31</v>
      </c>
      <c r="J35" s="1" t="n">
        <v>9</v>
      </c>
      <c r="K35" s="1" t="n">
        <v>3</v>
      </c>
      <c r="L35" s="15" t="n">
        <v>200.72</v>
      </c>
      <c r="M35" s="15" t="n">
        <f aca="false">F35*G35</f>
        <v>274.96</v>
      </c>
      <c r="N35" s="15" t="n">
        <f aca="false">M35-L35</f>
        <v>74.24</v>
      </c>
      <c r="O35" s="1" t="n">
        <f aca="false">YEAR(B35)</f>
        <v>2022</v>
      </c>
      <c r="P35" s="1" t="n">
        <f aca="false">MONTH(B35)</f>
        <v>2</v>
      </c>
      <c r="Q35" s="1" t="str">
        <f aca="false">TEXT(B35,"mmm")</f>
        <v>Feb</v>
      </c>
      <c r="R35" s="1" t="str">
        <f aca="false">"Q"&amp;ROUNDUP(MONTH(B35)/3,0)</f>
        <v>Q1</v>
      </c>
    </row>
    <row r="36" customFormat="false" ht="15" hidden="false" customHeight="true" outlineLevel="0" collapsed="false">
      <c r="A36" s="1" t="n">
        <v>10035</v>
      </c>
      <c r="B36" s="14" t="n">
        <v>44596</v>
      </c>
      <c r="C36" s="1" t="n">
        <v>1021</v>
      </c>
      <c r="D36" s="1" t="s">
        <v>34</v>
      </c>
      <c r="E36" s="1" t="s">
        <v>35</v>
      </c>
      <c r="F36" s="1" t="n">
        <v>2</v>
      </c>
      <c r="G36" s="15" t="n">
        <v>511.91</v>
      </c>
      <c r="H36" s="16" t="n">
        <v>0.19</v>
      </c>
      <c r="I36" s="1" t="s">
        <v>33</v>
      </c>
      <c r="J36" s="1" t="n">
        <v>9</v>
      </c>
      <c r="K36" s="1" t="n">
        <v>1.5</v>
      </c>
      <c r="L36" s="15" t="n">
        <v>829.29</v>
      </c>
      <c r="M36" s="15" t="n">
        <f aca="false">F36*G36</f>
        <v>1023.82</v>
      </c>
      <c r="N36" s="15" t="n">
        <f aca="false">M36-L36</f>
        <v>194.53</v>
      </c>
      <c r="O36" s="1" t="n">
        <f aca="false">YEAR(B36)</f>
        <v>2022</v>
      </c>
      <c r="P36" s="1" t="n">
        <f aca="false">MONTH(B36)</f>
        <v>2</v>
      </c>
      <c r="Q36" s="1" t="str">
        <f aca="false">TEXT(B36,"mmm")</f>
        <v>Feb</v>
      </c>
      <c r="R36" s="1" t="str">
        <f aca="false">"Q"&amp;ROUNDUP(MONTH(B36)/3,0)</f>
        <v>Q1</v>
      </c>
    </row>
    <row r="37" customFormat="false" ht="15" hidden="false" customHeight="true" outlineLevel="0" collapsed="false">
      <c r="A37" s="1" t="n">
        <v>10036</v>
      </c>
      <c r="B37" s="14" t="n">
        <v>44597</v>
      </c>
      <c r="C37" s="1" t="n">
        <v>1252</v>
      </c>
      <c r="D37" s="1" t="s">
        <v>34</v>
      </c>
      <c r="E37" s="1" t="s">
        <v>35</v>
      </c>
      <c r="F37" s="1" t="n">
        <v>4</v>
      </c>
      <c r="G37" s="15" t="n">
        <v>375.27</v>
      </c>
      <c r="H37" s="16" t="n">
        <v>0.02</v>
      </c>
      <c r="I37" s="1" t="s">
        <v>33</v>
      </c>
      <c r="J37" s="1" t="n">
        <v>11</v>
      </c>
      <c r="K37" s="1" t="n">
        <v>3.9</v>
      </c>
      <c r="L37" s="15" t="n">
        <v>1471.06</v>
      </c>
      <c r="M37" s="15" t="n">
        <f aca="false">F37*G37</f>
        <v>1501.08</v>
      </c>
      <c r="N37" s="15" t="n">
        <f aca="false">M37-L37</f>
        <v>30.02</v>
      </c>
      <c r="O37" s="1" t="n">
        <f aca="false">YEAR(B37)</f>
        <v>2022</v>
      </c>
      <c r="P37" s="1" t="n">
        <f aca="false">MONTH(B37)</f>
        <v>2</v>
      </c>
      <c r="Q37" s="1" t="str">
        <f aca="false">TEXT(B37,"mmm")</f>
        <v>Feb</v>
      </c>
      <c r="R37" s="1" t="str">
        <f aca="false">"Q"&amp;ROUNDUP(MONTH(B37)/3,0)</f>
        <v>Q1</v>
      </c>
    </row>
    <row r="38" customFormat="false" ht="15" hidden="false" customHeight="true" outlineLevel="0" collapsed="false">
      <c r="A38" s="1" t="n">
        <v>10037</v>
      </c>
      <c r="B38" s="14" t="n">
        <v>44598</v>
      </c>
      <c r="C38" s="1" t="n">
        <v>1747</v>
      </c>
      <c r="D38" s="1" t="s">
        <v>30</v>
      </c>
      <c r="E38" s="1" t="s">
        <v>28</v>
      </c>
      <c r="F38" s="1" t="n">
        <v>3</v>
      </c>
      <c r="G38" s="15" t="n">
        <v>186.01</v>
      </c>
      <c r="H38" s="16" t="n">
        <v>0.13</v>
      </c>
      <c r="I38" s="1" t="s">
        <v>31</v>
      </c>
      <c r="J38" s="1" t="n">
        <v>4</v>
      </c>
      <c r="K38" s="1" t="n">
        <v>4.4</v>
      </c>
      <c r="L38" s="15" t="n">
        <v>485.49</v>
      </c>
      <c r="M38" s="15" t="n">
        <f aca="false">F38*G38</f>
        <v>558.03</v>
      </c>
      <c r="N38" s="15" t="n">
        <f aca="false">M38-L38</f>
        <v>72.54</v>
      </c>
      <c r="O38" s="1" t="n">
        <f aca="false">YEAR(B38)</f>
        <v>2022</v>
      </c>
      <c r="P38" s="1" t="n">
        <f aca="false">MONTH(B38)</f>
        <v>2</v>
      </c>
      <c r="Q38" s="1" t="str">
        <f aca="false">TEXT(B38,"mmm")</f>
        <v>Feb</v>
      </c>
      <c r="R38" s="1" t="str">
        <f aca="false">"Q"&amp;ROUNDUP(MONTH(B38)/3,0)</f>
        <v>Q1</v>
      </c>
    </row>
    <row r="39" customFormat="false" ht="15" hidden="false" customHeight="true" outlineLevel="0" collapsed="false">
      <c r="A39" s="1" t="n">
        <v>10038</v>
      </c>
      <c r="B39" s="14" t="n">
        <v>44599</v>
      </c>
      <c r="C39" s="1" t="n">
        <v>1856</v>
      </c>
      <c r="D39" s="1" t="s">
        <v>34</v>
      </c>
      <c r="E39" s="1" t="s">
        <v>36</v>
      </c>
      <c r="F39" s="1" t="n">
        <v>6</v>
      </c>
      <c r="G39" s="15" t="n">
        <v>261.14</v>
      </c>
      <c r="H39" s="16" t="n">
        <v>0.31</v>
      </c>
      <c r="I39" s="1" t="s">
        <v>31</v>
      </c>
      <c r="J39" s="1" t="n">
        <v>6</v>
      </c>
      <c r="K39" s="1" t="n">
        <v>3.5</v>
      </c>
      <c r="L39" s="15" t="n">
        <v>1081.12</v>
      </c>
      <c r="M39" s="15" t="n">
        <f aca="false">F39*G39</f>
        <v>1566.84</v>
      </c>
      <c r="N39" s="15" t="n">
        <f aca="false">M39-L39</f>
        <v>485.72</v>
      </c>
      <c r="O39" s="1" t="n">
        <f aca="false">YEAR(B39)</f>
        <v>2022</v>
      </c>
      <c r="P39" s="1" t="n">
        <f aca="false">MONTH(B39)</f>
        <v>2</v>
      </c>
      <c r="Q39" s="1" t="str">
        <f aca="false">TEXT(B39,"mmm")</f>
        <v>Feb</v>
      </c>
      <c r="R39" s="1" t="str">
        <f aca="false">"Q"&amp;ROUNDUP(MONTH(B39)/3,0)</f>
        <v>Q1</v>
      </c>
    </row>
    <row r="40" customFormat="false" ht="15" hidden="false" customHeight="true" outlineLevel="0" collapsed="false">
      <c r="A40" s="1" t="n">
        <v>10039</v>
      </c>
      <c r="B40" s="14" t="n">
        <v>44600</v>
      </c>
      <c r="C40" s="1" t="n">
        <v>1560</v>
      </c>
      <c r="D40" s="1" t="s">
        <v>34</v>
      </c>
      <c r="E40" s="1" t="s">
        <v>32</v>
      </c>
      <c r="F40" s="1" t="n">
        <v>1</v>
      </c>
      <c r="G40" s="15" t="n">
        <v>428.42</v>
      </c>
      <c r="H40" s="16" t="n">
        <v>0.26</v>
      </c>
      <c r="I40" s="1" t="s">
        <v>33</v>
      </c>
      <c r="J40" s="1" t="n">
        <v>10</v>
      </c>
      <c r="K40" s="1" t="n">
        <v>1.7</v>
      </c>
      <c r="L40" s="15" t="n">
        <v>317.03</v>
      </c>
      <c r="M40" s="15" t="n">
        <f aca="false">F40*G40</f>
        <v>428.42</v>
      </c>
      <c r="N40" s="15" t="n">
        <f aca="false">M40-L40</f>
        <v>111.39</v>
      </c>
      <c r="O40" s="1" t="n">
        <f aca="false">YEAR(B40)</f>
        <v>2022</v>
      </c>
      <c r="P40" s="1" t="n">
        <f aca="false">MONTH(B40)</f>
        <v>2</v>
      </c>
      <c r="Q40" s="1" t="str">
        <f aca="false">TEXT(B40,"mmm")</f>
        <v>Feb</v>
      </c>
      <c r="R40" s="1" t="str">
        <f aca="false">"Q"&amp;ROUNDUP(MONTH(B40)/3,0)</f>
        <v>Q1</v>
      </c>
    </row>
    <row r="41" customFormat="false" ht="15" hidden="false" customHeight="true" outlineLevel="0" collapsed="false">
      <c r="A41" s="1" t="n">
        <v>10040</v>
      </c>
      <c r="B41" s="14" t="n">
        <v>44601</v>
      </c>
      <c r="C41" s="1" t="n">
        <v>1474</v>
      </c>
      <c r="D41" s="1" t="s">
        <v>37</v>
      </c>
      <c r="E41" s="1" t="s">
        <v>36</v>
      </c>
      <c r="F41" s="1" t="n">
        <v>7</v>
      </c>
      <c r="G41" s="15" t="n">
        <v>584.36</v>
      </c>
      <c r="H41" s="16" t="n">
        <v>0.11</v>
      </c>
      <c r="I41" s="1" t="s">
        <v>31</v>
      </c>
      <c r="J41" s="1" t="n">
        <v>6</v>
      </c>
      <c r="K41" s="1" t="n">
        <v>1.3</v>
      </c>
      <c r="L41" s="15" t="n">
        <v>3640.56</v>
      </c>
      <c r="M41" s="15" t="n">
        <f aca="false">F41*G41</f>
        <v>4090.52</v>
      </c>
      <c r="N41" s="15" t="n">
        <f aca="false">M41-L41</f>
        <v>449.96</v>
      </c>
      <c r="O41" s="1" t="n">
        <f aca="false">YEAR(B41)</f>
        <v>2022</v>
      </c>
      <c r="P41" s="1" t="n">
        <f aca="false">MONTH(B41)</f>
        <v>2</v>
      </c>
      <c r="Q41" s="1" t="str">
        <f aca="false">TEXT(B41,"mmm")</f>
        <v>Feb</v>
      </c>
      <c r="R41" s="1" t="str">
        <f aca="false">"Q"&amp;ROUNDUP(MONTH(B41)/3,0)</f>
        <v>Q1</v>
      </c>
    </row>
    <row r="42" customFormat="false" ht="15" hidden="false" customHeight="true" outlineLevel="0" collapsed="false">
      <c r="A42" s="1" t="n">
        <v>10041</v>
      </c>
      <c r="B42" s="14" t="n">
        <v>44602</v>
      </c>
      <c r="C42" s="1" t="n">
        <v>1058</v>
      </c>
      <c r="D42" s="1" t="s">
        <v>34</v>
      </c>
      <c r="E42" s="1" t="s">
        <v>36</v>
      </c>
      <c r="F42" s="1" t="n">
        <v>4</v>
      </c>
      <c r="G42" s="15" t="n">
        <v>537.49</v>
      </c>
      <c r="H42" s="16" t="n">
        <v>0.33</v>
      </c>
      <c r="I42" s="1" t="s">
        <v>31</v>
      </c>
      <c r="J42" s="1" t="n">
        <v>5</v>
      </c>
      <c r="K42" s="1" t="n">
        <v>2.2</v>
      </c>
      <c r="L42" s="15" t="n">
        <v>1440.47</v>
      </c>
      <c r="M42" s="15" t="n">
        <f aca="false">F42*G42</f>
        <v>2149.96</v>
      </c>
      <c r="N42" s="15" t="n">
        <f aca="false">M42-L42</f>
        <v>709.49</v>
      </c>
      <c r="O42" s="1" t="n">
        <f aca="false">YEAR(B42)</f>
        <v>2022</v>
      </c>
      <c r="P42" s="1" t="n">
        <f aca="false">MONTH(B42)</f>
        <v>2</v>
      </c>
      <c r="Q42" s="1" t="str">
        <f aca="false">TEXT(B42,"mmm")</f>
        <v>Feb</v>
      </c>
      <c r="R42" s="1" t="str">
        <f aca="false">"Q"&amp;ROUNDUP(MONTH(B42)/3,0)</f>
        <v>Q1</v>
      </c>
    </row>
    <row r="43" customFormat="false" ht="15" hidden="false" customHeight="true" outlineLevel="0" collapsed="false">
      <c r="A43" s="1" t="n">
        <v>10042</v>
      </c>
      <c r="B43" s="14" t="n">
        <v>44603</v>
      </c>
      <c r="C43" s="1" t="n">
        <v>1510</v>
      </c>
      <c r="D43" s="1" t="s">
        <v>37</v>
      </c>
      <c r="E43" s="1" t="s">
        <v>35</v>
      </c>
      <c r="F43" s="1" t="n">
        <v>4</v>
      </c>
      <c r="G43" s="15" t="n">
        <v>215.32</v>
      </c>
      <c r="H43" s="16" t="n">
        <v>0.03</v>
      </c>
      <c r="I43" s="1" t="s">
        <v>31</v>
      </c>
      <c r="J43" s="1" t="n">
        <v>2</v>
      </c>
      <c r="K43" s="1" t="n">
        <v>1.1</v>
      </c>
      <c r="L43" s="15" t="n">
        <v>835.44</v>
      </c>
      <c r="M43" s="15" t="n">
        <f aca="false">F43*G43</f>
        <v>861.28</v>
      </c>
      <c r="N43" s="15" t="n">
        <f aca="false">M43-L43</f>
        <v>25.8399999999999</v>
      </c>
      <c r="O43" s="1" t="n">
        <f aca="false">YEAR(B43)</f>
        <v>2022</v>
      </c>
      <c r="P43" s="1" t="n">
        <f aca="false">MONTH(B43)</f>
        <v>2</v>
      </c>
      <c r="Q43" s="1" t="str">
        <f aca="false">TEXT(B43,"mmm")</f>
        <v>Feb</v>
      </c>
      <c r="R43" s="1" t="str">
        <f aca="false">"Q"&amp;ROUNDUP(MONTH(B43)/3,0)</f>
        <v>Q1</v>
      </c>
    </row>
    <row r="44" customFormat="false" ht="15" hidden="false" customHeight="true" outlineLevel="0" collapsed="false">
      <c r="A44" s="1" t="n">
        <v>10043</v>
      </c>
      <c r="B44" s="14" t="n">
        <v>44604</v>
      </c>
      <c r="C44" s="1" t="n">
        <v>1681</v>
      </c>
      <c r="D44" s="1" t="s">
        <v>34</v>
      </c>
      <c r="E44" s="1" t="s">
        <v>28</v>
      </c>
      <c r="F44" s="1" t="n">
        <v>4</v>
      </c>
      <c r="G44" s="15" t="n">
        <v>598.95</v>
      </c>
      <c r="H44" s="16" t="n">
        <v>0.34</v>
      </c>
      <c r="I44" s="1" t="s">
        <v>31</v>
      </c>
      <c r="J44" s="1" t="n">
        <v>7</v>
      </c>
      <c r="K44" s="1" t="n">
        <v>4.4</v>
      </c>
      <c r="L44" s="15" t="n">
        <v>1581.23</v>
      </c>
      <c r="M44" s="15" t="n">
        <f aca="false">F44*G44</f>
        <v>2395.8</v>
      </c>
      <c r="N44" s="15" t="n">
        <f aca="false">M44-L44</f>
        <v>814.57</v>
      </c>
      <c r="O44" s="1" t="n">
        <f aca="false">YEAR(B44)</f>
        <v>2022</v>
      </c>
      <c r="P44" s="1" t="n">
        <f aca="false">MONTH(B44)</f>
        <v>2</v>
      </c>
      <c r="Q44" s="1" t="str">
        <f aca="false">TEXT(B44,"mmm")</f>
        <v>Feb</v>
      </c>
      <c r="R44" s="1" t="str">
        <f aca="false">"Q"&amp;ROUNDUP(MONTH(B44)/3,0)</f>
        <v>Q1</v>
      </c>
    </row>
    <row r="45" customFormat="false" ht="15" hidden="false" customHeight="true" outlineLevel="0" collapsed="false">
      <c r="A45" s="1" t="n">
        <v>10044</v>
      </c>
      <c r="B45" s="14" t="n">
        <v>44605</v>
      </c>
      <c r="C45" s="1" t="n">
        <v>1475</v>
      </c>
      <c r="D45" s="1" t="s">
        <v>34</v>
      </c>
      <c r="E45" s="1" t="s">
        <v>36</v>
      </c>
      <c r="F45" s="1" t="n">
        <v>1</v>
      </c>
      <c r="G45" s="15" t="n">
        <v>17.05</v>
      </c>
      <c r="H45" s="16" t="n">
        <v>0.09</v>
      </c>
      <c r="I45" s="1" t="s">
        <v>31</v>
      </c>
      <c r="J45" s="1" t="n">
        <v>1</v>
      </c>
      <c r="K45" s="1" t="n">
        <v>3.8</v>
      </c>
      <c r="L45" s="15" t="n">
        <v>15.52</v>
      </c>
      <c r="M45" s="15" t="n">
        <f aca="false">F45*G45</f>
        <v>17.05</v>
      </c>
      <c r="N45" s="15" t="n">
        <f aca="false">M45-L45</f>
        <v>1.53</v>
      </c>
      <c r="O45" s="1" t="n">
        <f aca="false">YEAR(B45)</f>
        <v>2022</v>
      </c>
      <c r="P45" s="1" t="n">
        <f aca="false">MONTH(B45)</f>
        <v>2</v>
      </c>
      <c r="Q45" s="1" t="str">
        <f aca="false">TEXT(B45,"mmm")</f>
        <v>Feb</v>
      </c>
      <c r="R45" s="1" t="str">
        <f aca="false">"Q"&amp;ROUNDUP(MONTH(B45)/3,0)</f>
        <v>Q1</v>
      </c>
    </row>
    <row r="46" customFormat="false" ht="15" hidden="false" customHeight="true" outlineLevel="0" collapsed="false">
      <c r="A46" s="1" t="n">
        <v>10045</v>
      </c>
      <c r="B46" s="14" t="n">
        <v>44606</v>
      </c>
      <c r="C46" s="1" t="n">
        <v>1699</v>
      </c>
      <c r="D46" s="1" t="s">
        <v>37</v>
      </c>
      <c r="E46" s="1" t="s">
        <v>32</v>
      </c>
      <c r="F46" s="1" t="n">
        <v>3</v>
      </c>
      <c r="G46" s="15" t="n">
        <v>31.16</v>
      </c>
      <c r="H46" s="16" t="n">
        <v>0</v>
      </c>
      <c r="I46" s="1" t="s">
        <v>29</v>
      </c>
      <c r="J46" s="1" t="n">
        <v>6</v>
      </c>
      <c r="K46" s="1" t="n">
        <v>3.3</v>
      </c>
      <c r="L46" s="15" t="n">
        <v>93.48</v>
      </c>
      <c r="M46" s="15" t="n">
        <f aca="false">F46*G46</f>
        <v>93.48</v>
      </c>
      <c r="N46" s="15" t="n">
        <f aca="false">M46-L46</f>
        <v>0</v>
      </c>
      <c r="O46" s="1" t="n">
        <f aca="false">YEAR(B46)</f>
        <v>2022</v>
      </c>
      <c r="P46" s="1" t="n">
        <f aca="false">MONTH(B46)</f>
        <v>2</v>
      </c>
      <c r="Q46" s="1" t="str">
        <f aca="false">TEXT(B46,"mmm")</f>
        <v>Feb</v>
      </c>
      <c r="R46" s="1" t="str">
        <f aca="false">"Q"&amp;ROUNDUP(MONTH(B46)/3,0)</f>
        <v>Q1</v>
      </c>
    </row>
    <row r="47" customFormat="false" ht="15" hidden="false" customHeight="true" outlineLevel="0" collapsed="false">
      <c r="A47" s="1" t="n">
        <v>10046</v>
      </c>
      <c r="B47" s="14" t="n">
        <v>44607</v>
      </c>
      <c r="C47" s="1" t="n">
        <v>1975</v>
      </c>
      <c r="D47" s="1" t="s">
        <v>34</v>
      </c>
      <c r="E47" s="1" t="s">
        <v>36</v>
      </c>
      <c r="F47" s="1" t="n">
        <v>6</v>
      </c>
      <c r="G47" s="15" t="n">
        <v>496.95</v>
      </c>
      <c r="H47" s="16" t="n">
        <v>0.15</v>
      </c>
      <c r="I47" s="1" t="s">
        <v>33</v>
      </c>
      <c r="J47" s="1" t="n">
        <v>5</v>
      </c>
      <c r="K47" s="1" t="n">
        <v>4.6</v>
      </c>
      <c r="L47" s="15" t="n">
        <v>2534.44</v>
      </c>
      <c r="M47" s="15" t="n">
        <f aca="false">F47*G47</f>
        <v>2981.7</v>
      </c>
      <c r="N47" s="15" t="n">
        <f aca="false">M47-L47</f>
        <v>447.26</v>
      </c>
      <c r="O47" s="1" t="n">
        <f aca="false">YEAR(B47)</f>
        <v>2022</v>
      </c>
      <c r="P47" s="1" t="n">
        <f aca="false">MONTH(B47)</f>
        <v>2</v>
      </c>
      <c r="Q47" s="1" t="str">
        <f aca="false">TEXT(B47,"mmm")</f>
        <v>Feb</v>
      </c>
      <c r="R47" s="1" t="str">
        <f aca="false">"Q"&amp;ROUNDUP(MONTH(B47)/3,0)</f>
        <v>Q1</v>
      </c>
    </row>
    <row r="48" customFormat="false" ht="15" hidden="false" customHeight="true" outlineLevel="0" collapsed="false">
      <c r="A48" s="1" t="n">
        <v>10047</v>
      </c>
      <c r="B48" s="14" t="n">
        <v>44608</v>
      </c>
      <c r="C48" s="1" t="n">
        <v>1782</v>
      </c>
      <c r="D48" s="1" t="s">
        <v>34</v>
      </c>
      <c r="E48" s="1" t="s">
        <v>32</v>
      </c>
      <c r="F48" s="1" t="n">
        <v>4</v>
      </c>
      <c r="G48" s="15" t="n">
        <v>131.69</v>
      </c>
      <c r="H48" s="16" t="n">
        <v>0.13</v>
      </c>
      <c r="I48" s="1" t="s">
        <v>33</v>
      </c>
      <c r="J48" s="1" t="n">
        <v>5</v>
      </c>
      <c r="K48" s="1" t="n">
        <v>1.4</v>
      </c>
      <c r="L48" s="15" t="n">
        <v>458.28</v>
      </c>
      <c r="M48" s="15" t="n">
        <f aca="false">F48*G48</f>
        <v>526.76</v>
      </c>
      <c r="N48" s="15" t="n">
        <f aca="false">M48-L48</f>
        <v>68.48</v>
      </c>
      <c r="O48" s="1" t="n">
        <f aca="false">YEAR(B48)</f>
        <v>2022</v>
      </c>
      <c r="P48" s="1" t="n">
        <f aca="false">MONTH(B48)</f>
        <v>2</v>
      </c>
      <c r="Q48" s="1" t="str">
        <f aca="false">TEXT(B48,"mmm")</f>
        <v>Feb</v>
      </c>
      <c r="R48" s="1" t="str">
        <f aca="false">"Q"&amp;ROUNDUP(MONTH(B48)/3,0)</f>
        <v>Q1</v>
      </c>
    </row>
    <row r="49" customFormat="false" ht="15" hidden="false" customHeight="true" outlineLevel="0" collapsed="false">
      <c r="A49" s="1" t="n">
        <v>10048</v>
      </c>
      <c r="B49" s="14" t="n">
        <v>44609</v>
      </c>
      <c r="C49" s="1" t="n">
        <v>1189</v>
      </c>
      <c r="D49" s="1" t="s">
        <v>30</v>
      </c>
      <c r="E49" s="1" t="s">
        <v>35</v>
      </c>
      <c r="F49" s="1" t="n">
        <v>1</v>
      </c>
      <c r="G49" s="15" t="n">
        <v>50.55</v>
      </c>
      <c r="H49" s="16" t="n">
        <v>0.19</v>
      </c>
      <c r="I49" s="1" t="s">
        <v>31</v>
      </c>
      <c r="J49" s="1" t="n">
        <v>8</v>
      </c>
      <c r="K49" s="1" t="n">
        <v>3.9</v>
      </c>
      <c r="L49" s="15" t="n">
        <v>40.95</v>
      </c>
      <c r="M49" s="15" t="n">
        <f aca="false">F49*G49</f>
        <v>50.55</v>
      </c>
      <c r="N49" s="15" t="n">
        <f aca="false">M49-L49</f>
        <v>9.59999999999999</v>
      </c>
      <c r="O49" s="1" t="n">
        <f aca="false">YEAR(B49)</f>
        <v>2022</v>
      </c>
      <c r="P49" s="1" t="n">
        <f aca="false">MONTH(B49)</f>
        <v>2</v>
      </c>
      <c r="Q49" s="1" t="str">
        <f aca="false">TEXT(B49,"mmm")</f>
        <v>Feb</v>
      </c>
      <c r="R49" s="1" t="str">
        <f aca="false">"Q"&amp;ROUNDUP(MONTH(B49)/3,0)</f>
        <v>Q1</v>
      </c>
    </row>
    <row r="50" customFormat="false" ht="15" hidden="false" customHeight="true" outlineLevel="0" collapsed="false">
      <c r="A50" s="1" t="n">
        <v>10049</v>
      </c>
      <c r="B50" s="14" t="n">
        <v>44610</v>
      </c>
      <c r="C50" s="1" t="n">
        <v>1957</v>
      </c>
      <c r="D50" s="1" t="s">
        <v>34</v>
      </c>
      <c r="E50" s="1" t="s">
        <v>28</v>
      </c>
      <c r="F50" s="1" t="n">
        <v>7</v>
      </c>
      <c r="G50" s="15" t="n">
        <v>153.73</v>
      </c>
      <c r="H50" s="16" t="n">
        <v>0.28</v>
      </c>
      <c r="I50" s="1" t="s">
        <v>31</v>
      </c>
      <c r="J50" s="1" t="n">
        <v>9</v>
      </c>
      <c r="K50" s="1" t="n">
        <v>1.6</v>
      </c>
      <c r="L50" s="15" t="n">
        <v>774.8</v>
      </c>
      <c r="M50" s="15" t="n">
        <f aca="false">F50*G50</f>
        <v>1076.11</v>
      </c>
      <c r="N50" s="15" t="n">
        <f aca="false">M50-L50</f>
        <v>301.31</v>
      </c>
      <c r="O50" s="1" t="n">
        <f aca="false">YEAR(B50)</f>
        <v>2022</v>
      </c>
      <c r="P50" s="1" t="n">
        <f aca="false">MONTH(B50)</f>
        <v>2</v>
      </c>
      <c r="Q50" s="1" t="str">
        <f aca="false">TEXT(B50,"mmm")</f>
        <v>Feb</v>
      </c>
      <c r="R50" s="1" t="str">
        <f aca="false">"Q"&amp;ROUNDUP(MONTH(B50)/3,0)</f>
        <v>Q1</v>
      </c>
    </row>
    <row r="51" customFormat="false" ht="15" hidden="false" customHeight="true" outlineLevel="0" collapsed="false">
      <c r="A51" s="1" t="n">
        <v>10050</v>
      </c>
      <c r="B51" s="14" t="n">
        <v>44611</v>
      </c>
      <c r="C51" s="1" t="n">
        <v>1686</v>
      </c>
      <c r="D51" s="1" t="s">
        <v>37</v>
      </c>
      <c r="E51" s="1" t="s">
        <v>36</v>
      </c>
      <c r="F51" s="1" t="n">
        <v>2</v>
      </c>
      <c r="G51" s="15" t="n">
        <v>264.27</v>
      </c>
      <c r="H51" s="16" t="n">
        <v>0.29</v>
      </c>
      <c r="I51" s="1" t="s">
        <v>29</v>
      </c>
      <c r="J51" s="1" t="n">
        <v>7</v>
      </c>
      <c r="K51" s="1" t="n">
        <v>1.2</v>
      </c>
      <c r="L51" s="15" t="n">
        <v>375.26</v>
      </c>
      <c r="M51" s="15" t="n">
        <f aca="false">F51*G51</f>
        <v>528.54</v>
      </c>
      <c r="N51" s="15" t="n">
        <f aca="false">M51-L51</f>
        <v>153.28</v>
      </c>
      <c r="O51" s="1" t="n">
        <f aca="false">YEAR(B51)</f>
        <v>2022</v>
      </c>
      <c r="P51" s="1" t="n">
        <f aca="false">MONTH(B51)</f>
        <v>2</v>
      </c>
      <c r="Q51" s="1" t="str">
        <f aca="false">TEXT(B51,"mmm")</f>
        <v>Feb</v>
      </c>
      <c r="R51" s="1" t="str">
        <f aca="false">"Q"&amp;ROUNDUP(MONTH(B51)/3,0)</f>
        <v>Q1</v>
      </c>
    </row>
    <row r="52" customFormat="false" ht="15" hidden="false" customHeight="true" outlineLevel="0" collapsed="false">
      <c r="A52" s="1" t="n">
        <v>10051</v>
      </c>
      <c r="B52" s="14" t="n">
        <v>44612</v>
      </c>
      <c r="C52" s="1" t="n">
        <v>1957</v>
      </c>
      <c r="D52" s="1" t="s">
        <v>34</v>
      </c>
      <c r="E52" s="1" t="s">
        <v>28</v>
      </c>
      <c r="F52" s="1" t="n">
        <v>7</v>
      </c>
      <c r="G52" s="15" t="n">
        <v>442.38</v>
      </c>
      <c r="H52" s="16" t="n">
        <v>0.14</v>
      </c>
      <c r="I52" s="1" t="s">
        <v>33</v>
      </c>
      <c r="J52" s="1" t="n">
        <v>10</v>
      </c>
      <c r="K52" s="1" t="n">
        <v>1.5</v>
      </c>
      <c r="L52" s="15" t="n">
        <v>2663.13</v>
      </c>
      <c r="M52" s="15" t="n">
        <f aca="false">F52*G52</f>
        <v>3096.66</v>
      </c>
      <c r="N52" s="15" t="n">
        <f aca="false">M52-L52</f>
        <v>433.53</v>
      </c>
      <c r="O52" s="1" t="n">
        <f aca="false">YEAR(B52)</f>
        <v>2022</v>
      </c>
      <c r="P52" s="1" t="n">
        <f aca="false">MONTH(B52)</f>
        <v>2</v>
      </c>
      <c r="Q52" s="1" t="str">
        <f aca="false">TEXT(B52,"mmm")</f>
        <v>Feb</v>
      </c>
      <c r="R52" s="1" t="str">
        <f aca="false">"Q"&amp;ROUNDUP(MONTH(B52)/3,0)</f>
        <v>Q1</v>
      </c>
    </row>
    <row r="53" customFormat="false" ht="15" hidden="false" customHeight="true" outlineLevel="0" collapsed="false">
      <c r="A53" s="1" t="n">
        <v>10052</v>
      </c>
      <c r="B53" s="14" t="n">
        <v>44613</v>
      </c>
      <c r="C53" s="1" t="n">
        <v>1562</v>
      </c>
      <c r="D53" s="1" t="s">
        <v>37</v>
      </c>
      <c r="E53" s="1" t="s">
        <v>36</v>
      </c>
      <c r="F53" s="1" t="n">
        <v>1</v>
      </c>
      <c r="G53" s="15" t="n">
        <v>380.24</v>
      </c>
      <c r="H53" s="16" t="n">
        <v>0.15</v>
      </c>
      <c r="I53" s="1" t="s">
        <v>31</v>
      </c>
      <c r="J53" s="1" t="n">
        <v>8</v>
      </c>
      <c r="K53" s="1" t="n">
        <v>4.8</v>
      </c>
      <c r="L53" s="15" t="n">
        <v>323.2</v>
      </c>
      <c r="M53" s="15" t="n">
        <f aca="false">F53*G53</f>
        <v>380.24</v>
      </c>
      <c r="N53" s="15" t="n">
        <f aca="false">M53-L53</f>
        <v>57.04</v>
      </c>
      <c r="O53" s="1" t="n">
        <f aca="false">YEAR(B53)</f>
        <v>2022</v>
      </c>
      <c r="P53" s="1" t="n">
        <f aca="false">MONTH(B53)</f>
        <v>2</v>
      </c>
      <c r="Q53" s="1" t="str">
        <f aca="false">TEXT(B53,"mmm")</f>
        <v>Feb</v>
      </c>
      <c r="R53" s="1" t="str">
        <f aca="false">"Q"&amp;ROUNDUP(MONTH(B53)/3,0)</f>
        <v>Q1</v>
      </c>
    </row>
    <row r="54" customFormat="false" ht="15" hidden="false" customHeight="true" outlineLevel="0" collapsed="false">
      <c r="A54" s="1" t="n">
        <v>10053</v>
      </c>
      <c r="B54" s="14" t="n">
        <v>44614</v>
      </c>
      <c r="C54" s="1" t="n">
        <v>1875</v>
      </c>
      <c r="D54" s="1" t="s">
        <v>27</v>
      </c>
      <c r="E54" s="1" t="s">
        <v>32</v>
      </c>
      <c r="F54" s="1" t="n">
        <v>1</v>
      </c>
      <c r="G54" s="15" t="n">
        <v>154.01</v>
      </c>
      <c r="H54" s="16" t="n">
        <v>0.05</v>
      </c>
      <c r="I54" s="1" t="s">
        <v>31</v>
      </c>
      <c r="J54" s="1" t="n">
        <v>2</v>
      </c>
      <c r="K54" s="1" t="n">
        <v>2.8</v>
      </c>
      <c r="L54" s="15" t="n">
        <v>146.31</v>
      </c>
      <c r="M54" s="15" t="n">
        <f aca="false">F54*G54</f>
        <v>154.01</v>
      </c>
      <c r="N54" s="15" t="n">
        <f aca="false">M54-L54</f>
        <v>7.69999999999999</v>
      </c>
      <c r="O54" s="1" t="n">
        <f aca="false">YEAR(B54)</f>
        <v>2022</v>
      </c>
      <c r="P54" s="1" t="n">
        <f aca="false">MONTH(B54)</f>
        <v>2</v>
      </c>
      <c r="Q54" s="1" t="str">
        <f aca="false">TEXT(B54,"mmm")</f>
        <v>Feb</v>
      </c>
      <c r="R54" s="1" t="str">
        <f aca="false">"Q"&amp;ROUNDUP(MONTH(B54)/3,0)</f>
        <v>Q1</v>
      </c>
    </row>
    <row r="55" customFormat="false" ht="15" hidden="false" customHeight="true" outlineLevel="0" collapsed="false">
      <c r="A55" s="1" t="n">
        <v>10054</v>
      </c>
      <c r="B55" s="14" t="n">
        <v>44615</v>
      </c>
      <c r="C55" s="1" t="n">
        <v>1566</v>
      </c>
      <c r="D55" s="1" t="s">
        <v>30</v>
      </c>
      <c r="E55" s="1" t="s">
        <v>28</v>
      </c>
      <c r="F55" s="1" t="n">
        <v>1</v>
      </c>
      <c r="G55" s="15" t="n">
        <v>309.41</v>
      </c>
      <c r="H55" s="16" t="n">
        <v>0.02</v>
      </c>
      <c r="I55" s="1" t="s">
        <v>33</v>
      </c>
      <c r="J55" s="1" t="n">
        <v>2</v>
      </c>
      <c r="K55" s="1" t="n">
        <v>1.2</v>
      </c>
      <c r="L55" s="15" t="n">
        <v>303.22</v>
      </c>
      <c r="M55" s="15" t="n">
        <f aca="false">F55*G55</f>
        <v>309.41</v>
      </c>
      <c r="N55" s="15" t="n">
        <f aca="false">M55-L55</f>
        <v>6.19</v>
      </c>
      <c r="O55" s="1" t="n">
        <f aca="false">YEAR(B55)</f>
        <v>2022</v>
      </c>
      <c r="P55" s="1" t="n">
        <f aca="false">MONTH(B55)</f>
        <v>2</v>
      </c>
      <c r="Q55" s="1" t="str">
        <f aca="false">TEXT(B55,"mmm")</f>
        <v>Feb</v>
      </c>
      <c r="R55" s="1" t="str">
        <f aca="false">"Q"&amp;ROUNDUP(MONTH(B55)/3,0)</f>
        <v>Q1</v>
      </c>
    </row>
    <row r="56" customFormat="false" ht="15" hidden="false" customHeight="true" outlineLevel="0" collapsed="false">
      <c r="A56" s="1" t="n">
        <v>10055</v>
      </c>
      <c r="B56" s="14" t="n">
        <v>44616</v>
      </c>
      <c r="C56" s="1" t="n">
        <v>1243</v>
      </c>
      <c r="D56" s="1" t="s">
        <v>27</v>
      </c>
      <c r="E56" s="1" t="s">
        <v>36</v>
      </c>
      <c r="F56" s="1" t="n">
        <v>4</v>
      </c>
      <c r="G56" s="15" t="n">
        <v>556.84</v>
      </c>
      <c r="H56" s="16" t="n">
        <v>0.22</v>
      </c>
      <c r="I56" s="1" t="s">
        <v>29</v>
      </c>
      <c r="J56" s="1" t="n">
        <v>8</v>
      </c>
      <c r="K56" s="1" t="n">
        <v>3.3</v>
      </c>
      <c r="L56" s="15" t="n">
        <v>1737.34</v>
      </c>
      <c r="M56" s="15" t="n">
        <f aca="false">F56*G56</f>
        <v>2227.36</v>
      </c>
      <c r="N56" s="15" t="n">
        <f aca="false">M56-L56</f>
        <v>490.02</v>
      </c>
      <c r="O56" s="1" t="n">
        <f aca="false">YEAR(B56)</f>
        <v>2022</v>
      </c>
      <c r="P56" s="1" t="n">
        <f aca="false">MONTH(B56)</f>
        <v>2</v>
      </c>
      <c r="Q56" s="1" t="str">
        <f aca="false">TEXT(B56,"mmm")</f>
        <v>Feb</v>
      </c>
      <c r="R56" s="1" t="str">
        <f aca="false">"Q"&amp;ROUNDUP(MONTH(B56)/3,0)</f>
        <v>Q1</v>
      </c>
    </row>
    <row r="57" customFormat="false" ht="15" hidden="false" customHeight="true" outlineLevel="0" collapsed="false">
      <c r="A57" s="1" t="n">
        <v>10056</v>
      </c>
      <c r="B57" s="14" t="n">
        <v>44617</v>
      </c>
      <c r="C57" s="1" t="n">
        <v>1831</v>
      </c>
      <c r="D57" s="1" t="s">
        <v>30</v>
      </c>
      <c r="E57" s="1" t="s">
        <v>35</v>
      </c>
      <c r="F57" s="1" t="n">
        <v>1</v>
      </c>
      <c r="G57" s="15" t="n">
        <v>491.78</v>
      </c>
      <c r="H57" s="16" t="n">
        <v>0.02</v>
      </c>
      <c r="I57" s="1" t="s">
        <v>31</v>
      </c>
      <c r="J57" s="1" t="n">
        <v>6</v>
      </c>
      <c r="K57" s="1" t="n">
        <v>1.8</v>
      </c>
      <c r="L57" s="15" t="n">
        <v>481.94</v>
      </c>
      <c r="M57" s="15" t="n">
        <f aca="false">F57*G57</f>
        <v>491.78</v>
      </c>
      <c r="N57" s="15" t="n">
        <f aca="false">M57-L57</f>
        <v>9.83999999999998</v>
      </c>
      <c r="O57" s="1" t="n">
        <f aca="false">YEAR(B57)</f>
        <v>2022</v>
      </c>
      <c r="P57" s="1" t="n">
        <f aca="false">MONTH(B57)</f>
        <v>2</v>
      </c>
      <c r="Q57" s="1" t="str">
        <f aca="false">TEXT(B57,"mmm")</f>
        <v>Feb</v>
      </c>
      <c r="R57" s="1" t="str">
        <f aca="false">"Q"&amp;ROUNDUP(MONTH(B57)/3,0)</f>
        <v>Q1</v>
      </c>
    </row>
    <row r="58" customFormat="false" ht="15" hidden="false" customHeight="true" outlineLevel="0" collapsed="false">
      <c r="A58" s="1" t="n">
        <v>10057</v>
      </c>
      <c r="B58" s="14" t="n">
        <v>44618</v>
      </c>
      <c r="C58" s="1" t="n">
        <v>1504</v>
      </c>
      <c r="D58" s="1" t="s">
        <v>27</v>
      </c>
      <c r="E58" s="1" t="s">
        <v>32</v>
      </c>
      <c r="F58" s="1" t="n">
        <v>2</v>
      </c>
      <c r="G58" s="15" t="n">
        <v>204.07</v>
      </c>
      <c r="H58" s="16" t="n">
        <v>0.26</v>
      </c>
      <c r="I58" s="1" t="s">
        <v>33</v>
      </c>
      <c r="J58" s="1" t="n">
        <v>8</v>
      </c>
      <c r="K58" s="1" t="n">
        <v>1</v>
      </c>
      <c r="L58" s="15" t="n">
        <v>302.02</v>
      </c>
      <c r="M58" s="15" t="n">
        <f aca="false">F58*G58</f>
        <v>408.14</v>
      </c>
      <c r="N58" s="15" t="n">
        <f aca="false">M58-L58</f>
        <v>106.12</v>
      </c>
      <c r="O58" s="1" t="n">
        <f aca="false">YEAR(B58)</f>
        <v>2022</v>
      </c>
      <c r="P58" s="1" t="n">
        <f aca="false">MONTH(B58)</f>
        <v>2</v>
      </c>
      <c r="Q58" s="1" t="str">
        <f aca="false">TEXT(B58,"mmm")</f>
        <v>Feb</v>
      </c>
      <c r="R58" s="1" t="str">
        <f aca="false">"Q"&amp;ROUNDUP(MONTH(B58)/3,0)</f>
        <v>Q1</v>
      </c>
    </row>
    <row r="59" customFormat="false" ht="15" hidden="false" customHeight="true" outlineLevel="0" collapsed="false">
      <c r="A59" s="1" t="n">
        <v>10058</v>
      </c>
      <c r="B59" s="14" t="n">
        <v>44619</v>
      </c>
      <c r="C59" s="1" t="n">
        <v>1130</v>
      </c>
      <c r="D59" s="1" t="s">
        <v>34</v>
      </c>
      <c r="E59" s="1" t="s">
        <v>28</v>
      </c>
      <c r="F59" s="1" t="n">
        <v>4</v>
      </c>
      <c r="G59" s="15" t="n">
        <v>589.62</v>
      </c>
      <c r="H59" s="16" t="n">
        <v>0.19</v>
      </c>
      <c r="I59" s="1" t="s">
        <v>33</v>
      </c>
      <c r="J59" s="1" t="n">
        <v>9</v>
      </c>
      <c r="K59" s="1" t="n">
        <v>4</v>
      </c>
      <c r="L59" s="15" t="n">
        <v>1910.37</v>
      </c>
      <c r="M59" s="15" t="n">
        <f aca="false">F59*G59</f>
        <v>2358.48</v>
      </c>
      <c r="N59" s="15" t="n">
        <f aca="false">M59-L59</f>
        <v>448.11</v>
      </c>
      <c r="O59" s="1" t="n">
        <f aca="false">YEAR(B59)</f>
        <v>2022</v>
      </c>
      <c r="P59" s="1" t="n">
        <f aca="false">MONTH(B59)</f>
        <v>2</v>
      </c>
      <c r="Q59" s="1" t="str">
        <f aca="false">TEXT(B59,"mmm")</f>
        <v>Feb</v>
      </c>
      <c r="R59" s="1" t="str">
        <f aca="false">"Q"&amp;ROUNDUP(MONTH(B59)/3,0)</f>
        <v>Q1</v>
      </c>
    </row>
    <row r="60" customFormat="false" ht="15" hidden="false" customHeight="true" outlineLevel="0" collapsed="false">
      <c r="A60" s="1" t="n">
        <v>10059</v>
      </c>
      <c r="B60" s="14" t="n">
        <v>44620</v>
      </c>
      <c r="C60" s="1" t="n">
        <v>1484</v>
      </c>
      <c r="D60" s="1" t="s">
        <v>37</v>
      </c>
      <c r="E60" s="1" t="s">
        <v>36</v>
      </c>
      <c r="F60" s="1" t="n">
        <v>7</v>
      </c>
      <c r="G60" s="15" t="n">
        <v>429.54</v>
      </c>
      <c r="H60" s="16" t="n">
        <v>0.07</v>
      </c>
      <c r="I60" s="1" t="s">
        <v>29</v>
      </c>
      <c r="J60" s="1" t="n">
        <v>9</v>
      </c>
      <c r="K60" s="1" t="n">
        <v>1.6</v>
      </c>
      <c r="L60" s="15" t="n">
        <v>2796.31</v>
      </c>
      <c r="M60" s="15" t="n">
        <f aca="false">F60*G60</f>
        <v>3006.78</v>
      </c>
      <c r="N60" s="15" t="n">
        <f aca="false">M60-L60</f>
        <v>210.47</v>
      </c>
      <c r="O60" s="1" t="n">
        <f aca="false">YEAR(B60)</f>
        <v>2022</v>
      </c>
      <c r="P60" s="1" t="n">
        <f aca="false">MONTH(B60)</f>
        <v>2</v>
      </c>
      <c r="Q60" s="1" t="str">
        <f aca="false">TEXT(B60,"mmm")</f>
        <v>Feb</v>
      </c>
      <c r="R60" s="1" t="str">
        <f aca="false">"Q"&amp;ROUNDUP(MONTH(B60)/3,0)</f>
        <v>Q1</v>
      </c>
    </row>
    <row r="61" customFormat="false" ht="15" hidden="false" customHeight="true" outlineLevel="0" collapsed="false">
      <c r="A61" s="1" t="n">
        <v>10060</v>
      </c>
      <c r="B61" s="14" t="n">
        <v>44621</v>
      </c>
      <c r="C61" s="1" t="n">
        <v>1818</v>
      </c>
      <c r="D61" s="1" t="s">
        <v>30</v>
      </c>
      <c r="E61" s="1" t="s">
        <v>28</v>
      </c>
      <c r="F61" s="1" t="n">
        <v>2</v>
      </c>
      <c r="G61" s="15" t="n">
        <v>51.53</v>
      </c>
      <c r="H61" s="16" t="n">
        <v>0.19</v>
      </c>
      <c r="I61" s="1" t="s">
        <v>29</v>
      </c>
      <c r="J61" s="1" t="n">
        <v>11</v>
      </c>
      <c r="K61" s="1" t="n">
        <v>4.8</v>
      </c>
      <c r="L61" s="15" t="n">
        <v>83.48</v>
      </c>
      <c r="M61" s="15" t="n">
        <f aca="false">F61*G61</f>
        <v>103.06</v>
      </c>
      <c r="N61" s="15" t="n">
        <f aca="false">M61-L61</f>
        <v>19.58</v>
      </c>
      <c r="O61" s="1" t="n">
        <f aca="false">YEAR(B61)</f>
        <v>2022</v>
      </c>
      <c r="P61" s="1" t="n">
        <f aca="false">MONTH(B61)</f>
        <v>3</v>
      </c>
      <c r="Q61" s="1" t="str">
        <f aca="false">TEXT(B61,"mmm")</f>
        <v>Mar</v>
      </c>
      <c r="R61" s="1" t="str">
        <f aca="false">"Q"&amp;ROUNDUP(MONTH(B61)/3,0)</f>
        <v>Q1</v>
      </c>
    </row>
    <row r="62" customFormat="false" ht="15" hidden="false" customHeight="true" outlineLevel="0" collapsed="false">
      <c r="A62" s="1" t="n">
        <v>10061</v>
      </c>
      <c r="B62" s="14" t="n">
        <v>44622</v>
      </c>
      <c r="C62" s="1" t="n">
        <v>1646</v>
      </c>
      <c r="D62" s="1" t="s">
        <v>30</v>
      </c>
      <c r="E62" s="1" t="s">
        <v>36</v>
      </c>
      <c r="F62" s="1" t="n">
        <v>5</v>
      </c>
      <c r="G62" s="15" t="n">
        <v>35.57</v>
      </c>
      <c r="H62" s="16" t="n">
        <v>0.06</v>
      </c>
      <c r="I62" s="1" t="s">
        <v>31</v>
      </c>
      <c r="J62" s="1" t="n">
        <v>6</v>
      </c>
      <c r="K62" s="1" t="n">
        <v>3.4</v>
      </c>
      <c r="L62" s="15" t="n">
        <v>167.18</v>
      </c>
      <c r="M62" s="15" t="n">
        <f aca="false">F62*G62</f>
        <v>177.85</v>
      </c>
      <c r="N62" s="15" t="n">
        <f aca="false">M62-L62</f>
        <v>10.67</v>
      </c>
      <c r="O62" s="1" t="n">
        <f aca="false">YEAR(B62)</f>
        <v>2022</v>
      </c>
      <c r="P62" s="1" t="n">
        <f aca="false">MONTH(B62)</f>
        <v>3</v>
      </c>
      <c r="Q62" s="1" t="str">
        <f aca="false">TEXT(B62,"mmm")</f>
        <v>Mar</v>
      </c>
      <c r="R62" s="1" t="str">
        <f aca="false">"Q"&amp;ROUNDUP(MONTH(B62)/3,0)</f>
        <v>Q1</v>
      </c>
    </row>
    <row r="63" customFormat="false" ht="15" hidden="false" customHeight="true" outlineLevel="0" collapsed="false">
      <c r="A63" s="1" t="n">
        <v>10062</v>
      </c>
      <c r="B63" s="14" t="n">
        <v>44623</v>
      </c>
      <c r="C63" s="1" t="n">
        <v>1020</v>
      </c>
      <c r="D63" s="1" t="s">
        <v>30</v>
      </c>
      <c r="E63" s="1" t="s">
        <v>32</v>
      </c>
      <c r="F63" s="1" t="n">
        <v>7</v>
      </c>
      <c r="G63" s="15" t="n">
        <v>113.52</v>
      </c>
      <c r="H63" s="16" t="n">
        <v>0.15</v>
      </c>
      <c r="I63" s="1" t="s">
        <v>33</v>
      </c>
      <c r="J63" s="1" t="n">
        <v>8</v>
      </c>
      <c r="K63" s="1" t="n">
        <v>1.3</v>
      </c>
      <c r="L63" s="15" t="n">
        <v>675.44</v>
      </c>
      <c r="M63" s="15" t="n">
        <f aca="false">F63*G63</f>
        <v>794.64</v>
      </c>
      <c r="N63" s="15" t="n">
        <f aca="false">M63-L63</f>
        <v>119.2</v>
      </c>
      <c r="O63" s="1" t="n">
        <f aca="false">YEAR(B63)</f>
        <v>2022</v>
      </c>
      <c r="P63" s="1" t="n">
        <f aca="false">MONTH(B63)</f>
        <v>3</v>
      </c>
      <c r="Q63" s="1" t="str">
        <f aca="false">TEXT(B63,"mmm")</f>
        <v>Mar</v>
      </c>
      <c r="R63" s="1" t="str">
        <f aca="false">"Q"&amp;ROUNDUP(MONTH(B63)/3,0)</f>
        <v>Q1</v>
      </c>
    </row>
    <row r="64" customFormat="false" ht="15" hidden="false" customHeight="true" outlineLevel="0" collapsed="false">
      <c r="A64" s="1" t="n">
        <v>10063</v>
      </c>
      <c r="B64" s="14" t="n">
        <v>44624</v>
      </c>
      <c r="C64" s="1" t="n">
        <v>1840</v>
      </c>
      <c r="D64" s="1" t="s">
        <v>37</v>
      </c>
      <c r="E64" s="1" t="s">
        <v>35</v>
      </c>
      <c r="F64" s="1" t="n">
        <v>1</v>
      </c>
      <c r="G64" s="15" t="n">
        <v>440.8</v>
      </c>
      <c r="H64" s="16" t="n">
        <v>0.28</v>
      </c>
      <c r="I64" s="1" t="s">
        <v>33</v>
      </c>
      <c r="J64" s="1" t="n">
        <v>2</v>
      </c>
      <c r="K64" s="1" t="n">
        <v>1.9</v>
      </c>
      <c r="L64" s="15" t="n">
        <v>317.38</v>
      </c>
      <c r="M64" s="15" t="n">
        <f aca="false">F64*G64</f>
        <v>440.8</v>
      </c>
      <c r="N64" s="15" t="n">
        <f aca="false">M64-L64</f>
        <v>123.42</v>
      </c>
      <c r="O64" s="1" t="n">
        <f aca="false">YEAR(B64)</f>
        <v>2022</v>
      </c>
      <c r="P64" s="1" t="n">
        <f aca="false">MONTH(B64)</f>
        <v>3</v>
      </c>
      <c r="Q64" s="1" t="str">
        <f aca="false">TEXT(B64,"mmm")</f>
        <v>Mar</v>
      </c>
      <c r="R64" s="1" t="str">
        <f aca="false">"Q"&amp;ROUNDUP(MONTH(B64)/3,0)</f>
        <v>Q1</v>
      </c>
    </row>
    <row r="65" customFormat="false" ht="15" hidden="false" customHeight="true" outlineLevel="0" collapsed="false">
      <c r="A65" s="1" t="n">
        <v>10064</v>
      </c>
      <c r="B65" s="14" t="n">
        <v>44625</v>
      </c>
      <c r="C65" s="1" t="n">
        <v>1166</v>
      </c>
      <c r="D65" s="1" t="s">
        <v>34</v>
      </c>
      <c r="E65" s="1" t="s">
        <v>32</v>
      </c>
      <c r="F65" s="1" t="n">
        <v>6</v>
      </c>
      <c r="G65" s="15" t="n">
        <v>122.49</v>
      </c>
      <c r="H65" s="16" t="n">
        <v>0.16</v>
      </c>
      <c r="I65" s="1" t="s">
        <v>33</v>
      </c>
      <c r="J65" s="1" t="n">
        <v>8</v>
      </c>
      <c r="K65" s="1" t="n">
        <v>3.4</v>
      </c>
      <c r="L65" s="15" t="n">
        <v>617.35</v>
      </c>
      <c r="M65" s="15" t="n">
        <f aca="false">F65*G65</f>
        <v>734.94</v>
      </c>
      <c r="N65" s="15" t="n">
        <f aca="false">M65-L65</f>
        <v>117.59</v>
      </c>
      <c r="O65" s="1" t="n">
        <f aca="false">YEAR(B65)</f>
        <v>2022</v>
      </c>
      <c r="P65" s="1" t="n">
        <f aca="false">MONTH(B65)</f>
        <v>3</v>
      </c>
      <c r="Q65" s="1" t="str">
        <f aca="false">TEXT(B65,"mmm")</f>
        <v>Mar</v>
      </c>
      <c r="R65" s="1" t="str">
        <f aca="false">"Q"&amp;ROUNDUP(MONTH(B65)/3,0)</f>
        <v>Q1</v>
      </c>
    </row>
    <row r="66" customFormat="false" ht="15" hidden="false" customHeight="true" outlineLevel="0" collapsed="false">
      <c r="A66" s="1" t="n">
        <v>10065</v>
      </c>
      <c r="B66" s="14" t="n">
        <v>44626</v>
      </c>
      <c r="C66" s="1" t="n">
        <v>1273</v>
      </c>
      <c r="D66" s="1" t="s">
        <v>34</v>
      </c>
      <c r="E66" s="1" t="s">
        <v>28</v>
      </c>
      <c r="F66" s="1" t="n">
        <v>6</v>
      </c>
      <c r="G66" s="15" t="n">
        <v>314.22</v>
      </c>
      <c r="H66" s="16" t="n">
        <v>0.05</v>
      </c>
      <c r="I66" s="1" t="s">
        <v>29</v>
      </c>
      <c r="J66" s="1" t="n">
        <v>3</v>
      </c>
      <c r="K66" s="1" t="n">
        <v>2.4</v>
      </c>
      <c r="L66" s="15" t="n">
        <v>1791.05</v>
      </c>
      <c r="M66" s="15" t="n">
        <f aca="false">F66*G66</f>
        <v>1885.32</v>
      </c>
      <c r="N66" s="15" t="n">
        <f aca="false">M66-L66</f>
        <v>94.2700000000002</v>
      </c>
      <c r="O66" s="1" t="n">
        <f aca="false">YEAR(B66)</f>
        <v>2022</v>
      </c>
      <c r="P66" s="1" t="n">
        <f aca="false">MONTH(B66)</f>
        <v>3</v>
      </c>
      <c r="Q66" s="1" t="str">
        <f aca="false">TEXT(B66,"mmm")</f>
        <v>Mar</v>
      </c>
      <c r="R66" s="1" t="str">
        <f aca="false">"Q"&amp;ROUNDUP(MONTH(B66)/3,0)</f>
        <v>Q1</v>
      </c>
    </row>
    <row r="67" customFormat="false" ht="15" hidden="false" customHeight="true" outlineLevel="0" collapsed="false">
      <c r="A67" s="1" t="n">
        <v>10066</v>
      </c>
      <c r="B67" s="14" t="n">
        <v>44627</v>
      </c>
      <c r="C67" s="1" t="n">
        <v>1387</v>
      </c>
      <c r="D67" s="1" t="s">
        <v>37</v>
      </c>
      <c r="E67" s="1" t="s">
        <v>28</v>
      </c>
      <c r="F67" s="1" t="n">
        <v>4</v>
      </c>
      <c r="G67" s="15" t="n">
        <v>69.56</v>
      </c>
      <c r="H67" s="16" t="n">
        <v>0.25</v>
      </c>
      <c r="I67" s="1" t="s">
        <v>29</v>
      </c>
      <c r="J67" s="1" t="n">
        <v>1</v>
      </c>
      <c r="K67" s="1" t="n">
        <v>3.1</v>
      </c>
      <c r="L67" s="15" t="n">
        <v>208.68</v>
      </c>
      <c r="M67" s="15" t="n">
        <f aca="false">F67*G67</f>
        <v>278.24</v>
      </c>
      <c r="N67" s="15" t="n">
        <f aca="false">M67-L67</f>
        <v>69.56</v>
      </c>
      <c r="O67" s="1" t="n">
        <f aca="false">YEAR(B67)</f>
        <v>2022</v>
      </c>
      <c r="P67" s="1" t="n">
        <f aca="false">MONTH(B67)</f>
        <v>3</v>
      </c>
      <c r="Q67" s="1" t="str">
        <f aca="false">TEXT(B67,"mmm")</f>
        <v>Mar</v>
      </c>
      <c r="R67" s="1" t="str">
        <f aca="false">"Q"&amp;ROUNDUP(MONTH(B67)/3,0)</f>
        <v>Q1</v>
      </c>
    </row>
    <row r="68" customFormat="false" ht="15" hidden="false" customHeight="true" outlineLevel="0" collapsed="false">
      <c r="A68" s="1" t="n">
        <v>10067</v>
      </c>
      <c r="B68" s="14" t="n">
        <v>44628</v>
      </c>
      <c r="C68" s="1" t="n">
        <v>1600</v>
      </c>
      <c r="D68" s="1" t="s">
        <v>37</v>
      </c>
      <c r="E68" s="1" t="s">
        <v>36</v>
      </c>
      <c r="F68" s="1" t="n">
        <v>6</v>
      </c>
      <c r="G68" s="15" t="n">
        <v>553.72</v>
      </c>
      <c r="H68" s="16" t="n">
        <v>0.07</v>
      </c>
      <c r="I68" s="1" t="s">
        <v>31</v>
      </c>
      <c r="J68" s="1" t="n">
        <v>7</v>
      </c>
      <c r="K68" s="1" t="n">
        <v>4.2</v>
      </c>
      <c r="L68" s="15" t="n">
        <v>3089.76</v>
      </c>
      <c r="M68" s="15" t="n">
        <f aca="false">F68*G68</f>
        <v>3322.32</v>
      </c>
      <c r="N68" s="15" t="n">
        <f aca="false">M68-L68</f>
        <v>232.56</v>
      </c>
      <c r="O68" s="1" t="n">
        <f aca="false">YEAR(B68)</f>
        <v>2022</v>
      </c>
      <c r="P68" s="1" t="n">
        <f aca="false">MONTH(B68)</f>
        <v>3</v>
      </c>
      <c r="Q68" s="1" t="str">
        <f aca="false">TEXT(B68,"mmm")</f>
        <v>Mar</v>
      </c>
      <c r="R68" s="1" t="str">
        <f aca="false">"Q"&amp;ROUNDUP(MONTH(B68)/3,0)</f>
        <v>Q1</v>
      </c>
    </row>
    <row r="69" customFormat="false" ht="15" hidden="false" customHeight="true" outlineLevel="0" collapsed="false">
      <c r="A69" s="1" t="n">
        <v>10068</v>
      </c>
      <c r="B69" s="14" t="n">
        <v>44629</v>
      </c>
      <c r="C69" s="1" t="n">
        <v>1315</v>
      </c>
      <c r="D69" s="1" t="s">
        <v>27</v>
      </c>
      <c r="E69" s="1" t="s">
        <v>32</v>
      </c>
      <c r="F69" s="1" t="n">
        <v>7</v>
      </c>
      <c r="G69" s="15" t="n">
        <v>216.22</v>
      </c>
      <c r="H69" s="16" t="n">
        <v>0.26</v>
      </c>
      <c r="I69" s="1" t="s">
        <v>31</v>
      </c>
      <c r="J69" s="1" t="n">
        <v>1</v>
      </c>
      <c r="K69" s="1" t="n">
        <v>4.2</v>
      </c>
      <c r="L69" s="15" t="n">
        <v>1120.02</v>
      </c>
      <c r="M69" s="15" t="n">
        <f aca="false">F69*G69</f>
        <v>1513.54</v>
      </c>
      <c r="N69" s="15" t="n">
        <f aca="false">M69-L69</f>
        <v>393.52</v>
      </c>
      <c r="O69" s="1" t="n">
        <f aca="false">YEAR(B69)</f>
        <v>2022</v>
      </c>
      <c r="P69" s="1" t="n">
        <f aca="false">MONTH(B69)</f>
        <v>3</v>
      </c>
      <c r="Q69" s="1" t="str">
        <f aca="false">TEXT(B69,"mmm")</f>
        <v>Mar</v>
      </c>
      <c r="R69" s="1" t="str">
        <f aca="false">"Q"&amp;ROUNDUP(MONTH(B69)/3,0)</f>
        <v>Q1</v>
      </c>
    </row>
    <row r="70" customFormat="false" ht="15" hidden="false" customHeight="true" outlineLevel="0" collapsed="false">
      <c r="A70" s="1" t="n">
        <v>10069</v>
      </c>
      <c r="B70" s="14" t="n">
        <v>44630</v>
      </c>
      <c r="C70" s="1" t="n">
        <v>1013</v>
      </c>
      <c r="D70" s="1" t="s">
        <v>37</v>
      </c>
      <c r="E70" s="1" t="s">
        <v>36</v>
      </c>
      <c r="F70" s="1" t="n">
        <v>4</v>
      </c>
      <c r="G70" s="15" t="n">
        <v>546.26</v>
      </c>
      <c r="H70" s="16" t="n">
        <v>0.17</v>
      </c>
      <c r="I70" s="1" t="s">
        <v>33</v>
      </c>
      <c r="J70" s="1" t="n">
        <v>11</v>
      </c>
      <c r="K70" s="1" t="n">
        <v>3.8</v>
      </c>
      <c r="L70" s="15" t="n">
        <v>1813.58</v>
      </c>
      <c r="M70" s="15" t="n">
        <f aca="false">F70*G70</f>
        <v>2185.04</v>
      </c>
      <c r="N70" s="15" t="n">
        <f aca="false">M70-L70</f>
        <v>371.46</v>
      </c>
      <c r="O70" s="1" t="n">
        <f aca="false">YEAR(B70)</f>
        <v>2022</v>
      </c>
      <c r="P70" s="1" t="n">
        <f aca="false">MONTH(B70)</f>
        <v>3</v>
      </c>
      <c r="Q70" s="1" t="str">
        <f aca="false">TEXT(B70,"mmm")</f>
        <v>Mar</v>
      </c>
      <c r="R70" s="1" t="str">
        <f aca="false">"Q"&amp;ROUNDUP(MONTH(B70)/3,0)</f>
        <v>Q1</v>
      </c>
    </row>
    <row r="71" customFormat="false" ht="15" hidden="false" customHeight="true" outlineLevel="0" collapsed="false">
      <c r="A71" s="1" t="n">
        <v>10070</v>
      </c>
      <c r="B71" s="14" t="n">
        <v>44631</v>
      </c>
      <c r="C71" s="1" t="n">
        <v>1241</v>
      </c>
      <c r="D71" s="1" t="s">
        <v>27</v>
      </c>
      <c r="E71" s="1" t="s">
        <v>32</v>
      </c>
      <c r="F71" s="1" t="n">
        <v>7</v>
      </c>
      <c r="G71" s="15" t="n">
        <v>567.75</v>
      </c>
      <c r="H71" s="16" t="n">
        <v>0.16</v>
      </c>
      <c r="I71" s="1" t="s">
        <v>31</v>
      </c>
      <c r="J71" s="1" t="n">
        <v>1</v>
      </c>
      <c r="K71" s="1" t="n">
        <v>4.5</v>
      </c>
      <c r="L71" s="15" t="n">
        <v>3338.37</v>
      </c>
      <c r="M71" s="15" t="n">
        <f aca="false">F71*G71</f>
        <v>3974.25</v>
      </c>
      <c r="N71" s="15" t="n">
        <f aca="false">M71-L71</f>
        <v>635.88</v>
      </c>
      <c r="O71" s="1" t="n">
        <f aca="false">YEAR(B71)</f>
        <v>2022</v>
      </c>
      <c r="P71" s="1" t="n">
        <f aca="false">MONTH(B71)</f>
        <v>3</v>
      </c>
      <c r="Q71" s="1" t="str">
        <f aca="false">TEXT(B71,"mmm")</f>
        <v>Mar</v>
      </c>
      <c r="R71" s="1" t="str">
        <f aca="false">"Q"&amp;ROUNDUP(MONTH(B71)/3,0)</f>
        <v>Q1</v>
      </c>
    </row>
    <row r="72" customFormat="false" ht="15" hidden="false" customHeight="true" outlineLevel="0" collapsed="false">
      <c r="A72" s="1" t="n">
        <v>10071</v>
      </c>
      <c r="B72" s="14" t="n">
        <v>44632</v>
      </c>
      <c r="C72" s="1" t="n">
        <v>1776</v>
      </c>
      <c r="D72" s="1" t="s">
        <v>37</v>
      </c>
      <c r="E72" s="1" t="s">
        <v>28</v>
      </c>
      <c r="F72" s="1" t="n">
        <v>1</v>
      </c>
      <c r="G72" s="15" t="n">
        <v>18.59</v>
      </c>
      <c r="H72" s="16" t="n">
        <v>0.3</v>
      </c>
      <c r="I72" s="1" t="s">
        <v>31</v>
      </c>
      <c r="J72" s="1" t="n">
        <v>1</v>
      </c>
      <c r="K72" s="1" t="n">
        <v>1.8</v>
      </c>
      <c r="L72" s="15" t="n">
        <v>13.01</v>
      </c>
      <c r="M72" s="15" t="n">
        <f aca="false">F72*G72</f>
        <v>18.59</v>
      </c>
      <c r="N72" s="15" t="n">
        <f aca="false">M72-L72</f>
        <v>5.58</v>
      </c>
      <c r="O72" s="1" t="n">
        <f aca="false">YEAR(B72)</f>
        <v>2022</v>
      </c>
      <c r="P72" s="1" t="n">
        <f aca="false">MONTH(B72)</f>
        <v>3</v>
      </c>
      <c r="Q72" s="1" t="str">
        <f aca="false">TEXT(B72,"mmm")</f>
        <v>Mar</v>
      </c>
      <c r="R72" s="1" t="str">
        <f aca="false">"Q"&amp;ROUNDUP(MONTH(B72)/3,0)</f>
        <v>Q1</v>
      </c>
    </row>
    <row r="73" customFormat="false" ht="15" hidden="false" customHeight="true" outlineLevel="0" collapsed="false">
      <c r="A73" s="1" t="n">
        <v>10072</v>
      </c>
      <c r="B73" s="14" t="n">
        <v>44633</v>
      </c>
      <c r="C73" s="1" t="n">
        <v>1345</v>
      </c>
      <c r="D73" s="1" t="s">
        <v>34</v>
      </c>
      <c r="E73" s="1" t="s">
        <v>36</v>
      </c>
      <c r="F73" s="1" t="n">
        <v>3</v>
      </c>
      <c r="G73" s="15" t="n">
        <v>286.52</v>
      </c>
      <c r="H73" s="16" t="n">
        <v>0.25</v>
      </c>
      <c r="I73" s="1" t="s">
        <v>31</v>
      </c>
      <c r="J73" s="1" t="n">
        <v>4</v>
      </c>
      <c r="K73" s="1" t="n">
        <v>1.7</v>
      </c>
      <c r="L73" s="15" t="n">
        <v>644.67</v>
      </c>
      <c r="M73" s="15" t="n">
        <f aca="false">F73*G73</f>
        <v>859.56</v>
      </c>
      <c r="N73" s="15" t="n">
        <f aca="false">M73-L73</f>
        <v>214.89</v>
      </c>
      <c r="O73" s="1" t="n">
        <f aca="false">YEAR(B73)</f>
        <v>2022</v>
      </c>
      <c r="P73" s="1" t="n">
        <f aca="false">MONTH(B73)</f>
        <v>3</v>
      </c>
      <c r="Q73" s="1" t="str">
        <f aca="false">TEXT(B73,"mmm")</f>
        <v>Mar</v>
      </c>
      <c r="R73" s="1" t="str">
        <f aca="false">"Q"&amp;ROUNDUP(MONTH(B73)/3,0)</f>
        <v>Q1</v>
      </c>
    </row>
    <row r="74" customFormat="false" ht="15" hidden="false" customHeight="true" outlineLevel="0" collapsed="false">
      <c r="A74" s="1" t="n">
        <v>10073</v>
      </c>
      <c r="B74" s="14" t="n">
        <v>44634</v>
      </c>
      <c r="C74" s="1" t="n">
        <v>1564</v>
      </c>
      <c r="D74" s="1" t="s">
        <v>34</v>
      </c>
      <c r="E74" s="1" t="s">
        <v>36</v>
      </c>
      <c r="F74" s="1" t="n">
        <v>3</v>
      </c>
      <c r="G74" s="15" t="n">
        <v>29.42</v>
      </c>
      <c r="H74" s="16" t="n">
        <v>0.01</v>
      </c>
      <c r="I74" s="1" t="s">
        <v>29</v>
      </c>
      <c r="J74" s="1" t="n">
        <v>4</v>
      </c>
      <c r="K74" s="1" t="n">
        <v>4.2</v>
      </c>
      <c r="L74" s="15" t="n">
        <v>87.38</v>
      </c>
      <c r="M74" s="15" t="n">
        <f aca="false">F74*G74</f>
        <v>88.26</v>
      </c>
      <c r="N74" s="15" t="n">
        <f aca="false">M74-L74</f>
        <v>0.88000000000001</v>
      </c>
      <c r="O74" s="1" t="n">
        <f aca="false">YEAR(B74)</f>
        <v>2022</v>
      </c>
      <c r="P74" s="1" t="n">
        <f aca="false">MONTH(B74)</f>
        <v>3</v>
      </c>
      <c r="Q74" s="1" t="str">
        <f aca="false">TEXT(B74,"mmm")</f>
        <v>Mar</v>
      </c>
      <c r="R74" s="1" t="str">
        <f aca="false">"Q"&amp;ROUNDUP(MONTH(B74)/3,0)</f>
        <v>Q1</v>
      </c>
    </row>
    <row r="75" customFormat="false" ht="15" hidden="false" customHeight="true" outlineLevel="0" collapsed="false">
      <c r="A75" s="1" t="n">
        <v>10074</v>
      </c>
      <c r="B75" s="14" t="n">
        <v>44635</v>
      </c>
      <c r="C75" s="1" t="n">
        <v>1897</v>
      </c>
      <c r="D75" s="1" t="s">
        <v>37</v>
      </c>
      <c r="E75" s="1" t="s">
        <v>32</v>
      </c>
      <c r="F75" s="1" t="n">
        <v>2</v>
      </c>
      <c r="G75" s="15" t="n">
        <v>546.59</v>
      </c>
      <c r="H75" s="16" t="n">
        <v>0.1</v>
      </c>
      <c r="I75" s="1" t="s">
        <v>31</v>
      </c>
      <c r="J75" s="1" t="n">
        <v>10</v>
      </c>
      <c r="K75" s="1" t="n">
        <v>2.3</v>
      </c>
      <c r="L75" s="15" t="n">
        <v>983.86</v>
      </c>
      <c r="M75" s="15" t="n">
        <f aca="false">F75*G75</f>
        <v>1093.18</v>
      </c>
      <c r="N75" s="15" t="n">
        <f aca="false">M75-L75</f>
        <v>109.32</v>
      </c>
      <c r="O75" s="1" t="n">
        <f aca="false">YEAR(B75)</f>
        <v>2022</v>
      </c>
      <c r="P75" s="1" t="n">
        <f aca="false">MONTH(B75)</f>
        <v>3</v>
      </c>
      <c r="Q75" s="1" t="str">
        <f aca="false">TEXT(B75,"mmm")</f>
        <v>Mar</v>
      </c>
      <c r="R75" s="1" t="str">
        <f aca="false">"Q"&amp;ROUNDUP(MONTH(B75)/3,0)</f>
        <v>Q1</v>
      </c>
    </row>
    <row r="76" customFormat="false" ht="15" hidden="false" customHeight="true" outlineLevel="0" collapsed="false">
      <c r="A76" s="1" t="n">
        <v>10075</v>
      </c>
      <c r="B76" s="14" t="n">
        <v>44636</v>
      </c>
      <c r="C76" s="1" t="n">
        <v>1339</v>
      </c>
      <c r="D76" s="1" t="s">
        <v>30</v>
      </c>
      <c r="E76" s="1" t="s">
        <v>35</v>
      </c>
      <c r="F76" s="1" t="n">
        <v>1</v>
      </c>
      <c r="G76" s="15" t="n">
        <v>318.27</v>
      </c>
      <c r="H76" s="16" t="n">
        <v>0.3</v>
      </c>
      <c r="I76" s="1" t="s">
        <v>33</v>
      </c>
      <c r="J76" s="1" t="n">
        <v>11</v>
      </c>
      <c r="K76" s="1" t="n">
        <v>3</v>
      </c>
      <c r="L76" s="15" t="n">
        <v>222.79</v>
      </c>
      <c r="M76" s="15" t="n">
        <f aca="false">F76*G76</f>
        <v>318.27</v>
      </c>
      <c r="N76" s="15" t="n">
        <f aca="false">M76-L76</f>
        <v>95.48</v>
      </c>
      <c r="O76" s="1" t="n">
        <f aca="false">YEAR(B76)</f>
        <v>2022</v>
      </c>
      <c r="P76" s="1" t="n">
        <f aca="false">MONTH(B76)</f>
        <v>3</v>
      </c>
      <c r="Q76" s="1" t="str">
        <f aca="false">TEXT(B76,"mmm")</f>
        <v>Mar</v>
      </c>
      <c r="R76" s="1" t="str">
        <f aca="false">"Q"&amp;ROUNDUP(MONTH(B76)/3,0)</f>
        <v>Q1</v>
      </c>
    </row>
    <row r="77" customFormat="false" ht="15" hidden="false" customHeight="true" outlineLevel="0" collapsed="false">
      <c r="A77" s="1" t="n">
        <v>10076</v>
      </c>
      <c r="B77" s="14" t="n">
        <v>44637</v>
      </c>
      <c r="C77" s="1" t="n">
        <v>1091</v>
      </c>
      <c r="D77" s="1" t="s">
        <v>34</v>
      </c>
      <c r="E77" s="1" t="s">
        <v>32</v>
      </c>
      <c r="F77" s="1" t="n">
        <v>6</v>
      </c>
      <c r="G77" s="15" t="n">
        <v>58.84</v>
      </c>
      <c r="H77" s="16" t="n">
        <v>0.01</v>
      </c>
      <c r="I77" s="1" t="s">
        <v>31</v>
      </c>
      <c r="J77" s="1" t="n">
        <v>6</v>
      </c>
      <c r="K77" s="1" t="n">
        <v>4</v>
      </c>
      <c r="L77" s="15" t="n">
        <v>349.51</v>
      </c>
      <c r="M77" s="15" t="n">
        <f aca="false">F77*G77</f>
        <v>353.04</v>
      </c>
      <c r="N77" s="15" t="n">
        <f aca="false">M77-L77</f>
        <v>3.53000000000003</v>
      </c>
      <c r="O77" s="1" t="n">
        <f aca="false">YEAR(B77)</f>
        <v>2022</v>
      </c>
      <c r="P77" s="1" t="n">
        <f aca="false">MONTH(B77)</f>
        <v>3</v>
      </c>
      <c r="Q77" s="1" t="str">
        <f aca="false">TEXT(B77,"mmm")</f>
        <v>Mar</v>
      </c>
      <c r="R77" s="1" t="str">
        <f aca="false">"Q"&amp;ROUNDUP(MONTH(B77)/3,0)</f>
        <v>Q1</v>
      </c>
    </row>
    <row r="78" customFormat="false" ht="15" hidden="false" customHeight="true" outlineLevel="0" collapsed="false">
      <c r="A78" s="1" t="n">
        <v>10077</v>
      </c>
      <c r="B78" s="14" t="n">
        <v>44638</v>
      </c>
      <c r="C78" s="1" t="n">
        <v>1366</v>
      </c>
      <c r="D78" s="1" t="s">
        <v>30</v>
      </c>
      <c r="E78" s="1" t="s">
        <v>35</v>
      </c>
      <c r="F78" s="1" t="n">
        <v>1</v>
      </c>
      <c r="G78" s="15" t="n">
        <v>79.51</v>
      </c>
      <c r="H78" s="16" t="n">
        <v>0.19</v>
      </c>
      <c r="I78" s="1" t="s">
        <v>31</v>
      </c>
      <c r="J78" s="1" t="n">
        <v>10</v>
      </c>
      <c r="K78" s="1" t="n">
        <v>2.6</v>
      </c>
      <c r="L78" s="15" t="n">
        <v>64.4</v>
      </c>
      <c r="M78" s="15" t="n">
        <f aca="false">F78*G78</f>
        <v>79.51</v>
      </c>
      <c r="N78" s="15" t="n">
        <f aca="false">M78-L78</f>
        <v>15.11</v>
      </c>
      <c r="O78" s="1" t="n">
        <f aca="false">YEAR(B78)</f>
        <v>2022</v>
      </c>
      <c r="P78" s="1" t="n">
        <f aca="false">MONTH(B78)</f>
        <v>3</v>
      </c>
      <c r="Q78" s="1" t="str">
        <f aca="false">TEXT(B78,"mmm")</f>
        <v>Mar</v>
      </c>
      <c r="R78" s="1" t="str">
        <f aca="false">"Q"&amp;ROUNDUP(MONTH(B78)/3,0)</f>
        <v>Q1</v>
      </c>
    </row>
    <row r="79" customFormat="false" ht="15" hidden="false" customHeight="true" outlineLevel="0" collapsed="false">
      <c r="A79" s="1" t="n">
        <v>10078</v>
      </c>
      <c r="B79" s="14" t="n">
        <v>44639</v>
      </c>
      <c r="C79" s="1" t="n">
        <v>1955</v>
      </c>
      <c r="D79" s="1" t="s">
        <v>27</v>
      </c>
      <c r="E79" s="1" t="s">
        <v>32</v>
      </c>
      <c r="F79" s="1" t="n">
        <v>5</v>
      </c>
      <c r="G79" s="15" t="n">
        <v>239.35</v>
      </c>
      <c r="H79" s="16" t="n">
        <v>0.25</v>
      </c>
      <c r="I79" s="1" t="s">
        <v>31</v>
      </c>
      <c r="J79" s="1" t="n">
        <v>3</v>
      </c>
      <c r="K79" s="1" t="n">
        <v>1.5</v>
      </c>
      <c r="L79" s="15" t="n">
        <v>897.56</v>
      </c>
      <c r="M79" s="15" t="n">
        <f aca="false">F79*G79</f>
        <v>1196.75</v>
      </c>
      <c r="N79" s="15" t="n">
        <f aca="false">M79-L79</f>
        <v>299.19</v>
      </c>
      <c r="O79" s="1" t="n">
        <f aca="false">YEAR(B79)</f>
        <v>2022</v>
      </c>
      <c r="P79" s="1" t="n">
        <f aca="false">MONTH(B79)</f>
        <v>3</v>
      </c>
      <c r="Q79" s="1" t="str">
        <f aca="false">TEXT(B79,"mmm")</f>
        <v>Mar</v>
      </c>
      <c r="R79" s="1" t="str">
        <f aca="false">"Q"&amp;ROUNDUP(MONTH(B79)/3,0)</f>
        <v>Q1</v>
      </c>
    </row>
    <row r="80" customFormat="false" ht="15" hidden="false" customHeight="true" outlineLevel="0" collapsed="false">
      <c r="A80" s="1" t="n">
        <v>10079</v>
      </c>
      <c r="B80" s="14" t="n">
        <v>44640</v>
      </c>
      <c r="C80" s="1" t="n">
        <v>1454</v>
      </c>
      <c r="D80" s="1" t="s">
        <v>30</v>
      </c>
      <c r="E80" s="1" t="s">
        <v>28</v>
      </c>
      <c r="F80" s="1" t="n">
        <v>3</v>
      </c>
      <c r="G80" s="15" t="n">
        <v>565.04</v>
      </c>
      <c r="H80" s="16" t="n">
        <v>0.22</v>
      </c>
      <c r="I80" s="1" t="s">
        <v>31</v>
      </c>
      <c r="J80" s="1" t="n">
        <v>10</v>
      </c>
      <c r="K80" s="1" t="n">
        <v>3.7</v>
      </c>
      <c r="L80" s="15" t="n">
        <v>1322.19</v>
      </c>
      <c r="M80" s="15" t="n">
        <f aca="false">F80*G80</f>
        <v>1695.12</v>
      </c>
      <c r="N80" s="15" t="n">
        <f aca="false">M80-L80</f>
        <v>372.93</v>
      </c>
      <c r="O80" s="1" t="n">
        <f aca="false">YEAR(B80)</f>
        <v>2022</v>
      </c>
      <c r="P80" s="1" t="n">
        <f aca="false">MONTH(B80)</f>
        <v>3</v>
      </c>
      <c r="Q80" s="1" t="str">
        <f aca="false">TEXT(B80,"mmm")</f>
        <v>Mar</v>
      </c>
      <c r="R80" s="1" t="str">
        <f aca="false">"Q"&amp;ROUNDUP(MONTH(B80)/3,0)</f>
        <v>Q1</v>
      </c>
    </row>
    <row r="81" customFormat="false" ht="15" hidden="false" customHeight="true" outlineLevel="0" collapsed="false">
      <c r="A81" s="1" t="n">
        <v>10080</v>
      </c>
      <c r="B81" s="14" t="n">
        <v>44641</v>
      </c>
      <c r="C81" s="1" t="n">
        <v>1427</v>
      </c>
      <c r="D81" s="1" t="s">
        <v>30</v>
      </c>
      <c r="E81" s="1" t="s">
        <v>36</v>
      </c>
      <c r="F81" s="1" t="n">
        <v>6</v>
      </c>
      <c r="G81" s="15" t="n">
        <v>420.35</v>
      </c>
      <c r="H81" s="16" t="n">
        <v>0.27</v>
      </c>
      <c r="I81" s="1" t="s">
        <v>29</v>
      </c>
      <c r="J81" s="1" t="n">
        <v>6</v>
      </c>
      <c r="K81" s="1" t="n">
        <v>4.3</v>
      </c>
      <c r="L81" s="15" t="n">
        <v>1841.13</v>
      </c>
      <c r="M81" s="15" t="n">
        <f aca="false">F81*G81</f>
        <v>2522.1</v>
      </c>
      <c r="N81" s="15" t="n">
        <f aca="false">M81-L81</f>
        <v>680.97</v>
      </c>
      <c r="O81" s="1" t="n">
        <f aca="false">YEAR(B81)</f>
        <v>2022</v>
      </c>
      <c r="P81" s="1" t="n">
        <f aca="false">MONTH(B81)</f>
        <v>3</v>
      </c>
      <c r="Q81" s="1" t="str">
        <f aca="false">TEXT(B81,"mmm")</f>
        <v>Mar</v>
      </c>
      <c r="R81" s="1" t="str">
        <f aca="false">"Q"&amp;ROUNDUP(MONTH(B81)/3,0)</f>
        <v>Q1</v>
      </c>
    </row>
    <row r="82" customFormat="false" ht="15" hidden="false" customHeight="true" outlineLevel="0" collapsed="false">
      <c r="A82" s="1" t="n">
        <v>10081</v>
      </c>
      <c r="B82" s="14" t="n">
        <v>44642</v>
      </c>
      <c r="C82" s="1" t="n">
        <v>1508</v>
      </c>
      <c r="D82" s="1" t="s">
        <v>30</v>
      </c>
      <c r="E82" s="1" t="s">
        <v>32</v>
      </c>
      <c r="F82" s="1" t="n">
        <v>7</v>
      </c>
      <c r="G82" s="15" t="n">
        <v>522.56</v>
      </c>
      <c r="H82" s="16" t="n">
        <v>0.25</v>
      </c>
      <c r="I82" s="1" t="s">
        <v>29</v>
      </c>
      <c r="J82" s="1" t="n">
        <v>7</v>
      </c>
      <c r="K82" s="1" t="n">
        <v>1.1</v>
      </c>
      <c r="L82" s="15" t="n">
        <v>2743.44</v>
      </c>
      <c r="M82" s="15" t="n">
        <f aca="false">F82*G82</f>
        <v>3657.92</v>
      </c>
      <c r="N82" s="15" t="n">
        <f aca="false">M82-L82</f>
        <v>914.48</v>
      </c>
      <c r="O82" s="1" t="n">
        <f aca="false">YEAR(B82)</f>
        <v>2022</v>
      </c>
      <c r="P82" s="1" t="n">
        <f aca="false">MONTH(B82)</f>
        <v>3</v>
      </c>
      <c r="Q82" s="1" t="str">
        <f aca="false">TEXT(B82,"mmm")</f>
        <v>Mar</v>
      </c>
      <c r="R82" s="1" t="str">
        <f aca="false">"Q"&amp;ROUNDUP(MONTH(B82)/3,0)</f>
        <v>Q1</v>
      </c>
    </row>
    <row r="83" customFormat="false" ht="15" hidden="false" customHeight="true" outlineLevel="0" collapsed="false">
      <c r="A83" s="1" t="n">
        <v>10082</v>
      </c>
      <c r="B83" s="14" t="n">
        <v>44643</v>
      </c>
      <c r="C83" s="1" t="n">
        <v>1775</v>
      </c>
      <c r="D83" s="1" t="s">
        <v>34</v>
      </c>
      <c r="E83" s="1" t="s">
        <v>28</v>
      </c>
      <c r="F83" s="1" t="n">
        <v>7</v>
      </c>
      <c r="G83" s="15" t="n">
        <v>229.38</v>
      </c>
      <c r="H83" s="16" t="n">
        <v>0.24</v>
      </c>
      <c r="I83" s="1" t="s">
        <v>33</v>
      </c>
      <c r="J83" s="1" t="n">
        <v>11</v>
      </c>
      <c r="K83" s="1" t="n">
        <v>3.3</v>
      </c>
      <c r="L83" s="15" t="n">
        <v>1220.3</v>
      </c>
      <c r="M83" s="15" t="n">
        <f aca="false">F83*G83</f>
        <v>1605.66</v>
      </c>
      <c r="N83" s="15" t="n">
        <f aca="false">M83-L83</f>
        <v>385.36</v>
      </c>
      <c r="O83" s="1" t="n">
        <f aca="false">YEAR(B83)</f>
        <v>2022</v>
      </c>
      <c r="P83" s="1" t="n">
        <f aca="false">MONTH(B83)</f>
        <v>3</v>
      </c>
      <c r="Q83" s="1" t="str">
        <f aca="false">TEXT(B83,"mmm")</f>
        <v>Mar</v>
      </c>
      <c r="R83" s="1" t="str">
        <f aca="false">"Q"&amp;ROUNDUP(MONTH(B83)/3,0)</f>
        <v>Q1</v>
      </c>
    </row>
    <row r="84" customFormat="false" ht="15" hidden="false" customHeight="true" outlineLevel="0" collapsed="false">
      <c r="A84" s="1" t="n">
        <v>10083</v>
      </c>
      <c r="B84" s="14" t="n">
        <v>44644</v>
      </c>
      <c r="C84" s="1" t="n">
        <v>1942</v>
      </c>
      <c r="D84" s="1" t="s">
        <v>30</v>
      </c>
      <c r="E84" s="1" t="s">
        <v>32</v>
      </c>
      <c r="F84" s="1" t="n">
        <v>3</v>
      </c>
      <c r="G84" s="15" t="n">
        <v>40.28</v>
      </c>
      <c r="H84" s="16" t="n">
        <v>0.29</v>
      </c>
      <c r="I84" s="1" t="s">
        <v>31</v>
      </c>
      <c r="J84" s="1" t="n">
        <v>1</v>
      </c>
      <c r="K84" s="1" t="n">
        <v>2.9</v>
      </c>
      <c r="L84" s="15" t="n">
        <v>85.8</v>
      </c>
      <c r="M84" s="15" t="n">
        <f aca="false">F84*G84</f>
        <v>120.84</v>
      </c>
      <c r="N84" s="15" t="n">
        <f aca="false">M84-L84</f>
        <v>35.04</v>
      </c>
      <c r="O84" s="1" t="n">
        <f aca="false">YEAR(B84)</f>
        <v>2022</v>
      </c>
      <c r="P84" s="1" t="n">
        <f aca="false">MONTH(B84)</f>
        <v>3</v>
      </c>
      <c r="Q84" s="1" t="str">
        <f aca="false">TEXT(B84,"mmm")</f>
        <v>Mar</v>
      </c>
      <c r="R84" s="1" t="str">
        <f aca="false">"Q"&amp;ROUNDUP(MONTH(B84)/3,0)</f>
        <v>Q1</v>
      </c>
    </row>
    <row r="85" customFormat="false" ht="15" hidden="false" customHeight="true" outlineLevel="0" collapsed="false">
      <c r="A85" s="1" t="n">
        <v>10084</v>
      </c>
      <c r="B85" s="14" t="n">
        <v>44645</v>
      </c>
      <c r="C85" s="1" t="n">
        <v>1034</v>
      </c>
      <c r="D85" s="1" t="s">
        <v>30</v>
      </c>
      <c r="E85" s="1" t="s">
        <v>36</v>
      </c>
      <c r="F85" s="1" t="n">
        <v>1</v>
      </c>
      <c r="G85" s="15" t="n">
        <v>584.98</v>
      </c>
      <c r="H85" s="16" t="n">
        <v>0.23</v>
      </c>
      <c r="I85" s="1" t="s">
        <v>33</v>
      </c>
      <c r="J85" s="1" t="n">
        <v>6</v>
      </c>
      <c r="K85" s="1" t="n">
        <v>2</v>
      </c>
      <c r="L85" s="15" t="n">
        <v>450.43</v>
      </c>
      <c r="M85" s="15" t="n">
        <f aca="false">F85*G85</f>
        <v>584.98</v>
      </c>
      <c r="N85" s="15" t="n">
        <f aca="false">M85-L85</f>
        <v>134.55</v>
      </c>
      <c r="O85" s="1" t="n">
        <f aca="false">YEAR(B85)</f>
        <v>2022</v>
      </c>
      <c r="P85" s="1" t="n">
        <f aca="false">MONTH(B85)</f>
        <v>3</v>
      </c>
      <c r="Q85" s="1" t="str">
        <f aca="false">TEXT(B85,"mmm")</f>
        <v>Mar</v>
      </c>
      <c r="R85" s="1" t="str">
        <f aca="false">"Q"&amp;ROUNDUP(MONTH(B85)/3,0)</f>
        <v>Q1</v>
      </c>
    </row>
    <row r="86" customFormat="false" ht="15" hidden="false" customHeight="true" outlineLevel="0" collapsed="false">
      <c r="A86" s="1" t="n">
        <v>10085</v>
      </c>
      <c r="B86" s="14" t="n">
        <v>44646</v>
      </c>
      <c r="C86" s="1" t="n">
        <v>1205</v>
      </c>
      <c r="D86" s="1" t="s">
        <v>34</v>
      </c>
      <c r="E86" s="1" t="s">
        <v>32</v>
      </c>
      <c r="F86" s="1" t="n">
        <v>6</v>
      </c>
      <c r="G86" s="15" t="n">
        <v>25.05</v>
      </c>
      <c r="H86" s="16" t="n">
        <v>0.14</v>
      </c>
      <c r="I86" s="1" t="s">
        <v>31</v>
      </c>
      <c r="J86" s="1" t="n">
        <v>10</v>
      </c>
      <c r="K86" s="1" t="n">
        <v>1.6</v>
      </c>
      <c r="L86" s="15" t="n">
        <v>129.26</v>
      </c>
      <c r="M86" s="15" t="n">
        <f aca="false">F86*G86</f>
        <v>150.3</v>
      </c>
      <c r="N86" s="15" t="n">
        <f aca="false">M86-L86</f>
        <v>21.04</v>
      </c>
      <c r="O86" s="1" t="n">
        <f aca="false">YEAR(B86)</f>
        <v>2022</v>
      </c>
      <c r="P86" s="1" t="n">
        <f aca="false">MONTH(B86)</f>
        <v>3</v>
      </c>
      <c r="Q86" s="1" t="str">
        <f aca="false">TEXT(B86,"mmm")</f>
        <v>Mar</v>
      </c>
      <c r="R86" s="1" t="str">
        <f aca="false">"Q"&amp;ROUNDUP(MONTH(B86)/3,0)</f>
        <v>Q1</v>
      </c>
    </row>
    <row r="87" customFormat="false" ht="15" hidden="false" customHeight="true" outlineLevel="0" collapsed="false">
      <c r="A87" s="1" t="n">
        <v>10086</v>
      </c>
      <c r="B87" s="14" t="n">
        <v>44647</v>
      </c>
      <c r="C87" s="1" t="n">
        <v>1080</v>
      </c>
      <c r="D87" s="1" t="s">
        <v>37</v>
      </c>
      <c r="E87" s="1" t="s">
        <v>35</v>
      </c>
      <c r="F87" s="1" t="n">
        <v>2</v>
      </c>
      <c r="G87" s="15" t="n">
        <v>569.38</v>
      </c>
      <c r="H87" s="16" t="n">
        <v>0.17</v>
      </c>
      <c r="I87" s="1" t="s">
        <v>31</v>
      </c>
      <c r="J87" s="1" t="n">
        <v>1</v>
      </c>
      <c r="K87" s="1" t="n">
        <v>1.8</v>
      </c>
      <c r="L87" s="15" t="n">
        <v>945.17</v>
      </c>
      <c r="M87" s="15" t="n">
        <f aca="false">F87*G87</f>
        <v>1138.76</v>
      </c>
      <c r="N87" s="15" t="n">
        <f aca="false">M87-L87</f>
        <v>193.59</v>
      </c>
      <c r="O87" s="1" t="n">
        <f aca="false">YEAR(B87)</f>
        <v>2022</v>
      </c>
      <c r="P87" s="1" t="n">
        <f aca="false">MONTH(B87)</f>
        <v>3</v>
      </c>
      <c r="Q87" s="1" t="str">
        <f aca="false">TEXT(B87,"mmm")</f>
        <v>Mar</v>
      </c>
      <c r="R87" s="1" t="str">
        <f aca="false">"Q"&amp;ROUNDUP(MONTH(B87)/3,0)</f>
        <v>Q1</v>
      </c>
    </row>
    <row r="88" customFormat="false" ht="15" hidden="false" customHeight="true" outlineLevel="0" collapsed="false">
      <c r="A88" s="1" t="n">
        <v>10087</v>
      </c>
      <c r="B88" s="14" t="n">
        <v>44648</v>
      </c>
      <c r="C88" s="1" t="n">
        <v>1931</v>
      </c>
      <c r="D88" s="1" t="s">
        <v>30</v>
      </c>
      <c r="E88" s="1" t="s">
        <v>36</v>
      </c>
      <c r="F88" s="1" t="n">
        <v>7</v>
      </c>
      <c r="G88" s="15" t="n">
        <v>230.68</v>
      </c>
      <c r="H88" s="16" t="n">
        <v>0.25</v>
      </c>
      <c r="I88" s="1" t="s">
        <v>33</v>
      </c>
      <c r="J88" s="1" t="n">
        <v>7</v>
      </c>
      <c r="K88" s="1" t="n">
        <v>3.9</v>
      </c>
      <c r="L88" s="15" t="n">
        <v>1211.07</v>
      </c>
      <c r="M88" s="15" t="n">
        <f aca="false">F88*G88</f>
        <v>1614.76</v>
      </c>
      <c r="N88" s="15" t="n">
        <f aca="false">M88-L88</f>
        <v>403.69</v>
      </c>
      <c r="O88" s="1" t="n">
        <f aca="false">YEAR(B88)</f>
        <v>2022</v>
      </c>
      <c r="P88" s="1" t="n">
        <f aca="false">MONTH(B88)</f>
        <v>3</v>
      </c>
      <c r="Q88" s="1" t="str">
        <f aca="false">TEXT(B88,"mmm")</f>
        <v>Mar</v>
      </c>
      <c r="R88" s="1" t="str">
        <f aca="false">"Q"&amp;ROUNDUP(MONTH(B88)/3,0)</f>
        <v>Q1</v>
      </c>
    </row>
    <row r="89" customFormat="false" ht="15" hidden="false" customHeight="true" outlineLevel="0" collapsed="false">
      <c r="A89" s="1" t="n">
        <v>10088</v>
      </c>
      <c r="B89" s="14" t="n">
        <v>44649</v>
      </c>
      <c r="C89" s="1" t="n">
        <v>1561</v>
      </c>
      <c r="D89" s="1" t="s">
        <v>37</v>
      </c>
      <c r="E89" s="1" t="s">
        <v>35</v>
      </c>
      <c r="F89" s="1" t="n">
        <v>1</v>
      </c>
      <c r="G89" s="15" t="n">
        <v>20.9</v>
      </c>
      <c r="H89" s="16" t="n">
        <v>0.31</v>
      </c>
      <c r="I89" s="1" t="s">
        <v>33</v>
      </c>
      <c r="J89" s="1" t="n">
        <v>10</v>
      </c>
      <c r="K89" s="1" t="n">
        <v>3.1</v>
      </c>
      <c r="L89" s="15" t="n">
        <v>14.42</v>
      </c>
      <c r="M89" s="15" t="n">
        <f aca="false">F89*G89</f>
        <v>20.9</v>
      </c>
      <c r="N89" s="15" t="n">
        <f aca="false">M89-L89</f>
        <v>6.48</v>
      </c>
      <c r="O89" s="1" t="n">
        <f aca="false">YEAR(B89)</f>
        <v>2022</v>
      </c>
      <c r="P89" s="1" t="n">
        <f aca="false">MONTH(B89)</f>
        <v>3</v>
      </c>
      <c r="Q89" s="1" t="str">
        <f aca="false">TEXT(B89,"mmm")</f>
        <v>Mar</v>
      </c>
      <c r="R89" s="1" t="str">
        <f aca="false">"Q"&amp;ROUNDUP(MONTH(B89)/3,0)</f>
        <v>Q1</v>
      </c>
    </row>
    <row r="90" customFormat="false" ht="15" hidden="false" customHeight="true" outlineLevel="0" collapsed="false">
      <c r="A90" s="1" t="n">
        <v>10089</v>
      </c>
      <c r="B90" s="14" t="n">
        <v>44650</v>
      </c>
      <c r="C90" s="1" t="n">
        <v>1871</v>
      </c>
      <c r="D90" s="1" t="s">
        <v>27</v>
      </c>
      <c r="E90" s="1" t="s">
        <v>28</v>
      </c>
      <c r="F90" s="1" t="n">
        <v>2</v>
      </c>
      <c r="G90" s="15" t="n">
        <v>418.16</v>
      </c>
      <c r="H90" s="16" t="n">
        <v>0.1</v>
      </c>
      <c r="I90" s="1" t="s">
        <v>31</v>
      </c>
      <c r="J90" s="1" t="n">
        <v>5</v>
      </c>
      <c r="K90" s="1" t="n">
        <v>4.9</v>
      </c>
      <c r="L90" s="15" t="n">
        <v>752.69</v>
      </c>
      <c r="M90" s="15" t="n">
        <f aca="false">F90*G90</f>
        <v>836.32</v>
      </c>
      <c r="N90" s="15" t="n">
        <f aca="false">M90-L90</f>
        <v>83.63</v>
      </c>
      <c r="O90" s="1" t="n">
        <f aca="false">YEAR(B90)</f>
        <v>2022</v>
      </c>
      <c r="P90" s="1" t="n">
        <f aca="false">MONTH(B90)</f>
        <v>3</v>
      </c>
      <c r="Q90" s="1" t="str">
        <f aca="false">TEXT(B90,"mmm")</f>
        <v>Mar</v>
      </c>
      <c r="R90" s="1" t="str">
        <f aca="false">"Q"&amp;ROUNDUP(MONTH(B90)/3,0)</f>
        <v>Q1</v>
      </c>
    </row>
    <row r="91" customFormat="false" ht="15" hidden="false" customHeight="true" outlineLevel="0" collapsed="false">
      <c r="A91" s="1" t="n">
        <v>10090</v>
      </c>
      <c r="B91" s="14" t="n">
        <v>44651</v>
      </c>
      <c r="C91" s="1" t="n">
        <v>1387</v>
      </c>
      <c r="D91" s="1" t="s">
        <v>34</v>
      </c>
      <c r="E91" s="1" t="s">
        <v>28</v>
      </c>
      <c r="F91" s="1" t="n">
        <v>6</v>
      </c>
      <c r="G91" s="15" t="n">
        <v>588.62</v>
      </c>
      <c r="H91" s="16" t="n">
        <v>0.12</v>
      </c>
      <c r="I91" s="1" t="s">
        <v>31</v>
      </c>
      <c r="J91" s="1" t="n">
        <v>10</v>
      </c>
      <c r="K91" s="1" t="n">
        <v>2</v>
      </c>
      <c r="L91" s="15" t="n">
        <v>3107.91</v>
      </c>
      <c r="M91" s="15" t="n">
        <f aca="false">F91*G91</f>
        <v>3531.72</v>
      </c>
      <c r="N91" s="15" t="n">
        <f aca="false">M91-L91</f>
        <v>423.81</v>
      </c>
      <c r="O91" s="1" t="n">
        <f aca="false">YEAR(B91)</f>
        <v>2022</v>
      </c>
      <c r="P91" s="1" t="n">
        <f aca="false">MONTH(B91)</f>
        <v>3</v>
      </c>
      <c r="Q91" s="1" t="str">
        <f aca="false">TEXT(B91,"mmm")</f>
        <v>Mar</v>
      </c>
      <c r="R91" s="1" t="str">
        <f aca="false">"Q"&amp;ROUNDUP(MONTH(B91)/3,0)</f>
        <v>Q1</v>
      </c>
    </row>
    <row r="92" customFormat="false" ht="15" hidden="false" customHeight="true" outlineLevel="0" collapsed="false">
      <c r="A92" s="1" t="n">
        <v>10091</v>
      </c>
      <c r="B92" s="14" t="n">
        <v>44652</v>
      </c>
      <c r="C92" s="1" t="n">
        <v>1001</v>
      </c>
      <c r="D92" s="1" t="s">
        <v>37</v>
      </c>
      <c r="E92" s="1" t="s">
        <v>32</v>
      </c>
      <c r="F92" s="1" t="n">
        <v>3</v>
      </c>
      <c r="G92" s="15" t="n">
        <v>579.89</v>
      </c>
      <c r="H92" s="16" t="n">
        <v>0.33</v>
      </c>
      <c r="I92" s="1" t="s">
        <v>29</v>
      </c>
      <c r="J92" s="1" t="n">
        <v>4</v>
      </c>
      <c r="K92" s="1" t="n">
        <v>4.8</v>
      </c>
      <c r="L92" s="15" t="n">
        <v>1165.58</v>
      </c>
      <c r="M92" s="15" t="n">
        <f aca="false">F92*G92</f>
        <v>1739.67</v>
      </c>
      <c r="N92" s="15" t="n">
        <f aca="false">M92-L92</f>
        <v>574.09</v>
      </c>
      <c r="O92" s="1" t="n">
        <f aca="false">YEAR(B92)</f>
        <v>2022</v>
      </c>
      <c r="P92" s="1" t="n">
        <f aca="false">MONTH(B92)</f>
        <v>4</v>
      </c>
      <c r="Q92" s="1" t="str">
        <f aca="false">TEXT(B92,"mmm")</f>
        <v>Apr</v>
      </c>
      <c r="R92" s="1" t="str">
        <f aca="false">"Q"&amp;ROUNDUP(MONTH(B92)/3,0)</f>
        <v>Q2</v>
      </c>
    </row>
    <row r="93" customFormat="false" ht="15" hidden="false" customHeight="true" outlineLevel="0" collapsed="false">
      <c r="A93" s="1" t="n">
        <v>10092</v>
      </c>
      <c r="B93" s="14" t="n">
        <v>44653</v>
      </c>
      <c r="C93" s="1" t="n">
        <v>1389</v>
      </c>
      <c r="D93" s="1" t="s">
        <v>30</v>
      </c>
      <c r="E93" s="1" t="s">
        <v>35</v>
      </c>
      <c r="F93" s="1" t="n">
        <v>5</v>
      </c>
      <c r="G93" s="15" t="n">
        <v>109.15</v>
      </c>
      <c r="H93" s="16" t="n">
        <v>0.2</v>
      </c>
      <c r="I93" s="1" t="s">
        <v>31</v>
      </c>
      <c r="J93" s="1" t="n">
        <v>1</v>
      </c>
      <c r="K93" s="1" t="n">
        <v>3.1</v>
      </c>
      <c r="L93" s="15" t="n">
        <v>436.6</v>
      </c>
      <c r="M93" s="15" t="n">
        <f aca="false">F93*G93</f>
        <v>545.75</v>
      </c>
      <c r="N93" s="15" t="n">
        <f aca="false">M93-L93</f>
        <v>109.15</v>
      </c>
      <c r="O93" s="1" t="n">
        <f aca="false">YEAR(B93)</f>
        <v>2022</v>
      </c>
      <c r="P93" s="1" t="n">
        <f aca="false">MONTH(B93)</f>
        <v>4</v>
      </c>
      <c r="Q93" s="1" t="str">
        <f aca="false">TEXT(B93,"mmm")</f>
        <v>Apr</v>
      </c>
      <c r="R93" s="1" t="str">
        <f aca="false">"Q"&amp;ROUNDUP(MONTH(B93)/3,0)</f>
        <v>Q2</v>
      </c>
    </row>
    <row r="94" customFormat="false" ht="15" hidden="false" customHeight="true" outlineLevel="0" collapsed="false">
      <c r="A94" s="1" t="n">
        <v>10093</v>
      </c>
      <c r="B94" s="14" t="n">
        <v>44654</v>
      </c>
      <c r="C94" s="1" t="n">
        <v>1565</v>
      </c>
      <c r="D94" s="1" t="s">
        <v>27</v>
      </c>
      <c r="E94" s="1" t="s">
        <v>35</v>
      </c>
      <c r="F94" s="1" t="n">
        <v>4</v>
      </c>
      <c r="G94" s="15" t="n">
        <v>121.03</v>
      </c>
      <c r="H94" s="16" t="n">
        <v>0.06</v>
      </c>
      <c r="I94" s="1" t="s">
        <v>29</v>
      </c>
      <c r="J94" s="1" t="n">
        <v>9</v>
      </c>
      <c r="K94" s="1" t="n">
        <v>1.6</v>
      </c>
      <c r="L94" s="15" t="n">
        <v>455.07</v>
      </c>
      <c r="M94" s="15" t="n">
        <f aca="false">F94*G94</f>
        <v>484.12</v>
      </c>
      <c r="N94" s="15" t="n">
        <f aca="false">M94-L94</f>
        <v>29.05</v>
      </c>
      <c r="O94" s="1" t="n">
        <f aca="false">YEAR(B94)</f>
        <v>2022</v>
      </c>
      <c r="P94" s="1" t="n">
        <f aca="false">MONTH(B94)</f>
        <v>4</v>
      </c>
      <c r="Q94" s="1" t="str">
        <f aca="false">TEXT(B94,"mmm")</f>
        <v>Apr</v>
      </c>
      <c r="R94" s="1" t="str">
        <f aca="false">"Q"&amp;ROUNDUP(MONTH(B94)/3,0)</f>
        <v>Q2</v>
      </c>
    </row>
    <row r="95" customFormat="false" ht="15" hidden="false" customHeight="true" outlineLevel="0" collapsed="false">
      <c r="A95" s="1" t="n">
        <v>10094</v>
      </c>
      <c r="B95" s="14" t="n">
        <v>44655</v>
      </c>
      <c r="C95" s="1" t="n">
        <v>1105</v>
      </c>
      <c r="D95" s="1" t="s">
        <v>34</v>
      </c>
      <c r="E95" s="1" t="s">
        <v>36</v>
      </c>
      <c r="F95" s="1" t="n">
        <v>3</v>
      </c>
      <c r="G95" s="15" t="n">
        <v>345.84</v>
      </c>
      <c r="H95" s="16" t="n">
        <v>0.23</v>
      </c>
      <c r="I95" s="1" t="s">
        <v>29</v>
      </c>
      <c r="J95" s="1" t="n">
        <v>7</v>
      </c>
      <c r="K95" s="1" t="n">
        <v>1.6</v>
      </c>
      <c r="L95" s="15" t="n">
        <v>798.89</v>
      </c>
      <c r="M95" s="15" t="n">
        <f aca="false">F95*G95</f>
        <v>1037.52</v>
      </c>
      <c r="N95" s="15" t="n">
        <f aca="false">M95-L95</f>
        <v>238.63</v>
      </c>
      <c r="O95" s="1" t="n">
        <f aca="false">YEAR(B95)</f>
        <v>2022</v>
      </c>
      <c r="P95" s="1" t="n">
        <f aca="false">MONTH(B95)</f>
        <v>4</v>
      </c>
      <c r="Q95" s="1" t="str">
        <f aca="false">TEXT(B95,"mmm")</f>
        <v>Apr</v>
      </c>
      <c r="R95" s="1" t="str">
        <f aca="false">"Q"&amp;ROUNDUP(MONTH(B95)/3,0)</f>
        <v>Q2</v>
      </c>
    </row>
    <row r="96" customFormat="false" ht="15" hidden="false" customHeight="true" outlineLevel="0" collapsed="false">
      <c r="A96" s="1" t="n">
        <v>10095</v>
      </c>
      <c r="B96" s="14" t="n">
        <v>44656</v>
      </c>
      <c r="C96" s="1" t="n">
        <v>1771</v>
      </c>
      <c r="D96" s="1" t="s">
        <v>37</v>
      </c>
      <c r="E96" s="1" t="s">
        <v>35</v>
      </c>
      <c r="F96" s="1" t="n">
        <v>2</v>
      </c>
      <c r="G96" s="15" t="n">
        <v>387.82</v>
      </c>
      <c r="H96" s="16" t="n">
        <v>0.35</v>
      </c>
      <c r="I96" s="1" t="s">
        <v>33</v>
      </c>
      <c r="J96" s="1" t="n">
        <v>2</v>
      </c>
      <c r="K96" s="1" t="n">
        <v>3.4</v>
      </c>
      <c r="L96" s="15" t="n">
        <v>504.17</v>
      </c>
      <c r="M96" s="15" t="n">
        <f aca="false">F96*G96</f>
        <v>775.64</v>
      </c>
      <c r="N96" s="15" t="n">
        <f aca="false">M96-L96</f>
        <v>271.47</v>
      </c>
      <c r="O96" s="1" t="n">
        <f aca="false">YEAR(B96)</f>
        <v>2022</v>
      </c>
      <c r="P96" s="1" t="n">
        <f aca="false">MONTH(B96)</f>
        <v>4</v>
      </c>
      <c r="Q96" s="1" t="str">
        <f aca="false">TEXT(B96,"mmm")</f>
        <v>Apr</v>
      </c>
      <c r="R96" s="1" t="str">
        <f aca="false">"Q"&amp;ROUNDUP(MONTH(B96)/3,0)</f>
        <v>Q2</v>
      </c>
    </row>
    <row r="97" customFormat="false" ht="15" hidden="false" customHeight="true" outlineLevel="0" collapsed="false">
      <c r="A97" s="1" t="n">
        <v>10096</v>
      </c>
      <c r="B97" s="14" t="n">
        <v>44657</v>
      </c>
      <c r="C97" s="1" t="n">
        <v>1821</v>
      </c>
      <c r="D97" s="1" t="s">
        <v>30</v>
      </c>
      <c r="E97" s="1" t="s">
        <v>35</v>
      </c>
      <c r="F97" s="1" t="n">
        <v>1</v>
      </c>
      <c r="G97" s="15" t="n">
        <v>447.56</v>
      </c>
      <c r="H97" s="16" t="n">
        <v>0.29</v>
      </c>
      <c r="I97" s="1" t="s">
        <v>31</v>
      </c>
      <c r="J97" s="1" t="n">
        <v>4</v>
      </c>
      <c r="K97" s="1" t="n">
        <v>4.3</v>
      </c>
      <c r="L97" s="15" t="n">
        <v>317.77</v>
      </c>
      <c r="M97" s="15" t="n">
        <f aca="false">F97*G97</f>
        <v>447.56</v>
      </c>
      <c r="N97" s="15" t="n">
        <f aca="false">M97-L97</f>
        <v>129.79</v>
      </c>
      <c r="O97" s="1" t="n">
        <f aca="false">YEAR(B97)</f>
        <v>2022</v>
      </c>
      <c r="P97" s="1" t="n">
        <f aca="false">MONTH(B97)</f>
        <v>4</v>
      </c>
      <c r="Q97" s="1" t="str">
        <f aca="false">TEXT(B97,"mmm")</f>
        <v>Apr</v>
      </c>
      <c r="R97" s="1" t="str">
        <f aca="false">"Q"&amp;ROUNDUP(MONTH(B97)/3,0)</f>
        <v>Q2</v>
      </c>
    </row>
    <row r="98" customFormat="false" ht="15" hidden="false" customHeight="true" outlineLevel="0" collapsed="false">
      <c r="A98" s="1" t="n">
        <v>10097</v>
      </c>
      <c r="B98" s="14" t="n">
        <v>44658</v>
      </c>
      <c r="C98" s="1" t="n">
        <v>1476</v>
      </c>
      <c r="D98" s="1" t="s">
        <v>34</v>
      </c>
      <c r="E98" s="1" t="s">
        <v>36</v>
      </c>
      <c r="F98" s="1" t="n">
        <v>7</v>
      </c>
      <c r="G98" s="15" t="n">
        <v>120.91</v>
      </c>
      <c r="H98" s="16" t="n">
        <v>0.26</v>
      </c>
      <c r="I98" s="1" t="s">
        <v>33</v>
      </c>
      <c r="J98" s="1" t="n">
        <v>4</v>
      </c>
      <c r="K98" s="1" t="n">
        <v>4</v>
      </c>
      <c r="L98" s="15" t="n">
        <v>626.31</v>
      </c>
      <c r="M98" s="15" t="n">
        <f aca="false">F98*G98</f>
        <v>846.37</v>
      </c>
      <c r="N98" s="15" t="n">
        <f aca="false">M98-L98</f>
        <v>220.06</v>
      </c>
      <c r="O98" s="1" t="n">
        <f aca="false">YEAR(B98)</f>
        <v>2022</v>
      </c>
      <c r="P98" s="1" t="n">
        <f aca="false">MONTH(B98)</f>
        <v>4</v>
      </c>
      <c r="Q98" s="1" t="str">
        <f aca="false">TEXT(B98,"mmm")</f>
        <v>Apr</v>
      </c>
      <c r="R98" s="1" t="str">
        <f aca="false">"Q"&amp;ROUNDUP(MONTH(B98)/3,0)</f>
        <v>Q2</v>
      </c>
    </row>
    <row r="99" customFormat="false" ht="15" hidden="false" customHeight="true" outlineLevel="0" collapsed="false">
      <c r="A99" s="1" t="n">
        <v>10098</v>
      </c>
      <c r="B99" s="14" t="n">
        <v>44659</v>
      </c>
      <c r="C99" s="1" t="n">
        <v>1702</v>
      </c>
      <c r="D99" s="1" t="s">
        <v>34</v>
      </c>
      <c r="E99" s="1" t="s">
        <v>36</v>
      </c>
      <c r="F99" s="1" t="n">
        <v>6</v>
      </c>
      <c r="G99" s="15" t="n">
        <v>576.02</v>
      </c>
      <c r="H99" s="16" t="n">
        <v>0.07</v>
      </c>
      <c r="I99" s="1" t="s">
        <v>31</v>
      </c>
      <c r="J99" s="1" t="n">
        <v>8</v>
      </c>
      <c r="K99" s="1" t="n">
        <v>3.6</v>
      </c>
      <c r="L99" s="15" t="n">
        <v>3214.19</v>
      </c>
      <c r="M99" s="15" t="n">
        <f aca="false">F99*G99</f>
        <v>3456.12</v>
      </c>
      <c r="N99" s="15" t="n">
        <f aca="false">M99-L99</f>
        <v>241.93</v>
      </c>
      <c r="O99" s="1" t="n">
        <f aca="false">YEAR(B99)</f>
        <v>2022</v>
      </c>
      <c r="P99" s="1" t="n">
        <f aca="false">MONTH(B99)</f>
        <v>4</v>
      </c>
      <c r="Q99" s="1" t="str">
        <f aca="false">TEXT(B99,"mmm")</f>
        <v>Apr</v>
      </c>
      <c r="R99" s="1" t="str">
        <f aca="false">"Q"&amp;ROUNDUP(MONTH(B99)/3,0)</f>
        <v>Q2</v>
      </c>
    </row>
    <row r="100" customFormat="false" ht="15" hidden="false" customHeight="true" outlineLevel="0" collapsed="false">
      <c r="A100" s="1" t="n">
        <v>10099</v>
      </c>
      <c r="B100" s="14" t="n">
        <v>44660</v>
      </c>
      <c r="C100" s="1" t="n">
        <v>1401</v>
      </c>
      <c r="D100" s="1" t="s">
        <v>37</v>
      </c>
      <c r="E100" s="1" t="s">
        <v>35</v>
      </c>
      <c r="F100" s="1" t="n">
        <v>3</v>
      </c>
      <c r="G100" s="15" t="n">
        <v>388.66</v>
      </c>
      <c r="H100" s="16" t="n">
        <v>0.31</v>
      </c>
      <c r="I100" s="1" t="s">
        <v>31</v>
      </c>
      <c r="J100" s="1" t="n">
        <v>2</v>
      </c>
      <c r="K100" s="1" t="n">
        <v>1.7</v>
      </c>
      <c r="L100" s="15" t="n">
        <v>804.53</v>
      </c>
      <c r="M100" s="15" t="n">
        <f aca="false">F100*G100</f>
        <v>1165.98</v>
      </c>
      <c r="N100" s="15" t="n">
        <f aca="false">M100-L100</f>
        <v>361.45</v>
      </c>
      <c r="O100" s="1" t="n">
        <f aca="false">YEAR(B100)</f>
        <v>2022</v>
      </c>
      <c r="P100" s="1" t="n">
        <f aca="false">MONTH(B100)</f>
        <v>4</v>
      </c>
      <c r="Q100" s="1" t="str">
        <f aca="false">TEXT(B100,"mmm")</f>
        <v>Apr</v>
      </c>
      <c r="R100" s="1" t="str">
        <f aca="false">"Q"&amp;ROUNDUP(MONTH(B100)/3,0)</f>
        <v>Q2</v>
      </c>
    </row>
    <row r="101" customFormat="false" ht="15" hidden="false" customHeight="true" outlineLevel="0" collapsed="false">
      <c r="A101" s="1" t="n">
        <v>10100</v>
      </c>
      <c r="B101" s="14" t="n">
        <v>44661</v>
      </c>
      <c r="C101" s="1" t="n">
        <v>1729</v>
      </c>
      <c r="D101" s="1" t="s">
        <v>37</v>
      </c>
      <c r="E101" s="1" t="s">
        <v>32</v>
      </c>
      <c r="F101" s="1" t="n">
        <v>7</v>
      </c>
      <c r="G101" s="15" t="n">
        <v>510.52</v>
      </c>
      <c r="H101" s="16" t="n">
        <v>0.18</v>
      </c>
      <c r="I101" s="1" t="s">
        <v>33</v>
      </c>
      <c r="J101" s="1" t="n">
        <v>11</v>
      </c>
      <c r="K101" s="1" t="n">
        <v>1.4</v>
      </c>
      <c r="L101" s="15" t="n">
        <v>2930.38</v>
      </c>
      <c r="M101" s="15" t="n">
        <f aca="false">F101*G101</f>
        <v>3573.64</v>
      </c>
      <c r="N101" s="15" t="n">
        <f aca="false">M101-L101</f>
        <v>643.26</v>
      </c>
      <c r="O101" s="1" t="n">
        <f aca="false">YEAR(B101)</f>
        <v>2022</v>
      </c>
      <c r="P101" s="1" t="n">
        <f aca="false">MONTH(B101)</f>
        <v>4</v>
      </c>
      <c r="Q101" s="1" t="str">
        <f aca="false">TEXT(B101,"mmm")</f>
        <v>Apr</v>
      </c>
      <c r="R101" s="1" t="str">
        <f aca="false">"Q"&amp;ROUNDUP(MONTH(B101)/3,0)</f>
        <v>Q2</v>
      </c>
    </row>
    <row r="102" customFormat="false" ht="15" hidden="false" customHeight="true" outlineLevel="0" collapsed="false">
      <c r="A102" s="1" t="n">
        <v>10101</v>
      </c>
      <c r="B102" s="14" t="n">
        <v>44662</v>
      </c>
      <c r="C102" s="1" t="n">
        <v>1555</v>
      </c>
      <c r="D102" s="1" t="s">
        <v>34</v>
      </c>
      <c r="E102" s="1" t="s">
        <v>36</v>
      </c>
      <c r="F102" s="1" t="n">
        <v>7</v>
      </c>
      <c r="G102" s="15" t="n">
        <v>330.94</v>
      </c>
      <c r="H102" s="16" t="n">
        <v>0.31</v>
      </c>
      <c r="I102" s="1" t="s">
        <v>31</v>
      </c>
      <c r="J102" s="1" t="n">
        <v>5</v>
      </c>
      <c r="K102" s="1" t="n">
        <v>1</v>
      </c>
      <c r="L102" s="15" t="n">
        <v>1598.44</v>
      </c>
      <c r="M102" s="15" t="n">
        <f aca="false">F102*G102</f>
        <v>2316.58</v>
      </c>
      <c r="N102" s="15" t="n">
        <f aca="false">M102-L102</f>
        <v>718.14</v>
      </c>
      <c r="O102" s="1" t="n">
        <f aca="false">YEAR(B102)</f>
        <v>2022</v>
      </c>
      <c r="P102" s="1" t="n">
        <f aca="false">MONTH(B102)</f>
        <v>4</v>
      </c>
      <c r="Q102" s="1" t="str">
        <f aca="false">TEXT(B102,"mmm")</f>
        <v>Apr</v>
      </c>
      <c r="R102" s="1" t="str">
        <f aca="false">"Q"&amp;ROUNDUP(MONTH(B102)/3,0)</f>
        <v>Q2</v>
      </c>
    </row>
    <row r="103" customFormat="false" ht="15" hidden="false" customHeight="true" outlineLevel="0" collapsed="false">
      <c r="A103" s="1" t="n">
        <v>10102</v>
      </c>
      <c r="B103" s="14" t="n">
        <v>44663</v>
      </c>
      <c r="C103" s="1" t="n">
        <v>1161</v>
      </c>
      <c r="D103" s="1" t="s">
        <v>30</v>
      </c>
      <c r="E103" s="1" t="s">
        <v>36</v>
      </c>
      <c r="F103" s="1" t="n">
        <v>5</v>
      </c>
      <c r="G103" s="15" t="n">
        <v>257.35</v>
      </c>
      <c r="H103" s="16" t="n">
        <v>0.12</v>
      </c>
      <c r="I103" s="1" t="s">
        <v>31</v>
      </c>
      <c r="J103" s="1" t="n">
        <v>10</v>
      </c>
      <c r="K103" s="1" t="n">
        <v>1.4</v>
      </c>
      <c r="L103" s="15" t="n">
        <v>1132.34</v>
      </c>
      <c r="M103" s="15" t="n">
        <f aca="false">F103*G103</f>
        <v>1286.75</v>
      </c>
      <c r="N103" s="15" t="n">
        <f aca="false">M103-L103</f>
        <v>154.41</v>
      </c>
      <c r="O103" s="1" t="n">
        <f aca="false">YEAR(B103)</f>
        <v>2022</v>
      </c>
      <c r="P103" s="1" t="n">
        <f aca="false">MONTH(B103)</f>
        <v>4</v>
      </c>
      <c r="Q103" s="1" t="str">
        <f aca="false">TEXT(B103,"mmm")</f>
        <v>Apr</v>
      </c>
      <c r="R103" s="1" t="str">
        <f aca="false">"Q"&amp;ROUNDUP(MONTH(B103)/3,0)</f>
        <v>Q2</v>
      </c>
    </row>
    <row r="104" customFormat="false" ht="15" hidden="false" customHeight="true" outlineLevel="0" collapsed="false">
      <c r="A104" s="1" t="n">
        <v>10103</v>
      </c>
      <c r="B104" s="14" t="n">
        <v>44664</v>
      </c>
      <c r="C104" s="1" t="n">
        <v>1201</v>
      </c>
      <c r="D104" s="1" t="s">
        <v>30</v>
      </c>
      <c r="E104" s="1" t="s">
        <v>35</v>
      </c>
      <c r="F104" s="1" t="n">
        <v>6</v>
      </c>
      <c r="G104" s="15" t="n">
        <v>586.65</v>
      </c>
      <c r="H104" s="16" t="n">
        <v>0.02</v>
      </c>
      <c r="I104" s="1" t="s">
        <v>33</v>
      </c>
      <c r="J104" s="1" t="n">
        <v>8</v>
      </c>
      <c r="K104" s="1" t="n">
        <v>4.1</v>
      </c>
      <c r="L104" s="15" t="n">
        <v>3449.5</v>
      </c>
      <c r="M104" s="15" t="n">
        <f aca="false">F104*G104</f>
        <v>3519.9</v>
      </c>
      <c r="N104" s="15" t="n">
        <f aca="false">M104-L104</f>
        <v>70.3999999999996</v>
      </c>
      <c r="O104" s="1" t="n">
        <f aca="false">YEAR(B104)</f>
        <v>2022</v>
      </c>
      <c r="P104" s="1" t="n">
        <f aca="false">MONTH(B104)</f>
        <v>4</v>
      </c>
      <c r="Q104" s="1" t="str">
        <f aca="false">TEXT(B104,"mmm")</f>
        <v>Apr</v>
      </c>
      <c r="R104" s="1" t="str">
        <f aca="false">"Q"&amp;ROUNDUP(MONTH(B104)/3,0)</f>
        <v>Q2</v>
      </c>
    </row>
    <row r="105" customFormat="false" ht="15" hidden="false" customHeight="true" outlineLevel="0" collapsed="false">
      <c r="A105" s="1" t="n">
        <v>10104</v>
      </c>
      <c r="B105" s="14" t="n">
        <v>44665</v>
      </c>
      <c r="C105" s="1" t="n">
        <v>1957</v>
      </c>
      <c r="D105" s="1" t="s">
        <v>37</v>
      </c>
      <c r="E105" s="1" t="s">
        <v>35</v>
      </c>
      <c r="F105" s="1" t="n">
        <v>2</v>
      </c>
      <c r="G105" s="15" t="n">
        <v>355.54</v>
      </c>
      <c r="H105" s="16" t="n">
        <v>0.17</v>
      </c>
      <c r="I105" s="1" t="s">
        <v>33</v>
      </c>
      <c r="J105" s="1" t="n">
        <v>6</v>
      </c>
      <c r="K105" s="1" t="n">
        <v>4.6</v>
      </c>
      <c r="L105" s="15" t="n">
        <v>590.2</v>
      </c>
      <c r="M105" s="15" t="n">
        <f aca="false">F105*G105</f>
        <v>711.08</v>
      </c>
      <c r="N105" s="15" t="n">
        <f aca="false">M105-L105</f>
        <v>120.88</v>
      </c>
      <c r="O105" s="1" t="n">
        <f aca="false">YEAR(B105)</f>
        <v>2022</v>
      </c>
      <c r="P105" s="1" t="n">
        <f aca="false">MONTH(B105)</f>
        <v>4</v>
      </c>
      <c r="Q105" s="1" t="str">
        <f aca="false">TEXT(B105,"mmm")</f>
        <v>Apr</v>
      </c>
      <c r="R105" s="1" t="str">
        <f aca="false">"Q"&amp;ROUNDUP(MONTH(B105)/3,0)</f>
        <v>Q2</v>
      </c>
    </row>
    <row r="106" customFormat="false" ht="15" hidden="false" customHeight="true" outlineLevel="0" collapsed="false">
      <c r="A106" s="1" t="n">
        <v>10105</v>
      </c>
      <c r="B106" s="14" t="n">
        <v>44666</v>
      </c>
      <c r="C106" s="1" t="n">
        <v>1995</v>
      </c>
      <c r="D106" s="1" t="s">
        <v>34</v>
      </c>
      <c r="E106" s="1" t="s">
        <v>36</v>
      </c>
      <c r="F106" s="1" t="n">
        <v>6</v>
      </c>
      <c r="G106" s="15" t="n">
        <v>522.12</v>
      </c>
      <c r="H106" s="16" t="n">
        <v>0.09</v>
      </c>
      <c r="I106" s="1" t="s">
        <v>31</v>
      </c>
      <c r="J106" s="1" t="n">
        <v>4</v>
      </c>
      <c r="K106" s="1" t="n">
        <v>2</v>
      </c>
      <c r="L106" s="15" t="n">
        <v>2850.78</v>
      </c>
      <c r="M106" s="15" t="n">
        <f aca="false">F106*G106</f>
        <v>3132.72</v>
      </c>
      <c r="N106" s="15" t="n">
        <f aca="false">M106-L106</f>
        <v>281.94</v>
      </c>
      <c r="O106" s="1" t="n">
        <f aca="false">YEAR(B106)</f>
        <v>2022</v>
      </c>
      <c r="P106" s="1" t="n">
        <f aca="false">MONTH(B106)</f>
        <v>4</v>
      </c>
      <c r="Q106" s="1" t="str">
        <f aca="false">TEXT(B106,"mmm")</f>
        <v>Apr</v>
      </c>
      <c r="R106" s="1" t="str">
        <f aca="false">"Q"&amp;ROUNDUP(MONTH(B106)/3,0)</f>
        <v>Q2</v>
      </c>
    </row>
    <row r="107" customFormat="false" ht="15" hidden="false" customHeight="true" outlineLevel="0" collapsed="false">
      <c r="A107" s="1" t="n">
        <v>10106</v>
      </c>
      <c r="B107" s="14" t="n">
        <v>44667</v>
      </c>
      <c r="C107" s="1" t="n">
        <v>1269</v>
      </c>
      <c r="D107" s="1" t="s">
        <v>27</v>
      </c>
      <c r="E107" s="1" t="s">
        <v>35</v>
      </c>
      <c r="F107" s="1" t="n">
        <v>6</v>
      </c>
      <c r="G107" s="15" t="n">
        <v>572.68</v>
      </c>
      <c r="H107" s="16" t="n">
        <v>0.25</v>
      </c>
      <c r="I107" s="1" t="s">
        <v>31</v>
      </c>
      <c r="J107" s="1" t="n">
        <v>5</v>
      </c>
      <c r="K107" s="1" t="n">
        <v>4.2</v>
      </c>
      <c r="L107" s="15" t="n">
        <v>2577.06</v>
      </c>
      <c r="M107" s="15" t="n">
        <f aca="false">F107*G107</f>
        <v>3436.08</v>
      </c>
      <c r="N107" s="15" t="n">
        <f aca="false">M107-L107</f>
        <v>859.02</v>
      </c>
      <c r="O107" s="1" t="n">
        <f aca="false">YEAR(B107)</f>
        <v>2022</v>
      </c>
      <c r="P107" s="1" t="n">
        <f aca="false">MONTH(B107)</f>
        <v>4</v>
      </c>
      <c r="Q107" s="1" t="str">
        <f aca="false">TEXT(B107,"mmm")</f>
        <v>Apr</v>
      </c>
      <c r="R107" s="1" t="str">
        <f aca="false">"Q"&amp;ROUNDUP(MONTH(B107)/3,0)</f>
        <v>Q2</v>
      </c>
    </row>
    <row r="108" customFormat="false" ht="15" hidden="false" customHeight="true" outlineLevel="0" collapsed="false">
      <c r="A108" s="1" t="n">
        <v>10107</v>
      </c>
      <c r="B108" s="14" t="n">
        <v>44668</v>
      </c>
      <c r="C108" s="1" t="n">
        <v>1862</v>
      </c>
      <c r="D108" s="1" t="s">
        <v>34</v>
      </c>
      <c r="E108" s="1" t="s">
        <v>36</v>
      </c>
      <c r="F108" s="1" t="n">
        <v>1</v>
      </c>
      <c r="G108" s="15" t="n">
        <v>410.08</v>
      </c>
      <c r="H108" s="16" t="n">
        <v>0.33</v>
      </c>
      <c r="I108" s="1" t="s">
        <v>31</v>
      </c>
      <c r="J108" s="1" t="n">
        <v>2</v>
      </c>
      <c r="K108" s="1" t="n">
        <v>1.8</v>
      </c>
      <c r="L108" s="15" t="n">
        <v>274.75</v>
      </c>
      <c r="M108" s="15" t="n">
        <f aca="false">F108*G108</f>
        <v>410.08</v>
      </c>
      <c r="N108" s="15" t="n">
        <f aca="false">M108-L108</f>
        <v>135.33</v>
      </c>
      <c r="O108" s="1" t="n">
        <f aca="false">YEAR(B108)</f>
        <v>2022</v>
      </c>
      <c r="P108" s="1" t="n">
        <f aca="false">MONTH(B108)</f>
        <v>4</v>
      </c>
      <c r="Q108" s="1" t="str">
        <f aca="false">TEXT(B108,"mmm")</f>
        <v>Apr</v>
      </c>
      <c r="R108" s="1" t="str">
        <f aca="false">"Q"&amp;ROUNDUP(MONTH(B108)/3,0)</f>
        <v>Q2</v>
      </c>
    </row>
    <row r="109" customFormat="false" ht="15" hidden="false" customHeight="true" outlineLevel="0" collapsed="false">
      <c r="A109" s="1" t="n">
        <v>10108</v>
      </c>
      <c r="B109" s="14" t="n">
        <v>44669</v>
      </c>
      <c r="C109" s="1" t="n">
        <v>1815</v>
      </c>
      <c r="D109" s="1" t="s">
        <v>30</v>
      </c>
      <c r="E109" s="1" t="s">
        <v>32</v>
      </c>
      <c r="F109" s="1" t="n">
        <v>4</v>
      </c>
      <c r="G109" s="15" t="n">
        <v>336.13</v>
      </c>
      <c r="H109" s="16" t="n">
        <v>0.24</v>
      </c>
      <c r="I109" s="1" t="s">
        <v>31</v>
      </c>
      <c r="J109" s="1" t="n">
        <v>5</v>
      </c>
      <c r="K109" s="1" t="n">
        <v>2</v>
      </c>
      <c r="L109" s="15" t="n">
        <v>1021.84</v>
      </c>
      <c r="M109" s="15" t="n">
        <f aca="false">F109*G109</f>
        <v>1344.52</v>
      </c>
      <c r="N109" s="15" t="n">
        <f aca="false">M109-L109</f>
        <v>322.68</v>
      </c>
      <c r="O109" s="1" t="n">
        <f aca="false">YEAR(B109)</f>
        <v>2022</v>
      </c>
      <c r="P109" s="1" t="n">
        <f aca="false">MONTH(B109)</f>
        <v>4</v>
      </c>
      <c r="Q109" s="1" t="str">
        <f aca="false">TEXT(B109,"mmm")</f>
        <v>Apr</v>
      </c>
      <c r="R109" s="1" t="str">
        <f aca="false">"Q"&amp;ROUNDUP(MONTH(B109)/3,0)</f>
        <v>Q2</v>
      </c>
    </row>
    <row r="110" customFormat="false" ht="15" hidden="false" customHeight="true" outlineLevel="0" collapsed="false">
      <c r="A110" s="1" t="n">
        <v>10109</v>
      </c>
      <c r="B110" s="14" t="n">
        <v>44670</v>
      </c>
      <c r="C110" s="1" t="n">
        <v>1270</v>
      </c>
      <c r="D110" s="1" t="s">
        <v>34</v>
      </c>
      <c r="E110" s="1" t="s">
        <v>32</v>
      </c>
      <c r="F110" s="1" t="n">
        <v>7</v>
      </c>
      <c r="G110" s="15" t="n">
        <v>17.05</v>
      </c>
      <c r="H110" s="16" t="n">
        <v>0.31</v>
      </c>
      <c r="I110" s="1" t="s">
        <v>33</v>
      </c>
      <c r="J110" s="1" t="n">
        <v>3</v>
      </c>
      <c r="K110" s="1" t="n">
        <v>1.9</v>
      </c>
      <c r="L110" s="15" t="n">
        <v>82.35</v>
      </c>
      <c r="M110" s="15" t="n">
        <f aca="false">F110*G110</f>
        <v>119.35</v>
      </c>
      <c r="N110" s="15" t="n">
        <f aca="false">M110-L110</f>
        <v>37</v>
      </c>
      <c r="O110" s="1" t="n">
        <f aca="false">YEAR(B110)</f>
        <v>2022</v>
      </c>
      <c r="P110" s="1" t="n">
        <f aca="false">MONTH(B110)</f>
        <v>4</v>
      </c>
      <c r="Q110" s="1" t="str">
        <f aca="false">TEXT(B110,"mmm")</f>
        <v>Apr</v>
      </c>
      <c r="R110" s="1" t="str">
        <f aca="false">"Q"&amp;ROUNDUP(MONTH(B110)/3,0)</f>
        <v>Q2</v>
      </c>
    </row>
    <row r="111" customFormat="false" ht="15" hidden="false" customHeight="true" outlineLevel="0" collapsed="false">
      <c r="A111" s="1" t="n">
        <v>10110</v>
      </c>
      <c r="B111" s="14" t="n">
        <v>44671</v>
      </c>
      <c r="C111" s="1" t="n">
        <v>1455</v>
      </c>
      <c r="D111" s="1" t="s">
        <v>34</v>
      </c>
      <c r="E111" s="1" t="s">
        <v>36</v>
      </c>
      <c r="F111" s="1" t="n">
        <v>2</v>
      </c>
      <c r="G111" s="15" t="n">
        <v>38.41</v>
      </c>
      <c r="H111" s="16" t="n">
        <v>0.16</v>
      </c>
      <c r="I111" s="1" t="s">
        <v>33</v>
      </c>
      <c r="J111" s="1" t="n">
        <v>3</v>
      </c>
      <c r="K111" s="1" t="n">
        <v>1.2</v>
      </c>
      <c r="L111" s="15" t="n">
        <v>64.53</v>
      </c>
      <c r="M111" s="15" t="n">
        <f aca="false">F111*G111</f>
        <v>76.82</v>
      </c>
      <c r="N111" s="15" t="n">
        <f aca="false">M111-L111</f>
        <v>12.29</v>
      </c>
      <c r="O111" s="1" t="n">
        <f aca="false">YEAR(B111)</f>
        <v>2022</v>
      </c>
      <c r="P111" s="1" t="n">
        <f aca="false">MONTH(B111)</f>
        <v>4</v>
      </c>
      <c r="Q111" s="1" t="str">
        <f aca="false">TEXT(B111,"mmm")</f>
        <v>Apr</v>
      </c>
      <c r="R111" s="1" t="str">
        <f aca="false">"Q"&amp;ROUNDUP(MONTH(B111)/3,0)</f>
        <v>Q2</v>
      </c>
    </row>
    <row r="112" customFormat="false" ht="15" hidden="false" customHeight="true" outlineLevel="0" collapsed="false">
      <c r="A112" s="1" t="n">
        <v>10111</v>
      </c>
      <c r="B112" s="14" t="n">
        <v>44672</v>
      </c>
      <c r="C112" s="1" t="n">
        <v>1461</v>
      </c>
      <c r="D112" s="1" t="s">
        <v>30</v>
      </c>
      <c r="E112" s="1" t="s">
        <v>36</v>
      </c>
      <c r="F112" s="1" t="n">
        <v>1</v>
      </c>
      <c r="G112" s="15" t="n">
        <v>132.5</v>
      </c>
      <c r="H112" s="16" t="n">
        <v>0.27</v>
      </c>
      <c r="I112" s="1" t="s">
        <v>33</v>
      </c>
      <c r="J112" s="1" t="n">
        <v>7</v>
      </c>
      <c r="K112" s="1" t="n">
        <v>1.8</v>
      </c>
      <c r="L112" s="15" t="n">
        <v>96.72</v>
      </c>
      <c r="M112" s="15" t="n">
        <f aca="false">F112*G112</f>
        <v>132.5</v>
      </c>
      <c r="N112" s="15" t="n">
        <f aca="false">M112-L112</f>
        <v>35.78</v>
      </c>
      <c r="O112" s="1" t="n">
        <f aca="false">YEAR(B112)</f>
        <v>2022</v>
      </c>
      <c r="P112" s="1" t="n">
        <f aca="false">MONTH(B112)</f>
        <v>4</v>
      </c>
      <c r="Q112" s="1" t="str">
        <f aca="false">TEXT(B112,"mmm")</f>
        <v>Apr</v>
      </c>
      <c r="R112" s="1" t="str">
        <f aca="false">"Q"&amp;ROUNDUP(MONTH(B112)/3,0)</f>
        <v>Q2</v>
      </c>
    </row>
    <row r="113" customFormat="false" ht="15" hidden="false" customHeight="true" outlineLevel="0" collapsed="false">
      <c r="A113" s="1" t="n">
        <v>10112</v>
      </c>
      <c r="B113" s="14" t="n">
        <v>44673</v>
      </c>
      <c r="C113" s="1" t="n">
        <v>1726</v>
      </c>
      <c r="D113" s="1" t="s">
        <v>34</v>
      </c>
      <c r="E113" s="1" t="s">
        <v>28</v>
      </c>
      <c r="F113" s="1" t="n">
        <v>7</v>
      </c>
      <c r="G113" s="15" t="n">
        <v>123.81</v>
      </c>
      <c r="H113" s="16" t="n">
        <v>0.3</v>
      </c>
      <c r="I113" s="1" t="s">
        <v>31</v>
      </c>
      <c r="J113" s="1" t="n">
        <v>3</v>
      </c>
      <c r="K113" s="1" t="n">
        <v>2.5</v>
      </c>
      <c r="L113" s="15" t="n">
        <v>606.67</v>
      </c>
      <c r="M113" s="15" t="n">
        <f aca="false">F113*G113</f>
        <v>866.67</v>
      </c>
      <c r="N113" s="15" t="n">
        <f aca="false">M113-L113</f>
        <v>260</v>
      </c>
      <c r="O113" s="1" t="n">
        <f aca="false">YEAR(B113)</f>
        <v>2022</v>
      </c>
      <c r="P113" s="1" t="n">
        <f aca="false">MONTH(B113)</f>
        <v>4</v>
      </c>
      <c r="Q113" s="1" t="str">
        <f aca="false">TEXT(B113,"mmm")</f>
        <v>Apr</v>
      </c>
      <c r="R113" s="1" t="str">
        <f aca="false">"Q"&amp;ROUNDUP(MONTH(B113)/3,0)</f>
        <v>Q2</v>
      </c>
    </row>
    <row r="114" customFormat="false" ht="15" hidden="false" customHeight="true" outlineLevel="0" collapsed="false">
      <c r="A114" s="1" t="n">
        <v>10113</v>
      </c>
      <c r="B114" s="14" t="n">
        <v>44674</v>
      </c>
      <c r="C114" s="1" t="n">
        <v>1251</v>
      </c>
      <c r="D114" s="1" t="s">
        <v>37</v>
      </c>
      <c r="E114" s="1" t="s">
        <v>28</v>
      </c>
      <c r="F114" s="1" t="n">
        <v>4</v>
      </c>
      <c r="G114" s="15" t="n">
        <v>164.03</v>
      </c>
      <c r="H114" s="16" t="n">
        <v>0.25</v>
      </c>
      <c r="I114" s="1" t="s">
        <v>31</v>
      </c>
      <c r="J114" s="1" t="n">
        <v>4</v>
      </c>
      <c r="K114" s="1" t="n">
        <v>2.6</v>
      </c>
      <c r="L114" s="15" t="n">
        <v>492.09</v>
      </c>
      <c r="M114" s="15" t="n">
        <f aca="false">F114*G114</f>
        <v>656.12</v>
      </c>
      <c r="N114" s="15" t="n">
        <f aca="false">M114-L114</f>
        <v>164.03</v>
      </c>
      <c r="O114" s="1" t="n">
        <f aca="false">YEAR(B114)</f>
        <v>2022</v>
      </c>
      <c r="P114" s="1" t="n">
        <f aca="false">MONTH(B114)</f>
        <v>4</v>
      </c>
      <c r="Q114" s="1" t="str">
        <f aca="false">TEXT(B114,"mmm")</f>
        <v>Apr</v>
      </c>
      <c r="R114" s="1" t="str">
        <f aca="false">"Q"&amp;ROUNDUP(MONTH(B114)/3,0)</f>
        <v>Q2</v>
      </c>
    </row>
    <row r="115" customFormat="false" ht="15" hidden="false" customHeight="true" outlineLevel="0" collapsed="false">
      <c r="A115" s="1" t="n">
        <v>10114</v>
      </c>
      <c r="B115" s="14" t="n">
        <v>44675</v>
      </c>
      <c r="C115" s="1" t="n">
        <v>1701</v>
      </c>
      <c r="D115" s="1" t="s">
        <v>34</v>
      </c>
      <c r="E115" s="1" t="s">
        <v>35</v>
      </c>
      <c r="F115" s="1" t="n">
        <v>1</v>
      </c>
      <c r="G115" s="15" t="n">
        <v>193.39</v>
      </c>
      <c r="H115" s="16" t="n">
        <v>0.18</v>
      </c>
      <c r="I115" s="1" t="s">
        <v>31</v>
      </c>
      <c r="J115" s="1" t="n">
        <v>7</v>
      </c>
      <c r="K115" s="1" t="n">
        <v>2.2</v>
      </c>
      <c r="L115" s="15" t="n">
        <v>158.58</v>
      </c>
      <c r="M115" s="15" t="n">
        <f aca="false">F115*G115</f>
        <v>193.39</v>
      </c>
      <c r="N115" s="15" t="n">
        <f aca="false">M115-L115</f>
        <v>34.81</v>
      </c>
      <c r="O115" s="1" t="n">
        <f aca="false">YEAR(B115)</f>
        <v>2022</v>
      </c>
      <c r="P115" s="1" t="n">
        <f aca="false">MONTH(B115)</f>
        <v>4</v>
      </c>
      <c r="Q115" s="1" t="str">
        <f aca="false">TEXT(B115,"mmm")</f>
        <v>Apr</v>
      </c>
      <c r="R115" s="1" t="str">
        <f aca="false">"Q"&amp;ROUNDUP(MONTH(B115)/3,0)</f>
        <v>Q2</v>
      </c>
    </row>
    <row r="116" customFormat="false" ht="15" hidden="false" customHeight="true" outlineLevel="0" collapsed="false">
      <c r="A116" s="1" t="n">
        <v>10115</v>
      </c>
      <c r="B116" s="14" t="n">
        <v>44676</v>
      </c>
      <c r="C116" s="1" t="n">
        <v>1295</v>
      </c>
      <c r="D116" s="1" t="s">
        <v>30</v>
      </c>
      <c r="E116" s="1" t="s">
        <v>35</v>
      </c>
      <c r="F116" s="1" t="n">
        <v>4</v>
      </c>
      <c r="G116" s="15" t="n">
        <v>225.64</v>
      </c>
      <c r="H116" s="16" t="n">
        <v>0.22</v>
      </c>
      <c r="I116" s="1" t="s">
        <v>31</v>
      </c>
      <c r="J116" s="1" t="n">
        <v>3</v>
      </c>
      <c r="K116" s="1" t="n">
        <v>3.1</v>
      </c>
      <c r="L116" s="15" t="n">
        <v>704</v>
      </c>
      <c r="M116" s="15" t="n">
        <f aca="false">F116*G116</f>
        <v>902.56</v>
      </c>
      <c r="N116" s="15" t="n">
        <f aca="false">M116-L116</f>
        <v>198.56</v>
      </c>
      <c r="O116" s="1" t="n">
        <f aca="false">YEAR(B116)</f>
        <v>2022</v>
      </c>
      <c r="P116" s="1" t="n">
        <f aca="false">MONTH(B116)</f>
        <v>4</v>
      </c>
      <c r="Q116" s="1" t="str">
        <f aca="false">TEXT(B116,"mmm")</f>
        <v>Apr</v>
      </c>
      <c r="R116" s="1" t="str">
        <f aca="false">"Q"&amp;ROUNDUP(MONTH(B116)/3,0)</f>
        <v>Q2</v>
      </c>
    </row>
    <row r="117" customFormat="false" ht="15" hidden="false" customHeight="true" outlineLevel="0" collapsed="false">
      <c r="A117" s="1" t="n">
        <v>10116</v>
      </c>
      <c r="B117" s="14" t="n">
        <v>44677</v>
      </c>
      <c r="C117" s="1" t="n">
        <v>1724</v>
      </c>
      <c r="D117" s="1" t="s">
        <v>34</v>
      </c>
      <c r="E117" s="1" t="s">
        <v>36</v>
      </c>
      <c r="F117" s="1" t="n">
        <v>4</v>
      </c>
      <c r="G117" s="15" t="n">
        <v>261.01</v>
      </c>
      <c r="H117" s="16" t="n">
        <v>0.25</v>
      </c>
      <c r="I117" s="1" t="s">
        <v>31</v>
      </c>
      <c r="J117" s="1" t="n">
        <v>10</v>
      </c>
      <c r="K117" s="1" t="n">
        <v>2.5</v>
      </c>
      <c r="L117" s="15" t="n">
        <v>783.03</v>
      </c>
      <c r="M117" s="15" t="n">
        <f aca="false">F117*G117</f>
        <v>1044.04</v>
      </c>
      <c r="N117" s="15" t="n">
        <f aca="false">M117-L117</f>
        <v>261.01</v>
      </c>
      <c r="O117" s="1" t="n">
        <f aca="false">YEAR(B117)</f>
        <v>2022</v>
      </c>
      <c r="P117" s="1" t="n">
        <f aca="false">MONTH(B117)</f>
        <v>4</v>
      </c>
      <c r="Q117" s="1" t="str">
        <f aca="false">TEXT(B117,"mmm")</f>
        <v>Apr</v>
      </c>
      <c r="R117" s="1" t="str">
        <f aca="false">"Q"&amp;ROUNDUP(MONTH(B117)/3,0)</f>
        <v>Q2</v>
      </c>
    </row>
    <row r="118" customFormat="false" ht="15" hidden="false" customHeight="true" outlineLevel="0" collapsed="false">
      <c r="A118" s="1" t="n">
        <v>10117</v>
      </c>
      <c r="B118" s="14" t="n">
        <v>44678</v>
      </c>
      <c r="C118" s="1" t="n">
        <v>1719</v>
      </c>
      <c r="D118" s="1" t="s">
        <v>34</v>
      </c>
      <c r="E118" s="1" t="s">
        <v>36</v>
      </c>
      <c r="F118" s="1" t="n">
        <v>4</v>
      </c>
      <c r="G118" s="15" t="n">
        <v>72.84</v>
      </c>
      <c r="H118" s="16" t="n">
        <v>0.09</v>
      </c>
      <c r="I118" s="1" t="s">
        <v>31</v>
      </c>
      <c r="J118" s="1" t="n">
        <v>10</v>
      </c>
      <c r="K118" s="1" t="n">
        <v>4.9</v>
      </c>
      <c r="L118" s="15" t="n">
        <v>265.14</v>
      </c>
      <c r="M118" s="15" t="n">
        <f aca="false">F118*G118</f>
        <v>291.36</v>
      </c>
      <c r="N118" s="15" t="n">
        <f aca="false">M118-L118</f>
        <v>26.22</v>
      </c>
      <c r="O118" s="1" t="n">
        <f aca="false">YEAR(B118)</f>
        <v>2022</v>
      </c>
      <c r="P118" s="1" t="n">
        <f aca="false">MONTH(B118)</f>
        <v>4</v>
      </c>
      <c r="Q118" s="1" t="str">
        <f aca="false">TEXT(B118,"mmm")</f>
        <v>Apr</v>
      </c>
      <c r="R118" s="1" t="str">
        <f aca="false">"Q"&amp;ROUNDUP(MONTH(B118)/3,0)</f>
        <v>Q2</v>
      </c>
    </row>
    <row r="119" customFormat="false" ht="15" hidden="false" customHeight="true" outlineLevel="0" collapsed="false">
      <c r="A119" s="1" t="n">
        <v>10118</v>
      </c>
      <c r="B119" s="14" t="n">
        <v>44679</v>
      </c>
      <c r="C119" s="1" t="n">
        <v>1748</v>
      </c>
      <c r="D119" s="1" t="s">
        <v>34</v>
      </c>
      <c r="E119" s="1" t="s">
        <v>28</v>
      </c>
      <c r="F119" s="1" t="n">
        <v>1</v>
      </c>
      <c r="G119" s="15" t="n">
        <v>39.78</v>
      </c>
      <c r="H119" s="16" t="n">
        <v>0.28</v>
      </c>
      <c r="I119" s="1" t="s">
        <v>31</v>
      </c>
      <c r="J119" s="1" t="n">
        <v>2</v>
      </c>
      <c r="K119" s="1" t="n">
        <v>4.2</v>
      </c>
      <c r="L119" s="15" t="n">
        <v>28.64</v>
      </c>
      <c r="M119" s="15" t="n">
        <f aca="false">F119*G119</f>
        <v>39.78</v>
      </c>
      <c r="N119" s="15" t="n">
        <f aca="false">M119-L119</f>
        <v>11.14</v>
      </c>
      <c r="O119" s="1" t="n">
        <f aca="false">YEAR(B119)</f>
        <v>2022</v>
      </c>
      <c r="P119" s="1" t="n">
        <f aca="false">MONTH(B119)</f>
        <v>4</v>
      </c>
      <c r="Q119" s="1" t="str">
        <f aca="false">TEXT(B119,"mmm")</f>
        <v>Apr</v>
      </c>
      <c r="R119" s="1" t="str">
        <f aca="false">"Q"&amp;ROUNDUP(MONTH(B119)/3,0)</f>
        <v>Q2</v>
      </c>
    </row>
    <row r="120" customFormat="false" ht="15" hidden="false" customHeight="true" outlineLevel="0" collapsed="false">
      <c r="A120" s="1" t="n">
        <v>10119</v>
      </c>
      <c r="B120" s="14" t="n">
        <v>44680</v>
      </c>
      <c r="C120" s="1" t="n">
        <v>1337</v>
      </c>
      <c r="D120" s="1" t="s">
        <v>30</v>
      </c>
      <c r="E120" s="1" t="s">
        <v>28</v>
      </c>
      <c r="F120" s="1" t="n">
        <v>6</v>
      </c>
      <c r="G120" s="15" t="n">
        <v>409.26</v>
      </c>
      <c r="H120" s="16" t="n">
        <v>0.33</v>
      </c>
      <c r="I120" s="1" t="s">
        <v>33</v>
      </c>
      <c r="J120" s="1" t="n">
        <v>10</v>
      </c>
      <c r="K120" s="1" t="n">
        <v>4.7</v>
      </c>
      <c r="L120" s="15" t="n">
        <v>1645.23</v>
      </c>
      <c r="M120" s="15" t="n">
        <f aca="false">F120*G120</f>
        <v>2455.56</v>
      </c>
      <c r="N120" s="15" t="n">
        <f aca="false">M120-L120</f>
        <v>810.33</v>
      </c>
      <c r="O120" s="1" t="n">
        <f aca="false">YEAR(B120)</f>
        <v>2022</v>
      </c>
      <c r="P120" s="1" t="n">
        <f aca="false">MONTH(B120)</f>
        <v>4</v>
      </c>
      <c r="Q120" s="1" t="str">
        <f aca="false">TEXT(B120,"mmm")</f>
        <v>Apr</v>
      </c>
      <c r="R120" s="1" t="str">
        <f aca="false">"Q"&amp;ROUNDUP(MONTH(B120)/3,0)</f>
        <v>Q2</v>
      </c>
    </row>
    <row r="121" customFormat="false" ht="15" hidden="false" customHeight="true" outlineLevel="0" collapsed="false">
      <c r="A121" s="1" t="n">
        <v>10120</v>
      </c>
      <c r="B121" s="14" t="n">
        <v>44681</v>
      </c>
      <c r="C121" s="1" t="n">
        <v>1878</v>
      </c>
      <c r="D121" s="1" t="s">
        <v>30</v>
      </c>
      <c r="E121" s="1" t="s">
        <v>36</v>
      </c>
      <c r="F121" s="1" t="n">
        <v>4</v>
      </c>
      <c r="G121" s="15" t="n">
        <v>329.34</v>
      </c>
      <c r="H121" s="16" t="n">
        <v>0.16</v>
      </c>
      <c r="I121" s="1" t="s">
        <v>33</v>
      </c>
      <c r="J121" s="1" t="n">
        <v>7</v>
      </c>
      <c r="K121" s="1" t="n">
        <v>3.2</v>
      </c>
      <c r="L121" s="15" t="n">
        <v>1106.58</v>
      </c>
      <c r="M121" s="15" t="n">
        <f aca="false">F121*G121</f>
        <v>1317.36</v>
      </c>
      <c r="N121" s="15" t="n">
        <f aca="false">M121-L121</f>
        <v>210.78</v>
      </c>
      <c r="O121" s="1" t="n">
        <f aca="false">YEAR(B121)</f>
        <v>2022</v>
      </c>
      <c r="P121" s="1" t="n">
        <f aca="false">MONTH(B121)</f>
        <v>4</v>
      </c>
      <c r="Q121" s="1" t="str">
        <f aca="false">TEXT(B121,"mmm")</f>
        <v>Apr</v>
      </c>
      <c r="R121" s="1" t="str">
        <f aca="false">"Q"&amp;ROUNDUP(MONTH(B121)/3,0)</f>
        <v>Q2</v>
      </c>
    </row>
    <row r="122" customFormat="false" ht="15" hidden="false" customHeight="true" outlineLevel="0" collapsed="false">
      <c r="A122" s="1" t="n">
        <v>10121</v>
      </c>
      <c r="B122" s="14" t="n">
        <v>44682</v>
      </c>
      <c r="C122" s="1" t="n">
        <v>1052</v>
      </c>
      <c r="D122" s="1" t="s">
        <v>30</v>
      </c>
      <c r="E122" s="1" t="s">
        <v>32</v>
      </c>
      <c r="F122" s="1" t="n">
        <v>6</v>
      </c>
      <c r="G122" s="15" t="n">
        <v>274.82</v>
      </c>
      <c r="H122" s="16" t="n">
        <v>0.25</v>
      </c>
      <c r="I122" s="1" t="s">
        <v>33</v>
      </c>
      <c r="J122" s="1" t="n">
        <v>5</v>
      </c>
      <c r="K122" s="1" t="n">
        <v>3.7</v>
      </c>
      <c r="L122" s="15" t="n">
        <v>1236.69</v>
      </c>
      <c r="M122" s="15" t="n">
        <f aca="false">F122*G122</f>
        <v>1648.92</v>
      </c>
      <c r="N122" s="15" t="n">
        <f aca="false">M122-L122</f>
        <v>412.23</v>
      </c>
      <c r="O122" s="1" t="n">
        <f aca="false">YEAR(B122)</f>
        <v>2022</v>
      </c>
      <c r="P122" s="1" t="n">
        <f aca="false">MONTH(B122)</f>
        <v>5</v>
      </c>
      <c r="Q122" s="1" t="str">
        <f aca="false">TEXT(B122,"mmm")</f>
        <v>May</v>
      </c>
      <c r="R122" s="1" t="str">
        <f aca="false">"Q"&amp;ROUNDUP(MONTH(B122)/3,0)</f>
        <v>Q2</v>
      </c>
    </row>
    <row r="123" customFormat="false" ht="15" hidden="false" customHeight="true" outlineLevel="0" collapsed="false">
      <c r="A123" s="1" t="n">
        <v>10122</v>
      </c>
      <c r="B123" s="14" t="n">
        <v>44683</v>
      </c>
      <c r="C123" s="1" t="n">
        <v>1791</v>
      </c>
      <c r="D123" s="1" t="s">
        <v>30</v>
      </c>
      <c r="E123" s="1" t="s">
        <v>32</v>
      </c>
      <c r="F123" s="1" t="n">
        <v>7</v>
      </c>
      <c r="G123" s="15" t="n">
        <v>386.15</v>
      </c>
      <c r="H123" s="16" t="n">
        <v>0.26</v>
      </c>
      <c r="I123" s="1" t="s">
        <v>31</v>
      </c>
      <c r="J123" s="1" t="n">
        <v>1</v>
      </c>
      <c r="K123" s="1" t="n">
        <v>1.7</v>
      </c>
      <c r="L123" s="15" t="n">
        <v>2000.26</v>
      </c>
      <c r="M123" s="15" t="n">
        <f aca="false">F123*G123</f>
        <v>2703.05</v>
      </c>
      <c r="N123" s="15" t="n">
        <f aca="false">M123-L123</f>
        <v>702.79</v>
      </c>
      <c r="O123" s="1" t="n">
        <f aca="false">YEAR(B123)</f>
        <v>2022</v>
      </c>
      <c r="P123" s="1" t="n">
        <f aca="false">MONTH(B123)</f>
        <v>5</v>
      </c>
      <c r="Q123" s="1" t="str">
        <f aca="false">TEXT(B123,"mmm")</f>
        <v>May</v>
      </c>
      <c r="R123" s="1" t="str">
        <f aca="false">"Q"&amp;ROUNDUP(MONTH(B123)/3,0)</f>
        <v>Q2</v>
      </c>
    </row>
    <row r="124" customFormat="false" ht="15" hidden="false" customHeight="true" outlineLevel="0" collapsed="false">
      <c r="A124" s="1" t="n">
        <v>10123</v>
      </c>
      <c r="B124" s="14" t="n">
        <v>44684</v>
      </c>
      <c r="C124" s="1" t="n">
        <v>1921</v>
      </c>
      <c r="D124" s="1" t="s">
        <v>30</v>
      </c>
      <c r="E124" s="1" t="s">
        <v>35</v>
      </c>
      <c r="F124" s="1" t="n">
        <v>7</v>
      </c>
      <c r="G124" s="15" t="n">
        <v>499.19</v>
      </c>
      <c r="H124" s="16" t="n">
        <v>0.23</v>
      </c>
      <c r="I124" s="1" t="s">
        <v>29</v>
      </c>
      <c r="J124" s="1" t="n">
        <v>10</v>
      </c>
      <c r="K124" s="1" t="n">
        <v>4</v>
      </c>
      <c r="L124" s="15" t="n">
        <v>2690.63</v>
      </c>
      <c r="M124" s="15" t="n">
        <f aca="false">F124*G124</f>
        <v>3494.33</v>
      </c>
      <c r="N124" s="15" t="n">
        <f aca="false">M124-L124</f>
        <v>803.7</v>
      </c>
      <c r="O124" s="1" t="n">
        <f aca="false">YEAR(B124)</f>
        <v>2022</v>
      </c>
      <c r="P124" s="1" t="n">
        <f aca="false">MONTH(B124)</f>
        <v>5</v>
      </c>
      <c r="Q124" s="1" t="str">
        <f aca="false">TEXT(B124,"mmm")</f>
        <v>May</v>
      </c>
      <c r="R124" s="1" t="str">
        <f aca="false">"Q"&amp;ROUNDUP(MONTH(B124)/3,0)</f>
        <v>Q2</v>
      </c>
    </row>
    <row r="125" customFormat="false" ht="15" hidden="false" customHeight="true" outlineLevel="0" collapsed="false">
      <c r="A125" s="1" t="n">
        <v>10124</v>
      </c>
      <c r="B125" s="14" t="n">
        <v>44685</v>
      </c>
      <c r="C125" s="1" t="n">
        <v>1216</v>
      </c>
      <c r="D125" s="1" t="s">
        <v>34</v>
      </c>
      <c r="E125" s="1" t="s">
        <v>36</v>
      </c>
      <c r="F125" s="1" t="n">
        <v>2</v>
      </c>
      <c r="G125" s="15" t="n">
        <v>265.2</v>
      </c>
      <c r="H125" s="16" t="n">
        <v>0.19</v>
      </c>
      <c r="I125" s="1" t="s">
        <v>29</v>
      </c>
      <c r="J125" s="1" t="n">
        <v>8</v>
      </c>
      <c r="K125" s="1" t="n">
        <v>1.9</v>
      </c>
      <c r="L125" s="15" t="n">
        <v>429.62</v>
      </c>
      <c r="M125" s="15" t="n">
        <f aca="false">F125*G125</f>
        <v>530.4</v>
      </c>
      <c r="N125" s="15" t="n">
        <f aca="false">M125-L125</f>
        <v>100.78</v>
      </c>
      <c r="O125" s="1" t="n">
        <f aca="false">YEAR(B125)</f>
        <v>2022</v>
      </c>
      <c r="P125" s="1" t="n">
        <f aca="false">MONTH(B125)</f>
        <v>5</v>
      </c>
      <c r="Q125" s="1" t="str">
        <f aca="false">TEXT(B125,"mmm")</f>
        <v>May</v>
      </c>
      <c r="R125" s="1" t="str">
        <f aca="false">"Q"&amp;ROUNDUP(MONTH(B125)/3,0)</f>
        <v>Q2</v>
      </c>
    </row>
    <row r="126" customFormat="false" ht="15" hidden="false" customHeight="true" outlineLevel="0" collapsed="false">
      <c r="A126" s="1" t="n">
        <v>10125</v>
      </c>
      <c r="B126" s="14" t="n">
        <v>44686</v>
      </c>
      <c r="C126" s="1" t="n">
        <v>1763</v>
      </c>
      <c r="D126" s="1" t="s">
        <v>30</v>
      </c>
      <c r="E126" s="1" t="s">
        <v>36</v>
      </c>
      <c r="F126" s="1" t="n">
        <v>5</v>
      </c>
      <c r="G126" s="15" t="n">
        <v>390.05</v>
      </c>
      <c r="H126" s="16" t="n">
        <v>0.31</v>
      </c>
      <c r="I126" s="1" t="s">
        <v>31</v>
      </c>
      <c r="J126" s="1" t="n">
        <v>3</v>
      </c>
      <c r="K126" s="1" t="n">
        <v>1.6</v>
      </c>
      <c r="L126" s="15" t="n">
        <v>1345.67</v>
      </c>
      <c r="M126" s="15" t="n">
        <f aca="false">F126*G126</f>
        <v>1950.25</v>
      </c>
      <c r="N126" s="15" t="n">
        <f aca="false">M126-L126</f>
        <v>604.58</v>
      </c>
      <c r="O126" s="1" t="n">
        <f aca="false">YEAR(B126)</f>
        <v>2022</v>
      </c>
      <c r="P126" s="1" t="n">
        <f aca="false">MONTH(B126)</f>
        <v>5</v>
      </c>
      <c r="Q126" s="1" t="str">
        <f aca="false">TEXT(B126,"mmm")</f>
        <v>May</v>
      </c>
      <c r="R126" s="1" t="str">
        <f aca="false">"Q"&amp;ROUNDUP(MONTH(B126)/3,0)</f>
        <v>Q2</v>
      </c>
    </row>
    <row r="127" customFormat="false" ht="15" hidden="false" customHeight="true" outlineLevel="0" collapsed="false">
      <c r="A127" s="1" t="n">
        <v>10126</v>
      </c>
      <c r="B127" s="14" t="n">
        <v>44687</v>
      </c>
      <c r="C127" s="1" t="n">
        <v>1187</v>
      </c>
      <c r="D127" s="1" t="s">
        <v>27</v>
      </c>
      <c r="E127" s="1" t="s">
        <v>35</v>
      </c>
      <c r="F127" s="1" t="n">
        <v>6</v>
      </c>
      <c r="G127" s="15" t="n">
        <v>572.84</v>
      </c>
      <c r="H127" s="16" t="n">
        <v>0.16</v>
      </c>
      <c r="I127" s="1" t="s">
        <v>33</v>
      </c>
      <c r="J127" s="1" t="n">
        <v>11</v>
      </c>
      <c r="K127" s="1" t="n">
        <v>1.2</v>
      </c>
      <c r="L127" s="15" t="n">
        <v>2887.11</v>
      </c>
      <c r="M127" s="15" t="n">
        <f aca="false">F127*G127</f>
        <v>3437.04</v>
      </c>
      <c r="N127" s="15" t="n">
        <f aca="false">M127-L127</f>
        <v>549.93</v>
      </c>
      <c r="O127" s="1" t="n">
        <f aca="false">YEAR(B127)</f>
        <v>2022</v>
      </c>
      <c r="P127" s="1" t="n">
        <f aca="false">MONTH(B127)</f>
        <v>5</v>
      </c>
      <c r="Q127" s="1" t="str">
        <f aca="false">TEXT(B127,"mmm")</f>
        <v>May</v>
      </c>
      <c r="R127" s="1" t="str">
        <f aca="false">"Q"&amp;ROUNDUP(MONTH(B127)/3,0)</f>
        <v>Q2</v>
      </c>
    </row>
    <row r="128" customFormat="false" ht="15" hidden="false" customHeight="true" outlineLevel="0" collapsed="false">
      <c r="A128" s="1" t="n">
        <v>10127</v>
      </c>
      <c r="B128" s="14" t="n">
        <v>44688</v>
      </c>
      <c r="C128" s="1" t="n">
        <v>1379</v>
      </c>
      <c r="D128" s="1" t="s">
        <v>30</v>
      </c>
      <c r="E128" s="1" t="s">
        <v>28</v>
      </c>
      <c r="F128" s="1" t="n">
        <v>7</v>
      </c>
      <c r="G128" s="15" t="n">
        <v>506.18</v>
      </c>
      <c r="H128" s="16" t="n">
        <v>0.02</v>
      </c>
      <c r="I128" s="1" t="s">
        <v>29</v>
      </c>
      <c r="J128" s="1" t="n">
        <v>7</v>
      </c>
      <c r="K128" s="1" t="n">
        <v>2.9</v>
      </c>
      <c r="L128" s="15" t="n">
        <v>3472.39</v>
      </c>
      <c r="M128" s="15" t="n">
        <f aca="false">F128*G128</f>
        <v>3543.26</v>
      </c>
      <c r="N128" s="15" t="n">
        <f aca="false">M128-L128</f>
        <v>70.8700000000004</v>
      </c>
      <c r="O128" s="1" t="n">
        <f aca="false">YEAR(B128)</f>
        <v>2022</v>
      </c>
      <c r="P128" s="1" t="n">
        <f aca="false">MONTH(B128)</f>
        <v>5</v>
      </c>
      <c r="Q128" s="1" t="str">
        <f aca="false">TEXT(B128,"mmm")</f>
        <v>May</v>
      </c>
      <c r="R128" s="1" t="str">
        <f aca="false">"Q"&amp;ROUNDUP(MONTH(B128)/3,0)</f>
        <v>Q2</v>
      </c>
    </row>
    <row r="129" customFormat="false" ht="15" hidden="false" customHeight="true" outlineLevel="0" collapsed="false">
      <c r="A129" s="1" t="n">
        <v>10128</v>
      </c>
      <c r="B129" s="14" t="n">
        <v>44689</v>
      </c>
      <c r="C129" s="1" t="n">
        <v>1492</v>
      </c>
      <c r="D129" s="1" t="s">
        <v>37</v>
      </c>
      <c r="E129" s="1" t="s">
        <v>28</v>
      </c>
      <c r="F129" s="1" t="n">
        <v>5</v>
      </c>
      <c r="G129" s="15" t="n">
        <v>264.21</v>
      </c>
      <c r="H129" s="16" t="n">
        <v>0.3</v>
      </c>
      <c r="I129" s="1" t="s">
        <v>33</v>
      </c>
      <c r="J129" s="1" t="n">
        <v>6</v>
      </c>
      <c r="K129" s="1" t="n">
        <v>2.1</v>
      </c>
      <c r="L129" s="15" t="n">
        <v>924.73</v>
      </c>
      <c r="M129" s="15" t="n">
        <f aca="false">F129*G129</f>
        <v>1321.05</v>
      </c>
      <c r="N129" s="15" t="n">
        <f aca="false">M129-L129</f>
        <v>396.32</v>
      </c>
      <c r="O129" s="1" t="n">
        <f aca="false">YEAR(B129)</f>
        <v>2022</v>
      </c>
      <c r="P129" s="1" t="n">
        <f aca="false">MONTH(B129)</f>
        <v>5</v>
      </c>
      <c r="Q129" s="1" t="str">
        <f aca="false">TEXT(B129,"mmm")</f>
        <v>May</v>
      </c>
      <c r="R129" s="1" t="str">
        <f aca="false">"Q"&amp;ROUNDUP(MONTH(B129)/3,0)</f>
        <v>Q2</v>
      </c>
    </row>
    <row r="130" customFormat="false" ht="15" hidden="false" customHeight="true" outlineLevel="0" collapsed="false">
      <c r="A130" s="1" t="n">
        <v>10129</v>
      </c>
      <c r="B130" s="14" t="n">
        <v>44690</v>
      </c>
      <c r="C130" s="1" t="n">
        <v>1040</v>
      </c>
      <c r="D130" s="1" t="s">
        <v>34</v>
      </c>
      <c r="E130" s="1" t="s">
        <v>32</v>
      </c>
      <c r="F130" s="1" t="n">
        <v>4</v>
      </c>
      <c r="G130" s="15" t="n">
        <v>392.16</v>
      </c>
      <c r="H130" s="16" t="n">
        <v>0.24</v>
      </c>
      <c r="I130" s="1" t="s">
        <v>31</v>
      </c>
      <c r="J130" s="1" t="n">
        <v>10</v>
      </c>
      <c r="K130" s="1" t="n">
        <v>4.9</v>
      </c>
      <c r="L130" s="15" t="n">
        <v>1192.17</v>
      </c>
      <c r="M130" s="15" t="n">
        <f aca="false">F130*G130</f>
        <v>1568.64</v>
      </c>
      <c r="N130" s="15" t="n">
        <f aca="false">M130-L130</f>
        <v>376.47</v>
      </c>
      <c r="O130" s="1" t="n">
        <f aca="false">YEAR(B130)</f>
        <v>2022</v>
      </c>
      <c r="P130" s="1" t="n">
        <f aca="false">MONTH(B130)</f>
        <v>5</v>
      </c>
      <c r="Q130" s="1" t="str">
        <f aca="false">TEXT(B130,"mmm")</f>
        <v>May</v>
      </c>
      <c r="R130" s="1" t="str">
        <f aca="false">"Q"&amp;ROUNDUP(MONTH(B130)/3,0)</f>
        <v>Q2</v>
      </c>
    </row>
    <row r="131" customFormat="false" ht="15" hidden="false" customHeight="true" outlineLevel="0" collapsed="false">
      <c r="A131" s="1" t="n">
        <v>10130</v>
      </c>
      <c r="B131" s="14" t="n">
        <v>44691</v>
      </c>
      <c r="C131" s="1" t="n">
        <v>1156</v>
      </c>
      <c r="D131" s="1" t="s">
        <v>37</v>
      </c>
      <c r="E131" s="1" t="s">
        <v>36</v>
      </c>
      <c r="F131" s="1" t="n">
        <v>5</v>
      </c>
      <c r="G131" s="15" t="n">
        <v>118.59</v>
      </c>
      <c r="H131" s="16" t="n">
        <v>0.3</v>
      </c>
      <c r="I131" s="1" t="s">
        <v>33</v>
      </c>
      <c r="J131" s="1" t="n">
        <v>6</v>
      </c>
      <c r="K131" s="1" t="n">
        <v>2</v>
      </c>
      <c r="L131" s="15" t="n">
        <v>415.06</v>
      </c>
      <c r="M131" s="15" t="n">
        <f aca="false">F131*G131</f>
        <v>592.95</v>
      </c>
      <c r="N131" s="15" t="n">
        <f aca="false">M131-L131</f>
        <v>177.89</v>
      </c>
      <c r="O131" s="1" t="n">
        <f aca="false">YEAR(B131)</f>
        <v>2022</v>
      </c>
      <c r="P131" s="1" t="n">
        <f aca="false">MONTH(B131)</f>
        <v>5</v>
      </c>
      <c r="Q131" s="1" t="str">
        <f aca="false">TEXT(B131,"mmm")</f>
        <v>May</v>
      </c>
      <c r="R131" s="1" t="str">
        <f aca="false">"Q"&amp;ROUNDUP(MONTH(B131)/3,0)</f>
        <v>Q2</v>
      </c>
    </row>
    <row r="132" customFormat="false" ht="15" hidden="false" customHeight="true" outlineLevel="0" collapsed="false">
      <c r="A132" s="1" t="n">
        <v>10131</v>
      </c>
      <c r="B132" s="14" t="n">
        <v>44692</v>
      </c>
      <c r="C132" s="1" t="n">
        <v>1014</v>
      </c>
      <c r="D132" s="1" t="s">
        <v>37</v>
      </c>
      <c r="E132" s="1" t="s">
        <v>28</v>
      </c>
      <c r="F132" s="1" t="n">
        <v>5</v>
      </c>
      <c r="G132" s="15" t="n">
        <v>342.91</v>
      </c>
      <c r="H132" s="16" t="n">
        <v>0.05</v>
      </c>
      <c r="I132" s="1" t="s">
        <v>33</v>
      </c>
      <c r="J132" s="1" t="n">
        <v>8</v>
      </c>
      <c r="K132" s="1" t="n">
        <v>4.5</v>
      </c>
      <c r="L132" s="15" t="n">
        <v>1628.82</v>
      </c>
      <c r="M132" s="15" t="n">
        <f aca="false">F132*G132</f>
        <v>1714.55</v>
      </c>
      <c r="N132" s="15" t="n">
        <f aca="false">M132-L132</f>
        <v>85.7300000000003</v>
      </c>
      <c r="O132" s="1" t="n">
        <f aca="false">YEAR(B132)</f>
        <v>2022</v>
      </c>
      <c r="P132" s="1" t="n">
        <f aca="false">MONTH(B132)</f>
        <v>5</v>
      </c>
      <c r="Q132" s="1" t="str">
        <f aca="false">TEXT(B132,"mmm")</f>
        <v>May</v>
      </c>
      <c r="R132" s="1" t="str">
        <f aca="false">"Q"&amp;ROUNDUP(MONTH(B132)/3,0)</f>
        <v>Q2</v>
      </c>
    </row>
    <row r="133" customFormat="false" ht="15" hidden="false" customHeight="true" outlineLevel="0" collapsed="false">
      <c r="A133" s="1" t="n">
        <v>10132</v>
      </c>
      <c r="B133" s="14" t="n">
        <v>44693</v>
      </c>
      <c r="C133" s="1" t="n">
        <v>1812</v>
      </c>
      <c r="D133" s="1" t="s">
        <v>30</v>
      </c>
      <c r="E133" s="1" t="s">
        <v>32</v>
      </c>
      <c r="F133" s="1" t="n">
        <v>4</v>
      </c>
      <c r="G133" s="15" t="n">
        <v>589.08</v>
      </c>
      <c r="H133" s="16" t="n">
        <v>0.01</v>
      </c>
      <c r="I133" s="1" t="s">
        <v>31</v>
      </c>
      <c r="J133" s="1" t="n">
        <v>4</v>
      </c>
      <c r="K133" s="1" t="n">
        <v>2.3</v>
      </c>
      <c r="L133" s="15" t="n">
        <v>2332.76</v>
      </c>
      <c r="M133" s="15" t="n">
        <f aca="false">F133*G133</f>
        <v>2356.32</v>
      </c>
      <c r="N133" s="15" t="n">
        <f aca="false">M133-L133</f>
        <v>23.5599999999999</v>
      </c>
      <c r="O133" s="1" t="n">
        <f aca="false">YEAR(B133)</f>
        <v>2022</v>
      </c>
      <c r="P133" s="1" t="n">
        <f aca="false">MONTH(B133)</f>
        <v>5</v>
      </c>
      <c r="Q133" s="1" t="str">
        <f aca="false">TEXT(B133,"mmm")</f>
        <v>May</v>
      </c>
      <c r="R133" s="1" t="str">
        <f aca="false">"Q"&amp;ROUNDUP(MONTH(B133)/3,0)</f>
        <v>Q2</v>
      </c>
    </row>
    <row r="134" customFormat="false" ht="15" hidden="false" customHeight="true" outlineLevel="0" collapsed="false">
      <c r="A134" s="1" t="n">
        <v>10133</v>
      </c>
      <c r="B134" s="14" t="n">
        <v>44694</v>
      </c>
      <c r="C134" s="1" t="n">
        <v>1064</v>
      </c>
      <c r="D134" s="1" t="s">
        <v>27</v>
      </c>
      <c r="E134" s="1" t="s">
        <v>32</v>
      </c>
      <c r="F134" s="1" t="n">
        <v>6</v>
      </c>
      <c r="G134" s="15" t="n">
        <v>318.21</v>
      </c>
      <c r="H134" s="16" t="n">
        <v>0.33</v>
      </c>
      <c r="I134" s="1" t="s">
        <v>29</v>
      </c>
      <c r="J134" s="1" t="n">
        <v>4</v>
      </c>
      <c r="K134" s="1" t="n">
        <v>4</v>
      </c>
      <c r="L134" s="15" t="n">
        <v>1279.2</v>
      </c>
      <c r="M134" s="15" t="n">
        <f aca="false">F134*G134</f>
        <v>1909.26</v>
      </c>
      <c r="N134" s="15" t="n">
        <f aca="false">M134-L134</f>
        <v>630.06</v>
      </c>
      <c r="O134" s="1" t="n">
        <f aca="false">YEAR(B134)</f>
        <v>2022</v>
      </c>
      <c r="P134" s="1" t="n">
        <f aca="false">MONTH(B134)</f>
        <v>5</v>
      </c>
      <c r="Q134" s="1" t="str">
        <f aca="false">TEXT(B134,"mmm")</f>
        <v>May</v>
      </c>
      <c r="R134" s="1" t="str">
        <f aca="false">"Q"&amp;ROUNDUP(MONTH(B134)/3,0)</f>
        <v>Q2</v>
      </c>
    </row>
    <row r="135" customFormat="false" ht="15" hidden="false" customHeight="true" outlineLevel="0" collapsed="false">
      <c r="A135" s="1" t="n">
        <v>10134</v>
      </c>
      <c r="B135" s="14" t="n">
        <v>44695</v>
      </c>
      <c r="C135" s="1" t="n">
        <v>1856</v>
      </c>
      <c r="D135" s="1" t="s">
        <v>34</v>
      </c>
      <c r="E135" s="1" t="s">
        <v>32</v>
      </c>
      <c r="F135" s="1" t="n">
        <v>4</v>
      </c>
      <c r="G135" s="15" t="n">
        <v>557.67</v>
      </c>
      <c r="H135" s="16" t="n">
        <v>0.05</v>
      </c>
      <c r="I135" s="1" t="s">
        <v>33</v>
      </c>
      <c r="J135" s="1" t="n">
        <v>3</v>
      </c>
      <c r="K135" s="1" t="n">
        <v>3.6</v>
      </c>
      <c r="L135" s="15" t="n">
        <v>2119.15</v>
      </c>
      <c r="M135" s="15" t="n">
        <f aca="false">F135*G135</f>
        <v>2230.68</v>
      </c>
      <c r="N135" s="15" t="n">
        <f aca="false">M135-L135</f>
        <v>111.53</v>
      </c>
      <c r="O135" s="1" t="n">
        <f aca="false">YEAR(B135)</f>
        <v>2022</v>
      </c>
      <c r="P135" s="1" t="n">
        <f aca="false">MONTH(B135)</f>
        <v>5</v>
      </c>
      <c r="Q135" s="1" t="str">
        <f aca="false">TEXT(B135,"mmm")</f>
        <v>May</v>
      </c>
      <c r="R135" s="1" t="str">
        <f aca="false">"Q"&amp;ROUNDUP(MONTH(B135)/3,0)</f>
        <v>Q2</v>
      </c>
    </row>
    <row r="136" customFormat="false" ht="15" hidden="false" customHeight="true" outlineLevel="0" collapsed="false">
      <c r="A136" s="1" t="n">
        <v>10135</v>
      </c>
      <c r="B136" s="14" t="n">
        <v>44696</v>
      </c>
      <c r="C136" s="1" t="n">
        <v>1838</v>
      </c>
      <c r="D136" s="1" t="s">
        <v>34</v>
      </c>
      <c r="E136" s="1" t="s">
        <v>28</v>
      </c>
      <c r="F136" s="1" t="n">
        <v>2</v>
      </c>
      <c r="G136" s="15" t="n">
        <v>253.29</v>
      </c>
      <c r="H136" s="16" t="n">
        <v>0.28</v>
      </c>
      <c r="I136" s="1" t="s">
        <v>31</v>
      </c>
      <c r="J136" s="1" t="n">
        <v>1</v>
      </c>
      <c r="K136" s="1" t="n">
        <v>3.2</v>
      </c>
      <c r="L136" s="15" t="n">
        <v>364.74</v>
      </c>
      <c r="M136" s="15" t="n">
        <f aca="false">F136*G136</f>
        <v>506.58</v>
      </c>
      <c r="N136" s="15" t="n">
        <f aca="false">M136-L136</f>
        <v>141.84</v>
      </c>
      <c r="O136" s="1" t="n">
        <f aca="false">YEAR(B136)</f>
        <v>2022</v>
      </c>
      <c r="P136" s="1" t="n">
        <f aca="false">MONTH(B136)</f>
        <v>5</v>
      </c>
      <c r="Q136" s="1" t="str">
        <f aca="false">TEXT(B136,"mmm")</f>
        <v>May</v>
      </c>
      <c r="R136" s="1" t="str">
        <f aca="false">"Q"&amp;ROUNDUP(MONTH(B136)/3,0)</f>
        <v>Q2</v>
      </c>
    </row>
    <row r="137" customFormat="false" ht="15" hidden="false" customHeight="true" outlineLevel="0" collapsed="false">
      <c r="A137" s="1" t="n">
        <v>10136</v>
      </c>
      <c r="B137" s="14" t="n">
        <v>44697</v>
      </c>
      <c r="C137" s="1" t="n">
        <v>1520</v>
      </c>
      <c r="D137" s="1" t="s">
        <v>37</v>
      </c>
      <c r="E137" s="1" t="s">
        <v>28</v>
      </c>
      <c r="F137" s="1" t="n">
        <v>3</v>
      </c>
      <c r="G137" s="15" t="n">
        <v>599.32</v>
      </c>
      <c r="H137" s="16" t="n">
        <v>0.29</v>
      </c>
      <c r="I137" s="1" t="s">
        <v>33</v>
      </c>
      <c r="J137" s="1" t="n">
        <v>10</v>
      </c>
      <c r="K137" s="1" t="n">
        <v>2.7</v>
      </c>
      <c r="L137" s="15" t="n">
        <v>1276.55</v>
      </c>
      <c r="M137" s="15" t="n">
        <f aca="false">F137*G137</f>
        <v>1797.96</v>
      </c>
      <c r="N137" s="15" t="n">
        <f aca="false">M137-L137</f>
        <v>521.41</v>
      </c>
      <c r="O137" s="1" t="n">
        <f aca="false">YEAR(B137)</f>
        <v>2022</v>
      </c>
      <c r="P137" s="1" t="n">
        <f aca="false">MONTH(B137)</f>
        <v>5</v>
      </c>
      <c r="Q137" s="1" t="str">
        <f aca="false">TEXT(B137,"mmm")</f>
        <v>May</v>
      </c>
      <c r="R137" s="1" t="str">
        <f aca="false">"Q"&amp;ROUNDUP(MONTH(B137)/3,0)</f>
        <v>Q2</v>
      </c>
    </row>
    <row r="138" customFormat="false" ht="15" hidden="false" customHeight="true" outlineLevel="0" collapsed="false">
      <c r="A138" s="1" t="n">
        <v>10137</v>
      </c>
      <c r="B138" s="14" t="n">
        <v>44698</v>
      </c>
      <c r="C138" s="1" t="n">
        <v>1343</v>
      </c>
      <c r="D138" s="1" t="s">
        <v>37</v>
      </c>
      <c r="E138" s="1" t="s">
        <v>36</v>
      </c>
      <c r="F138" s="1" t="n">
        <v>1</v>
      </c>
      <c r="G138" s="15" t="n">
        <v>353.84</v>
      </c>
      <c r="H138" s="16" t="n">
        <v>0.25</v>
      </c>
      <c r="I138" s="1" t="s">
        <v>33</v>
      </c>
      <c r="J138" s="1" t="n">
        <v>3</v>
      </c>
      <c r="K138" s="1" t="n">
        <v>3.7</v>
      </c>
      <c r="L138" s="15" t="n">
        <v>265.38</v>
      </c>
      <c r="M138" s="15" t="n">
        <f aca="false">F138*G138</f>
        <v>353.84</v>
      </c>
      <c r="N138" s="15" t="n">
        <f aca="false">M138-L138</f>
        <v>88.46</v>
      </c>
      <c r="O138" s="1" t="n">
        <f aca="false">YEAR(B138)</f>
        <v>2022</v>
      </c>
      <c r="P138" s="1" t="n">
        <f aca="false">MONTH(B138)</f>
        <v>5</v>
      </c>
      <c r="Q138" s="1" t="str">
        <f aca="false">TEXT(B138,"mmm")</f>
        <v>May</v>
      </c>
      <c r="R138" s="1" t="str">
        <f aca="false">"Q"&amp;ROUNDUP(MONTH(B138)/3,0)</f>
        <v>Q2</v>
      </c>
    </row>
    <row r="139" customFormat="false" ht="15" hidden="false" customHeight="true" outlineLevel="0" collapsed="false">
      <c r="A139" s="1" t="n">
        <v>10138</v>
      </c>
      <c r="B139" s="14" t="n">
        <v>44699</v>
      </c>
      <c r="C139" s="1" t="n">
        <v>1128</v>
      </c>
      <c r="D139" s="1" t="s">
        <v>34</v>
      </c>
      <c r="E139" s="1" t="s">
        <v>36</v>
      </c>
      <c r="F139" s="1" t="n">
        <v>4</v>
      </c>
      <c r="G139" s="15" t="n">
        <v>39.73</v>
      </c>
      <c r="H139" s="16" t="n">
        <v>0.05</v>
      </c>
      <c r="I139" s="1" t="s">
        <v>31</v>
      </c>
      <c r="J139" s="1" t="n">
        <v>1</v>
      </c>
      <c r="K139" s="1" t="n">
        <v>2.6</v>
      </c>
      <c r="L139" s="15" t="n">
        <v>150.97</v>
      </c>
      <c r="M139" s="15" t="n">
        <f aca="false">F139*G139</f>
        <v>158.92</v>
      </c>
      <c r="N139" s="15" t="n">
        <f aca="false">M139-L139</f>
        <v>7.94999999999999</v>
      </c>
      <c r="O139" s="1" t="n">
        <f aca="false">YEAR(B139)</f>
        <v>2022</v>
      </c>
      <c r="P139" s="1" t="n">
        <f aca="false">MONTH(B139)</f>
        <v>5</v>
      </c>
      <c r="Q139" s="1" t="str">
        <f aca="false">TEXT(B139,"mmm")</f>
        <v>May</v>
      </c>
      <c r="R139" s="1" t="str">
        <f aca="false">"Q"&amp;ROUNDUP(MONTH(B139)/3,0)</f>
        <v>Q2</v>
      </c>
    </row>
    <row r="140" customFormat="false" ht="15" hidden="false" customHeight="true" outlineLevel="0" collapsed="false">
      <c r="A140" s="1" t="n">
        <v>10139</v>
      </c>
      <c r="B140" s="14" t="n">
        <v>44700</v>
      </c>
      <c r="C140" s="1" t="n">
        <v>1647</v>
      </c>
      <c r="D140" s="1" t="s">
        <v>34</v>
      </c>
      <c r="E140" s="1" t="s">
        <v>32</v>
      </c>
      <c r="F140" s="1" t="n">
        <v>4</v>
      </c>
      <c r="G140" s="15" t="n">
        <v>358.25</v>
      </c>
      <c r="H140" s="16" t="n">
        <v>0.23</v>
      </c>
      <c r="I140" s="1" t="s">
        <v>31</v>
      </c>
      <c r="J140" s="1" t="n">
        <v>6</v>
      </c>
      <c r="K140" s="1" t="n">
        <v>3.2</v>
      </c>
      <c r="L140" s="15" t="n">
        <v>1103.41</v>
      </c>
      <c r="M140" s="15" t="n">
        <f aca="false">F140*G140</f>
        <v>1433</v>
      </c>
      <c r="N140" s="15" t="n">
        <f aca="false">M140-L140</f>
        <v>329.59</v>
      </c>
      <c r="O140" s="1" t="n">
        <f aca="false">YEAR(B140)</f>
        <v>2022</v>
      </c>
      <c r="P140" s="1" t="n">
        <f aca="false">MONTH(B140)</f>
        <v>5</v>
      </c>
      <c r="Q140" s="1" t="str">
        <f aca="false">TEXT(B140,"mmm")</f>
        <v>May</v>
      </c>
      <c r="R140" s="1" t="str">
        <f aca="false">"Q"&amp;ROUNDUP(MONTH(B140)/3,0)</f>
        <v>Q2</v>
      </c>
    </row>
    <row r="141" customFormat="false" ht="15" hidden="false" customHeight="true" outlineLevel="0" collapsed="false">
      <c r="A141" s="1" t="n">
        <v>10140</v>
      </c>
      <c r="B141" s="14" t="n">
        <v>44701</v>
      </c>
      <c r="C141" s="1" t="n">
        <v>1471</v>
      </c>
      <c r="D141" s="1" t="s">
        <v>34</v>
      </c>
      <c r="E141" s="1" t="s">
        <v>32</v>
      </c>
      <c r="F141" s="1" t="n">
        <v>5</v>
      </c>
      <c r="G141" s="15" t="n">
        <v>175.63</v>
      </c>
      <c r="H141" s="16" t="n">
        <v>0.31</v>
      </c>
      <c r="I141" s="1" t="s">
        <v>29</v>
      </c>
      <c r="J141" s="1" t="n">
        <v>8</v>
      </c>
      <c r="K141" s="1" t="n">
        <v>3.4</v>
      </c>
      <c r="L141" s="15" t="n">
        <v>605.92</v>
      </c>
      <c r="M141" s="15" t="n">
        <f aca="false">F141*G141</f>
        <v>878.15</v>
      </c>
      <c r="N141" s="15" t="n">
        <f aca="false">M141-L141</f>
        <v>272.23</v>
      </c>
      <c r="O141" s="1" t="n">
        <f aca="false">YEAR(B141)</f>
        <v>2022</v>
      </c>
      <c r="P141" s="1" t="n">
        <f aca="false">MONTH(B141)</f>
        <v>5</v>
      </c>
      <c r="Q141" s="1" t="str">
        <f aca="false">TEXT(B141,"mmm")</f>
        <v>May</v>
      </c>
      <c r="R141" s="1" t="str">
        <f aca="false">"Q"&amp;ROUNDUP(MONTH(B141)/3,0)</f>
        <v>Q2</v>
      </c>
    </row>
    <row r="142" customFormat="false" ht="15" hidden="false" customHeight="true" outlineLevel="0" collapsed="false">
      <c r="A142" s="1" t="n">
        <v>10141</v>
      </c>
      <c r="B142" s="14" t="n">
        <v>44702</v>
      </c>
      <c r="C142" s="1" t="n">
        <v>1062</v>
      </c>
      <c r="D142" s="1" t="s">
        <v>34</v>
      </c>
      <c r="E142" s="1" t="s">
        <v>28</v>
      </c>
      <c r="F142" s="1" t="n">
        <v>2</v>
      </c>
      <c r="G142" s="15" t="n">
        <v>34</v>
      </c>
      <c r="H142" s="16" t="n">
        <v>0.15</v>
      </c>
      <c r="I142" s="1" t="s">
        <v>33</v>
      </c>
      <c r="J142" s="1" t="n">
        <v>3</v>
      </c>
      <c r="K142" s="1" t="n">
        <v>2.1</v>
      </c>
      <c r="L142" s="15" t="n">
        <v>57.8</v>
      </c>
      <c r="M142" s="15" t="n">
        <f aca="false">F142*G142</f>
        <v>68</v>
      </c>
      <c r="N142" s="15" t="n">
        <f aca="false">M142-L142</f>
        <v>10.2</v>
      </c>
      <c r="O142" s="1" t="n">
        <f aca="false">YEAR(B142)</f>
        <v>2022</v>
      </c>
      <c r="P142" s="1" t="n">
        <f aca="false">MONTH(B142)</f>
        <v>5</v>
      </c>
      <c r="Q142" s="1" t="str">
        <f aca="false">TEXT(B142,"mmm")</f>
        <v>May</v>
      </c>
      <c r="R142" s="1" t="str">
        <f aca="false">"Q"&amp;ROUNDUP(MONTH(B142)/3,0)</f>
        <v>Q2</v>
      </c>
    </row>
    <row r="143" customFormat="false" ht="15" hidden="false" customHeight="true" outlineLevel="0" collapsed="false">
      <c r="A143" s="1" t="n">
        <v>10142</v>
      </c>
      <c r="B143" s="14" t="n">
        <v>44703</v>
      </c>
      <c r="C143" s="1" t="n">
        <v>1138</v>
      </c>
      <c r="D143" s="1" t="s">
        <v>37</v>
      </c>
      <c r="E143" s="1" t="s">
        <v>28</v>
      </c>
      <c r="F143" s="1" t="n">
        <v>7</v>
      </c>
      <c r="G143" s="15" t="n">
        <v>495.2</v>
      </c>
      <c r="H143" s="16" t="n">
        <v>0.14</v>
      </c>
      <c r="I143" s="1" t="s">
        <v>31</v>
      </c>
      <c r="J143" s="1" t="n">
        <v>4</v>
      </c>
      <c r="K143" s="1" t="n">
        <v>2.4</v>
      </c>
      <c r="L143" s="15" t="n">
        <v>2981.1</v>
      </c>
      <c r="M143" s="15" t="n">
        <f aca="false">F143*G143</f>
        <v>3466.4</v>
      </c>
      <c r="N143" s="15" t="n">
        <f aca="false">M143-L143</f>
        <v>485.3</v>
      </c>
      <c r="O143" s="1" t="n">
        <f aca="false">YEAR(B143)</f>
        <v>2022</v>
      </c>
      <c r="P143" s="1" t="n">
        <f aca="false">MONTH(B143)</f>
        <v>5</v>
      </c>
      <c r="Q143" s="1" t="str">
        <f aca="false">TEXT(B143,"mmm")</f>
        <v>May</v>
      </c>
      <c r="R143" s="1" t="str">
        <f aca="false">"Q"&amp;ROUNDUP(MONTH(B143)/3,0)</f>
        <v>Q2</v>
      </c>
    </row>
    <row r="144" customFormat="false" ht="15" hidden="false" customHeight="true" outlineLevel="0" collapsed="false">
      <c r="A144" s="1" t="n">
        <v>10143</v>
      </c>
      <c r="B144" s="14" t="n">
        <v>44704</v>
      </c>
      <c r="C144" s="1" t="n">
        <v>1498</v>
      </c>
      <c r="D144" s="1" t="s">
        <v>30</v>
      </c>
      <c r="E144" s="1" t="s">
        <v>36</v>
      </c>
      <c r="F144" s="1" t="n">
        <v>7</v>
      </c>
      <c r="G144" s="15" t="n">
        <v>176.3</v>
      </c>
      <c r="H144" s="16" t="n">
        <v>0.16</v>
      </c>
      <c r="I144" s="1" t="s">
        <v>31</v>
      </c>
      <c r="J144" s="1" t="n">
        <v>5</v>
      </c>
      <c r="K144" s="1" t="n">
        <v>1.1</v>
      </c>
      <c r="L144" s="15" t="n">
        <v>1036.64</v>
      </c>
      <c r="M144" s="15" t="n">
        <f aca="false">F144*G144</f>
        <v>1234.1</v>
      </c>
      <c r="N144" s="15" t="n">
        <f aca="false">M144-L144</f>
        <v>197.46</v>
      </c>
      <c r="O144" s="1" t="n">
        <f aca="false">YEAR(B144)</f>
        <v>2022</v>
      </c>
      <c r="P144" s="1" t="n">
        <f aca="false">MONTH(B144)</f>
        <v>5</v>
      </c>
      <c r="Q144" s="1" t="str">
        <f aca="false">TEXT(B144,"mmm")</f>
        <v>May</v>
      </c>
      <c r="R144" s="1" t="str">
        <f aca="false">"Q"&amp;ROUNDUP(MONTH(B144)/3,0)</f>
        <v>Q2</v>
      </c>
    </row>
    <row r="145" customFormat="false" ht="15" hidden="false" customHeight="true" outlineLevel="0" collapsed="false">
      <c r="A145" s="1" t="n">
        <v>10144</v>
      </c>
      <c r="B145" s="14" t="n">
        <v>44705</v>
      </c>
      <c r="C145" s="1" t="n">
        <v>1592</v>
      </c>
      <c r="D145" s="1" t="s">
        <v>34</v>
      </c>
      <c r="E145" s="1" t="s">
        <v>36</v>
      </c>
      <c r="F145" s="1" t="n">
        <v>5</v>
      </c>
      <c r="G145" s="15" t="n">
        <v>480.98</v>
      </c>
      <c r="H145" s="16" t="n">
        <v>0.03</v>
      </c>
      <c r="I145" s="1" t="s">
        <v>33</v>
      </c>
      <c r="J145" s="1" t="n">
        <v>7</v>
      </c>
      <c r="K145" s="1" t="n">
        <v>4.4</v>
      </c>
      <c r="L145" s="15" t="n">
        <v>2332.75</v>
      </c>
      <c r="M145" s="15" t="n">
        <f aca="false">F145*G145</f>
        <v>2404.9</v>
      </c>
      <c r="N145" s="15" t="n">
        <f aca="false">M145-L145</f>
        <v>72.1500000000001</v>
      </c>
      <c r="O145" s="1" t="n">
        <f aca="false">YEAR(B145)</f>
        <v>2022</v>
      </c>
      <c r="P145" s="1" t="n">
        <f aca="false">MONTH(B145)</f>
        <v>5</v>
      </c>
      <c r="Q145" s="1" t="str">
        <f aca="false">TEXT(B145,"mmm")</f>
        <v>May</v>
      </c>
      <c r="R145" s="1" t="str">
        <f aca="false">"Q"&amp;ROUNDUP(MONTH(B145)/3,0)</f>
        <v>Q2</v>
      </c>
    </row>
    <row r="146" customFormat="false" ht="15" hidden="false" customHeight="true" outlineLevel="0" collapsed="false">
      <c r="A146" s="1" t="n">
        <v>10145</v>
      </c>
      <c r="B146" s="14" t="n">
        <v>44706</v>
      </c>
      <c r="C146" s="1" t="n">
        <v>1391</v>
      </c>
      <c r="D146" s="1" t="s">
        <v>30</v>
      </c>
      <c r="E146" s="1" t="s">
        <v>35</v>
      </c>
      <c r="F146" s="1" t="n">
        <v>6</v>
      </c>
      <c r="G146" s="15" t="n">
        <v>183.61</v>
      </c>
      <c r="H146" s="16" t="n">
        <v>0.31</v>
      </c>
      <c r="I146" s="1" t="s">
        <v>33</v>
      </c>
      <c r="J146" s="1" t="n">
        <v>11</v>
      </c>
      <c r="K146" s="1" t="n">
        <v>4</v>
      </c>
      <c r="L146" s="15" t="n">
        <v>760.15</v>
      </c>
      <c r="M146" s="15" t="n">
        <f aca="false">F146*G146</f>
        <v>1101.66</v>
      </c>
      <c r="N146" s="15" t="n">
        <f aca="false">M146-L146</f>
        <v>341.51</v>
      </c>
      <c r="O146" s="1" t="n">
        <f aca="false">YEAR(B146)</f>
        <v>2022</v>
      </c>
      <c r="P146" s="1" t="n">
        <f aca="false">MONTH(B146)</f>
        <v>5</v>
      </c>
      <c r="Q146" s="1" t="str">
        <f aca="false">TEXT(B146,"mmm")</f>
        <v>May</v>
      </c>
      <c r="R146" s="1" t="str">
        <f aca="false">"Q"&amp;ROUNDUP(MONTH(B146)/3,0)</f>
        <v>Q2</v>
      </c>
    </row>
    <row r="147" customFormat="false" ht="15" hidden="false" customHeight="true" outlineLevel="0" collapsed="false">
      <c r="A147" s="1" t="n">
        <v>10146</v>
      </c>
      <c r="B147" s="14" t="n">
        <v>44707</v>
      </c>
      <c r="C147" s="1" t="n">
        <v>1674</v>
      </c>
      <c r="D147" s="1" t="s">
        <v>34</v>
      </c>
      <c r="E147" s="1" t="s">
        <v>36</v>
      </c>
      <c r="F147" s="1" t="n">
        <v>4</v>
      </c>
      <c r="G147" s="15" t="n">
        <v>128.68</v>
      </c>
      <c r="H147" s="16" t="n">
        <v>0.3</v>
      </c>
      <c r="I147" s="1" t="s">
        <v>31</v>
      </c>
      <c r="J147" s="1" t="n">
        <v>6</v>
      </c>
      <c r="K147" s="1" t="n">
        <v>1.7</v>
      </c>
      <c r="L147" s="15" t="n">
        <v>360.3</v>
      </c>
      <c r="M147" s="15" t="n">
        <f aca="false">F147*G147</f>
        <v>514.72</v>
      </c>
      <c r="N147" s="15" t="n">
        <f aca="false">M147-L147</f>
        <v>154.42</v>
      </c>
      <c r="O147" s="1" t="n">
        <f aca="false">YEAR(B147)</f>
        <v>2022</v>
      </c>
      <c r="P147" s="1" t="n">
        <f aca="false">MONTH(B147)</f>
        <v>5</v>
      </c>
      <c r="Q147" s="1" t="str">
        <f aca="false">TEXT(B147,"mmm")</f>
        <v>May</v>
      </c>
      <c r="R147" s="1" t="str">
        <f aca="false">"Q"&amp;ROUNDUP(MONTH(B147)/3,0)</f>
        <v>Q2</v>
      </c>
    </row>
    <row r="148" customFormat="false" ht="15" hidden="false" customHeight="true" outlineLevel="0" collapsed="false">
      <c r="A148" s="1" t="n">
        <v>10147</v>
      </c>
      <c r="B148" s="14" t="n">
        <v>44708</v>
      </c>
      <c r="C148" s="1" t="n">
        <v>1418</v>
      </c>
      <c r="D148" s="1" t="s">
        <v>34</v>
      </c>
      <c r="E148" s="1" t="s">
        <v>28</v>
      </c>
      <c r="F148" s="1" t="n">
        <v>4</v>
      </c>
      <c r="G148" s="15" t="n">
        <v>584.75</v>
      </c>
      <c r="H148" s="16" t="n">
        <v>0.35</v>
      </c>
      <c r="I148" s="1" t="s">
        <v>33</v>
      </c>
      <c r="J148" s="1" t="n">
        <v>2</v>
      </c>
      <c r="K148" s="1" t="n">
        <v>2.4</v>
      </c>
      <c r="L148" s="15" t="n">
        <v>1520.35</v>
      </c>
      <c r="M148" s="15" t="n">
        <f aca="false">F148*G148</f>
        <v>2339</v>
      </c>
      <c r="N148" s="15" t="n">
        <f aca="false">M148-L148</f>
        <v>818.65</v>
      </c>
      <c r="O148" s="1" t="n">
        <f aca="false">YEAR(B148)</f>
        <v>2022</v>
      </c>
      <c r="P148" s="1" t="n">
        <f aca="false">MONTH(B148)</f>
        <v>5</v>
      </c>
      <c r="Q148" s="1" t="str">
        <f aca="false">TEXT(B148,"mmm")</f>
        <v>May</v>
      </c>
      <c r="R148" s="1" t="str">
        <f aca="false">"Q"&amp;ROUNDUP(MONTH(B148)/3,0)</f>
        <v>Q2</v>
      </c>
    </row>
    <row r="149" customFormat="false" ht="15" hidden="false" customHeight="true" outlineLevel="0" collapsed="false">
      <c r="A149" s="1" t="n">
        <v>10148</v>
      </c>
      <c r="B149" s="14" t="n">
        <v>44709</v>
      </c>
      <c r="C149" s="1" t="n">
        <v>1288</v>
      </c>
      <c r="D149" s="1" t="s">
        <v>30</v>
      </c>
      <c r="E149" s="1" t="s">
        <v>32</v>
      </c>
      <c r="F149" s="1" t="n">
        <v>5</v>
      </c>
      <c r="G149" s="15" t="n">
        <v>226.56</v>
      </c>
      <c r="H149" s="16" t="n">
        <v>0.2</v>
      </c>
      <c r="I149" s="1" t="s">
        <v>31</v>
      </c>
      <c r="J149" s="1" t="n">
        <v>7</v>
      </c>
      <c r="K149" s="1" t="n">
        <v>2.7</v>
      </c>
      <c r="L149" s="15" t="n">
        <v>906.24</v>
      </c>
      <c r="M149" s="15" t="n">
        <f aca="false">F149*G149</f>
        <v>1132.8</v>
      </c>
      <c r="N149" s="15" t="n">
        <f aca="false">M149-L149</f>
        <v>226.56</v>
      </c>
      <c r="O149" s="1" t="n">
        <f aca="false">YEAR(B149)</f>
        <v>2022</v>
      </c>
      <c r="P149" s="1" t="n">
        <f aca="false">MONTH(B149)</f>
        <v>5</v>
      </c>
      <c r="Q149" s="1" t="str">
        <f aca="false">TEXT(B149,"mmm")</f>
        <v>May</v>
      </c>
      <c r="R149" s="1" t="str">
        <f aca="false">"Q"&amp;ROUNDUP(MONTH(B149)/3,0)</f>
        <v>Q2</v>
      </c>
    </row>
    <row r="150" customFormat="false" ht="15" hidden="false" customHeight="true" outlineLevel="0" collapsed="false">
      <c r="A150" s="1" t="n">
        <v>10149</v>
      </c>
      <c r="B150" s="14" t="n">
        <v>44710</v>
      </c>
      <c r="C150" s="1" t="n">
        <v>1378</v>
      </c>
      <c r="D150" s="1" t="s">
        <v>27</v>
      </c>
      <c r="E150" s="1" t="s">
        <v>35</v>
      </c>
      <c r="F150" s="1" t="n">
        <v>4</v>
      </c>
      <c r="G150" s="15" t="n">
        <v>366.81</v>
      </c>
      <c r="H150" s="16" t="n">
        <v>0.26</v>
      </c>
      <c r="I150" s="1" t="s">
        <v>31</v>
      </c>
      <c r="J150" s="1" t="n">
        <v>8</v>
      </c>
      <c r="K150" s="1" t="n">
        <v>2.3</v>
      </c>
      <c r="L150" s="15" t="n">
        <v>1085.76</v>
      </c>
      <c r="M150" s="15" t="n">
        <f aca="false">F150*G150</f>
        <v>1467.24</v>
      </c>
      <c r="N150" s="15" t="n">
        <f aca="false">M150-L150</f>
        <v>381.48</v>
      </c>
      <c r="O150" s="1" t="n">
        <f aca="false">YEAR(B150)</f>
        <v>2022</v>
      </c>
      <c r="P150" s="1" t="n">
        <f aca="false">MONTH(B150)</f>
        <v>5</v>
      </c>
      <c r="Q150" s="1" t="str">
        <f aca="false">TEXT(B150,"mmm")</f>
        <v>May</v>
      </c>
      <c r="R150" s="1" t="str">
        <f aca="false">"Q"&amp;ROUNDUP(MONTH(B150)/3,0)</f>
        <v>Q2</v>
      </c>
    </row>
    <row r="151" customFormat="false" ht="15" hidden="false" customHeight="true" outlineLevel="0" collapsed="false">
      <c r="A151" s="1" t="n">
        <v>10150</v>
      </c>
      <c r="B151" s="14" t="n">
        <v>44711</v>
      </c>
      <c r="C151" s="1" t="n">
        <v>1772</v>
      </c>
      <c r="D151" s="1" t="s">
        <v>37</v>
      </c>
      <c r="E151" s="1" t="s">
        <v>36</v>
      </c>
      <c r="F151" s="1" t="n">
        <v>6</v>
      </c>
      <c r="G151" s="15" t="n">
        <v>371.84</v>
      </c>
      <c r="H151" s="16" t="n">
        <v>0.07</v>
      </c>
      <c r="I151" s="1" t="s">
        <v>33</v>
      </c>
      <c r="J151" s="1" t="n">
        <v>1</v>
      </c>
      <c r="K151" s="1" t="n">
        <v>4.2</v>
      </c>
      <c r="L151" s="15" t="n">
        <v>2074.87</v>
      </c>
      <c r="M151" s="15" t="n">
        <f aca="false">F151*G151</f>
        <v>2231.04</v>
      </c>
      <c r="N151" s="15" t="n">
        <f aca="false">M151-L151</f>
        <v>156.17</v>
      </c>
      <c r="O151" s="1" t="n">
        <f aca="false">YEAR(B151)</f>
        <v>2022</v>
      </c>
      <c r="P151" s="1" t="n">
        <f aca="false">MONTH(B151)</f>
        <v>5</v>
      </c>
      <c r="Q151" s="1" t="str">
        <f aca="false">TEXT(B151,"mmm")</f>
        <v>May</v>
      </c>
      <c r="R151" s="1" t="str">
        <f aca="false">"Q"&amp;ROUNDUP(MONTH(B151)/3,0)</f>
        <v>Q2</v>
      </c>
    </row>
    <row r="152" customFormat="false" ht="15" hidden="false" customHeight="true" outlineLevel="0" collapsed="false">
      <c r="A152" s="1" t="n">
        <v>10151</v>
      </c>
      <c r="B152" s="14" t="n">
        <v>44712</v>
      </c>
      <c r="C152" s="1" t="n">
        <v>1489</v>
      </c>
      <c r="D152" s="1" t="s">
        <v>34</v>
      </c>
      <c r="E152" s="1" t="s">
        <v>36</v>
      </c>
      <c r="F152" s="1" t="n">
        <v>3</v>
      </c>
      <c r="G152" s="15" t="n">
        <v>342.88</v>
      </c>
      <c r="H152" s="16" t="n">
        <v>0.23</v>
      </c>
      <c r="I152" s="1" t="s">
        <v>31</v>
      </c>
      <c r="J152" s="1" t="n">
        <v>6</v>
      </c>
      <c r="K152" s="1" t="n">
        <v>3.9</v>
      </c>
      <c r="L152" s="15" t="n">
        <v>792.05</v>
      </c>
      <c r="M152" s="15" t="n">
        <f aca="false">F152*G152</f>
        <v>1028.64</v>
      </c>
      <c r="N152" s="15" t="n">
        <f aca="false">M152-L152</f>
        <v>236.59</v>
      </c>
      <c r="O152" s="1" t="n">
        <f aca="false">YEAR(B152)</f>
        <v>2022</v>
      </c>
      <c r="P152" s="1" t="n">
        <f aca="false">MONTH(B152)</f>
        <v>5</v>
      </c>
      <c r="Q152" s="1" t="str">
        <f aca="false">TEXT(B152,"mmm")</f>
        <v>May</v>
      </c>
      <c r="R152" s="1" t="str">
        <f aca="false">"Q"&amp;ROUNDUP(MONTH(B152)/3,0)</f>
        <v>Q2</v>
      </c>
    </row>
    <row r="153" customFormat="false" ht="15" hidden="false" customHeight="true" outlineLevel="0" collapsed="false">
      <c r="A153" s="1" t="n">
        <v>10152</v>
      </c>
      <c r="B153" s="14" t="n">
        <v>44713</v>
      </c>
      <c r="C153" s="1" t="n">
        <v>1230</v>
      </c>
      <c r="D153" s="1" t="s">
        <v>27</v>
      </c>
      <c r="E153" s="1" t="s">
        <v>28</v>
      </c>
      <c r="F153" s="1" t="n">
        <v>1</v>
      </c>
      <c r="G153" s="15" t="n">
        <v>550.1</v>
      </c>
      <c r="H153" s="16" t="n">
        <v>0.23</v>
      </c>
      <c r="I153" s="1" t="s">
        <v>29</v>
      </c>
      <c r="J153" s="1" t="n">
        <v>11</v>
      </c>
      <c r="K153" s="1" t="n">
        <v>4.1</v>
      </c>
      <c r="L153" s="15" t="n">
        <v>423.58</v>
      </c>
      <c r="M153" s="15" t="n">
        <f aca="false">F153*G153</f>
        <v>550.1</v>
      </c>
      <c r="N153" s="15" t="n">
        <f aca="false">M153-L153</f>
        <v>126.52</v>
      </c>
      <c r="O153" s="1" t="n">
        <f aca="false">YEAR(B153)</f>
        <v>2022</v>
      </c>
      <c r="P153" s="1" t="n">
        <f aca="false">MONTH(B153)</f>
        <v>6</v>
      </c>
      <c r="Q153" s="1" t="str">
        <f aca="false">TEXT(B153,"mmm")</f>
        <v>Jun</v>
      </c>
      <c r="R153" s="1" t="str">
        <f aca="false">"Q"&amp;ROUNDUP(MONTH(B153)/3,0)</f>
        <v>Q2</v>
      </c>
    </row>
    <row r="154" customFormat="false" ht="15" hidden="false" customHeight="true" outlineLevel="0" collapsed="false">
      <c r="A154" s="1" t="n">
        <v>10153</v>
      </c>
      <c r="B154" s="14" t="n">
        <v>44714</v>
      </c>
      <c r="C154" s="1" t="n">
        <v>1040</v>
      </c>
      <c r="D154" s="1" t="s">
        <v>37</v>
      </c>
      <c r="E154" s="1" t="s">
        <v>35</v>
      </c>
      <c r="F154" s="1" t="n">
        <v>1</v>
      </c>
      <c r="G154" s="15" t="n">
        <v>409.55</v>
      </c>
      <c r="H154" s="16" t="n">
        <v>0.32</v>
      </c>
      <c r="I154" s="1" t="s">
        <v>31</v>
      </c>
      <c r="J154" s="1" t="n">
        <v>9</v>
      </c>
      <c r="K154" s="1" t="n">
        <v>4.6</v>
      </c>
      <c r="L154" s="15" t="n">
        <v>278.49</v>
      </c>
      <c r="M154" s="15" t="n">
        <f aca="false">F154*G154</f>
        <v>409.55</v>
      </c>
      <c r="N154" s="15" t="n">
        <f aca="false">M154-L154</f>
        <v>131.06</v>
      </c>
      <c r="O154" s="1" t="n">
        <f aca="false">YEAR(B154)</f>
        <v>2022</v>
      </c>
      <c r="P154" s="1" t="n">
        <f aca="false">MONTH(B154)</f>
        <v>6</v>
      </c>
      <c r="Q154" s="1" t="str">
        <f aca="false">TEXT(B154,"mmm")</f>
        <v>Jun</v>
      </c>
      <c r="R154" s="1" t="str">
        <f aca="false">"Q"&amp;ROUNDUP(MONTH(B154)/3,0)</f>
        <v>Q2</v>
      </c>
    </row>
    <row r="155" customFormat="false" ht="15" hidden="false" customHeight="true" outlineLevel="0" collapsed="false">
      <c r="A155" s="1" t="n">
        <v>10154</v>
      </c>
      <c r="B155" s="14" t="n">
        <v>44715</v>
      </c>
      <c r="C155" s="1" t="n">
        <v>1027</v>
      </c>
      <c r="D155" s="1" t="s">
        <v>37</v>
      </c>
      <c r="E155" s="1" t="s">
        <v>36</v>
      </c>
      <c r="F155" s="1" t="n">
        <v>1</v>
      </c>
      <c r="G155" s="15" t="n">
        <v>251.18</v>
      </c>
      <c r="H155" s="16" t="n">
        <v>0.29</v>
      </c>
      <c r="I155" s="1" t="s">
        <v>33</v>
      </c>
      <c r="J155" s="1" t="n">
        <v>7</v>
      </c>
      <c r="K155" s="1" t="n">
        <v>3.4</v>
      </c>
      <c r="L155" s="15" t="n">
        <v>178.34</v>
      </c>
      <c r="M155" s="15" t="n">
        <f aca="false">F155*G155</f>
        <v>251.18</v>
      </c>
      <c r="N155" s="15" t="n">
        <f aca="false">M155-L155</f>
        <v>72.84</v>
      </c>
      <c r="O155" s="1" t="n">
        <f aca="false">YEAR(B155)</f>
        <v>2022</v>
      </c>
      <c r="P155" s="1" t="n">
        <f aca="false">MONTH(B155)</f>
        <v>6</v>
      </c>
      <c r="Q155" s="1" t="str">
        <f aca="false">TEXT(B155,"mmm")</f>
        <v>Jun</v>
      </c>
      <c r="R155" s="1" t="str">
        <f aca="false">"Q"&amp;ROUNDUP(MONTH(B155)/3,0)</f>
        <v>Q2</v>
      </c>
    </row>
    <row r="156" customFormat="false" ht="15" hidden="false" customHeight="true" outlineLevel="0" collapsed="false">
      <c r="A156" s="1" t="n">
        <v>10155</v>
      </c>
      <c r="B156" s="14" t="n">
        <v>44716</v>
      </c>
      <c r="C156" s="1" t="n">
        <v>1134</v>
      </c>
      <c r="D156" s="1" t="s">
        <v>30</v>
      </c>
      <c r="E156" s="1" t="s">
        <v>32</v>
      </c>
      <c r="F156" s="1" t="n">
        <v>3</v>
      </c>
      <c r="G156" s="15" t="n">
        <v>519.49</v>
      </c>
      <c r="H156" s="16" t="n">
        <v>0.33</v>
      </c>
      <c r="I156" s="1" t="s">
        <v>31</v>
      </c>
      <c r="J156" s="1" t="n">
        <v>5</v>
      </c>
      <c r="K156" s="1" t="n">
        <v>3.5</v>
      </c>
      <c r="L156" s="15" t="n">
        <v>1044.17</v>
      </c>
      <c r="M156" s="15" t="n">
        <f aca="false">F156*G156</f>
        <v>1558.47</v>
      </c>
      <c r="N156" s="15" t="n">
        <f aca="false">M156-L156</f>
        <v>514.3</v>
      </c>
      <c r="O156" s="1" t="n">
        <f aca="false">YEAR(B156)</f>
        <v>2022</v>
      </c>
      <c r="P156" s="1" t="n">
        <f aca="false">MONTH(B156)</f>
        <v>6</v>
      </c>
      <c r="Q156" s="1" t="str">
        <f aca="false">TEXT(B156,"mmm")</f>
        <v>Jun</v>
      </c>
      <c r="R156" s="1" t="str">
        <f aca="false">"Q"&amp;ROUNDUP(MONTH(B156)/3,0)</f>
        <v>Q2</v>
      </c>
    </row>
    <row r="157" customFormat="false" ht="15" hidden="false" customHeight="true" outlineLevel="0" collapsed="false">
      <c r="A157" s="1" t="n">
        <v>10156</v>
      </c>
      <c r="B157" s="14" t="n">
        <v>44717</v>
      </c>
      <c r="C157" s="1" t="n">
        <v>1200</v>
      </c>
      <c r="D157" s="1" t="s">
        <v>30</v>
      </c>
      <c r="E157" s="1" t="s">
        <v>28</v>
      </c>
      <c r="F157" s="1" t="n">
        <v>4</v>
      </c>
      <c r="G157" s="15" t="n">
        <v>120.92</v>
      </c>
      <c r="H157" s="16" t="n">
        <v>0.3</v>
      </c>
      <c r="I157" s="1" t="s">
        <v>31</v>
      </c>
      <c r="J157" s="1" t="n">
        <v>10</v>
      </c>
      <c r="K157" s="1" t="n">
        <v>3.9</v>
      </c>
      <c r="L157" s="15" t="n">
        <v>338.58</v>
      </c>
      <c r="M157" s="15" t="n">
        <f aca="false">F157*G157</f>
        <v>483.68</v>
      </c>
      <c r="N157" s="15" t="n">
        <f aca="false">M157-L157</f>
        <v>145.1</v>
      </c>
      <c r="O157" s="1" t="n">
        <f aca="false">YEAR(B157)</f>
        <v>2022</v>
      </c>
      <c r="P157" s="1" t="n">
        <f aca="false">MONTH(B157)</f>
        <v>6</v>
      </c>
      <c r="Q157" s="1" t="str">
        <f aca="false">TEXT(B157,"mmm")</f>
        <v>Jun</v>
      </c>
      <c r="R157" s="1" t="str">
        <f aca="false">"Q"&amp;ROUNDUP(MONTH(B157)/3,0)</f>
        <v>Q2</v>
      </c>
    </row>
    <row r="158" customFormat="false" ht="15" hidden="false" customHeight="true" outlineLevel="0" collapsed="false">
      <c r="A158" s="1" t="n">
        <v>10157</v>
      </c>
      <c r="B158" s="14" t="n">
        <v>44718</v>
      </c>
      <c r="C158" s="1" t="n">
        <v>1839</v>
      </c>
      <c r="D158" s="1" t="s">
        <v>34</v>
      </c>
      <c r="E158" s="1" t="s">
        <v>35</v>
      </c>
      <c r="F158" s="1" t="n">
        <v>5</v>
      </c>
      <c r="G158" s="15" t="n">
        <v>333.38</v>
      </c>
      <c r="H158" s="16" t="n">
        <v>0.3</v>
      </c>
      <c r="I158" s="1" t="s">
        <v>33</v>
      </c>
      <c r="J158" s="1" t="n">
        <v>11</v>
      </c>
      <c r="K158" s="1" t="n">
        <v>3.7</v>
      </c>
      <c r="L158" s="15" t="n">
        <v>1166.83</v>
      </c>
      <c r="M158" s="15" t="n">
        <f aca="false">F158*G158</f>
        <v>1666.9</v>
      </c>
      <c r="N158" s="15" t="n">
        <f aca="false">M158-L158</f>
        <v>500.07</v>
      </c>
      <c r="O158" s="1" t="n">
        <f aca="false">YEAR(B158)</f>
        <v>2022</v>
      </c>
      <c r="P158" s="1" t="n">
        <f aca="false">MONTH(B158)</f>
        <v>6</v>
      </c>
      <c r="Q158" s="1" t="str">
        <f aca="false">TEXT(B158,"mmm")</f>
        <v>Jun</v>
      </c>
      <c r="R158" s="1" t="str">
        <f aca="false">"Q"&amp;ROUNDUP(MONTH(B158)/3,0)</f>
        <v>Q2</v>
      </c>
    </row>
    <row r="159" customFormat="false" ht="15" hidden="false" customHeight="true" outlineLevel="0" collapsed="false">
      <c r="A159" s="1" t="n">
        <v>10158</v>
      </c>
      <c r="B159" s="14" t="n">
        <v>44719</v>
      </c>
      <c r="C159" s="1" t="n">
        <v>1779</v>
      </c>
      <c r="D159" s="1" t="s">
        <v>34</v>
      </c>
      <c r="E159" s="1" t="s">
        <v>36</v>
      </c>
      <c r="F159" s="1" t="n">
        <v>7</v>
      </c>
      <c r="G159" s="15" t="n">
        <v>571.07</v>
      </c>
      <c r="H159" s="16" t="n">
        <v>0.02</v>
      </c>
      <c r="I159" s="1" t="s">
        <v>33</v>
      </c>
      <c r="J159" s="1" t="n">
        <v>10</v>
      </c>
      <c r="K159" s="1" t="n">
        <v>4.5</v>
      </c>
      <c r="L159" s="15" t="n">
        <v>3917.54</v>
      </c>
      <c r="M159" s="15" t="n">
        <f aca="false">F159*G159</f>
        <v>3997.49</v>
      </c>
      <c r="N159" s="15" t="n">
        <f aca="false">M159-L159</f>
        <v>79.9500000000003</v>
      </c>
      <c r="O159" s="1" t="n">
        <f aca="false">YEAR(B159)</f>
        <v>2022</v>
      </c>
      <c r="P159" s="1" t="n">
        <f aca="false">MONTH(B159)</f>
        <v>6</v>
      </c>
      <c r="Q159" s="1" t="str">
        <f aca="false">TEXT(B159,"mmm")</f>
        <v>Jun</v>
      </c>
      <c r="R159" s="1" t="str">
        <f aca="false">"Q"&amp;ROUNDUP(MONTH(B159)/3,0)</f>
        <v>Q2</v>
      </c>
    </row>
    <row r="160" customFormat="false" ht="15" hidden="false" customHeight="true" outlineLevel="0" collapsed="false">
      <c r="A160" s="1" t="n">
        <v>10159</v>
      </c>
      <c r="B160" s="14" t="n">
        <v>44720</v>
      </c>
      <c r="C160" s="1" t="n">
        <v>1929</v>
      </c>
      <c r="D160" s="1" t="s">
        <v>34</v>
      </c>
      <c r="E160" s="1" t="s">
        <v>36</v>
      </c>
      <c r="F160" s="1" t="n">
        <v>2</v>
      </c>
      <c r="G160" s="15" t="n">
        <v>380.86</v>
      </c>
      <c r="H160" s="16" t="n">
        <v>0.3</v>
      </c>
      <c r="I160" s="1" t="s">
        <v>33</v>
      </c>
      <c r="J160" s="1" t="n">
        <v>9</v>
      </c>
      <c r="K160" s="1" t="n">
        <v>4.1</v>
      </c>
      <c r="L160" s="15" t="n">
        <v>533.2</v>
      </c>
      <c r="M160" s="15" t="n">
        <f aca="false">F160*G160</f>
        <v>761.72</v>
      </c>
      <c r="N160" s="15" t="n">
        <f aca="false">M160-L160</f>
        <v>228.52</v>
      </c>
      <c r="O160" s="1" t="n">
        <f aca="false">YEAR(B160)</f>
        <v>2022</v>
      </c>
      <c r="P160" s="1" t="n">
        <f aca="false">MONTH(B160)</f>
        <v>6</v>
      </c>
      <c r="Q160" s="1" t="str">
        <f aca="false">TEXT(B160,"mmm")</f>
        <v>Jun</v>
      </c>
      <c r="R160" s="1" t="str">
        <f aca="false">"Q"&amp;ROUNDUP(MONTH(B160)/3,0)</f>
        <v>Q2</v>
      </c>
    </row>
    <row r="161" customFormat="false" ht="15" hidden="false" customHeight="true" outlineLevel="0" collapsed="false">
      <c r="A161" s="1" t="n">
        <v>10160</v>
      </c>
      <c r="B161" s="14" t="n">
        <v>44721</v>
      </c>
      <c r="C161" s="1" t="n">
        <v>1032</v>
      </c>
      <c r="D161" s="1" t="s">
        <v>34</v>
      </c>
      <c r="E161" s="1" t="s">
        <v>35</v>
      </c>
      <c r="F161" s="1" t="n">
        <v>4</v>
      </c>
      <c r="G161" s="15" t="n">
        <v>492.93</v>
      </c>
      <c r="H161" s="16" t="n">
        <v>0.21</v>
      </c>
      <c r="I161" s="1" t="s">
        <v>33</v>
      </c>
      <c r="J161" s="1" t="n">
        <v>2</v>
      </c>
      <c r="K161" s="1" t="n">
        <v>1.5</v>
      </c>
      <c r="L161" s="15" t="n">
        <v>1557.66</v>
      </c>
      <c r="M161" s="15" t="n">
        <f aca="false">F161*G161</f>
        <v>1971.72</v>
      </c>
      <c r="N161" s="15" t="n">
        <f aca="false">M161-L161</f>
        <v>414.06</v>
      </c>
      <c r="O161" s="1" t="n">
        <f aca="false">YEAR(B161)</f>
        <v>2022</v>
      </c>
      <c r="P161" s="1" t="n">
        <f aca="false">MONTH(B161)</f>
        <v>6</v>
      </c>
      <c r="Q161" s="1" t="str">
        <f aca="false">TEXT(B161,"mmm")</f>
        <v>Jun</v>
      </c>
      <c r="R161" s="1" t="str">
        <f aca="false">"Q"&amp;ROUNDUP(MONTH(B161)/3,0)</f>
        <v>Q2</v>
      </c>
    </row>
    <row r="162" customFormat="false" ht="15" hidden="false" customHeight="true" outlineLevel="0" collapsed="false">
      <c r="A162" s="1" t="n">
        <v>10161</v>
      </c>
      <c r="B162" s="14" t="n">
        <v>44722</v>
      </c>
      <c r="C162" s="1" t="n">
        <v>1047</v>
      </c>
      <c r="D162" s="1" t="s">
        <v>30</v>
      </c>
      <c r="E162" s="1" t="s">
        <v>28</v>
      </c>
      <c r="F162" s="1" t="n">
        <v>3</v>
      </c>
      <c r="G162" s="15" t="n">
        <v>397.33</v>
      </c>
      <c r="H162" s="16" t="n">
        <v>0.13</v>
      </c>
      <c r="I162" s="1" t="s">
        <v>33</v>
      </c>
      <c r="J162" s="1" t="n">
        <v>7</v>
      </c>
      <c r="K162" s="1" t="n">
        <v>4.7</v>
      </c>
      <c r="L162" s="15" t="n">
        <v>1037.03</v>
      </c>
      <c r="M162" s="15" t="n">
        <f aca="false">F162*G162</f>
        <v>1191.99</v>
      </c>
      <c r="N162" s="15" t="n">
        <f aca="false">M162-L162</f>
        <v>154.96</v>
      </c>
      <c r="O162" s="1" t="n">
        <f aca="false">YEAR(B162)</f>
        <v>2022</v>
      </c>
      <c r="P162" s="1" t="n">
        <f aca="false">MONTH(B162)</f>
        <v>6</v>
      </c>
      <c r="Q162" s="1" t="str">
        <f aca="false">TEXT(B162,"mmm")</f>
        <v>Jun</v>
      </c>
      <c r="R162" s="1" t="str">
        <f aca="false">"Q"&amp;ROUNDUP(MONTH(B162)/3,0)</f>
        <v>Q2</v>
      </c>
    </row>
    <row r="163" customFormat="false" ht="15" hidden="false" customHeight="true" outlineLevel="0" collapsed="false">
      <c r="A163" s="1" t="n">
        <v>10162</v>
      </c>
      <c r="B163" s="14" t="n">
        <v>44723</v>
      </c>
      <c r="C163" s="1" t="n">
        <v>1502</v>
      </c>
      <c r="D163" s="1" t="s">
        <v>37</v>
      </c>
      <c r="E163" s="1" t="s">
        <v>35</v>
      </c>
      <c r="F163" s="1" t="n">
        <v>6</v>
      </c>
      <c r="G163" s="15" t="n">
        <v>506.03</v>
      </c>
      <c r="H163" s="16" t="n">
        <v>0.02</v>
      </c>
      <c r="I163" s="1" t="s">
        <v>33</v>
      </c>
      <c r="J163" s="1" t="n">
        <v>9</v>
      </c>
      <c r="K163" s="1" t="n">
        <v>3.7</v>
      </c>
      <c r="L163" s="15" t="n">
        <v>2975.46</v>
      </c>
      <c r="M163" s="15" t="n">
        <f aca="false">F163*G163</f>
        <v>3036.18</v>
      </c>
      <c r="N163" s="15" t="n">
        <f aca="false">M163-L163</f>
        <v>60.7199999999998</v>
      </c>
      <c r="O163" s="1" t="n">
        <f aca="false">YEAR(B163)</f>
        <v>2022</v>
      </c>
      <c r="P163" s="1" t="n">
        <f aca="false">MONTH(B163)</f>
        <v>6</v>
      </c>
      <c r="Q163" s="1" t="str">
        <f aca="false">TEXT(B163,"mmm")</f>
        <v>Jun</v>
      </c>
      <c r="R163" s="1" t="str">
        <f aca="false">"Q"&amp;ROUNDUP(MONTH(B163)/3,0)</f>
        <v>Q2</v>
      </c>
    </row>
    <row r="164" customFormat="false" ht="15" hidden="false" customHeight="true" outlineLevel="0" collapsed="false">
      <c r="A164" s="1" t="n">
        <v>10163</v>
      </c>
      <c r="B164" s="14" t="n">
        <v>44724</v>
      </c>
      <c r="C164" s="1" t="n">
        <v>1406</v>
      </c>
      <c r="D164" s="1" t="s">
        <v>30</v>
      </c>
      <c r="E164" s="1" t="s">
        <v>35</v>
      </c>
      <c r="F164" s="1" t="n">
        <v>3</v>
      </c>
      <c r="G164" s="15" t="n">
        <v>567.53</v>
      </c>
      <c r="H164" s="16" t="n">
        <v>0.24</v>
      </c>
      <c r="I164" s="1" t="s">
        <v>33</v>
      </c>
      <c r="J164" s="1" t="n">
        <v>2</v>
      </c>
      <c r="K164" s="1" t="n">
        <v>1.5</v>
      </c>
      <c r="L164" s="15" t="n">
        <v>1293.97</v>
      </c>
      <c r="M164" s="15" t="n">
        <f aca="false">F164*G164</f>
        <v>1702.59</v>
      </c>
      <c r="N164" s="15" t="n">
        <f aca="false">M164-L164</f>
        <v>408.62</v>
      </c>
      <c r="O164" s="1" t="n">
        <f aca="false">YEAR(B164)</f>
        <v>2022</v>
      </c>
      <c r="P164" s="1" t="n">
        <f aca="false">MONTH(B164)</f>
        <v>6</v>
      </c>
      <c r="Q164" s="1" t="str">
        <f aca="false">TEXT(B164,"mmm")</f>
        <v>Jun</v>
      </c>
      <c r="R164" s="1" t="str">
        <f aca="false">"Q"&amp;ROUNDUP(MONTH(B164)/3,0)</f>
        <v>Q2</v>
      </c>
    </row>
    <row r="165" customFormat="false" ht="15" hidden="false" customHeight="true" outlineLevel="0" collapsed="false">
      <c r="A165" s="1" t="n">
        <v>10164</v>
      </c>
      <c r="B165" s="14" t="n">
        <v>44725</v>
      </c>
      <c r="C165" s="1" t="n">
        <v>1573</v>
      </c>
      <c r="D165" s="1" t="s">
        <v>34</v>
      </c>
      <c r="E165" s="1" t="s">
        <v>28</v>
      </c>
      <c r="F165" s="1" t="n">
        <v>7</v>
      </c>
      <c r="G165" s="15" t="n">
        <v>174.66</v>
      </c>
      <c r="H165" s="16" t="n">
        <v>0.11</v>
      </c>
      <c r="I165" s="1" t="s">
        <v>33</v>
      </c>
      <c r="J165" s="1" t="n">
        <v>11</v>
      </c>
      <c r="K165" s="1" t="n">
        <v>4.1</v>
      </c>
      <c r="L165" s="15" t="n">
        <v>1088.13</v>
      </c>
      <c r="M165" s="15" t="n">
        <f aca="false">F165*G165</f>
        <v>1222.62</v>
      </c>
      <c r="N165" s="15" t="n">
        <f aca="false">M165-L165</f>
        <v>134.49</v>
      </c>
      <c r="O165" s="1" t="n">
        <f aca="false">YEAR(B165)</f>
        <v>2022</v>
      </c>
      <c r="P165" s="1" t="n">
        <f aca="false">MONTH(B165)</f>
        <v>6</v>
      </c>
      <c r="Q165" s="1" t="str">
        <f aca="false">TEXT(B165,"mmm")</f>
        <v>Jun</v>
      </c>
      <c r="R165" s="1" t="str">
        <f aca="false">"Q"&amp;ROUNDUP(MONTH(B165)/3,0)</f>
        <v>Q2</v>
      </c>
    </row>
    <row r="166" customFormat="false" ht="15" hidden="false" customHeight="true" outlineLevel="0" collapsed="false">
      <c r="A166" s="1" t="n">
        <v>10165</v>
      </c>
      <c r="B166" s="14" t="n">
        <v>44726</v>
      </c>
      <c r="C166" s="1" t="n">
        <v>1727</v>
      </c>
      <c r="D166" s="1" t="s">
        <v>27</v>
      </c>
      <c r="E166" s="1" t="s">
        <v>36</v>
      </c>
      <c r="F166" s="1" t="n">
        <v>1</v>
      </c>
      <c r="G166" s="15" t="n">
        <v>114.25</v>
      </c>
      <c r="H166" s="16" t="n">
        <v>0.16</v>
      </c>
      <c r="I166" s="1" t="s">
        <v>33</v>
      </c>
      <c r="J166" s="1" t="n">
        <v>10</v>
      </c>
      <c r="K166" s="1" t="n">
        <v>2.4</v>
      </c>
      <c r="L166" s="15" t="n">
        <v>95.97</v>
      </c>
      <c r="M166" s="15" t="n">
        <f aca="false">F166*G166</f>
        <v>114.25</v>
      </c>
      <c r="N166" s="15" t="n">
        <f aca="false">M166-L166</f>
        <v>18.28</v>
      </c>
      <c r="O166" s="1" t="n">
        <f aca="false">YEAR(B166)</f>
        <v>2022</v>
      </c>
      <c r="P166" s="1" t="n">
        <f aca="false">MONTH(B166)</f>
        <v>6</v>
      </c>
      <c r="Q166" s="1" t="str">
        <f aca="false">TEXT(B166,"mmm")</f>
        <v>Jun</v>
      </c>
      <c r="R166" s="1" t="str">
        <f aca="false">"Q"&amp;ROUNDUP(MONTH(B166)/3,0)</f>
        <v>Q2</v>
      </c>
    </row>
    <row r="167" customFormat="false" ht="15" hidden="false" customHeight="true" outlineLevel="0" collapsed="false">
      <c r="A167" s="1" t="n">
        <v>10166</v>
      </c>
      <c r="B167" s="14" t="n">
        <v>44727</v>
      </c>
      <c r="C167" s="1" t="n">
        <v>1804</v>
      </c>
      <c r="D167" s="1" t="s">
        <v>27</v>
      </c>
      <c r="E167" s="1" t="s">
        <v>32</v>
      </c>
      <c r="F167" s="1" t="n">
        <v>4</v>
      </c>
      <c r="G167" s="15" t="n">
        <v>298.13</v>
      </c>
      <c r="H167" s="16" t="n">
        <v>0.24</v>
      </c>
      <c r="I167" s="1" t="s">
        <v>29</v>
      </c>
      <c r="J167" s="1" t="n">
        <v>6</v>
      </c>
      <c r="K167" s="1" t="n">
        <v>4.2</v>
      </c>
      <c r="L167" s="15" t="n">
        <v>906.32</v>
      </c>
      <c r="M167" s="15" t="n">
        <f aca="false">F167*G167</f>
        <v>1192.52</v>
      </c>
      <c r="N167" s="15" t="n">
        <f aca="false">M167-L167</f>
        <v>286.2</v>
      </c>
      <c r="O167" s="1" t="n">
        <f aca="false">YEAR(B167)</f>
        <v>2022</v>
      </c>
      <c r="P167" s="1" t="n">
        <f aca="false">MONTH(B167)</f>
        <v>6</v>
      </c>
      <c r="Q167" s="1" t="str">
        <f aca="false">TEXT(B167,"mmm")</f>
        <v>Jun</v>
      </c>
      <c r="R167" s="1" t="str">
        <f aca="false">"Q"&amp;ROUNDUP(MONTH(B167)/3,0)</f>
        <v>Q2</v>
      </c>
    </row>
    <row r="168" customFormat="false" ht="15" hidden="false" customHeight="true" outlineLevel="0" collapsed="false">
      <c r="A168" s="1" t="n">
        <v>10167</v>
      </c>
      <c r="B168" s="14" t="n">
        <v>44728</v>
      </c>
      <c r="C168" s="1" t="n">
        <v>1098</v>
      </c>
      <c r="D168" s="1" t="s">
        <v>37</v>
      </c>
      <c r="E168" s="1" t="s">
        <v>28</v>
      </c>
      <c r="F168" s="1" t="n">
        <v>7</v>
      </c>
      <c r="G168" s="15" t="n">
        <v>425.59</v>
      </c>
      <c r="H168" s="16" t="n">
        <v>0.32</v>
      </c>
      <c r="I168" s="1" t="s">
        <v>31</v>
      </c>
      <c r="J168" s="1" t="n">
        <v>9</v>
      </c>
      <c r="K168" s="1" t="n">
        <v>4.8</v>
      </c>
      <c r="L168" s="15" t="n">
        <v>2025.81</v>
      </c>
      <c r="M168" s="15" t="n">
        <f aca="false">F168*G168</f>
        <v>2979.13</v>
      </c>
      <c r="N168" s="15" t="n">
        <f aca="false">M168-L168</f>
        <v>953.32</v>
      </c>
      <c r="O168" s="1" t="n">
        <f aca="false">YEAR(B168)</f>
        <v>2022</v>
      </c>
      <c r="P168" s="1" t="n">
        <f aca="false">MONTH(B168)</f>
        <v>6</v>
      </c>
      <c r="Q168" s="1" t="str">
        <f aca="false">TEXT(B168,"mmm")</f>
        <v>Jun</v>
      </c>
      <c r="R168" s="1" t="str">
        <f aca="false">"Q"&amp;ROUNDUP(MONTH(B168)/3,0)</f>
        <v>Q2</v>
      </c>
    </row>
    <row r="169" customFormat="false" ht="15" hidden="false" customHeight="true" outlineLevel="0" collapsed="false">
      <c r="A169" s="1" t="n">
        <v>10168</v>
      </c>
      <c r="B169" s="14" t="n">
        <v>44729</v>
      </c>
      <c r="C169" s="1" t="n">
        <v>1683</v>
      </c>
      <c r="D169" s="1" t="s">
        <v>27</v>
      </c>
      <c r="E169" s="1" t="s">
        <v>32</v>
      </c>
      <c r="F169" s="1" t="n">
        <v>1</v>
      </c>
      <c r="G169" s="15" t="n">
        <v>147.91</v>
      </c>
      <c r="H169" s="16" t="n">
        <v>0.29</v>
      </c>
      <c r="I169" s="1" t="s">
        <v>33</v>
      </c>
      <c r="J169" s="1" t="n">
        <v>3</v>
      </c>
      <c r="K169" s="1" t="n">
        <v>2</v>
      </c>
      <c r="L169" s="15" t="n">
        <v>105.02</v>
      </c>
      <c r="M169" s="15" t="n">
        <f aca="false">F169*G169</f>
        <v>147.91</v>
      </c>
      <c r="N169" s="15" t="n">
        <f aca="false">M169-L169</f>
        <v>42.89</v>
      </c>
      <c r="O169" s="1" t="n">
        <f aca="false">YEAR(B169)</f>
        <v>2022</v>
      </c>
      <c r="P169" s="1" t="n">
        <f aca="false">MONTH(B169)</f>
        <v>6</v>
      </c>
      <c r="Q169" s="1" t="str">
        <f aca="false">TEXT(B169,"mmm")</f>
        <v>Jun</v>
      </c>
      <c r="R169" s="1" t="str">
        <f aca="false">"Q"&amp;ROUNDUP(MONTH(B169)/3,0)</f>
        <v>Q2</v>
      </c>
    </row>
    <row r="170" customFormat="false" ht="15" hidden="false" customHeight="true" outlineLevel="0" collapsed="false">
      <c r="A170" s="1" t="n">
        <v>10169</v>
      </c>
      <c r="B170" s="14" t="n">
        <v>44730</v>
      </c>
      <c r="C170" s="1" t="n">
        <v>1871</v>
      </c>
      <c r="D170" s="1" t="s">
        <v>30</v>
      </c>
      <c r="E170" s="1" t="s">
        <v>36</v>
      </c>
      <c r="F170" s="1" t="n">
        <v>2</v>
      </c>
      <c r="G170" s="15" t="n">
        <v>17.4</v>
      </c>
      <c r="H170" s="16" t="n">
        <v>0.16</v>
      </c>
      <c r="I170" s="1" t="s">
        <v>31</v>
      </c>
      <c r="J170" s="1" t="n">
        <v>8</v>
      </c>
      <c r="K170" s="1" t="n">
        <v>4.4</v>
      </c>
      <c r="L170" s="15" t="n">
        <v>29.23</v>
      </c>
      <c r="M170" s="15" t="n">
        <f aca="false">F170*G170</f>
        <v>34.8</v>
      </c>
      <c r="N170" s="15" t="n">
        <f aca="false">M170-L170</f>
        <v>5.57</v>
      </c>
      <c r="O170" s="1" t="n">
        <f aca="false">YEAR(B170)</f>
        <v>2022</v>
      </c>
      <c r="P170" s="1" t="n">
        <f aca="false">MONTH(B170)</f>
        <v>6</v>
      </c>
      <c r="Q170" s="1" t="str">
        <f aca="false">TEXT(B170,"mmm")</f>
        <v>Jun</v>
      </c>
      <c r="R170" s="1" t="str">
        <f aca="false">"Q"&amp;ROUNDUP(MONTH(B170)/3,0)</f>
        <v>Q2</v>
      </c>
    </row>
    <row r="171" customFormat="false" ht="15" hidden="false" customHeight="true" outlineLevel="0" collapsed="false">
      <c r="A171" s="1" t="n">
        <v>10170</v>
      </c>
      <c r="B171" s="14" t="n">
        <v>44731</v>
      </c>
      <c r="C171" s="1" t="n">
        <v>1725</v>
      </c>
      <c r="D171" s="1" t="s">
        <v>27</v>
      </c>
      <c r="E171" s="1" t="s">
        <v>35</v>
      </c>
      <c r="F171" s="1" t="n">
        <v>6</v>
      </c>
      <c r="G171" s="15" t="n">
        <v>215.62</v>
      </c>
      <c r="H171" s="16" t="n">
        <v>0.14</v>
      </c>
      <c r="I171" s="1" t="s">
        <v>31</v>
      </c>
      <c r="J171" s="1" t="n">
        <v>5</v>
      </c>
      <c r="K171" s="1" t="n">
        <v>4.1</v>
      </c>
      <c r="L171" s="15" t="n">
        <v>1112.6</v>
      </c>
      <c r="M171" s="15" t="n">
        <f aca="false">F171*G171</f>
        <v>1293.72</v>
      </c>
      <c r="N171" s="15" t="n">
        <f aca="false">M171-L171</f>
        <v>181.12</v>
      </c>
      <c r="O171" s="1" t="n">
        <f aca="false">YEAR(B171)</f>
        <v>2022</v>
      </c>
      <c r="P171" s="1" t="n">
        <f aca="false">MONTH(B171)</f>
        <v>6</v>
      </c>
      <c r="Q171" s="1" t="str">
        <f aca="false">TEXT(B171,"mmm")</f>
        <v>Jun</v>
      </c>
      <c r="R171" s="1" t="str">
        <f aca="false">"Q"&amp;ROUNDUP(MONTH(B171)/3,0)</f>
        <v>Q2</v>
      </c>
    </row>
    <row r="172" customFormat="false" ht="15" hidden="false" customHeight="true" outlineLevel="0" collapsed="false">
      <c r="A172" s="1" t="n">
        <v>10171</v>
      </c>
      <c r="B172" s="14" t="n">
        <v>44732</v>
      </c>
      <c r="C172" s="1" t="n">
        <v>1986</v>
      </c>
      <c r="D172" s="1" t="s">
        <v>34</v>
      </c>
      <c r="E172" s="1" t="s">
        <v>32</v>
      </c>
      <c r="F172" s="1" t="n">
        <v>1</v>
      </c>
      <c r="G172" s="15" t="n">
        <v>581.78</v>
      </c>
      <c r="H172" s="16" t="n">
        <v>0.08</v>
      </c>
      <c r="I172" s="1" t="s">
        <v>31</v>
      </c>
      <c r="J172" s="1" t="n">
        <v>7</v>
      </c>
      <c r="K172" s="1" t="n">
        <v>3.7</v>
      </c>
      <c r="L172" s="15" t="n">
        <v>535.24</v>
      </c>
      <c r="M172" s="15" t="n">
        <f aca="false">F172*G172</f>
        <v>581.78</v>
      </c>
      <c r="N172" s="15" t="n">
        <f aca="false">M172-L172</f>
        <v>46.54</v>
      </c>
      <c r="O172" s="1" t="n">
        <f aca="false">YEAR(B172)</f>
        <v>2022</v>
      </c>
      <c r="P172" s="1" t="n">
        <f aca="false">MONTH(B172)</f>
        <v>6</v>
      </c>
      <c r="Q172" s="1" t="str">
        <f aca="false">TEXT(B172,"mmm")</f>
        <v>Jun</v>
      </c>
      <c r="R172" s="1" t="str">
        <f aca="false">"Q"&amp;ROUNDUP(MONTH(B172)/3,0)</f>
        <v>Q2</v>
      </c>
    </row>
    <row r="173" customFormat="false" ht="15" hidden="false" customHeight="true" outlineLevel="0" collapsed="false">
      <c r="A173" s="1" t="n">
        <v>10172</v>
      </c>
      <c r="B173" s="14" t="n">
        <v>44733</v>
      </c>
      <c r="C173" s="1" t="n">
        <v>1546</v>
      </c>
      <c r="D173" s="1" t="s">
        <v>30</v>
      </c>
      <c r="E173" s="1" t="s">
        <v>36</v>
      </c>
      <c r="F173" s="1" t="n">
        <v>2</v>
      </c>
      <c r="G173" s="15" t="n">
        <v>421.56</v>
      </c>
      <c r="H173" s="16" t="n">
        <v>0.13</v>
      </c>
      <c r="I173" s="1" t="s">
        <v>29</v>
      </c>
      <c r="J173" s="1" t="n">
        <v>3</v>
      </c>
      <c r="K173" s="1" t="n">
        <v>2.5</v>
      </c>
      <c r="L173" s="15" t="n">
        <v>733.51</v>
      </c>
      <c r="M173" s="15" t="n">
        <f aca="false">F173*G173</f>
        <v>843.12</v>
      </c>
      <c r="N173" s="15" t="n">
        <f aca="false">M173-L173</f>
        <v>109.61</v>
      </c>
      <c r="O173" s="1" t="n">
        <f aca="false">YEAR(B173)</f>
        <v>2022</v>
      </c>
      <c r="P173" s="1" t="n">
        <f aca="false">MONTH(B173)</f>
        <v>6</v>
      </c>
      <c r="Q173" s="1" t="str">
        <f aca="false">TEXT(B173,"mmm")</f>
        <v>Jun</v>
      </c>
      <c r="R173" s="1" t="str">
        <f aca="false">"Q"&amp;ROUNDUP(MONTH(B173)/3,0)</f>
        <v>Q2</v>
      </c>
    </row>
    <row r="174" customFormat="false" ht="15" hidden="false" customHeight="true" outlineLevel="0" collapsed="false">
      <c r="A174" s="1" t="n">
        <v>10173</v>
      </c>
      <c r="B174" s="14" t="n">
        <v>44734</v>
      </c>
      <c r="C174" s="1" t="n">
        <v>1960</v>
      </c>
      <c r="D174" s="1" t="s">
        <v>34</v>
      </c>
      <c r="E174" s="1" t="s">
        <v>36</v>
      </c>
      <c r="F174" s="1" t="n">
        <v>3</v>
      </c>
      <c r="G174" s="15" t="n">
        <v>249.78</v>
      </c>
      <c r="H174" s="16" t="n">
        <v>0.04</v>
      </c>
      <c r="I174" s="1" t="s">
        <v>33</v>
      </c>
      <c r="J174" s="1" t="n">
        <v>8</v>
      </c>
      <c r="K174" s="1" t="n">
        <v>1.4</v>
      </c>
      <c r="L174" s="15" t="n">
        <v>719.37</v>
      </c>
      <c r="M174" s="15" t="n">
        <f aca="false">F174*G174</f>
        <v>749.34</v>
      </c>
      <c r="N174" s="15" t="n">
        <f aca="false">M174-L174</f>
        <v>29.97</v>
      </c>
      <c r="O174" s="1" t="n">
        <f aca="false">YEAR(B174)</f>
        <v>2022</v>
      </c>
      <c r="P174" s="1" t="n">
        <f aca="false">MONTH(B174)</f>
        <v>6</v>
      </c>
      <c r="Q174" s="1" t="str">
        <f aca="false">TEXT(B174,"mmm")</f>
        <v>Jun</v>
      </c>
      <c r="R174" s="1" t="str">
        <f aca="false">"Q"&amp;ROUNDUP(MONTH(B174)/3,0)</f>
        <v>Q2</v>
      </c>
    </row>
    <row r="175" customFormat="false" ht="15" hidden="false" customHeight="true" outlineLevel="0" collapsed="false">
      <c r="A175" s="1" t="n">
        <v>10174</v>
      </c>
      <c r="B175" s="14" t="n">
        <v>44735</v>
      </c>
      <c r="C175" s="1" t="n">
        <v>1738</v>
      </c>
      <c r="D175" s="1" t="s">
        <v>34</v>
      </c>
      <c r="E175" s="1" t="s">
        <v>35</v>
      </c>
      <c r="F175" s="1" t="n">
        <v>1</v>
      </c>
      <c r="G175" s="15" t="n">
        <v>127.66</v>
      </c>
      <c r="H175" s="16" t="n">
        <v>0.34</v>
      </c>
      <c r="I175" s="1" t="s">
        <v>33</v>
      </c>
      <c r="J175" s="1" t="n">
        <v>2</v>
      </c>
      <c r="K175" s="1" t="n">
        <v>2.9</v>
      </c>
      <c r="L175" s="15" t="n">
        <v>84.26</v>
      </c>
      <c r="M175" s="15" t="n">
        <f aca="false">F175*G175</f>
        <v>127.66</v>
      </c>
      <c r="N175" s="15" t="n">
        <f aca="false">M175-L175</f>
        <v>43.4</v>
      </c>
      <c r="O175" s="1" t="n">
        <f aca="false">YEAR(B175)</f>
        <v>2022</v>
      </c>
      <c r="P175" s="1" t="n">
        <f aca="false">MONTH(B175)</f>
        <v>6</v>
      </c>
      <c r="Q175" s="1" t="str">
        <f aca="false">TEXT(B175,"mmm")</f>
        <v>Jun</v>
      </c>
      <c r="R175" s="1" t="str">
        <f aca="false">"Q"&amp;ROUNDUP(MONTH(B175)/3,0)</f>
        <v>Q2</v>
      </c>
    </row>
    <row r="176" customFormat="false" ht="15" hidden="false" customHeight="true" outlineLevel="0" collapsed="false">
      <c r="A176" s="1" t="n">
        <v>10175</v>
      </c>
      <c r="B176" s="14" t="n">
        <v>44736</v>
      </c>
      <c r="C176" s="1" t="n">
        <v>1612</v>
      </c>
      <c r="D176" s="1" t="s">
        <v>34</v>
      </c>
      <c r="E176" s="1" t="s">
        <v>35</v>
      </c>
      <c r="F176" s="1" t="n">
        <v>1</v>
      </c>
      <c r="G176" s="15" t="n">
        <v>223.31</v>
      </c>
      <c r="H176" s="16" t="n">
        <v>0.2</v>
      </c>
      <c r="I176" s="1" t="s">
        <v>31</v>
      </c>
      <c r="J176" s="1" t="n">
        <v>8</v>
      </c>
      <c r="K176" s="1" t="n">
        <v>1.4</v>
      </c>
      <c r="L176" s="15" t="n">
        <v>178.65</v>
      </c>
      <c r="M176" s="15" t="n">
        <f aca="false">F176*G176</f>
        <v>223.31</v>
      </c>
      <c r="N176" s="15" t="n">
        <f aca="false">M176-L176</f>
        <v>44.66</v>
      </c>
      <c r="O176" s="1" t="n">
        <f aca="false">YEAR(B176)</f>
        <v>2022</v>
      </c>
      <c r="P176" s="1" t="n">
        <f aca="false">MONTH(B176)</f>
        <v>6</v>
      </c>
      <c r="Q176" s="1" t="str">
        <f aca="false">TEXT(B176,"mmm")</f>
        <v>Jun</v>
      </c>
      <c r="R176" s="1" t="str">
        <f aca="false">"Q"&amp;ROUNDUP(MONTH(B176)/3,0)</f>
        <v>Q2</v>
      </c>
    </row>
    <row r="177" customFormat="false" ht="15" hidden="false" customHeight="true" outlineLevel="0" collapsed="false">
      <c r="A177" s="1" t="n">
        <v>10176</v>
      </c>
      <c r="B177" s="14" t="n">
        <v>44737</v>
      </c>
      <c r="C177" s="1" t="n">
        <v>1942</v>
      </c>
      <c r="D177" s="1" t="s">
        <v>30</v>
      </c>
      <c r="E177" s="1" t="s">
        <v>36</v>
      </c>
      <c r="F177" s="1" t="n">
        <v>5</v>
      </c>
      <c r="G177" s="15" t="n">
        <v>114.36</v>
      </c>
      <c r="H177" s="16" t="n">
        <v>0.04</v>
      </c>
      <c r="I177" s="1" t="s">
        <v>33</v>
      </c>
      <c r="J177" s="1" t="n">
        <v>2</v>
      </c>
      <c r="K177" s="1" t="n">
        <v>3</v>
      </c>
      <c r="L177" s="15" t="n">
        <v>548.93</v>
      </c>
      <c r="M177" s="15" t="n">
        <f aca="false">F177*G177</f>
        <v>571.8</v>
      </c>
      <c r="N177" s="15" t="n">
        <f aca="false">M177-L177</f>
        <v>22.87</v>
      </c>
      <c r="O177" s="1" t="n">
        <f aca="false">YEAR(B177)</f>
        <v>2022</v>
      </c>
      <c r="P177" s="1" t="n">
        <f aca="false">MONTH(B177)</f>
        <v>6</v>
      </c>
      <c r="Q177" s="1" t="str">
        <f aca="false">TEXT(B177,"mmm")</f>
        <v>Jun</v>
      </c>
      <c r="R177" s="1" t="str">
        <f aca="false">"Q"&amp;ROUNDUP(MONTH(B177)/3,0)</f>
        <v>Q2</v>
      </c>
    </row>
    <row r="178" customFormat="false" ht="15" hidden="false" customHeight="true" outlineLevel="0" collapsed="false">
      <c r="A178" s="1" t="n">
        <v>10177</v>
      </c>
      <c r="B178" s="14" t="n">
        <v>44738</v>
      </c>
      <c r="C178" s="1" t="n">
        <v>1461</v>
      </c>
      <c r="D178" s="1" t="s">
        <v>37</v>
      </c>
      <c r="E178" s="1" t="s">
        <v>36</v>
      </c>
      <c r="F178" s="1" t="n">
        <v>6</v>
      </c>
      <c r="G178" s="15" t="n">
        <v>77.19</v>
      </c>
      <c r="H178" s="16" t="n">
        <v>0.12</v>
      </c>
      <c r="I178" s="1" t="s">
        <v>29</v>
      </c>
      <c r="J178" s="1" t="n">
        <v>7</v>
      </c>
      <c r="K178" s="1" t="n">
        <v>4.3</v>
      </c>
      <c r="L178" s="15" t="n">
        <v>407.56</v>
      </c>
      <c r="M178" s="15" t="n">
        <f aca="false">F178*G178</f>
        <v>463.14</v>
      </c>
      <c r="N178" s="15" t="n">
        <f aca="false">M178-L178</f>
        <v>55.58</v>
      </c>
      <c r="O178" s="1" t="n">
        <f aca="false">YEAR(B178)</f>
        <v>2022</v>
      </c>
      <c r="P178" s="1" t="n">
        <f aca="false">MONTH(B178)</f>
        <v>6</v>
      </c>
      <c r="Q178" s="1" t="str">
        <f aca="false">TEXT(B178,"mmm")</f>
        <v>Jun</v>
      </c>
      <c r="R178" s="1" t="str">
        <f aca="false">"Q"&amp;ROUNDUP(MONTH(B178)/3,0)</f>
        <v>Q2</v>
      </c>
    </row>
    <row r="179" customFormat="false" ht="15" hidden="false" customHeight="true" outlineLevel="0" collapsed="false">
      <c r="A179" s="1" t="n">
        <v>10178</v>
      </c>
      <c r="B179" s="14" t="n">
        <v>44739</v>
      </c>
      <c r="C179" s="1" t="n">
        <v>1642</v>
      </c>
      <c r="D179" s="1" t="s">
        <v>30</v>
      </c>
      <c r="E179" s="1" t="s">
        <v>32</v>
      </c>
      <c r="F179" s="1" t="n">
        <v>6</v>
      </c>
      <c r="G179" s="15" t="n">
        <v>545.44</v>
      </c>
      <c r="H179" s="16" t="n">
        <v>0.19</v>
      </c>
      <c r="I179" s="1" t="s">
        <v>31</v>
      </c>
      <c r="J179" s="1" t="n">
        <v>2</v>
      </c>
      <c r="K179" s="1" t="n">
        <v>5</v>
      </c>
      <c r="L179" s="15" t="n">
        <v>2650.84</v>
      </c>
      <c r="M179" s="15" t="n">
        <f aca="false">F179*G179</f>
        <v>3272.64</v>
      </c>
      <c r="N179" s="15" t="n">
        <f aca="false">M179-L179</f>
        <v>621.8</v>
      </c>
      <c r="O179" s="1" t="n">
        <f aca="false">YEAR(B179)</f>
        <v>2022</v>
      </c>
      <c r="P179" s="1" t="n">
        <f aca="false">MONTH(B179)</f>
        <v>6</v>
      </c>
      <c r="Q179" s="1" t="str">
        <f aca="false">TEXT(B179,"mmm")</f>
        <v>Jun</v>
      </c>
      <c r="R179" s="1" t="str">
        <f aca="false">"Q"&amp;ROUNDUP(MONTH(B179)/3,0)</f>
        <v>Q2</v>
      </c>
    </row>
    <row r="180" customFormat="false" ht="15" hidden="false" customHeight="true" outlineLevel="0" collapsed="false">
      <c r="A180" s="1" t="n">
        <v>10179</v>
      </c>
      <c r="B180" s="14" t="n">
        <v>44740</v>
      </c>
      <c r="C180" s="1" t="n">
        <v>1768</v>
      </c>
      <c r="D180" s="1" t="s">
        <v>34</v>
      </c>
      <c r="E180" s="1" t="s">
        <v>36</v>
      </c>
      <c r="F180" s="1" t="n">
        <v>7</v>
      </c>
      <c r="G180" s="15" t="n">
        <v>598.63</v>
      </c>
      <c r="H180" s="16" t="n">
        <v>0.19</v>
      </c>
      <c r="I180" s="1" t="s">
        <v>31</v>
      </c>
      <c r="J180" s="1" t="n">
        <v>7</v>
      </c>
      <c r="K180" s="1" t="n">
        <v>1.8</v>
      </c>
      <c r="L180" s="15" t="n">
        <v>3394.23</v>
      </c>
      <c r="M180" s="15" t="n">
        <f aca="false">F180*G180</f>
        <v>4190.41</v>
      </c>
      <c r="N180" s="15" t="n">
        <f aca="false">M180-L180</f>
        <v>796.18</v>
      </c>
      <c r="O180" s="1" t="n">
        <f aca="false">YEAR(B180)</f>
        <v>2022</v>
      </c>
      <c r="P180" s="1" t="n">
        <f aca="false">MONTH(B180)</f>
        <v>6</v>
      </c>
      <c r="Q180" s="1" t="str">
        <f aca="false">TEXT(B180,"mmm")</f>
        <v>Jun</v>
      </c>
      <c r="R180" s="1" t="str">
        <f aca="false">"Q"&amp;ROUNDUP(MONTH(B180)/3,0)</f>
        <v>Q2</v>
      </c>
    </row>
    <row r="181" customFormat="false" ht="15" hidden="false" customHeight="true" outlineLevel="0" collapsed="false">
      <c r="A181" s="1" t="n">
        <v>10180</v>
      </c>
      <c r="B181" s="14" t="n">
        <v>44741</v>
      </c>
      <c r="C181" s="1" t="n">
        <v>1004</v>
      </c>
      <c r="D181" s="1" t="s">
        <v>37</v>
      </c>
      <c r="E181" s="1" t="s">
        <v>36</v>
      </c>
      <c r="F181" s="1" t="n">
        <v>3</v>
      </c>
      <c r="G181" s="15" t="n">
        <v>111.01</v>
      </c>
      <c r="H181" s="16" t="n">
        <v>0.01</v>
      </c>
      <c r="I181" s="1" t="s">
        <v>31</v>
      </c>
      <c r="J181" s="1" t="n">
        <v>1</v>
      </c>
      <c r="K181" s="1" t="n">
        <v>1.8</v>
      </c>
      <c r="L181" s="15" t="n">
        <v>329.7</v>
      </c>
      <c r="M181" s="15" t="n">
        <f aca="false">F181*G181</f>
        <v>333.03</v>
      </c>
      <c r="N181" s="15" t="n">
        <f aca="false">M181-L181</f>
        <v>3.33000000000004</v>
      </c>
      <c r="O181" s="1" t="n">
        <f aca="false">YEAR(B181)</f>
        <v>2022</v>
      </c>
      <c r="P181" s="1" t="n">
        <f aca="false">MONTH(B181)</f>
        <v>6</v>
      </c>
      <c r="Q181" s="1" t="str">
        <f aca="false">TEXT(B181,"mmm")</f>
        <v>Jun</v>
      </c>
      <c r="R181" s="1" t="str">
        <f aca="false">"Q"&amp;ROUNDUP(MONTH(B181)/3,0)</f>
        <v>Q2</v>
      </c>
    </row>
    <row r="182" customFormat="false" ht="15" hidden="false" customHeight="true" outlineLevel="0" collapsed="false">
      <c r="A182" s="1" t="n">
        <v>10181</v>
      </c>
      <c r="B182" s="14" t="n">
        <v>44742</v>
      </c>
      <c r="C182" s="1" t="n">
        <v>1217</v>
      </c>
      <c r="D182" s="1" t="s">
        <v>30</v>
      </c>
      <c r="E182" s="1" t="s">
        <v>32</v>
      </c>
      <c r="F182" s="1" t="n">
        <v>5</v>
      </c>
      <c r="G182" s="15" t="n">
        <v>46.9</v>
      </c>
      <c r="H182" s="16" t="n">
        <v>0.33</v>
      </c>
      <c r="I182" s="1" t="s">
        <v>33</v>
      </c>
      <c r="J182" s="1" t="n">
        <v>6</v>
      </c>
      <c r="K182" s="1" t="n">
        <v>4.2</v>
      </c>
      <c r="L182" s="15" t="n">
        <v>157.11</v>
      </c>
      <c r="M182" s="15" t="n">
        <f aca="false">F182*G182</f>
        <v>234.5</v>
      </c>
      <c r="N182" s="15" t="n">
        <f aca="false">M182-L182</f>
        <v>77.39</v>
      </c>
      <c r="O182" s="1" t="n">
        <f aca="false">YEAR(B182)</f>
        <v>2022</v>
      </c>
      <c r="P182" s="1" t="n">
        <f aca="false">MONTH(B182)</f>
        <v>6</v>
      </c>
      <c r="Q182" s="1" t="str">
        <f aca="false">TEXT(B182,"mmm")</f>
        <v>Jun</v>
      </c>
      <c r="R182" s="1" t="str">
        <f aca="false">"Q"&amp;ROUNDUP(MONTH(B182)/3,0)</f>
        <v>Q2</v>
      </c>
    </row>
    <row r="183" customFormat="false" ht="15" hidden="false" customHeight="true" outlineLevel="0" collapsed="false">
      <c r="A183" s="1" t="n">
        <v>10182</v>
      </c>
      <c r="B183" s="14" t="n">
        <v>44743</v>
      </c>
      <c r="C183" s="1" t="n">
        <v>1502</v>
      </c>
      <c r="D183" s="1" t="s">
        <v>30</v>
      </c>
      <c r="E183" s="1" t="s">
        <v>28</v>
      </c>
      <c r="F183" s="1" t="n">
        <v>7</v>
      </c>
      <c r="G183" s="15" t="n">
        <v>207.89</v>
      </c>
      <c r="H183" s="16" t="n">
        <v>0.1</v>
      </c>
      <c r="I183" s="1" t="s">
        <v>33</v>
      </c>
      <c r="J183" s="1" t="n">
        <v>10</v>
      </c>
      <c r="K183" s="1" t="n">
        <v>2.9</v>
      </c>
      <c r="L183" s="15" t="n">
        <v>1309.71</v>
      </c>
      <c r="M183" s="15" t="n">
        <f aca="false">F183*G183</f>
        <v>1455.23</v>
      </c>
      <c r="N183" s="15" t="n">
        <f aca="false">M183-L183</f>
        <v>145.52</v>
      </c>
      <c r="O183" s="1" t="n">
        <f aca="false">YEAR(B183)</f>
        <v>2022</v>
      </c>
      <c r="P183" s="1" t="n">
        <f aca="false">MONTH(B183)</f>
        <v>7</v>
      </c>
      <c r="Q183" s="1" t="str">
        <f aca="false">TEXT(B183,"mmm")</f>
        <v>Jul</v>
      </c>
      <c r="R183" s="1" t="str">
        <f aca="false">"Q"&amp;ROUNDUP(MONTH(B183)/3,0)</f>
        <v>Q3</v>
      </c>
    </row>
    <row r="184" customFormat="false" ht="15" hidden="false" customHeight="true" outlineLevel="0" collapsed="false">
      <c r="A184" s="1" t="n">
        <v>10183</v>
      </c>
      <c r="B184" s="14" t="n">
        <v>44744</v>
      </c>
      <c r="C184" s="1" t="n">
        <v>1766</v>
      </c>
      <c r="D184" s="1" t="s">
        <v>37</v>
      </c>
      <c r="E184" s="1" t="s">
        <v>32</v>
      </c>
      <c r="F184" s="1" t="n">
        <v>2</v>
      </c>
      <c r="G184" s="15" t="n">
        <v>285.07</v>
      </c>
      <c r="H184" s="16" t="n">
        <v>0.01</v>
      </c>
      <c r="I184" s="1" t="s">
        <v>33</v>
      </c>
      <c r="J184" s="1" t="n">
        <v>7</v>
      </c>
      <c r="K184" s="1" t="n">
        <v>4.7</v>
      </c>
      <c r="L184" s="15" t="n">
        <v>564.44</v>
      </c>
      <c r="M184" s="15" t="n">
        <f aca="false">F184*G184</f>
        <v>570.14</v>
      </c>
      <c r="N184" s="15" t="n">
        <f aca="false">M184-L184</f>
        <v>5.69999999999993</v>
      </c>
      <c r="O184" s="1" t="n">
        <f aca="false">YEAR(B184)</f>
        <v>2022</v>
      </c>
      <c r="P184" s="1" t="n">
        <f aca="false">MONTH(B184)</f>
        <v>7</v>
      </c>
      <c r="Q184" s="1" t="str">
        <f aca="false">TEXT(B184,"mmm")</f>
        <v>Jul</v>
      </c>
      <c r="R184" s="1" t="str">
        <f aca="false">"Q"&amp;ROUNDUP(MONTH(B184)/3,0)</f>
        <v>Q3</v>
      </c>
    </row>
    <row r="185" customFormat="false" ht="15" hidden="false" customHeight="true" outlineLevel="0" collapsed="false">
      <c r="A185" s="1" t="n">
        <v>10184</v>
      </c>
      <c r="B185" s="14" t="n">
        <v>44745</v>
      </c>
      <c r="C185" s="1" t="n">
        <v>1397</v>
      </c>
      <c r="D185" s="1" t="s">
        <v>34</v>
      </c>
      <c r="E185" s="1" t="s">
        <v>32</v>
      </c>
      <c r="F185" s="1" t="n">
        <v>7</v>
      </c>
      <c r="G185" s="15" t="n">
        <v>134.82</v>
      </c>
      <c r="H185" s="16" t="n">
        <v>0.03</v>
      </c>
      <c r="I185" s="1" t="s">
        <v>33</v>
      </c>
      <c r="J185" s="1" t="n">
        <v>4</v>
      </c>
      <c r="K185" s="1" t="n">
        <v>4.1</v>
      </c>
      <c r="L185" s="15" t="n">
        <v>915.43</v>
      </c>
      <c r="M185" s="15" t="n">
        <f aca="false">F185*G185</f>
        <v>943.74</v>
      </c>
      <c r="N185" s="15" t="n">
        <f aca="false">M185-L185</f>
        <v>28.3100000000001</v>
      </c>
      <c r="O185" s="1" t="n">
        <f aca="false">YEAR(B185)</f>
        <v>2022</v>
      </c>
      <c r="P185" s="1" t="n">
        <f aca="false">MONTH(B185)</f>
        <v>7</v>
      </c>
      <c r="Q185" s="1" t="str">
        <f aca="false">TEXT(B185,"mmm")</f>
        <v>Jul</v>
      </c>
      <c r="R185" s="1" t="str">
        <f aca="false">"Q"&amp;ROUNDUP(MONTH(B185)/3,0)</f>
        <v>Q3</v>
      </c>
    </row>
    <row r="186" customFormat="false" ht="15" hidden="false" customHeight="true" outlineLevel="0" collapsed="false">
      <c r="A186" s="1" t="n">
        <v>10185</v>
      </c>
      <c r="B186" s="14" t="n">
        <v>44746</v>
      </c>
      <c r="C186" s="1" t="n">
        <v>1870</v>
      </c>
      <c r="D186" s="1" t="s">
        <v>34</v>
      </c>
      <c r="E186" s="1" t="s">
        <v>35</v>
      </c>
      <c r="F186" s="1" t="n">
        <v>2</v>
      </c>
      <c r="G186" s="15" t="n">
        <v>191.33</v>
      </c>
      <c r="H186" s="16" t="n">
        <v>0.2</v>
      </c>
      <c r="I186" s="1" t="s">
        <v>31</v>
      </c>
      <c r="J186" s="1" t="n">
        <v>11</v>
      </c>
      <c r="K186" s="1" t="n">
        <v>3.9</v>
      </c>
      <c r="L186" s="15" t="n">
        <v>306.13</v>
      </c>
      <c r="M186" s="15" t="n">
        <f aca="false">F186*G186</f>
        <v>382.66</v>
      </c>
      <c r="N186" s="15" t="n">
        <f aca="false">M186-L186</f>
        <v>76.53</v>
      </c>
      <c r="O186" s="1" t="n">
        <f aca="false">YEAR(B186)</f>
        <v>2022</v>
      </c>
      <c r="P186" s="1" t="n">
        <f aca="false">MONTH(B186)</f>
        <v>7</v>
      </c>
      <c r="Q186" s="1" t="str">
        <f aca="false">TEXT(B186,"mmm")</f>
        <v>Jul</v>
      </c>
      <c r="R186" s="1" t="str">
        <f aca="false">"Q"&amp;ROUNDUP(MONTH(B186)/3,0)</f>
        <v>Q3</v>
      </c>
    </row>
    <row r="187" customFormat="false" ht="15" hidden="false" customHeight="true" outlineLevel="0" collapsed="false">
      <c r="A187" s="1" t="n">
        <v>10186</v>
      </c>
      <c r="B187" s="14" t="n">
        <v>44747</v>
      </c>
      <c r="C187" s="1" t="n">
        <v>1794</v>
      </c>
      <c r="D187" s="1" t="s">
        <v>27</v>
      </c>
      <c r="E187" s="1" t="s">
        <v>32</v>
      </c>
      <c r="F187" s="1" t="n">
        <v>3</v>
      </c>
      <c r="G187" s="15" t="n">
        <v>132.51</v>
      </c>
      <c r="H187" s="16" t="n">
        <v>0.05</v>
      </c>
      <c r="I187" s="1" t="s">
        <v>33</v>
      </c>
      <c r="J187" s="1" t="n">
        <v>11</v>
      </c>
      <c r="K187" s="1" t="n">
        <v>1.4</v>
      </c>
      <c r="L187" s="15" t="n">
        <v>377.65</v>
      </c>
      <c r="M187" s="15" t="n">
        <f aca="false">F187*G187</f>
        <v>397.53</v>
      </c>
      <c r="N187" s="15" t="n">
        <f aca="false">M187-L187</f>
        <v>19.88</v>
      </c>
      <c r="O187" s="1" t="n">
        <f aca="false">YEAR(B187)</f>
        <v>2022</v>
      </c>
      <c r="P187" s="1" t="n">
        <f aca="false">MONTH(B187)</f>
        <v>7</v>
      </c>
      <c r="Q187" s="1" t="str">
        <f aca="false">TEXT(B187,"mmm")</f>
        <v>Jul</v>
      </c>
      <c r="R187" s="1" t="str">
        <f aca="false">"Q"&amp;ROUNDUP(MONTH(B187)/3,0)</f>
        <v>Q3</v>
      </c>
    </row>
    <row r="188" customFormat="false" ht="15" hidden="false" customHeight="true" outlineLevel="0" collapsed="false">
      <c r="A188" s="1" t="n">
        <v>10187</v>
      </c>
      <c r="B188" s="14" t="n">
        <v>44748</v>
      </c>
      <c r="C188" s="1" t="n">
        <v>1392</v>
      </c>
      <c r="D188" s="1" t="s">
        <v>34</v>
      </c>
      <c r="E188" s="1" t="s">
        <v>36</v>
      </c>
      <c r="F188" s="1" t="n">
        <v>6</v>
      </c>
      <c r="G188" s="15" t="n">
        <v>467.94</v>
      </c>
      <c r="H188" s="16" t="n">
        <v>0.01</v>
      </c>
      <c r="I188" s="1" t="s">
        <v>31</v>
      </c>
      <c r="J188" s="1" t="n">
        <v>1</v>
      </c>
      <c r="K188" s="1" t="n">
        <v>1.1</v>
      </c>
      <c r="L188" s="15" t="n">
        <v>2779.56</v>
      </c>
      <c r="M188" s="15" t="n">
        <f aca="false">F188*G188</f>
        <v>2807.64</v>
      </c>
      <c r="N188" s="15" t="n">
        <f aca="false">M188-L188</f>
        <v>28.0799999999999</v>
      </c>
      <c r="O188" s="1" t="n">
        <f aca="false">YEAR(B188)</f>
        <v>2022</v>
      </c>
      <c r="P188" s="1" t="n">
        <f aca="false">MONTH(B188)</f>
        <v>7</v>
      </c>
      <c r="Q188" s="1" t="str">
        <f aca="false">TEXT(B188,"mmm")</f>
        <v>Jul</v>
      </c>
      <c r="R188" s="1" t="str">
        <f aca="false">"Q"&amp;ROUNDUP(MONTH(B188)/3,0)</f>
        <v>Q3</v>
      </c>
    </row>
    <row r="189" customFormat="false" ht="15" hidden="false" customHeight="true" outlineLevel="0" collapsed="false">
      <c r="A189" s="1" t="n">
        <v>10188</v>
      </c>
      <c r="B189" s="14" t="n">
        <v>44749</v>
      </c>
      <c r="C189" s="1" t="n">
        <v>1206</v>
      </c>
      <c r="D189" s="1" t="s">
        <v>30</v>
      </c>
      <c r="E189" s="1" t="s">
        <v>36</v>
      </c>
      <c r="F189" s="1" t="n">
        <v>2</v>
      </c>
      <c r="G189" s="15" t="n">
        <v>431.86</v>
      </c>
      <c r="H189" s="16" t="n">
        <v>0.13</v>
      </c>
      <c r="I189" s="1" t="s">
        <v>31</v>
      </c>
      <c r="J189" s="1" t="n">
        <v>6</v>
      </c>
      <c r="K189" s="1" t="n">
        <v>2.3</v>
      </c>
      <c r="L189" s="15" t="n">
        <v>751.44</v>
      </c>
      <c r="M189" s="15" t="n">
        <f aca="false">F189*G189</f>
        <v>863.72</v>
      </c>
      <c r="N189" s="15" t="n">
        <f aca="false">M189-L189</f>
        <v>112.28</v>
      </c>
      <c r="O189" s="1" t="n">
        <f aca="false">YEAR(B189)</f>
        <v>2022</v>
      </c>
      <c r="P189" s="1" t="n">
        <f aca="false">MONTH(B189)</f>
        <v>7</v>
      </c>
      <c r="Q189" s="1" t="str">
        <f aca="false">TEXT(B189,"mmm")</f>
        <v>Jul</v>
      </c>
      <c r="R189" s="1" t="str">
        <f aca="false">"Q"&amp;ROUNDUP(MONTH(B189)/3,0)</f>
        <v>Q3</v>
      </c>
    </row>
    <row r="190" customFormat="false" ht="15" hidden="false" customHeight="true" outlineLevel="0" collapsed="false">
      <c r="A190" s="1" t="n">
        <v>10189</v>
      </c>
      <c r="B190" s="14" t="n">
        <v>44750</v>
      </c>
      <c r="C190" s="1" t="n">
        <v>1014</v>
      </c>
      <c r="D190" s="1" t="s">
        <v>27</v>
      </c>
      <c r="E190" s="1" t="s">
        <v>36</v>
      </c>
      <c r="F190" s="1" t="n">
        <v>3</v>
      </c>
      <c r="G190" s="15" t="n">
        <v>386.45</v>
      </c>
      <c r="H190" s="16" t="n">
        <v>0.22</v>
      </c>
      <c r="I190" s="1" t="s">
        <v>33</v>
      </c>
      <c r="J190" s="1" t="n">
        <v>4</v>
      </c>
      <c r="K190" s="1" t="n">
        <v>1.9</v>
      </c>
      <c r="L190" s="15" t="n">
        <v>904.29</v>
      </c>
      <c r="M190" s="15" t="n">
        <f aca="false">F190*G190</f>
        <v>1159.35</v>
      </c>
      <c r="N190" s="15" t="n">
        <f aca="false">M190-L190</f>
        <v>255.06</v>
      </c>
      <c r="O190" s="1" t="n">
        <f aca="false">YEAR(B190)</f>
        <v>2022</v>
      </c>
      <c r="P190" s="1" t="n">
        <f aca="false">MONTH(B190)</f>
        <v>7</v>
      </c>
      <c r="Q190" s="1" t="str">
        <f aca="false">TEXT(B190,"mmm")</f>
        <v>Jul</v>
      </c>
      <c r="R190" s="1" t="str">
        <f aca="false">"Q"&amp;ROUNDUP(MONTH(B190)/3,0)</f>
        <v>Q3</v>
      </c>
    </row>
    <row r="191" customFormat="false" ht="15" hidden="false" customHeight="true" outlineLevel="0" collapsed="false">
      <c r="A191" s="1" t="n">
        <v>10190</v>
      </c>
      <c r="B191" s="14" t="n">
        <v>44751</v>
      </c>
      <c r="C191" s="1" t="n">
        <v>1857</v>
      </c>
      <c r="D191" s="1" t="s">
        <v>37</v>
      </c>
      <c r="E191" s="1" t="s">
        <v>28</v>
      </c>
      <c r="F191" s="1" t="n">
        <v>7</v>
      </c>
      <c r="G191" s="15" t="n">
        <v>241.52</v>
      </c>
      <c r="H191" s="16" t="n">
        <v>0.04</v>
      </c>
      <c r="I191" s="1" t="s">
        <v>29</v>
      </c>
      <c r="J191" s="1" t="n">
        <v>3</v>
      </c>
      <c r="K191" s="1" t="n">
        <v>3.8</v>
      </c>
      <c r="L191" s="15" t="n">
        <v>1623.01</v>
      </c>
      <c r="M191" s="15" t="n">
        <f aca="false">F191*G191</f>
        <v>1690.64</v>
      </c>
      <c r="N191" s="15" t="n">
        <f aca="false">M191-L191</f>
        <v>67.6300000000001</v>
      </c>
      <c r="O191" s="1" t="n">
        <f aca="false">YEAR(B191)</f>
        <v>2022</v>
      </c>
      <c r="P191" s="1" t="n">
        <f aca="false">MONTH(B191)</f>
        <v>7</v>
      </c>
      <c r="Q191" s="1" t="str">
        <f aca="false">TEXT(B191,"mmm")</f>
        <v>Jul</v>
      </c>
      <c r="R191" s="1" t="str">
        <f aca="false">"Q"&amp;ROUNDUP(MONTH(B191)/3,0)</f>
        <v>Q3</v>
      </c>
    </row>
    <row r="192" customFormat="false" ht="15" hidden="false" customHeight="true" outlineLevel="0" collapsed="false">
      <c r="A192" s="1" t="n">
        <v>10191</v>
      </c>
      <c r="B192" s="14" t="n">
        <v>44752</v>
      </c>
      <c r="C192" s="1" t="n">
        <v>1553</v>
      </c>
      <c r="D192" s="1" t="s">
        <v>34</v>
      </c>
      <c r="E192" s="1" t="s">
        <v>36</v>
      </c>
      <c r="F192" s="1" t="n">
        <v>2</v>
      </c>
      <c r="G192" s="15" t="n">
        <v>546.79</v>
      </c>
      <c r="H192" s="16" t="n">
        <v>0.11</v>
      </c>
      <c r="I192" s="1" t="s">
        <v>33</v>
      </c>
      <c r="J192" s="1" t="n">
        <v>4</v>
      </c>
      <c r="K192" s="1" t="n">
        <v>2.8</v>
      </c>
      <c r="L192" s="15" t="n">
        <v>973.29</v>
      </c>
      <c r="M192" s="15" t="n">
        <f aca="false">F192*G192</f>
        <v>1093.58</v>
      </c>
      <c r="N192" s="15" t="n">
        <f aca="false">M192-L192</f>
        <v>120.29</v>
      </c>
      <c r="O192" s="1" t="n">
        <f aca="false">YEAR(B192)</f>
        <v>2022</v>
      </c>
      <c r="P192" s="1" t="n">
        <f aca="false">MONTH(B192)</f>
        <v>7</v>
      </c>
      <c r="Q192" s="1" t="str">
        <f aca="false">TEXT(B192,"mmm")</f>
        <v>Jul</v>
      </c>
      <c r="R192" s="1" t="str">
        <f aca="false">"Q"&amp;ROUNDUP(MONTH(B192)/3,0)</f>
        <v>Q3</v>
      </c>
    </row>
    <row r="193" customFormat="false" ht="15" hidden="false" customHeight="true" outlineLevel="0" collapsed="false">
      <c r="A193" s="1" t="n">
        <v>10192</v>
      </c>
      <c r="B193" s="14" t="n">
        <v>44753</v>
      </c>
      <c r="C193" s="1" t="n">
        <v>1891</v>
      </c>
      <c r="D193" s="1" t="s">
        <v>34</v>
      </c>
      <c r="E193" s="1" t="s">
        <v>28</v>
      </c>
      <c r="F193" s="1" t="n">
        <v>4</v>
      </c>
      <c r="G193" s="15" t="n">
        <v>582.18</v>
      </c>
      <c r="H193" s="16" t="n">
        <v>0.15</v>
      </c>
      <c r="I193" s="1" t="s">
        <v>33</v>
      </c>
      <c r="J193" s="1" t="n">
        <v>6</v>
      </c>
      <c r="K193" s="1" t="n">
        <v>3.1</v>
      </c>
      <c r="L193" s="15" t="n">
        <v>1979.41</v>
      </c>
      <c r="M193" s="15" t="n">
        <f aca="false">F193*G193</f>
        <v>2328.72</v>
      </c>
      <c r="N193" s="15" t="n">
        <f aca="false">M193-L193</f>
        <v>349.31</v>
      </c>
      <c r="O193" s="1" t="n">
        <f aca="false">YEAR(B193)</f>
        <v>2022</v>
      </c>
      <c r="P193" s="1" t="n">
        <f aca="false">MONTH(B193)</f>
        <v>7</v>
      </c>
      <c r="Q193" s="1" t="str">
        <f aca="false">TEXT(B193,"mmm")</f>
        <v>Jul</v>
      </c>
      <c r="R193" s="1" t="str">
        <f aca="false">"Q"&amp;ROUNDUP(MONTH(B193)/3,0)</f>
        <v>Q3</v>
      </c>
    </row>
    <row r="194" customFormat="false" ht="15" hidden="false" customHeight="true" outlineLevel="0" collapsed="false">
      <c r="A194" s="1" t="n">
        <v>10193</v>
      </c>
      <c r="B194" s="14" t="n">
        <v>44754</v>
      </c>
      <c r="C194" s="1" t="n">
        <v>1460</v>
      </c>
      <c r="D194" s="1" t="s">
        <v>34</v>
      </c>
      <c r="E194" s="1" t="s">
        <v>36</v>
      </c>
      <c r="F194" s="1" t="n">
        <v>1</v>
      </c>
      <c r="G194" s="15" t="n">
        <v>116.58</v>
      </c>
      <c r="H194" s="16" t="n">
        <v>0.06</v>
      </c>
      <c r="I194" s="1" t="s">
        <v>31</v>
      </c>
      <c r="J194" s="1" t="n">
        <v>5</v>
      </c>
      <c r="K194" s="1" t="n">
        <v>4.3</v>
      </c>
      <c r="L194" s="15" t="n">
        <v>109.59</v>
      </c>
      <c r="M194" s="15" t="n">
        <f aca="false">F194*G194</f>
        <v>116.58</v>
      </c>
      <c r="N194" s="15" t="n">
        <f aca="false">M194-L194</f>
        <v>6.99</v>
      </c>
      <c r="O194" s="1" t="n">
        <f aca="false">YEAR(B194)</f>
        <v>2022</v>
      </c>
      <c r="P194" s="1" t="n">
        <f aca="false">MONTH(B194)</f>
        <v>7</v>
      </c>
      <c r="Q194" s="1" t="str">
        <f aca="false">TEXT(B194,"mmm")</f>
        <v>Jul</v>
      </c>
      <c r="R194" s="1" t="str">
        <f aca="false">"Q"&amp;ROUNDUP(MONTH(B194)/3,0)</f>
        <v>Q3</v>
      </c>
    </row>
    <row r="195" customFormat="false" ht="15" hidden="false" customHeight="true" outlineLevel="0" collapsed="false">
      <c r="A195" s="1" t="n">
        <v>10194</v>
      </c>
      <c r="B195" s="14" t="n">
        <v>44755</v>
      </c>
      <c r="C195" s="1" t="n">
        <v>1690</v>
      </c>
      <c r="D195" s="1" t="s">
        <v>30</v>
      </c>
      <c r="E195" s="1" t="s">
        <v>32</v>
      </c>
      <c r="F195" s="1" t="n">
        <v>7</v>
      </c>
      <c r="G195" s="15" t="n">
        <v>145.46</v>
      </c>
      <c r="H195" s="16" t="n">
        <v>0.18</v>
      </c>
      <c r="I195" s="1" t="s">
        <v>31</v>
      </c>
      <c r="J195" s="1" t="n">
        <v>2</v>
      </c>
      <c r="K195" s="1" t="n">
        <v>2.9</v>
      </c>
      <c r="L195" s="15" t="n">
        <v>834.94</v>
      </c>
      <c r="M195" s="15" t="n">
        <f aca="false">F195*G195</f>
        <v>1018.22</v>
      </c>
      <c r="N195" s="15" t="n">
        <f aca="false">M195-L195</f>
        <v>183.28</v>
      </c>
      <c r="O195" s="1" t="n">
        <f aca="false">YEAR(B195)</f>
        <v>2022</v>
      </c>
      <c r="P195" s="1" t="n">
        <f aca="false">MONTH(B195)</f>
        <v>7</v>
      </c>
      <c r="Q195" s="1" t="str">
        <f aca="false">TEXT(B195,"mmm")</f>
        <v>Jul</v>
      </c>
      <c r="R195" s="1" t="str">
        <f aca="false">"Q"&amp;ROUNDUP(MONTH(B195)/3,0)</f>
        <v>Q3</v>
      </c>
    </row>
    <row r="196" customFormat="false" ht="15" hidden="false" customHeight="true" outlineLevel="0" collapsed="false">
      <c r="A196" s="1" t="n">
        <v>10195</v>
      </c>
      <c r="B196" s="14" t="n">
        <v>44756</v>
      </c>
      <c r="C196" s="1" t="n">
        <v>1574</v>
      </c>
      <c r="D196" s="1" t="s">
        <v>30</v>
      </c>
      <c r="E196" s="1" t="s">
        <v>35</v>
      </c>
      <c r="F196" s="1" t="n">
        <v>6</v>
      </c>
      <c r="G196" s="15" t="n">
        <v>322.49</v>
      </c>
      <c r="H196" s="16" t="n">
        <v>0.03</v>
      </c>
      <c r="I196" s="1" t="s">
        <v>31</v>
      </c>
      <c r="J196" s="1" t="n">
        <v>2</v>
      </c>
      <c r="K196" s="1" t="n">
        <v>3.2</v>
      </c>
      <c r="L196" s="15" t="n">
        <v>1876.89</v>
      </c>
      <c r="M196" s="15" t="n">
        <f aca="false">F196*G196</f>
        <v>1934.94</v>
      </c>
      <c r="N196" s="15" t="n">
        <f aca="false">M196-L196</f>
        <v>58.05</v>
      </c>
      <c r="O196" s="1" t="n">
        <f aca="false">YEAR(B196)</f>
        <v>2022</v>
      </c>
      <c r="P196" s="1" t="n">
        <f aca="false">MONTH(B196)</f>
        <v>7</v>
      </c>
      <c r="Q196" s="1" t="str">
        <f aca="false">TEXT(B196,"mmm")</f>
        <v>Jul</v>
      </c>
      <c r="R196" s="1" t="str">
        <f aca="false">"Q"&amp;ROUNDUP(MONTH(B196)/3,0)</f>
        <v>Q3</v>
      </c>
    </row>
    <row r="197" customFormat="false" ht="15" hidden="false" customHeight="true" outlineLevel="0" collapsed="false">
      <c r="A197" s="1" t="n">
        <v>10196</v>
      </c>
      <c r="B197" s="14" t="n">
        <v>44757</v>
      </c>
      <c r="C197" s="1" t="n">
        <v>1863</v>
      </c>
      <c r="D197" s="1" t="s">
        <v>34</v>
      </c>
      <c r="E197" s="1" t="s">
        <v>36</v>
      </c>
      <c r="F197" s="1" t="n">
        <v>7</v>
      </c>
      <c r="G197" s="15" t="n">
        <v>68.38</v>
      </c>
      <c r="H197" s="16" t="n">
        <v>0.02</v>
      </c>
      <c r="I197" s="1" t="s">
        <v>29</v>
      </c>
      <c r="J197" s="1" t="n">
        <v>3</v>
      </c>
      <c r="K197" s="1" t="n">
        <v>4.4</v>
      </c>
      <c r="L197" s="15" t="n">
        <v>469.09</v>
      </c>
      <c r="M197" s="15" t="n">
        <f aca="false">F197*G197</f>
        <v>478.66</v>
      </c>
      <c r="N197" s="15" t="n">
        <f aca="false">M197-L197</f>
        <v>9.56999999999999</v>
      </c>
      <c r="O197" s="1" t="n">
        <f aca="false">YEAR(B197)</f>
        <v>2022</v>
      </c>
      <c r="P197" s="1" t="n">
        <f aca="false">MONTH(B197)</f>
        <v>7</v>
      </c>
      <c r="Q197" s="1" t="str">
        <f aca="false">TEXT(B197,"mmm")</f>
        <v>Jul</v>
      </c>
      <c r="R197" s="1" t="str">
        <f aca="false">"Q"&amp;ROUNDUP(MONTH(B197)/3,0)</f>
        <v>Q3</v>
      </c>
    </row>
    <row r="198" customFormat="false" ht="15" hidden="false" customHeight="true" outlineLevel="0" collapsed="false">
      <c r="A198" s="1" t="n">
        <v>10197</v>
      </c>
      <c r="B198" s="14" t="n">
        <v>44758</v>
      </c>
      <c r="C198" s="1" t="n">
        <v>1742</v>
      </c>
      <c r="D198" s="1" t="s">
        <v>27</v>
      </c>
      <c r="E198" s="1" t="s">
        <v>28</v>
      </c>
      <c r="F198" s="1" t="n">
        <v>4</v>
      </c>
      <c r="G198" s="15" t="n">
        <v>270.32</v>
      </c>
      <c r="H198" s="16" t="n">
        <v>0.18</v>
      </c>
      <c r="I198" s="1" t="s">
        <v>29</v>
      </c>
      <c r="J198" s="1" t="n">
        <v>11</v>
      </c>
      <c r="K198" s="1" t="n">
        <v>2.7</v>
      </c>
      <c r="L198" s="15" t="n">
        <v>886.65</v>
      </c>
      <c r="M198" s="15" t="n">
        <f aca="false">F198*G198</f>
        <v>1081.28</v>
      </c>
      <c r="N198" s="15" t="n">
        <f aca="false">M198-L198</f>
        <v>194.63</v>
      </c>
      <c r="O198" s="1" t="n">
        <f aca="false">YEAR(B198)</f>
        <v>2022</v>
      </c>
      <c r="P198" s="1" t="n">
        <f aca="false">MONTH(B198)</f>
        <v>7</v>
      </c>
      <c r="Q198" s="1" t="str">
        <f aca="false">TEXT(B198,"mmm")</f>
        <v>Jul</v>
      </c>
      <c r="R198" s="1" t="str">
        <f aca="false">"Q"&amp;ROUNDUP(MONTH(B198)/3,0)</f>
        <v>Q3</v>
      </c>
    </row>
    <row r="199" customFormat="false" ht="15" hidden="false" customHeight="true" outlineLevel="0" collapsed="false">
      <c r="A199" s="1" t="n">
        <v>10198</v>
      </c>
      <c r="B199" s="14" t="n">
        <v>44759</v>
      </c>
      <c r="C199" s="1" t="n">
        <v>1240</v>
      </c>
      <c r="D199" s="1" t="s">
        <v>30</v>
      </c>
      <c r="E199" s="1" t="s">
        <v>28</v>
      </c>
      <c r="F199" s="1" t="n">
        <v>3</v>
      </c>
      <c r="G199" s="15" t="n">
        <v>355.35</v>
      </c>
      <c r="H199" s="16" t="n">
        <v>0.09</v>
      </c>
      <c r="I199" s="1" t="s">
        <v>29</v>
      </c>
      <c r="J199" s="1" t="n">
        <v>6</v>
      </c>
      <c r="K199" s="1" t="n">
        <v>1.3</v>
      </c>
      <c r="L199" s="15" t="n">
        <v>970.11</v>
      </c>
      <c r="M199" s="15" t="n">
        <f aca="false">F199*G199</f>
        <v>1066.05</v>
      </c>
      <c r="N199" s="15" t="n">
        <f aca="false">M199-L199</f>
        <v>95.9400000000002</v>
      </c>
      <c r="O199" s="1" t="n">
        <f aca="false">YEAR(B199)</f>
        <v>2022</v>
      </c>
      <c r="P199" s="1" t="n">
        <f aca="false">MONTH(B199)</f>
        <v>7</v>
      </c>
      <c r="Q199" s="1" t="str">
        <f aca="false">TEXT(B199,"mmm")</f>
        <v>Jul</v>
      </c>
      <c r="R199" s="1" t="str">
        <f aca="false">"Q"&amp;ROUNDUP(MONTH(B199)/3,0)</f>
        <v>Q3</v>
      </c>
    </row>
    <row r="200" customFormat="false" ht="15" hidden="false" customHeight="true" outlineLevel="0" collapsed="false">
      <c r="A200" s="1" t="n">
        <v>10199</v>
      </c>
      <c r="B200" s="14" t="n">
        <v>44760</v>
      </c>
      <c r="C200" s="1" t="n">
        <v>1563</v>
      </c>
      <c r="D200" s="1" t="s">
        <v>34</v>
      </c>
      <c r="E200" s="1" t="s">
        <v>35</v>
      </c>
      <c r="F200" s="1" t="n">
        <v>3</v>
      </c>
      <c r="G200" s="15" t="n">
        <v>320.41</v>
      </c>
      <c r="H200" s="16" t="n">
        <v>0.03</v>
      </c>
      <c r="I200" s="1" t="s">
        <v>31</v>
      </c>
      <c r="J200" s="1" t="n">
        <v>1</v>
      </c>
      <c r="K200" s="1" t="n">
        <v>3.1</v>
      </c>
      <c r="L200" s="15" t="n">
        <v>932.39</v>
      </c>
      <c r="M200" s="15" t="n">
        <f aca="false">F200*G200</f>
        <v>961.23</v>
      </c>
      <c r="N200" s="15" t="n">
        <f aca="false">M200-L200</f>
        <v>28.84</v>
      </c>
      <c r="O200" s="1" t="n">
        <f aca="false">YEAR(B200)</f>
        <v>2022</v>
      </c>
      <c r="P200" s="1" t="n">
        <f aca="false">MONTH(B200)</f>
        <v>7</v>
      </c>
      <c r="Q200" s="1" t="str">
        <f aca="false">TEXT(B200,"mmm")</f>
        <v>Jul</v>
      </c>
      <c r="R200" s="1" t="str">
        <f aca="false">"Q"&amp;ROUNDUP(MONTH(B200)/3,0)</f>
        <v>Q3</v>
      </c>
    </row>
    <row r="201" customFormat="false" ht="15" hidden="false" customHeight="true" outlineLevel="0" collapsed="false">
      <c r="A201" s="1" t="n">
        <v>10200</v>
      </c>
      <c r="B201" s="14" t="n">
        <v>44761</v>
      </c>
      <c r="C201" s="1" t="n">
        <v>1095</v>
      </c>
      <c r="D201" s="1" t="s">
        <v>30</v>
      </c>
      <c r="E201" s="1" t="s">
        <v>36</v>
      </c>
      <c r="F201" s="1" t="n">
        <v>7</v>
      </c>
      <c r="G201" s="15" t="n">
        <v>208.58</v>
      </c>
      <c r="H201" s="16" t="n">
        <v>0.15</v>
      </c>
      <c r="I201" s="1" t="s">
        <v>33</v>
      </c>
      <c r="J201" s="1" t="n">
        <v>11</v>
      </c>
      <c r="K201" s="1" t="n">
        <v>3.3</v>
      </c>
      <c r="L201" s="15" t="n">
        <v>1241.05</v>
      </c>
      <c r="M201" s="15" t="n">
        <f aca="false">F201*G201</f>
        <v>1460.06</v>
      </c>
      <c r="N201" s="15" t="n">
        <f aca="false">M201-L201</f>
        <v>219.01</v>
      </c>
      <c r="O201" s="1" t="n">
        <f aca="false">YEAR(B201)</f>
        <v>2022</v>
      </c>
      <c r="P201" s="1" t="n">
        <f aca="false">MONTH(B201)</f>
        <v>7</v>
      </c>
      <c r="Q201" s="1" t="str">
        <f aca="false">TEXT(B201,"mmm")</f>
        <v>Jul</v>
      </c>
      <c r="R201" s="1" t="str">
        <f aca="false">"Q"&amp;ROUNDUP(MONTH(B201)/3,0)</f>
        <v>Q3</v>
      </c>
    </row>
    <row r="202" customFormat="false" ht="15" hidden="false" customHeight="true" outlineLevel="0" collapsed="false">
      <c r="A202" s="1" t="n">
        <v>10201</v>
      </c>
      <c r="B202" s="14" t="n">
        <v>44762</v>
      </c>
      <c r="C202" s="1" t="n">
        <v>1899</v>
      </c>
      <c r="D202" s="1" t="s">
        <v>37</v>
      </c>
      <c r="E202" s="1" t="s">
        <v>32</v>
      </c>
      <c r="F202" s="1" t="n">
        <v>4</v>
      </c>
      <c r="G202" s="15" t="n">
        <v>332.33</v>
      </c>
      <c r="H202" s="16" t="n">
        <v>0.32</v>
      </c>
      <c r="I202" s="1" t="s">
        <v>33</v>
      </c>
      <c r="J202" s="1" t="n">
        <v>7</v>
      </c>
      <c r="K202" s="1" t="n">
        <v>3</v>
      </c>
      <c r="L202" s="15" t="n">
        <v>903.94</v>
      </c>
      <c r="M202" s="15" t="n">
        <f aca="false">F202*G202</f>
        <v>1329.32</v>
      </c>
      <c r="N202" s="15" t="n">
        <f aca="false">M202-L202</f>
        <v>425.38</v>
      </c>
      <c r="O202" s="1" t="n">
        <f aca="false">YEAR(B202)</f>
        <v>2022</v>
      </c>
      <c r="P202" s="1" t="n">
        <f aca="false">MONTH(B202)</f>
        <v>7</v>
      </c>
      <c r="Q202" s="1" t="str">
        <f aca="false">TEXT(B202,"mmm")</f>
        <v>Jul</v>
      </c>
      <c r="R202" s="1" t="str">
        <f aca="false">"Q"&amp;ROUNDUP(MONTH(B202)/3,0)</f>
        <v>Q3</v>
      </c>
    </row>
    <row r="203" customFormat="false" ht="15" hidden="false" customHeight="true" outlineLevel="0" collapsed="false">
      <c r="A203" s="1" t="n">
        <v>10202</v>
      </c>
      <c r="B203" s="14" t="n">
        <v>44763</v>
      </c>
      <c r="C203" s="1" t="n">
        <v>1733</v>
      </c>
      <c r="D203" s="1" t="s">
        <v>34</v>
      </c>
      <c r="E203" s="1" t="s">
        <v>36</v>
      </c>
      <c r="F203" s="1" t="n">
        <v>7</v>
      </c>
      <c r="G203" s="15" t="n">
        <v>575.9</v>
      </c>
      <c r="H203" s="16" t="n">
        <v>0.25</v>
      </c>
      <c r="I203" s="1" t="s">
        <v>33</v>
      </c>
      <c r="J203" s="1" t="n">
        <v>8</v>
      </c>
      <c r="K203" s="1" t="n">
        <v>2</v>
      </c>
      <c r="L203" s="15" t="n">
        <v>3023.48</v>
      </c>
      <c r="M203" s="15" t="n">
        <f aca="false">F203*G203</f>
        <v>4031.3</v>
      </c>
      <c r="N203" s="15" t="n">
        <f aca="false">M203-L203</f>
        <v>1007.82</v>
      </c>
      <c r="O203" s="1" t="n">
        <f aca="false">YEAR(B203)</f>
        <v>2022</v>
      </c>
      <c r="P203" s="1" t="n">
        <f aca="false">MONTH(B203)</f>
        <v>7</v>
      </c>
      <c r="Q203" s="1" t="str">
        <f aca="false">TEXT(B203,"mmm")</f>
        <v>Jul</v>
      </c>
      <c r="R203" s="1" t="str">
        <f aca="false">"Q"&amp;ROUNDUP(MONTH(B203)/3,0)</f>
        <v>Q3</v>
      </c>
    </row>
    <row r="204" customFormat="false" ht="15" hidden="false" customHeight="true" outlineLevel="0" collapsed="false">
      <c r="A204" s="1" t="n">
        <v>10203</v>
      </c>
      <c r="B204" s="14" t="n">
        <v>44764</v>
      </c>
      <c r="C204" s="1" t="n">
        <v>1484</v>
      </c>
      <c r="D204" s="1" t="s">
        <v>34</v>
      </c>
      <c r="E204" s="1" t="s">
        <v>36</v>
      </c>
      <c r="F204" s="1" t="n">
        <v>1</v>
      </c>
      <c r="G204" s="15" t="n">
        <v>135.52</v>
      </c>
      <c r="H204" s="16" t="n">
        <v>0.29</v>
      </c>
      <c r="I204" s="1" t="s">
        <v>33</v>
      </c>
      <c r="J204" s="1" t="n">
        <v>7</v>
      </c>
      <c r="K204" s="1" t="n">
        <v>1.9</v>
      </c>
      <c r="L204" s="15" t="n">
        <v>96.22</v>
      </c>
      <c r="M204" s="15" t="n">
        <f aca="false">F204*G204</f>
        <v>135.52</v>
      </c>
      <c r="N204" s="15" t="n">
        <f aca="false">M204-L204</f>
        <v>39.3</v>
      </c>
      <c r="O204" s="1" t="n">
        <f aca="false">YEAR(B204)</f>
        <v>2022</v>
      </c>
      <c r="P204" s="1" t="n">
        <f aca="false">MONTH(B204)</f>
        <v>7</v>
      </c>
      <c r="Q204" s="1" t="str">
        <f aca="false">TEXT(B204,"mmm")</f>
        <v>Jul</v>
      </c>
      <c r="R204" s="1" t="str">
        <f aca="false">"Q"&amp;ROUNDUP(MONTH(B204)/3,0)</f>
        <v>Q3</v>
      </c>
    </row>
    <row r="205" customFormat="false" ht="15" hidden="false" customHeight="true" outlineLevel="0" collapsed="false">
      <c r="A205" s="1" t="n">
        <v>10204</v>
      </c>
      <c r="B205" s="14" t="n">
        <v>44765</v>
      </c>
      <c r="C205" s="1" t="n">
        <v>1406</v>
      </c>
      <c r="D205" s="1" t="s">
        <v>37</v>
      </c>
      <c r="E205" s="1" t="s">
        <v>35</v>
      </c>
      <c r="F205" s="1" t="n">
        <v>1</v>
      </c>
      <c r="G205" s="15" t="n">
        <v>398.08</v>
      </c>
      <c r="H205" s="16" t="n">
        <v>0.31</v>
      </c>
      <c r="I205" s="1" t="s">
        <v>33</v>
      </c>
      <c r="J205" s="1" t="n">
        <v>11</v>
      </c>
      <c r="K205" s="1" t="n">
        <v>2.5</v>
      </c>
      <c r="L205" s="15" t="n">
        <v>274.68</v>
      </c>
      <c r="M205" s="15" t="n">
        <f aca="false">F205*G205</f>
        <v>398.08</v>
      </c>
      <c r="N205" s="15" t="n">
        <f aca="false">M205-L205</f>
        <v>123.4</v>
      </c>
      <c r="O205" s="1" t="n">
        <f aca="false">YEAR(B205)</f>
        <v>2022</v>
      </c>
      <c r="P205" s="1" t="n">
        <f aca="false">MONTH(B205)</f>
        <v>7</v>
      </c>
      <c r="Q205" s="1" t="str">
        <f aca="false">TEXT(B205,"mmm")</f>
        <v>Jul</v>
      </c>
      <c r="R205" s="1" t="str">
        <f aca="false">"Q"&amp;ROUNDUP(MONTH(B205)/3,0)</f>
        <v>Q3</v>
      </c>
    </row>
    <row r="206" customFormat="false" ht="15" hidden="false" customHeight="true" outlineLevel="0" collapsed="false">
      <c r="A206" s="1" t="n">
        <v>10205</v>
      </c>
      <c r="B206" s="14" t="n">
        <v>44766</v>
      </c>
      <c r="C206" s="1" t="n">
        <v>1230</v>
      </c>
      <c r="D206" s="1" t="s">
        <v>30</v>
      </c>
      <c r="E206" s="1" t="s">
        <v>36</v>
      </c>
      <c r="F206" s="1" t="n">
        <v>5</v>
      </c>
      <c r="G206" s="15" t="n">
        <v>40.39</v>
      </c>
      <c r="H206" s="16" t="n">
        <v>0.34</v>
      </c>
      <c r="I206" s="1" t="s">
        <v>31</v>
      </c>
      <c r="J206" s="1" t="n">
        <v>3</v>
      </c>
      <c r="K206" s="1" t="n">
        <v>1.7</v>
      </c>
      <c r="L206" s="15" t="n">
        <v>133.29</v>
      </c>
      <c r="M206" s="15" t="n">
        <f aca="false">F206*G206</f>
        <v>201.95</v>
      </c>
      <c r="N206" s="15" t="n">
        <f aca="false">M206-L206</f>
        <v>68.66</v>
      </c>
      <c r="O206" s="1" t="n">
        <f aca="false">YEAR(B206)</f>
        <v>2022</v>
      </c>
      <c r="P206" s="1" t="n">
        <f aca="false">MONTH(B206)</f>
        <v>7</v>
      </c>
      <c r="Q206" s="1" t="str">
        <f aca="false">TEXT(B206,"mmm")</f>
        <v>Jul</v>
      </c>
      <c r="R206" s="1" t="str">
        <f aca="false">"Q"&amp;ROUNDUP(MONTH(B206)/3,0)</f>
        <v>Q3</v>
      </c>
    </row>
    <row r="207" customFormat="false" ht="15" hidden="false" customHeight="true" outlineLevel="0" collapsed="false">
      <c r="A207" s="1" t="n">
        <v>10206</v>
      </c>
      <c r="B207" s="14" t="n">
        <v>44767</v>
      </c>
      <c r="C207" s="1" t="n">
        <v>1748</v>
      </c>
      <c r="D207" s="1" t="s">
        <v>30</v>
      </c>
      <c r="E207" s="1" t="s">
        <v>32</v>
      </c>
      <c r="F207" s="1" t="n">
        <v>2</v>
      </c>
      <c r="G207" s="15" t="n">
        <v>53.85</v>
      </c>
      <c r="H207" s="16" t="n">
        <v>0.27</v>
      </c>
      <c r="I207" s="1" t="s">
        <v>31</v>
      </c>
      <c r="J207" s="1" t="n">
        <v>6</v>
      </c>
      <c r="K207" s="1" t="n">
        <v>3.7</v>
      </c>
      <c r="L207" s="15" t="n">
        <v>78.62</v>
      </c>
      <c r="M207" s="15" t="n">
        <f aca="false">F207*G207</f>
        <v>107.7</v>
      </c>
      <c r="N207" s="15" t="n">
        <f aca="false">M207-L207</f>
        <v>29.08</v>
      </c>
      <c r="O207" s="1" t="n">
        <f aca="false">YEAR(B207)</f>
        <v>2022</v>
      </c>
      <c r="P207" s="1" t="n">
        <f aca="false">MONTH(B207)</f>
        <v>7</v>
      </c>
      <c r="Q207" s="1" t="str">
        <f aca="false">TEXT(B207,"mmm")</f>
        <v>Jul</v>
      </c>
      <c r="R207" s="1" t="str">
        <f aca="false">"Q"&amp;ROUNDUP(MONTH(B207)/3,0)</f>
        <v>Q3</v>
      </c>
    </row>
    <row r="208" customFormat="false" ht="15" hidden="false" customHeight="true" outlineLevel="0" collapsed="false">
      <c r="A208" s="1" t="n">
        <v>10207</v>
      </c>
      <c r="B208" s="14" t="n">
        <v>44768</v>
      </c>
      <c r="C208" s="1" t="n">
        <v>1654</v>
      </c>
      <c r="D208" s="1" t="s">
        <v>30</v>
      </c>
      <c r="E208" s="1" t="s">
        <v>28</v>
      </c>
      <c r="F208" s="1" t="n">
        <v>5</v>
      </c>
      <c r="G208" s="15" t="n">
        <v>337.82</v>
      </c>
      <c r="H208" s="16" t="n">
        <v>0.21</v>
      </c>
      <c r="I208" s="1" t="s">
        <v>31</v>
      </c>
      <c r="J208" s="1" t="n">
        <v>4</v>
      </c>
      <c r="K208" s="1" t="n">
        <v>3.5</v>
      </c>
      <c r="L208" s="15" t="n">
        <v>1334.39</v>
      </c>
      <c r="M208" s="15" t="n">
        <f aca="false">F208*G208</f>
        <v>1689.1</v>
      </c>
      <c r="N208" s="15" t="n">
        <f aca="false">M208-L208</f>
        <v>354.71</v>
      </c>
      <c r="O208" s="1" t="n">
        <f aca="false">YEAR(B208)</f>
        <v>2022</v>
      </c>
      <c r="P208" s="1" t="n">
        <f aca="false">MONTH(B208)</f>
        <v>7</v>
      </c>
      <c r="Q208" s="1" t="str">
        <f aca="false">TEXT(B208,"mmm")</f>
        <v>Jul</v>
      </c>
      <c r="R208" s="1" t="str">
        <f aca="false">"Q"&amp;ROUNDUP(MONTH(B208)/3,0)</f>
        <v>Q3</v>
      </c>
    </row>
    <row r="209" customFormat="false" ht="15" hidden="false" customHeight="true" outlineLevel="0" collapsed="false">
      <c r="A209" s="1" t="n">
        <v>10208</v>
      </c>
      <c r="B209" s="14" t="n">
        <v>44769</v>
      </c>
      <c r="C209" s="1" t="n">
        <v>1170</v>
      </c>
      <c r="D209" s="1" t="s">
        <v>34</v>
      </c>
      <c r="E209" s="1" t="s">
        <v>35</v>
      </c>
      <c r="F209" s="1" t="n">
        <v>1</v>
      </c>
      <c r="G209" s="15" t="n">
        <v>76.39</v>
      </c>
      <c r="H209" s="16" t="n">
        <v>0.13</v>
      </c>
      <c r="I209" s="1" t="s">
        <v>31</v>
      </c>
      <c r="J209" s="1" t="n">
        <v>5</v>
      </c>
      <c r="K209" s="1" t="n">
        <v>3.5</v>
      </c>
      <c r="L209" s="15" t="n">
        <v>66.46</v>
      </c>
      <c r="M209" s="15" t="n">
        <f aca="false">F209*G209</f>
        <v>76.39</v>
      </c>
      <c r="N209" s="15" t="n">
        <f aca="false">M209-L209</f>
        <v>9.93000000000001</v>
      </c>
      <c r="O209" s="1" t="n">
        <f aca="false">YEAR(B209)</f>
        <v>2022</v>
      </c>
      <c r="P209" s="1" t="n">
        <f aca="false">MONTH(B209)</f>
        <v>7</v>
      </c>
      <c r="Q209" s="1" t="str">
        <f aca="false">TEXT(B209,"mmm")</f>
        <v>Jul</v>
      </c>
      <c r="R209" s="1" t="str">
        <f aca="false">"Q"&amp;ROUNDUP(MONTH(B209)/3,0)</f>
        <v>Q3</v>
      </c>
    </row>
    <row r="210" customFormat="false" ht="15" hidden="false" customHeight="true" outlineLevel="0" collapsed="false">
      <c r="A210" s="1" t="n">
        <v>10209</v>
      </c>
      <c r="B210" s="14" t="n">
        <v>44770</v>
      </c>
      <c r="C210" s="1" t="n">
        <v>1540</v>
      </c>
      <c r="D210" s="1" t="s">
        <v>34</v>
      </c>
      <c r="E210" s="1" t="s">
        <v>32</v>
      </c>
      <c r="F210" s="1" t="n">
        <v>4</v>
      </c>
      <c r="G210" s="15" t="n">
        <v>28.07</v>
      </c>
      <c r="H210" s="16" t="n">
        <v>0.06</v>
      </c>
      <c r="I210" s="1" t="s">
        <v>31</v>
      </c>
      <c r="J210" s="1" t="n">
        <v>3</v>
      </c>
      <c r="K210" s="1" t="n">
        <v>1.9</v>
      </c>
      <c r="L210" s="15" t="n">
        <v>105.54</v>
      </c>
      <c r="M210" s="15" t="n">
        <f aca="false">F210*G210</f>
        <v>112.28</v>
      </c>
      <c r="N210" s="15" t="n">
        <f aca="false">M210-L210</f>
        <v>6.74</v>
      </c>
      <c r="O210" s="1" t="n">
        <f aca="false">YEAR(B210)</f>
        <v>2022</v>
      </c>
      <c r="P210" s="1" t="n">
        <f aca="false">MONTH(B210)</f>
        <v>7</v>
      </c>
      <c r="Q210" s="1" t="str">
        <f aca="false">TEXT(B210,"mmm")</f>
        <v>Jul</v>
      </c>
      <c r="R210" s="1" t="str">
        <f aca="false">"Q"&amp;ROUNDUP(MONTH(B210)/3,0)</f>
        <v>Q3</v>
      </c>
    </row>
    <row r="211" customFormat="false" ht="15" hidden="false" customHeight="true" outlineLevel="0" collapsed="false">
      <c r="A211" s="1" t="n">
        <v>10210</v>
      </c>
      <c r="B211" s="14" t="n">
        <v>44771</v>
      </c>
      <c r="C211" s="1" t="n">
        <v>1035</v>
      </c>
      <c r="D211" s="1" t="s">
        <v>30</v>
      </c>
      <c r="E211" s="1" t="s">
        <v>28</v>
      </c>
      <c r="F211" s="1" t="n">
        <v>2</v>
      </c>
      <c r="G211" s="15" t="n">
        <v>115.34</v>
      </c>
      <c r="H211" s="16" t="n">
        <v>0.24</v>
      </c>
      <c r="I211" s="1" t="s">
        <v>31</v>
      </c>
      <c r="J211" s="1" t="n">
        <v>5</v>
      </c>
      <c r="K211" s="1" t="n">
        <v>2</v>
      </c>
      <c r="L211" s="15" t="n">
        <v>175.32</v>
      </c>
      <c r="M211" s="15" t="n">
        <f aca="false">F211*G211</f>
        <v>230.68</v>
      </c>
      <c r="N211" s="15" t="n">
        <f aca="false">M211-L211</f>
        <v>55.36</v>
      </c>
      <c r="O211" s="1" t="n">
        <f aca="false">YEAR(B211)</f>
        <v>2022</v>
      </c>
      <c r="P211" s="1" t="n">
        <f aca="false">MONTH(B211)</f>
        <v>7</v>
      </c>
      <c r="Q211" s="1" t="str">
        <f aca="false">TEXT(B211,"mmm")</f>
        <v>Jul</v>
      </c>
      <c r="R211" s="1" t="str">
        <f aca="false">"Q"&amp;ROUNDUP(MONTH(B211)/3,0)</f>
        <v>Q3</v>
      </c>
    </row>
    <row r="212" customFormat="false" ht="15" hidden="false" customHeight="true" outlineLevel="0" collapsed="false">
      <c r="A212" s="1" t="n">
        <v>10211</v>
      </c>
      <c r="B212" s="14" t="n">
        <v>44772</v>
      </c>
      <c r="C212" s="1" t="n">
        <v>1524</v>
      </c>
      <c r="D212" s="1" t="s">
        <v>34</v>
      </c>
      <c r="E212" s="1" t="s">
        <v>35</v>
      </c>
      <c r="F212" s="1" t="n">
        <v>4</v>
      </c>
      <c r="G212" s="15" t="n">
        <v>345.44</v>
      </c>
      <c r="H212" s="16" t="n">
        <v>0.35</v>
      </c>
      <c r="I212" s="1" t="s">
        <v>31</v>
      </c>
      <c r="J212" s="1" t="n">
        <v>6</v>
      </c>
      <c r="K212" s="1" t="n">
        <v>4.1</v>
      </c>
      <c r="L212" s="15" t="n">
        <v>898.14</v>
      </c>
      <c r="M212" s="15" t="n">
        <f aca="false">F212*G212</f>
        <v>1381.76</v>
      </c>
      <c r="N212" s="15" t="n">
        <f aca="false">M212-L212</f>
        <v>483.62</v>
      </c>
      <c r="O212" s="1" t="n">
        <f aca="false">YEAR(B212)</f>
        <v>2022</v>
      </c>
      <c r="P212" s="1" t="n">
        <f aca="false">MONTH(B212)</f>
        <v>7</v>
      </c>
      <c r="Q212" s="1" t="str">
        <f aca="false">TEXT(B212,"mmm")</f>
        <v>Jul</v>
      </c>
      <c r="R212" s="1" t="str">
        <f aca="false">"Q"&amp;ROUNDUP(MONTH(B212)/3,0)</f>
        <v>Q3</v>
      </c>
    </row>
    <row r="213" customFormat="false" ht="15" hidden="false" customHeight="true" outlineLevel="0" collapsed="false">
      <c r="A213" s="1" t="n">
        <v>10212</v>
      </c>
      <c r="B213" s="14" t="n">
        <v>44773</v>
      </c>
      <c r="C213" s="1" t="n">
        <v>1159</v>
      </c>
      <c r="D213" s="1" t="s">
        <v>34</v>
      </c>
      <c r="E213" s="1" t="s">
        <v>35</v>
      </c>
      <c r="F213" s="1" t="n">
        <v>5</v>
      </c>
      <c r="G213" s="15" t="n">
        <v>426.45</v>
      </c>
      <c r="H213" s="16" t="n">
        <v>0.16</v>
      </c>
      <c r="I213" s="1" t="s">
        <v>33</v>
      </c>
      <c r="J213" s="1" t="n">
        <v>8</v>
      </c>
      <c r="K213" s="1" t="n">
        <v>3.8</v>
      </c>
      <c r="L213" s="15" t="n">
        <v>1791.09</v>
      </c>
      <c r="M213" s="15" t="n">
        <f aca="false">F213*G213</f>
        <v>2132.25</v>
      </c>
      <c r="N213" s="15" t="n">
        <f aca="false">M213-L213</f>
        <v>341.16</v>
      </c>
      <c r="O213" s="1" t="n">
        <f aca="false">YEAR(B213)</f>
        <v>2022</v>
      </c>
      <c r="P213" s="1" t="n">
        <f aca="false">MONTH(B213)</f>
        <v>7</v>
      </c>
      <c r="Q213" s="1" t="str">
        <f aca="false">TEXT(B213,"mmm")</f>
        <v>Jul</v>
      </c>
      <c r="R213" s="1" t="str">
        <f aca="false">"Q"&amp;ROUNDUP(MONTH(B213)/3,0)</f>
        <v>Q3</v>
      </c>
    </row>
    <row r="214" customFormat="false" ht="15" hidden="false" customHeight="true" outlineLevel="0" collapsed="false">
      <c r="A214" s="1" t="n">
        <v>10213</v>
      </c>
      <c r="B214" s="14" t="n">
        <v>44774</v>
      </c>
      <c r="C214" s="1" t="n">
        <v>1838</v>
      </c>
      <c r="D214" s="1" t="s">
        <v>37</v>
      </c>
      <c r="E214" s="1" t="s">
        <v>28</v>
      </c>
      <c r="F214" s="1" t="n">
        <v>3</v>
      </c>
      <c r="G214" s="15" t="n">
        <v>133.45</v>
      </c>
      <c r="H214" s="16" t="n">
        <v>0.25</v>
      </c>
      <c r="I214" s="1" t="s">
        <v>29</v>
      </c>
      <c r="J214" s="1" t="n">
        <v>6</v>
      </c>
      <c r="K214" s="1" t="n">
        <v>4.5</v>
      </c>
      <c r="L214" s="15" t="n">
        <v>300.26</v>
      </c>
      <c r="M214" s="15" t="n">
        <f aca="false">F214*G214</f>
        <v>400.35</v>
      </c>
      <c r="N214" s="15" t="n">
        <f aca="false">M214-L214</f>
        <v>100.09</v>
      </c>
      <c r="O214" s="1" t="n">
        <f aca="false">YEAR(B214)</f>
        <v>2022</v>
      </c>
      <c r="P214" s="1" t="n">
        <f aca="false">MONTH(B214)</f>
        <v>8</v>
      </c>
      <c r="Q214" s="1" t="str">
        <f aca="false">TEXT(B214,"mmm")</f>
        <v>Aug</v>
      </c>
      <c r="R214" s="1" t="str">
        <f aca="false">"Q"&amp;ROUNDUP(MONTH(B214)/3,0)</f>
        <v>Q3</v>
      </c>
    </row>
    <row r="215" customFormat="false" ht="15" hidden="false" customHeight="true" outlineLevel="0" collapsed="false">
      <c r="A215" s="1" t="n">
        <v>10214</v>
      </c>
      <c r="B215" s="14" t="n">
        <v>44775</v>
      </c>
      <c r="C215" s="1" t="n">
        <v>1698</v>
      </c>
      <c r="D215" s="1" t="s">
        <v>27</v>
      </c>
      <c r="E215" s="1" t="s">
        <v>28</v>
      </c>
      <c r="F215" s="1" t="n">
        <v>4</v>
      </c>
      <c r="G215" s="15" t="n">
        <v>405.93</v>
      </c>
      <c r="H215" s="16" t="n">
        <v>0.17</v>
      </c>
      <c r="I215" s="1" t="s">
        <v>29</v>
      </c>
      <c r="J215" s="1" t="n">
        <v>9</v>
      </c>
      <c r="K215" s="1" t="n">
        <v>2.6</v>
      </c>
      <c r="L215" s="15" t="n">
        <v>1347.69</v>
      </c>
      <c r="M215" s="15" t="n">
        <f aca="false">F215*G215</f>
        <v>1623.72</v>
      </c>
      <c r="N215" s="15" t="n">
        <f aca="false">M215-L215</f>
        <v>276.03</v>
      </c>
      <c r="O215" s="1" t="n">
        <f aca="false">YEAR(B215)</f>
        <v>2022</v>
      </c>
      <c r="P215" s="1" t="n">
        <f aca="false">MONTH(B215)</f>
        <v>8</v>
      </c>
      <c r="Q215" s="1" t="str">
        <f aca="false">TEXT(B215,"mmm")</f>
        <v>Aug</v>
      </c>
      <c r="R215" s="1" t="str">
        <f aca="false">"Q"&amp;ROUNDUP(MONTH(B215)/3,0)</f>
        <v>Q3</v>
      </c>
    </row>
    <row r="216" customFormat="false" ht="15" hidden="false" customHeight="true" outlineLevel="0" collapsed="false">
      <c r="A216" s="1" t="n">
        <v>10215</v>
      </c>
      <c r="B216" s="14" t="n">
        <v>44776</v>
      </c>
      <c r="C216" s="1" t="n">
        <v>1242</v>
      </c>
      <c r="D216" s="1" t="s">
        <v>37</v>
      </c>
      <c r="E216" s="1" t="s">
        <v>32</v>
      </c>
      <c r="F216" s="1" t="n">
        <v>5</v>
      </c>
      <c r="G216" s="15" t="n">
        <v>121.75</v>
      </c>
      <c r="H216" s="16" t="n">
        <v>0.15</v>
      </c>
      <c r="I216" s="1" t="s">
        <v>31</v>
      </c>
      <c r="J216" s="1" t="n">
        <v>10</v>
      </c>
      <c r="K216" s="1" t="n">
        <v>3.2</v>
      </c>
      <c r="L216" s="15" t="n">
        <v>517.44</v>
      </c>
      <c r="M216" s="15" t="n">
        <f aca="false">F216*G216</f>
        <v>608.75</v>
      </c>
      <c r="N216" s="15" t="n">
        <f aca="false">M216-L216</f>
        <v>91.31</v>
      </c>
      <c r="O216" s="1" t="n">
        <f aca="false">YEAR(B216)</f>
        <v>2022</v>
      </c>
      <c r="P216" s="1" t="n">
        <f aca="false">MONTH(B216)</f>
        <v>8</v>
      </c>
      <c r="Q216" s="1" t="str">
        <f aca="false">TEXT(B216,"mmm")</f>
        <v>Aug</v>
      </c>
      <c r="R216" s="1" t="str">
        <f aca="false">"Q"&amp;ROUNDUP(MONTH(B216)/3,0)</f>
        <v>Q3</v>
      </c>
    </row>
    <row r="217" customFormat="false" ht="15" hidden="false" customHeight="true" outlineLevel="0" collapsed="false">
      <c r="A217" s="1" t="n">
        <v>10216</v>
      </c>
      <c r="B217" s="14" t="n">
        <v>44777</v>
      </c>
      <c r="C217" s="1" t="n">
        <v>1085</v>
      </c>
      <c r="D217" s="1" t="s">
        <v>27</v>
      </c>
      <c r="E217" s="1" t="s">
        <v>36</v>
      </c>
      <c r="F217" s="1" t="n">
        <v>5</v>
      </c>
      <c r="G217" s="15" t="n">
        <v>373.87</v>
      </c>
      <c r="H217" s="16" t="n">
        <v>0.14</v>
      </c>
      <c r="I217" s="1" t="s">
        <v>31</v>
      </c>
      <c r="J217" s="1" t="n">
        <v>10</v>
      </c>
      <c r="K217" s="1" t="n">
        <v>4</v>
      </c>
      <c r="L217" s="15" t="n">
        <v>1607.64</v>
      </c>
      <c r="M217" s="15" t="n">
        <f aca="false">F217*G217</f>
        <v>1869.35</v>
      </c>
      <c r="N217" s="15" t="n">
        <f aca="false">M217-L217</f>
        <v>261.71</v>
      </c>
      <c r="O217" s="1" t="n">
        <f aca="false">YEAR(B217)</f>
        <v>2022</v>
      </c>
      <c r="P217" s="1" t="n">
        <f aca="false">MONTH(B217)</f>
        <v>8</v>
      </c>
      <c r="Q217" s="1" t="str">
        <f aca="false">TEXT(B217,"mmm")</f>
        <v>Aug</v>
      </c>
      <c r="R217" s="1" t="str">
        <f aca="false">"Q"&amp;ROUNDUP(MONTH(B217)/3,0)</f>
        <v>Q3</v>
      </c>
    </row>
    <row r="218" customFormat="false" ht="15" hidden="false" customHeight="true" outlineLevel="0" collapsed="false">
      <c r="A218" s="1" t="n">
        <v>10217</v>
      </c>
      <c r="B218" s="14" t="n">
        <v>44778</v>
      </c>
      <c r="C218" s="1" t="n">
        <v>1795</v>
      </c>
      <c r="D218" s="1" t="s">
        <v>34</v>
      </c>
      <c r="E218" s="1" t="s">
        <v>36</v>
      </c>
      <c r="F218" s="1" t="n">
        <v>5</v>
      </c>
      <c r="G218" s="15" t="n">
        <v>256</v>
      </c>
      <c r="H218" s="16" t="n">
        <v>0.18</v>
      </c>
      <c r="I218" s="1" t="s">
        <v>31</v>
      </c>
      <c r="J218" s="1" t="n">
        <v>10</v>
      </c>
      <c r="K218" s="1" t="n">
        <v>4.9</v>
      </c>
      <c r="L218" s="15" t="n">
        <v>1049.6</v>
      </c>
      <c r="M218" s="15" t="n">
        <f aca="false">F218*G218</f>
        <v>1280</v>
      </c>
      <c r="N218" s="15" t="n">
        <f aca="false">M218-L218</f>
        <v>230.4</v>
      </c>
      <c r="O218" s="1" t="n">
        <f aca="false">YEAR(B218)</f>
        <v>2022</v>
      </c>
      <c r="P218" s="1" t="n">
        <f aca="false">MONTH(B218)</f>
        <v>8</v>
      </c>
      <c r="Q218" s="1" t="str">
        <f aca="false">TEXT(B218,"mmm")</f>
        <v>Aug</v>
      </c>
      <c r="R218" s="1" t="str">
        <f aca="false">"Q"&amp;ROUNDUP(MONTH(B218)/3,0)</f>
        <v>Q3</v>
      </c>
    </row>
    <row r="219" customFormat="false" ht="15" hidden="false" customHeight="true" outlineLevel="0" collapsed="false">
      <c r="A219" s="1" t="n">
        <v>10218</v>
      </c>
      <c r="B219" s="14" t="n">
        <v>44779</v>
      </c>
      <c r="C219" s="1" t="n">
        <v>1577</v>
      </c>
      <c r="D219" s="1" t="s">
        <v>27</v>
      </c>
      <c r="E219" s="1" t="s">
        <v>36</v>
      </c>
      <c r="F219" s="1" t="n">
        <v>3</v>
      </c>
      <c r="G219" s="15" t="n">
        <v>397.47</v>
      </c>
      <c r="H219" s="16" t="n">
        <v>0.13</v>
      </c>
      <c r="I219" s="1" t="s">
        <v>29</v>
      </c>
      <c r="J219" s="1" t="n">
        <v>10</v>
      </c>
      <c r="K219" s="1" t="n">
        <v>5</v>
      </c>
      <c r="L219" s="15" t="n">
        <v>1037.4</v>
      </c>
      <c r="M219" s="15" t="n">
        <f aca="false">F219*G219</f>
        <v>1192.41</v>
      </c>
      <c r="N219" s="15" t="n">
        <f aca="false">M219-L219</f>
        <v>155.01</v>
      </c>
      <c r="O219" s="1" t="n">
        <f aca="false">YEAR(B219)</f>
        <v>2022</v>
      </c>
      <c r="P219" s="1" t="n">
        <f aca="false">MONTH(B219)</f>
        <v>8</v>
      </c>
      <c r="Q219" s="1" t="str">
        <f aca="false">TEXT(B219,"mmm")</f>
        <v>Aug</v>
      </c>
      <c r="R219" s="1" t="str">
        <f aca="false">"Q"&amp;ROUNDUP(MONTH(B219)/3,0)</f>
        <v>Q3</v>
      </c>
    </row>
    <row r="220" customFormat="false" ht="15" hidden="false" customHeight="true" outlineLevel="0" collapsed="false">
      <c r="A220" s="1" t="n">
        <v>10219</v>
      </c>
      <c r="B220" s="14" t="n">
        <v>44780</v>
      </c>
      <c r="C220" s="1" t="n">
        <v>1681</v>
      </c>
      <c r="D220" s="1" t="s">
        <v>34</v>
      </c>
      <c r="E220" s="1" t="s">
        <v>36</v>
      </c>
      <c r="F220" s="1" t="n">
        <v>3</v>
      </c>
      <c r="G220" s="15" t="n">
        <v>597.11</v>
      </c>
      <c r="H220" s="16" t="n">
        <v>0.26</v>
      </c>
      <c r="I220" s="1" t="s">
        <v>33</v>
      </c>
      <c r="J220" s="1" t="n">
        <v>4</v>
      </c>
      <c r="K220" s="1" t="n">
        <v>5</v>
      </c>
      <c r="L220" s="15" t="n">
        <v>1325.58</v>
      </c>
      <c r="M220" s="15" t="n">
        <f aca="false">F220*G220</f>
        <v>1791.33</v>
      </c>
      <c r="N220" s="15" t="n">
        <f aca="false">M220-L220</f>
        <v>465.75</v>
      </c>
      <c r="O220" s="1" t="n">
        <f aca="false">YEAR(B220)</f>
        <v>2022</v>
      </c>
      <c r="P220" s="1" t="n">
        <f aca="false">MONTH(B220)</f>
        <v>8</v>
      </c>
      <c r="Q220" s="1" t="str">
        <f aca="false">TEXT(B220,"mmm")</f>
        <v>Aug</v>
      </c>
      <c r="R220" s="1" t="str">
        <f aca="false">"Q"&amp;ROUNDUP(MONTH(B220)/3,0)</f>
        <v>Q3</v>
      </c>
    </row>
    <row r="221" customFormat="false" ht="15" hidden="false" customHeight="true" outlineLevel="0" collapsed="false">
      <c r="A221" s="1" t="n">
        <v>10220</v>
      </c>
      <c r="B221" s="14" t="n">
        <v>44781</v>
      </c>
      <c r="C221" s="1" t="n">
        <v>1556</v>
      </c>
      <c r="D221" s="1" t="s">
        <v>27</v>
      </c>
      <c r="E221" s="1" t="s">
        <v>36</v>
      </c>
      <c r="F221" s="1" t="n">
        <v>7</v>
      </c>
      <c r="G221" s="15" t="n">
        <v>563.62</v>
      </c>
      <c r="H221" s="16" t="n">
        <v>0.31</v>
      </c>
      <c r="I221" s="1" t="s">
        <v>31</v>
      </c>
      <c r="J221" s="1" t="n">
        <v>2</v>
      </c>
      <c r="K221" s="1" t="n">
        <v>4.6</v>
      </c>
      <c r="L221" s="15" t="n">
        <v>2722.28</v>
      </c>
      <c r="M221" s="15" t="n">
        <f aca="false">F221*G221</f>
        <v>3945.34</v>
      </c>
      <c r="N221" s="15" t="n">
        <f aca="false">M221-L221</f>
        <v>1223.06</v>
      </c>
      <c r="O221" s="1" t="n">
        <f aca="false">YEAR(B221)</f>
        <v>2022</v>
      </c>
      <c r="P221" s="1" t="n">
        <f aca="false">MONTH(B221)</f>
        <v>8</v>
      </c>
      <c r="Q221" s="1" t="str">
        <f aca="false">TEXT(B221,"mmm")</f>
        <v>Aug</v>
      </c>
      <c r="R221" s="1" t="str">
        <f aca="false">"Q"&amp;ROUNDUP(MONTH(B221)/3,0)</f>
        <v>Q3</v>
      </c>
    </row>
    <row r="222" customFormat="false" ht="15" hidden="false" customHeight="true" outlineLevel="0" collapsed="false">
      <c r="A222" s="1" t="n">
        <v>10221</v>
      </c>
      <c r="B222" s="14" t="n">
        <v>44782</v>
      </c>
      <c r="C222" s="1" t="n">
        <v>1573</v>
      </c>
      <c r="D222" s="1" t="s">
        <v>27</v>
      </c>
      <c r="E222" s="1" t="s">
        <v>32</v>
      </c>
      <c r="F222" s="1" t="n">
        <v>3</v>
      </c>
      <c r="G222" s="15" t="n">
        <v>17.5</v>
      </c>
      <c r="H222" s="16" t="n">
        <v>0.31</v>
      </c>
      <c r="I222" s="1" t="s">
        <v>29</v>
      </c>
      <c r="J222" s="1" t="n">
        <v>9</v>
      </c>
      <c r="K222" s="1" t="n">
        <v>3.6</v>
      </c>
      <c r="L222" s="15" t="n">
        <v>36.22</v>
      </c>
      <c r="M222" s="15" t="n">
        <f aca="false">F222*G222</f>
        <v>52.5</v>
      </c>
      <c r="N222" s="15" t="n">
        <f aca="false">M222-L222</f>
        <v>16.28</v>
      </c>
      <c r="O222" s="1" t="n">
        <f aca="false">YEAR(B222)</f>
        <v>2022</v>
      </c>
      <c r="P222" s="1" t="n">
        <f aca="false">MONTH(B222)</f>
        <v>8</v>
      </c>
      <c r="Q222" s="1" t="str">
        <f aca="false">TEXT(B222,"mmm")</f>
        <v>Aug</v>
      </c>
      <c r="R222" s="1" t="str">
        <f aca="false">"Q"&amp;ROUNDUP(MONTH(B222)/3,0)</f>
        <v>Q3</v>
      </c>
    </row>
    <row r="223" customFormat="false" ht="15" hidden="false" customHeight="true" outlineLevel="0" collapsed="false">
      <c r="A223" s="1" t="n">
        <v>10222</v>
      </c>
      <c r="B223" s="14" t="n">
        <v>44783</v>
      </c>
      <c r="C223" s="1" t="n">
        <v>1952</v>
      </c>
      <c r="D223" s="1" t="s">
        <v>37</v>
      </c>
      <c r="E223" s="1" t="s">
        <v>35</v>
      </c>
      <c r="F223" s="1" t="n">
        <v>2</v>
      </c>
      <c r="G223" s="15" t="n">
        <v>532.98</v>
      </c>
      <c r="H223" s="16" t="n">
        <v>0.08</v>
      </c>
      <c r="I223" s="1" t="s">
        <v>31</v>
      </c>
      <c r="J223" s="1" t="n">
        <v>11</v>
      </c>
      <c r="K223" s="1" t="n">
        <v>1</v>
      </c>
      <c r="L223" s="15" t="n">
        <v>980.68</v>
      </c>
      <c r="M223" s="15" t="n">
        <f aca="false">F223*G223</f>
        <v>1065.96</v>
      </c>
      <c r="N223" s="15" t="n">
        <f aca="false">M223-L223</f>
        <v>85.2800000000001</v>
      </c>
      <c r="O223" s="1" t="n">
        <f aca="false">YEAR(B223)</f>
        <v>2022</v>
      </c>
      <c r="P223" s="1" t="n">
        <f aca="false">MONTH(B223)</f>
        <v>8</v>
      </c>
      <c r="Q223" s="1" t="str">
        <f aca="false">TEXT(B223,"mmm")</f>
        <v>Aug</v>
      </c>
      <c r="R223" s="1" t="str">
        <f aca="false">"Q"&amp;ROUNDUP(MONTH(B223)/3,0)</f>
        <v>Q3</v>
      </c>
    </row>
    <row r="224" customFormat="false" ht="15" hidden="false" customHeight="true" outlineLevel="0" collapsed="false">
      <c r="A224" s="1" t="n">
        <v>10223</v>
      </c>
      <c r="B224" s="14" t="n">
        <v>44784</v>
      </c>
      <c r="C224" s="1" t="n">
        <v>1645</v>
      </c>
      <c r="D224" s="1" t="s">
        <v>27</v>
      </c>
      <c r="E224" s="1" t="s">
        <v>32</v>
      </c>
      <c r="F224" s="1" t="n">
        <v>3</v>
      </c>
      <c r="G224" s="15" t="n">
        <v>53.9</v>
      </c>
      <c r="H224" s="16" t="n">
        <v>0.31</v>
      </c>
      <c r="I224" s="1" t="s">
        <v>29</v>
      </c>
      <c r="J224" s="1" t="n">
        <v>3</v>
      </c>
      <c r="K224" s="1" t="n">
        <v>3.8</v>
      </c>
      <c r="L224" s="15" t="n">
        <v>111.57</v>
      </c>
      <c r="M224" s="15" t="n">
        <f aca="false">F224*G224</f>
        <v>161.7</v>
      </c>
      <c r="N224" s="15" t="n">
        <f aca="false">M224-L224</f>
        <v>50.13</v>
      </c>
      <c r="O224" s="1" t="n">
        <f aca="false">YEAR(B224)</f>
        <v>2022</v>
      </c>
      <c r="P224" s="1" t="n">
        <f aca="false">MONTH(B224)</f>
        <v>8</v>
      </c>
      <c r="Q224" s="1" t="str">
        <f aca="false">TEXT(B224,"mmm")</f>
        <v>Aug</v>
      </c>
      <c r="R224" s="1" t="str">
        <f aca="false">"Q"&amp;ROUNDUP(MONTH(B224)/3,0)</f>
        <v>Q3</v>
      </c>
    </row>
    <row r="225" customFormat="false" ht="15" hidden="false" customHeight="true" outlineLevel="0" collapsed="false">
      <c r="A225" s="1" t="n">
        <v>10224</v>
      </c>
      <c r="B225" s="14" t="n">
        <v>44785</v>
      </c>
      <c r="C225" s="1" t="n">
        <v>1795</v>
      </c>
      <c r="D225" s="1" t="s">
        <v>30</v>
      </c>
      <c r="E225" s="1" t="s">
        <v>32</v>
      </c>
      <c r="F225" s="1" t="n">
        <v>3</v>
      </c>
      <c r="G225" s="15" t="n">
        <v>572.53</v>
      </c>
      <c r="H225" s="16" t="n">
        <v>0.12</v>
      </c>
      <c r="I225" s="1" t="s">
        <v>31</v>
      </c>
      <c r="J225" s="1" t="n">
        <v>11</v>
      </c>
      <c r="K225" s="1" t="n">
        <v>2</v>
      </c>
      <c r="L225" s="15" t="n">
        <v>1511.48</v>
      </c>
      <c r="M225" s="15" t="n">
        <f aca="false">F225*G225</f>
        <v>1717.59</v>
      </c>
      <c r="N225" s="15" t="n">
        <f aca="false">M225-L225</f>
        <v>206.11</v>
      </c>
      <c r="O225" s="1" t="n">
        <f aca="false">YEAR(B225)</f>
        <v>2022</v>
      </c>
      <c r="P225" s="1" t="n">
        <f aca="false">MONTH(B225)</f>
        <v>8</v>
      </c>
      <c r="Q225" s="1" t="str">
        <f aca="false">TEXT(B225,"mmm")</f>
        <v>Aug</v>
      </c>
      <c r="R225" s="1" t="str">
        <f aca="false">"Q"&amp;ROUNDUP(MONTH(B225)/3,0)</f>
        <v>Q3</v>
      </c>
    </row>
    <row r="226" customFormat="false" ht="15" hidden="false" customHeight="true" outlineLevel="0" collapsed="false">
      <c r="A226" s="1" t="n">
        <v>10225</v>
      </c>
      <c r="B226" s="14" t="n">
        <v>44786</v>
      </c>
      <c r="C226" s="1" t="n">
        <v>1027</v>
      </c>
      <c r="D226" s="1" t="s">
        <v>34</v>
      </c>
      <c r="E226" s="1" t="s">
        <v>32</v>
      </c>
      <c r="F226" s="1" t="n">
        <v>3</v>
      </c>
      <c r="G226" s="15" t="n">
        <v>179.87</v>
      </c>
      <c r="H226" s="16" t="n">
        <v>0.11</v>
      </c>
      <c r="I226" s="1" t="s">
        <v>31</v>
      </c>
      <c r="J226" s="1" t="n">
        <v>7</v>
      </c>
      <c r="K226" s="1" t="n">
        <v>1.2</v>
      </c>
      <c r="L226" s="15" t="n">
        <v>480.25</v>
      </c>
      <c r="M226" s="15" t="n">
        <f aca="false">F226*G226</f>
        <v>539.61</v>
      </c>
      <c r="N226" s="15" t="n">
        <f aca="false">M226-L226</f>
        <v>59.36</v>
      </c>
      <c r="O226" s="1" t="n">
        <f aca="false">YEAR(B226)</f>
        <v>2022</v>
      </c>
      <c r="P226" s="1" t="n">
        <f aca="false">MONTH(B226)</f>
        <v>8</v>
      </c>
      <c r="Q226" s="1" t="str">
        <f aca="false">TEXT(B226,"mmm")</f>
        <v>Aug</v>
      </c>
      <c r="R226" s="1" t="str">
        <f aca="false">"Q"&amp;ROUNDUP(MONTH(B226)/3,0)</f>
        <v>Q3</v>
      </c>
    </row>
    <row r="227" customFormat="false" ht="15" hidden="false" customHeight="true" outlineLevel="0" collapsed="false">
      <c r="A227" s="1" t="n">
        <v>10226</v>
      </c>
      <c r="B227" s="14" t="n">
        <v>44787</v>
      </c>
      <c r="C227" s="1" t="n">
        <v>1619</v>
      </c>
      <c r="D227" s="1" t="s">
        <v>30</v>
      </c>
      <c r="E227" s="1" t="s">
        <v>35</v>
      </c>
      <c r="F227" s="1" t="n">
        <v>4</v>
      </c>
      <c r="G227" s="15" t="n">
        <v>238.49</v>
      </c>
      <c r="H227" s="16" t="n">
        <v>0.25</v>
      </c>
      <c r="I227" s="1" t="s">
        <v>33</v>
      </c>
      <c r="J227" s="1" t="n">
        <v>4</v>
      </c>
      <c r="K227" s="1" t="n">
        <v>3.8</v>
      </c>
      <c r="L227" s="15" t="n">
        <v>715.47</v>
      </c>
      <c r="M227" s="15" t="n">
        <f aca="false">F227*G227</f>
        <v>953.96</v>
      </c>
      <c r="N227" s="15" t="n">
        <f aca="false">M227-L227</f>
        <v>238.49</v>
      </c>
      <c r="O227" s="1" t="n">
        <f aca="false">YEAR(B227)</f>
        <v>2022</v>
      </c>
      <c r="P227" s="1" t="n">
        <f aca="false">MONTH(B227)</f>
        <v>8</v>
      </c>
      <c r="Q227" s="1" t="str">
        <f aca="false">TEXT(B227,"mmm")</f>
        <v>Aug</v>
      </c>
      <c r="R227" s="1" t="str">
        <f aca="false">"Q"&amp;ROUNDUP(MONTH(B227)/3,0)</f>
        <v>Q3</v>
      </c>
    </row>
    <row r="228" customFormat="false" ht="15" hidden="false" customHeight="true" outlineLevel="0" collapsed="false">
      <c r="A228" s="1" t="n">
        <v>10227</v>
      </c>
      <c r="B228" s="14" t="n">
        <v>44788</v>
      </c>
      <c r="C228" s="1" t="n">
        <v>1555</v>
      </c>
      <c r="D228" s="1" t="s">
        <v>30</v>
      </c>
      <c r="E228" s="1" t="s">
        <v>32</v>
      </c>
      <c r="F228" s="1" t="n">
        <v>3</v>
      </c>
      <c r="G228" s="15" t="n">
        <v>68.61</v>
      </c>
      <c r="H228" s="16" t="n">
        <v>0.11</v>
      </c>
      <c r="I228" s="1" t="s">
        <v>29</v>
      </c>
      <c r="J228" s="1" t="n">
        <v>1</v>
      </c>
      <c r="K228" s="1" t="n">
        <v>4</v>
      </c>
      <c r="L228" s="15" t="n">
        <v>183.19</v>
      </c>
      <c r="M228" s="15" t="n">
        <f aca="false">F228*G228</f>
        <v>205.83</v>
      </c>
      <c r="N228" s="15" t="n">
        <f aca="false">M228-L228</f>
        <v>22.64</v>
      </c>
      <c r="O228" s="1" t="n">
        <f aca="false">YEAR(B228)</f>
        <v>2022</v>
      </c>
      <c r="P228" s="1" t="n">
        <f aca="false">MONTH(B228)</f>
        <v>8</v>
      </c>
      <c r="Q228" s="1" t="str">
        <f aca="false">TEXT(B228,"mmm")</f>
        <v>Aug</v>
      </c>
      <c r="R228" s="1" t="str">
        <f aca="false">"Q"&amp;ROUNDUP(MONTH(B228)/3,0)</f>
        <v>Q3</v>
      </c>
    </row>
    <row r="229" customFormat="false" ht="15" hidden="false" customHeight="true" outlineLevel="0" collapsed="false">
      <c r="A229" s="1" t="n">
        <v>10228</v>
      </c>
      <c r="B229" s="14" t="n">
        <v>44789</v>
      </c>
      <c r="C229" s="1" t="n">
        <v>1339</v>
      </c>
      <c r="D229" s="1" t="s">
        <v>34</v>
      </c>
      <c r="E229" s="1" t="s">
        <v>32</v>
      </c>
      <c r="F229" s="1" t="n">
        <v>2</v>
      </c>
      <c r="G229" s="15" t="n">
        <v>80.68</v>
      </c>
      <c r="H229" s="16" t="n">
        <v>0.02</v>
      </c>
      <c r="I229" s="1" t="s">
        <v>29</v>
      </c>
      <c r="J229" s="1" t="n">
        <v>8</v>
      </c>
      <c r="K229" s="1" t="n">
        <v>3.6</v>
      </c>
      <c r="L229" s="15" t="n">
        <v>158.13</v>
      </c>
      <c r="M229" s="15" t="n">
        <f aca="false">F229*G229</f>
        <v>161.36</v>
      </c>
      <c r="N229" s="15" t="n">
        <f aca="false">M229-L229</f>
        <v>3.23000000000002</v>
      </c>
      <c r="O229" s="1" t="n">
        <f aca="false">YEAR(B229)</f>
        <v>2022</v>
      </c>
      <c r="P229" s="1" t="n">
        <f aca="false">MONTH(B229)</f>
        <v>8</v>
      </c>
      <c r="Q229" s="1" t="str">
        <f aca="false">TEXT(B229,"mmm")</f>
        <v>Aug</v>
      </c>
      <c r="R229" s="1" t="str">
        <f aca="false">"Q"&amp;ROUNDUP(MONTH(B229)/3,0)</f>
        <v>Q3</v>
      </c>
    </row>
    <row r="230" customFormat="false" ht="15" hidden="false" customHeight="true" outlineLevel="0" collapsed="false">
      <c r="A230" s="1" t="n">
        <v>10229</v>
      </c>
      <c r="B230" s="14" t="n">
        <v>44790</v>
      </c>
      <c r="C230" s="1" t="n">
        <v>1797</v>
      </c>
      <c r="D230" s="1" t="s">
        <v>30</v>
      </c>
      <c r="E230" s="1" t="s">
        <v>35</v>
      </c>
      <c r="F230" s="1" t="n">
        <v>5</v>
      </c>
      <c r="G230" s="15" t="n">
        <v>440.14</v>
      </c>
      <c r="H230" s="16" t="n">
        <v>0.13</v>
      </c>
      <c r="I230" s="1" t="s">
        <v>33</v>
      </c>
      <c r="J230" s="1" t="n">
        <v>4</v>
      </c>
      <c r="K230" s="1" t="n">
        <v>2.5</v>
      </c>
      <c r="L230" s="15" t="n">
        <v>1914.61</v>
      </c>
      <c r="M230" s="15" t="n">
        <f aca="false">F230*G230</f>
        <v>2200.7</v>
      </c>
      <c r="N230" s="15" t="n">
        <f aca="false">M230-L230</f>
        <v>286.09</v>
      </c>
      <c r="O230" s="1" t="n">
        <f aca="false">YEAR(B230)</f>
        <v>2022</v>
      </c>
      <c r="P230" s="1" t="n">
        <f aca="false">MONTH(B230)</f>
        <v>8</v>
      </c>
      <c r="Q230" s="1" t="str">
        <f aca="false">TEXT(B230,"mmm")</f>
        <v>Aug</v>
      </c>
      <c r="R230" s="1" t="str">
        <f aca="false">"Q"&amp;ROUNDUP(MONTH(B230)/3,0)</f>
        <v>Q3</v>
      </c>
    </row>
    <row r="231" customFormat="false" ht="15" hidden="false" customHeight="true" outlineLevel="0" collapsed="false">
      <c r="A231" s="1" t="n">
        <v>10230</v>
      </c>
      <c r="B231" s="14" t="n">
        <v>44791</v>
      </c>
      <c r="C231" s="1" t="n">
        <v>1957</v>
      </c>
      <c r="D231" s="1" t="s">
        <v>27</v>
      </c>
      <c r="E231" s="1" t="s">
        <v>32</v>
      </c>
      <c r="F231" s="1" t="n">
        <v>4</v>
      </c>
      <c r="G231" s="15" t="n">
        <v>567.43</v>
      </c>
      <c r="H231" s="16" t="n">
        <v>0.25</v>
      </c>
      <c r="I231" s="1" t="s">
        <v>31</v>
      </c>
      <c r="J231" s="1" t="n">
        <v>11</v>
      </c>
      <c r="K231" s="1" t="n">
        <v>3</v>
      </c>
      <c r="L231" s="15" t="n">
        <v>1702.29</v>
      </c>
      <c r="M231" s="15" t="n">
        <f aca="false">F231*G231</f>
        <v>2269.72</v>
      </c>
      <c r="N231" s="15" t="n">
        <f aca="false">M231-L231</f>
        <v>567.43</v>
      </c>
      <c r="O231" s="1" t="n">
        <f aca="false">YEAR(B231)</f>
        <v>2022</v>
      </c>
      <c r="P231" s="1" t="n">
        <f aca="false">MONTH(B231)</f>
        <v>8</v>
      </c>
      <c r="Q231" s="1" t="str">
        <f aca="false">TEXT(B231,"mmm")</f>
        <v>Aug</v>
      </c>
      <c r="R231" s="1" t="str">
        <f aca="false">"Q"&amp;ROUNDUP(MONTH(B231)/3,0)</f>
        <v>Q3</v>
      </c>
    </row>
    <row r="232" customFormat="false" ht="15" hidden="false" customHeight="true" outlineLevel="0" collapsed="false">
      <c r="A232" s="1" t="n">
        <v>10231</v>
      </c>
      <c r="B232" s="14" t="n">
        <v>44792</v>
      </c>
      <c r="C232" s="1" t="n">
        <v>1330</v>
      </c>
      <c r="D232" s="1" t="s">
        <v>34</v>
      </c>
      <c r="E232" s="1" t="s">
        <v>36</v>
      </c>
      <c r="F232" s="1" t="n">
        <v>1</v>
      </c>
      <c r="G232" s="15" t="n">
        <v>372.29</v>
      </c>
      <c r="H232" s="16" t="n">
        <v>0.11</v>
      </c>
      <c r="I232" s="1" t="s">
        <v>31</v>
      </c>
      <c r="J232" s="1" t="n">
        <v>6</v>
      </c>
      <c r="K232" s="1" t="n">
        <v>4.7</v>
      </c>
      <c r="L232" s="15" t="n">
        <v>331.34</v>
      </c>
      <c r="M232" s="15" t="n">
        <f aca="false">F232*G232</f>
        <v>372.29</v>
      </c>
      <c r="N232" s="15" t="n">
        <f aca="false">M232-L232</f>
        <v>40.95</v>
      </c>
      <c r="O232" s="1" t="n">
        <f aca="false">YEAR(B232)</f>
        <v>2022</v>
      </c>
      <c r="P232" s="1" t="n">
        <f aca="false">MONTH(B232)</f>
        <v>8</v>
      </c>
      <c r="Q232" s="1" t="str">
        <f aca="false">TEXT(B232,"mmm")</f>
        <v>Aug</v>
      </c>
      <c r="R232" s="1" t="str">
        <f aca="false">"Q"&amp;ROUNDUP(MONTH(B232)/3,0)</f>
        <v>Q3</v>
      </c>
    </row>
    <row r="233" customFormat="false" ht="15" hidden="false" customHeight="true" outlineLevel="0" collapsed="false">
      <c r="A233" s="1" t="n">
        <v>10232</v>
      </c>
      <c r="B233" s="14" t="n">
        <v>44793</v>
      </c>
      <c r="C233" s="1" t="n">
        <v>1639</v>
      </c>
      <c r="D233" s="1" t="s">
        <v>37</v>
      </c>
      <c r="E233" s="1" t="s">
        <v>28</v>
      </c>
      <c r="F233" s="1" t="n">
        <v>3</v>
      </c>
      <c r="G233" s="15" t="n">
        <v>433.77</v>
      </c>
      <c r="H233" s="16" t="n">
        <v>0.22</v>
      </c>
      <c r="I233" s="1" t="s">
        <v>29</v>
      </c>
      <c r="J233" s="1" t="n">
        <v>7</v>
      </c>
      <c r="K233" s="1" t="n">
        <v>3.9</v>
      </c>
      <c r="L233" s="15" t="n">
        <v>1015.02</v>
      </c>
      <c r="M233" s="15" t="n">
        <f aca="false">F233*G233</f>
        <v>1301.31</v>
      </c>
      <c r="N233" s="15" t="n">
        <f aca="false">M233-L233</f>
        <v>286.29</v>
      </c>
      <c r="O233" s="1" t="n">
        <f aca="false">YEAR(B233)</f>
        <v>2022</v>
      </c>
      <c r="P233" s="1" t="n">
        <f aca="false">MONTH(B233)</f>
        <v>8</v>
      </c>
      <c r="Q233" s="1" t="str">
        <f aca="false">TEXT(B233,"mmm")</f>
        <v>Aug</v>
      </c>
      <c r="R233" s="1" t="str">
        <f aca="false">"Q"&amp;ROUNDUP(MONTH(B233)/3,0)</f>
        <v>Q3</v>
      </c>
    </row>
    <row r="234" customFormat="false" ht="15" hidden="false" customHeight="true" outlineLevel="0" collapsed="false">
      <c r="A234" s="1" t="n">
        <v>10233</v>
      </c>
      <c r="B234" s="14" t="n">
        <v>44794</v>
      </c>
      <c r="C234" s="1" t="n">
        <v>1505</v>
      </c>
      <c r="D234" s="1" t="s">
        <v>27</v>
      </c>
      <c r="E234" s="1" t="s">
        <v>32</v>
      </c>
      <c r="F234" s="1" t="n">
        <v>7</v>
      </c>
      <c r="G234" s="15" t="n">
        <v>460.75</v>
      </c>
      <c r="H234" s="16" t="n">
        <v>0.23</v>
      </c>
      <c r="I234" s="1" t="s">
        <v>33</v>
      </c>
      <c r="J234" s="1" t="n">
        <v>8</v>
      </c>
      <c r="K234" s="1" t="n">
        <v>3</v>
      </c>
      <c r="L234" s="15" t="n">
        <v>2483.44</v>
      </c>
      <c r="M234" s="15" t="n">
        <f aca="false">F234*G234</f>
        <v>3225.25</v>
      </c>
      <c r="N234" s="15" t="n">
        <f aca="false">M234-L234</f>
        <v>741.81</v>
      </c>
      <c r="O234" s="1" t="n">
        <f aca="false">YEAR(B234)</f>
        <v>2022</v>
      </c>
      <c r="P234" s="1" t="n">
        <f aca="false">MONTH(B234)</f>
        <v>8</v>
      </c>
      <c r="Q234" s="1" t="str">
        <f aca="false">TEXT(B234,"mmm")</f>
        <v>Aug</v>
      </c>
      <c r="R234" s="1" t="str">
        <f aca="false">"Q"&amp;ROUNDUP(MONTH(B234)/3,0)</f>
        <v>Q3</v>
      </c>
    </row>
    <row r="235" customFormat="false" ht="15" hidden="false" customHeight="true" outlineLevel="0" collapsed="false">
      <c r="A235" s="1" t="n">
        <v>10234</v>
      </c>
      <c r="B235" s="14" t="n">
        <v>44795</v>
      </c>
      <c r="C235" s="1" t="n">
        <v>1347</v>
      </c>
      <c r="D235" s="1" t="s">
        <v>27</v>
      </c>
      <c r="E235" s="1" t="s">
        <v>28</v>
      </c>
      <c r="F235" s="1" t="n">
        <v>7</v>
      </c>
      <c r="G235" s="15" t="n">
        <v>168.75</v>
      </c>
      <c r="H235" s="16" t="n">
        <v>0.26</v>
      </c>
      <c r="I235" s="1" t="s">
        <v>33</v>
      </c>
      <c r="J235" s="1" t="n">
        <v>10</v>
      </c>
      <c r="K235" s="1" t="n">
        <v>3.4</v>
      </c>
      <c r="L235" s="15" t="n">
        <v>874.12</v>
      </c>
      <c r="M235" s="15" t="n">
        <f aca="false">F235*G235</f>
        <v>1181.25</v>
      </c>
      <c r="N235" s="15" t="n">
        <f aca="false">M235-L235</f>
        <v>307.13</v>
      </c>
      <c r="O235" s="1" t="n">
        <f aca="false">YEAR(B235)</f>
        <v>2022</v>
      </c>
      <c r="P235" s="1" t="n">
        <f aca="false">MONTH(B235)</f>
        <v>8</v>
      </c>
      <c r="Q235" s="1" t="str">
        <f aca="false">TEXT(B235,"mmm")</f>
        <v>Aug</v>
      </c>
      <c r="R235" s="1" t="str">
        <f aca="false">"Q"&amp;ROUNDUP(MONTH(B235)/3,0)</f>
        <v>Q3</v>
      </c>
    </row>
    <row r="236" customFormat="false" ht="15" hidden="false" customHeight="true" outlineLevel="0" collapsed="false">
      <c r="A236" s="1" t="n">
        <v>10235</v>
      </c>
      <c r="B236" s="14" t="n">
        <v>44796</v>
      </c>
      <c r="C236" s="1" t="n">
        <v>1472</v>
      </c>
      <c r="D236" s="1" t="s">
        <v>27</v>
      </c>
      <c r="E236" s="1" t="s">
        <v>32</v>
      </c>
      <c r="F236" s="1" t="n">
        <v>5</v>
      </c>
      <c r="G236" s="15" t="n">
        <v>41.46</v>
      </c>
      <c r="H236" s="16" t="n">
        <v>0.31</v>
      </c>
      <c r="I236" s="1" t="s">
        <v>31</v>
      </c>
      <c r="J236" s="1" t="n">
        <v>2</v>
      </c>
      <c r="K236" s="1" t="n">
        <v>4.7</v>
      </c>
      <c r="L236" s="15" t="n">
        <v>143.04</v>
      </c>
      <c r="M236" s="15" t="n">
        <f aca="false">F236*G236</f>
        <v>207.3</v>
      </c>
      <c r="N236" s="15" t="n">
        <f aca="false">M236-L236</f>
        <v>64.26</v>
      </c>
      <c r="O236" s="1" t="n">
        <f aca="false">YEAR(B236)</f>
        <v>2022</v>
      </c>
      <c r="P236" s="1" t="n">
        <f aca="false">MONTH(B236)</f>
        <v>8</v>
      </c>
      <c r="Q236" s="1" t="str">
        <f aca="false">TEXT(B236,"mmm")</f>
        <v>Aug</v>
      </c>
      <c r="R236" s="1" t="str">
        <f aca="false">"Q"&amp;ROUNDUP(MONTH(B236)/3,0)</f>
        <v>Q3</v>
      </c>
    </row>
    <row r="237" customFormat="false" ht="15" hidden="false" customHeight="true" outlineLevel="0" collapsed="false">
      <c r="A237" s="1" t="n">
        <v>10236</v>
      </c>
      <c r="B237" s="14" t="n">
        <v>44797</v>
      </c>
      <c r="C237" s="1" t="n">
        <v>1230</v>
      </c>
      <c r="D237" s="1" t="s">
        <v>30</v>
      </c>
      <c r="E237" s="1" t="s">
        <v>32</v>
      </c>
      <c r="F237" s="1" t="n">
        <v>5</v>
      </c>
      <c r="G237" s="15" t="n">
        <v>16.1</v>
      </c>
      <c r="H237" s="16" t="n">
        <v>0.15</v>
      </c>
      <c r="I237" s="1" t="s">
        <v>33</v>
      </c>
      <c r="J237" s="1" t="n">
        <v>9</v>
      </c>
      <c r="K237" s="1" t="n">
        <v>2.6</v>
      </c>
      <c r="L237" s="15" t="n">
        <v>68.42</v>
      </c>
      <c r="M237" s="15" t="n">
        <f aca="false">F237*G237</f>
        <v>80.5</v>
      </c>
      <c r="N237" s="15" t="n">
        <f aca="false">M237-L237</f>
        <v>12.08</v>
      </c>
      <c r="O237" s="1" t="n">
        <f aca="false">YEAR(B237)</f>
        <v>2022</v>
      </c>
      <c r="P237" s="1" t="n">
        <f aca="false">MONTH(B237)</f>
        <v>8</v>
      </c>
      <c r="Q237" s="1" t="str">
        <f aca="false">TEXT(B237,"mmm")</f>
        <v>Aug</v>
      </c>
      <c r="R237" s="1" t="str">
        <f aca="false">"Q"&amp;ROUNDUP(MONTH(B237)/3,0)</f>
        <v>Q3</v>
      </c>
    </row>
    <row r="238" customFormat="false" ht="15" hidden="false" customHeight="true" outlineLevel="0" collapsed="false">
      <c r="A238" s="1" t="n">
        <v>10237</v>
      </c>
      <c r="B238" s="14" t="n">
        <v>44798</v>
      </c>
      <c r="C238" s="1" t="n">
        <v>1189</v>
      </c>
      <c r="D238" s="1" t="s">
        <v>27</v>
      </c>
      <c r="E238" s="1" t="s">
        <v>36</v>
      </c>
      <c r="F238" s="1" t="n">
        <v>4</v>
      </c>
      <c r="G238" s="15" t="n">
        <v>220.13</v>
      </c>
      <c r="H238" s="16" t="n">
        <v>0.06</v>
      </c>
      <c r="I238" s="1" t="s">
        <v>31</v>
      </c>
      <c r="J238" s="1" t="n">
        <v>10</v>
      </c>
      <c r="K238" s="1" t="n">
        <v>1.4</v>
      </c>
      <c r="L238" s="15" t="n">
        <v>827.69</v>
      </c>
      <c r="M238" s="15" t="n">
        <f aca="false">F238*G238</f>
        <v>880.52</v>
      </c>
      <c r="N238" s="15" t="n">
        <f aca="false">M238-L238</f>
        <v>52.8299999999999</v>
      </c>
      <c r="O238" s="1" t="n">
        <f aca="false">YEAR(B238)</f>
        <v>2022</v>
      </c>
      <c r="P238" s="1" t="n">
        <f aca="false">MONTH(B238)</f>
        <v>8</v>
      </c>
      <c r="Q238" s="1" t="str">
        <f aca="false">TEXT(B238,"mmm")</f>
        <v>Aug</v>
      </c>
      <c r="R238" s="1" t="str">
        <f aca="false">"Q"&amp;ROUNDUP(MONTH(B238)/3,0)</f>
        <v>Q3</v>
      </c>
    </row>
    <row r="239" customFormat="false" ht="15" hidden="false" customHeight="true" outlineLevel="0" collapsed="false">
      <c r="A239" s="1" t="n">
        <v>10238</v>
      </c>
      <c r="B239" s="14" t="n">
        <v>44799</v>
      </c>
      <c r="C239" s="1" t="n">
        <v>1224</v>
      </c>
      <c r="D239" s="1" t="s">
        <v>37</v>
      </c>
      <c r="E239" s="1" t="s">
        <v>35</v>
      </c>
      <c r="F239" s="1" t="n">
        <v>7</v>
      </c>
      <c r="G239" s="15" t="n">
        <v>156.26</v>
      </c>
      <c r="H239" s="16" t="n">
        <v>0.11</v>
      </c>
      <c r="I239" s="1" t="s">
        <v>33</v>
      </c>
      <c r="J239" s="1" t="n">
        <v>3</v>
      </c>
      <c r="K239" s="1" t="n">
        <v>2.3</v>
      </c>
      <c r="L239" s="15" t="n">
        <v>973.5</v>
      </c>
      <c r="M239" s="15" t="n">
        <f aca="false">F239*G239</f>
        <v>1093.82</v>
      </c>
      <c r="N239" s="15" t="n">
        <f aca="false">M239-L239</f>
        <v>120.32</v>
      </c>
      <c r="O239" s="1" t="n">
        <f aca="false">YEAR(B239)</f>
        <v>2022</v>
      </c>
      <c r="P239" s="1" t="n">
        <f aca="false">MONTH(B239)</f>
        <v>8</v>
      </c>
      <c r="Q239" s="1" t="str">
        <f aca="false">TEXT(B239,"mmm")</f>
        <v>Aug</v>
      </c>
      <c r="R239" s="1" t="str">
        <f aca="false">"Q"&amp;ROUNDUP(MONTH(B239)/3,0)</f>
        <v>Q3</v>
      </c>
    </row>
    <row r="240" customFormat="false" ht="15" hidden="false" customHeight="true" outlineLevel="0" collapsed="false">
      <c r="A240" s="1" t="n">
        <v>10239</v>
      </c>
      <c r="B240" s="14" t="n">
        <v>44800</v>
      </c>
      <c r="C240" s="1" t="n">
        <v>1384</v>
      </c>
      <c r="D240" s="1" t="s">
        <v>34</v>
      </c>
      <c r="E240" s="1" t="s">
        <v>28</v>
      </c>
      <c r="F240" s="1" t="n">
        <v>1</v>
      </c>
      <c r="G240" s="15" t="n">
        <v>51.46</v>
      </c>
      <c r="H240" s="16" t="n">
        <v>0.15</v>
      </c>
      <c r="I240" s="1" t="s">
        <v>29</v>
      </c>
      <c r="J240" s="1" t="n">
        <v>1</v>
      </c>
      <c r="K240" s="1" t="n">
        <v>2.7</v>
      </c>
      <c r="L240" s="15" t="n">
        <v>43.74</v>
      </c>
      <c r="M240" s="15" t="n">
        <f aca="false">F240*G240</f>
        <v>51.46</v>
      </c>
      <c r="N240" s="15" t="n">
        <f aca="false">M240-L240</f>
        <v>7.72</v>
      </c>
      <c r="O240" s="1" t="n">
        <f aca="false">YEAR(B240)</f>
        <v>2022</v>
      </c>
      <c r="P240" s="1" t="n">
        <f aca="false">MONTH(B240)</f>
        <v>8</v>
      </c>
      <c r="Q240" s="1" t="str">
        <f aca="false">TEXT(B240,"mmm")</f>
        <v>Aug</v>
      </c>
      <c r="R240" s="1" t="str">
        <f aca="false">"Q"&amp;ROUNDUP(MONTH(B240)/3,0)</f>
        <v>Q3</v>
      </c>
    </row>
    <row r="241" customFormat="false" ht="15" hidden="false" customHeight="true" outlineLevel="0" collapsed="false">
      <c r="A241" s="1" t="n">
        <v>10240</v>
      </c>
      <c r="B241" s="14" t="n">
        <v>44801</v>
      </c>
      <c r="C241" s="1" t="n">
        <v>1376</v>
      </c>
      <c r="D241" s="1" t="s">
        <v>30</v>
      </c>
      <c r="E241" s="1" t="s">
        <v>35</v>
      </c>
      <c r="F241" s="1" t="n">
        <v>6</v>
      </c>
      <c r="G241" s="15" t="n">
        <v>120.02</v>
      </c>
      <c r="H241" s="16" t="n">
        <v>0.25</v>
      </c>
      <c r="I241" s="1" t="s">
        <v>33</v>
      </c>
      <c r="J241" s="1" t="n">
        <v>2</v>
      </c>
      <c r="K241" s="1" t="n">
        <v>2.1</v>
      </c>
      <c r="L241" s="15" t="n">
        <v>540.09</v>
      </c>
      <c r="M241" s="15" t="n">
        <f aca="false">F241*G241</f>
        <v>720.12</v>
      </c>
      <c r="N241" s="15" t="n">
        <f aca="false">M241-L241</f>
        <v>180.03</v>
      </c>
      <c r="O241" s="1" t="n">
        <f aca="false">YEAR(B241)</f>
        <v>2022</v>
      </c>
      <c r="P241" s="1" t="n">
        <f aca="false">MONTH(B241)</f>
        <v>8</v>
      </c>
      <c r="Q241" s="1" t="str">
        <f aca="false">TEXT(B241,"mmm")</f>
        <v>Aug</v>
      </c>
      <c r="R241" s="1" t="str">
        <f aca="false">"Q"&amp;ROUNDUP(MONTH(B241)/3,0)</f>
        <v>Q3</v>
      </c>
    </row>
    <row r="242" customFormat="false" ht="15" hidden="false" customHeight="true" outlineLevel="0" collapsed="false">
      <c r="A242" s="1" t="n">
        <v>10241</v>
      </c>
      <c r="B242" s="14" t="n">
        <v>44802</v>
      </c>
      <c r="C242" s="1" t="n">
        <v>1282</v>
      </c>
      <c r="D242" s="1" t="s">
        <v>37</v>
      </c>
      <c r="E242" s="1" t="s">
        <v>36</v>
      </c>
      <c r="F242" s="1" t="n">
        <v>7</v>
      </c>
      <c r="G242" s="15" t="n">
        <v>87.83</v>
      </c>
      <c r="H242" s="16" t="n">
        <v>0</v>
      </c>
      <c r="I242" s="1" t="s">
        <v>33</v>
      </c>
      <c r="J242" s="1" t="n">
        <v>8</v>
      </c>
      <c r="K242" s="1" t="n">
        <v>3.1</v>
      </c>
      <c r="L242" s="15" t="n">
        <v>614.81</v>
      </c>
      <c r="M242" s="15" t="n">
        <f aca="false">F242*G242</f>
        <v>614.81</v>
      </c>
      <c r="N242" s="15" t="n">
        <f aca="false">M242-L242</f>
        <v>0</v>
      </c>
      <c r="O242" s="1" t="n">
        <f aca="false">YEAR(B242)</f>
        <v>2022</v>
      </c>
      <c r="P242" s="1" t="n">
        <f aca="false">MONTH(B242)</f>
        <v>8</v>
      </c>
      <c r="Q242" s="1" t="str">
        <f aca="false">TEXT(B242,"mmm")</f>
        <v>Aug</v>
      </c>
      <c r="R242" s="1" t="str">
        <f aca="false">"Q"&amp;ROUNDUP(MONTH(B242)/3,0)</f>
        <v>Q3</v>
      </c>
    </row>
    <row r="243" customFormat="false" ht="15" hidden="false" customHeight="true" outlineLevel="0" collapsed="false">
      <c r="A243" s="1" t="n">
        <v>10242</v>
      </c>
      <c r="B243" s="14" t="n">
        <v>44803</v>
      </c>
      <c r="C243" s="1" t="n">
        <v>1957</v>
      </c>
      <c r="D243" s="1" t="s">
        <v>34</v>
      </c>
      <c r="E243" s="1" t="s">
        <v>36</v>
      </c>
      <c r="F243" s="1" t="n">
        <v>7</v>
      </c>
      <c r="G243" s="15" t="n">
        <v>550.2</v>
      </c>
      <c r="H243" s="16" t="n">
        <v>0.11</v>
      </c>
      <c r="I243" s="1" t="s">
        <v>31</v>
      </c>
      <c r="J243" s="1" t="n">
        <v>10</v>
      </c>
      <c r="K243" s="1" t="n">
        <v>2.2</v>
      </c>
      <c r="L243" s="15" t="n">
        <v>3427.75</v>
      </c>
      <c r="M243" s="15" t="n">
        <f aca="false">F243*G243</f>
        <v>3851.4</v>
      </c>
      <c r="N243" s="15" t="n">
        <f aca="false">M243-L243</f>
        <v>423.650000000001</v>
      </c>
      <c r="O243" s="1" t="n">
        <f aca="false">YEAR(B243)</f>
        <v>2022</v>
      </c>
      <c r="P243" s="1" t="n">
        <f aca="false">MONTH(B243)</f>
        <v>8</v>
      </c>
      <c r="Q243" s="1" t="str">
        <f aca="false">TEXT(B243,"mmm")</f>
        <v>Aug</v>
      </c>
      <c r="R243" s="1" t="str">
        <f aca="false">"Q"&amp;ROUNDUP(MONTH(B243)/3,0)</f>
        <v>Q3</v>
      </c>
    </row>
    <row r="244" customFormat="false" ht="15" hidden="false" customHeight="true" outlineLevel="0" collapsed="false">
      <c r="A244" s="1" t="n">
        <v>10243</v>
      </c>
      <c r="B244" s="14" t="n">
        <v>44804</v>
      </c>
      <c r="C244" s="1" t="n">
        <v>1632</v>
      </c>
      <c r="D244" s="1" t="s">
        <v>30</v>
      </c>
      <c r="E244" s="1" t="s">
        <v>28</v>
      </c>
      <c r="F244" s="1" t="n">
        <v>2</v>
      </c>
      <c r="G244" s="15" t="n">
        <v>97.06</v>
      </c>
      <c r="H244" s="16" t="n">
        <v>0.27</v>
      </c>
      <c r="I244" s="1" t="s">
        <v>31</v>
      </c>
      <c r="J244" s="1" t="n">
        <v>6</v>
      </c>
      <c r="K244" s="1" t="n">
        <v>1.4</v>
      </c>
      <c r="L244" s="15" t="n">
        <v>141.71</v>
      </c>
      <c r="M244" s="15" t="n">
        <f aca="false">F244*G244</f>
        <v>194.12</v>
      </c>
      <c r="N244" s="15" t="n">
        <f aca="false">M244-L244</f>
        <v>52.41</v>
      </c>
      <c r="O244" s="1" t="n">
        <f aca="false">YEAR(B244)</f>
        <v>2022</v>
      </c>
      <c r="P244" s="1" t="n">
        <f aca="false">MONTH(B244)</f>
        <v>8</v>
      </c>
      <c r="Q244" s="1" t="str">
        <f aca="false">TEXT(B244,"mmm")</f>
        <v>Aug</v>
      </c>
      <c r="R244" s="1" t="str">
        <f aca="false">"Q"&amp;ROUNDUP(MONTH(B244)/3,0)</f>
        <v>Q3</v>
      </c>
    </row>
    <row r="245" customFormat="false" ht="15" hidden="false" customHeight="true" outlineLevel="0" collapsed="false">
      <c r="A245" s="1" t="n">
        <v>10244</v>
      </c>
      <c r="B245" s="14" t="n">
        <v>44805</v>
      </c>
      <c r="C245" s="1" t="n">
        <v>1627</v>
      </c>
      <c r="D245" s="1" t="s">
        <v>37</v>
      </c>
      <c r="E245" s="1" t="s">
        <v>35</v>
      </c>
      <c r="F245" s="1" t="n">
        <v>6</v>
      </c>
      <c r="G245" s="15" t="n">
        <v>329.52</v>
      </c>
      <c r="H245" s="16" t="n">
        <v>0.23</v>
      </c>
      <c r="I245" s="1" t="s">
        <v>29</v>
      </c>
      <c r="J245" s="1" t="n">
        <v>11</v>
      </c>
      <c r="K245" s="1" t="n">
        <v>1.8</v>
      </c>
      <c r="L245" s="15" t="n">
        <v>1522.38</v>
      </c>
      <c r="M245" s="15" t="n">
        <f aca="false">F245*G245</f>
        <v>1977.12</v>
      </c>
      <c r="N245" s="15" t="n">
        <f aca="false">M245-L245</f>
        <v>454.74</v>
      </c>
      <c r="O245" s="1" t="n">
        <f aca="false">YEAR(B245)</f>
        <v>2022</v>
      </c>
      <c r="P245" s="1" t="n">
        <f aca="false">MONTH(B245)</f>
        <v>9</v>
      </c>
      <c r="Q245" s="1" t="str">
        <f aca="false">TEXT(B245,"mmm")</f>
        <v>Sep</v>
      </c>
      <c r="R245" s="1" t="str">
        <f aca="false">"Q"&amp;ROUNDUP(MONTH(B245)/3,0)</f>
        <v>Q3</v>
      </c>
    </row>
    <row r="246" customFormat="false" ht="15" hidden="false" customHeight="true" outlineLevel="0" collapsed="false">
      <c r="A246" s="1" t="n">
        <v>10245</v>
      </c>
      <c r="B246" s="14" t="n">
        <v>44806</v>
      </c>
      <c r="C246" s="1" t="n">
        <v>1972</v>
      </c>
      <c r="D246" s="1" t="s">
        <v>34</v>
      </c>
      <c r="E246" s="1" t="s">
        <v>36</v>
      </c>
      <c r="F246" s="1" t="n">
        <v>5</v>
      </c>
      <c r="G246" s="15" t="n">
        <v>361.97</v>
      </c>
      <c r="H246" s="16" t="n">
        <v>0.26</v>
      </c>
      <c r="I246" s="1" t="s">
        <v>31</v>
      </c>
      <c r="J246" s="1" t="n">
        <v>1</v>
      </c>
      <c r="K246" s="1" t="n">
        <v>4.7</v>
      </c>
      <c r="L246" s="15" t="n">
        <v>1339.29</v>
      </c>
      <c r="M246" s="15" t="n">
        <f aca="false">F246*G246</f>
        <v>1809.85</v>
      </c>
      <c r="N246" s="15" t="n">
        <f aca="false">M246-L246</f>
        <v>470.56</v>
      </c>
      <c r="O246" s="1" t="n">
        <f aca="false">YEAR(B246)</f>
        <v>2022</v>
      </c>
      <c r="P246" s="1" t="n">
        <f aca="false">MONTH(B246)</f>
        <v>9</v>
      </c>
      <c r="Q246" s="1" t="str">
        <f aca="false">TEXT(B246,"mmm")</f>
        <v>Sep</v>
      </c>
      <c r="R246" s="1" t="str">
        <f aca="false">"Q"&amp;ROUNDUP(MONTH(B246)/3,0)</f>
        <v>Q3</v>
      </c>
    </row>
    <row r="247" customFormat="false" ht="15" hidden="false" customHeight="true" outlineLevel="0" collapsed="false">
      <c r="A247" s="1" t="n">
        <v>10246</v>
      </c>
      <c r="B247" s="14" t="n">
        <v>44807</v>
      </c>
      <c r="C247" s="1" t="n">
        <v>1744</v>
      </c>
      <c r="D247" s="1" t="s">
        <v>30</v>
      </c>
      <c r="E247" s="1" t="s">
        <v>32</v>
      </c>
      <c r="F247" s="1" t="n">
        <v>6</v>
      </c>
      <c r="G247" s="15" t="n">
        <v>332.94</v>
      </c>
      <c r="H247" s="16" t="n">
        <v>0.28</v>
      </c>
      <c r="I247" s="1" t="s">
        <v>29</v>
      </c>
      <c r="J247" s="1" t="n">
        <v>11</v>
      </c>
      <c r="K247" s="1" t="n">
        <v>3.5</v>
      </c>
      <c r="L247" s="15" t="n">
        <v>1438.3</v>
      </c>
      <c r="M247" s="15" t="n">
        <f aca="false">F247*G247</f>
        <v>1997.64</v>
      </c>
      <c r="N247" s="15" t="n">
        <f aca="false">M247-L247</f>
        <v>559.34</v>
      </c>
      <c r="O247" s="1" t="n">
        <f aca="false">YEAR(B247)</f>
        <v>2022</v>
      </c>
      <c r="P247" s="1" t="n">
        <f aca="false">MONTH(B247)</f>
        <v>9</v>
      </c>
      <c r="Q247" s="1" t="str">
        <f aca="false">TEXT(B247,"mmm")</f>
        <v>Sep</v>
      </c>
      <c r="R247" s="1" t="str">
        <f aca="false">"Q"&amp;ROUNDUP(MONTH(B247)/3,0)</f>
        <v>Q3</v>
      </c>
    </row>
    <row r="248" customFormat="false" ht="15" hidden="false" customHeight="true" outlineLevel="0" collapsed="false">
      <c r="A248" s="1" t="n">
        <v>10247</v>
      </c>
      <c r="B248" s="14" t="n">
        <v>44808</v>
      </c>
      <c r="C248" s="1" t="n">
        <v>1258</v>
      </c>
      <c r="D248" s="1" t="s">
        <v>37</v>
      </c>
      <c r="E248" s="1" t="s">
        <v>32</v>
      </c>
      <c r="F248" s="1" t="n">
        <v>7</v>
      </c>
      <c r="G248" s="15" t="n">
        <v>72.95</v>
      </c>
      <c r="H248" s="16" t="n">
        <v>0.27</v>
      </c>
      <c r="I248" s="1" t="s">
        <v>33</v>
      </c>
      <c r="J248" s="1" t="n">
        <v>9</v>
      </c>
      <c r="K248" s="1" t="n">
        <v>2.3</v>
      </c>
      <c r="L248" s="15" t="n">
        <v>372.77</v>
      </c>
      <c r="M248" s="15" t="n">
        <f aca="false">F248*G248</f>
        <v>510.65</v>
      </c>
      <c r="N248" s="15" t="n">
        <f aca="false">M248-L248</f>
        <v>137.88</v>
      </c>
      <c r="O248" s="1" t="n">
        <f aca="false">YEAR(B248)</f>
        <v>2022</v>
      </c>
      <c r="P248" s="1" t="n">
        <f aca="false">MONTH(B248)</f>
        <v>9</v>
      </c>
      <c r="Q248" s="1" t="str">
        <f aca="false">TEXT(B248,"mmm")</f>
        <v>Sep</v>
      </c>
      <c r="R248" s="1" t="str">
        <f aca="false">"Q"&amp;ROUNDUP(MONTH(B248)/3,0)</f>
        <v>Q3</v>
      </c>
    </row>
    <row r="249" customFormat="false" ht="15" hidden="false" customHeight="true" outlineLevel="0" collapsed="false">
      <c r="A249" s="1" t="n">
        <v>10248</v>
      </c>
      <c r="B249" s="14" t="n">
        <v>44809</v>
      </c>
      <c r="C249" s="1" t="n">
        <v>1358</v>
      </c>
      <c r="D249" s="1" t="s">
        <v>30</v>
      </c>
      <c r="E249" s="1" t="s">
        <v>32</v>
      </c>
      <c r="F249" s="1" t="n">
        <v>5</v>
      </c>
      <c r="G249" s="15" t="n">
        <v>201.5</v>
      </c>
      <c r="H249" s="16" t="n">
        <v>0.24</v>
      </c>
      <c r="I249" s="1" t="s">
        <v>33</v>
      </c>
      <c r="J249" s="1" t="n">
        <v>7</v>
      </c>
      <c r="K249" s="1" t="n">
        <v>2.5</v>
      </c>
      <c r="L249" s="15" t="n">
        <v>765.7</v>
      </c>
      <c r="M249" s="15" t="n">
        <f aca="false">F249*G249</f>
        <v>1007.5</v>
      </c>
      <c r="N249" s="15" t="n">
        <f aca="false">M249-L249</f>
        <v>241.8</v>
      </c>
      <c r="O249" s="1" t="n">
        <f aca="false">YEAR(B249)</f>
        <v>2022</v>
      </c>
      <c r="P249" s="1" t="n">
        <f aca="false">MONTH(B249)</f>
        <v>9</v>
      </c>
      <c r="Q249" s="1" t="str">
        <f aca="false">TEXT(B249,"mmm")</f>
        <v>Sep</v>
      </c>
      <c r="R249" s="1" t="str">
        <f aca="false">"Q"&amp;ROUNDUP(MONTH(B249)/3,0)</f>
        <v>Q3</v>
      </c>
    </row>
    <row r="250" customFormat="false" ht="15" hidden="false" customHeight="true" outlineLevel="0" collapsed="false">
      <c r="A250" s="1" t="n">
        <v>10249</v>
      </c>
      <c r="B250" s="14" t="n">
        <v>44810</v>
      </c>
      <c r="C250" s="1" t="n">
        <v>1709</v>
      </c>
      <c r="D250" s="1" t="s">
        <v>34</v>
      </c>
      <c r="E250" s="1" t="s">
        <v>35</v>
      </c>
      <c r="F250" s="1" t="n">
        <v>6</v>
      </c>
      <c r="G250" s="15" t="n">
        <v>44.99</v>
      </c>
      <c r="H250" s="16" t="n">
        <v>0.15</v>
      </c>
      <c r="I250" s="1" t="s">
        <v>29</v>
      </c>
      <c r="J250" s="1" t="n">
        <v>10</v>
      </c>
      <c r="K250" s="1" t="n">
        <v>3</v>
      </c>
      <c r="L250" s="15" t="n">
        <v>229.45</v>
      </c>
      <c r="M250" s="15" t="n">
        <f aca="false">F250*G250</f>
        <v>269.94</v>
      </c>
      <c r="N250" s="15" t="n">
        <f aca="false">M250-L250</f>
        <v>40.49</v>
      </c>
      <c r="O250" s="1" t="n">
        <f aca="false">YEAR(B250)</f>
        <v>2022</v>
      </c>
      <c r="P250" s="1" t="n">
        <f aca="false">MONTH(B250)</f>
        <v>9</v>
      </c>
      <c r="Q250" s="1" t="str">
        <f aca="false">TEXT(B250,"mmm")</f>
        <v>Sep</v>
      </c>
      <c r="R250" s="1" t="str">
        <f aca="false">"Q"&amp;ROUNDUP(MONTH(B250)/3,0)</f>
        <v>Q3</v>
      </c>
    </row>
    <row r="251" customFormat="false" ht="15" hidden="false" customHeight="true" outlineLevel="0" collapsed="false">
      <c r="A251" s="1" t="n">
        <v>10250</v>
      </c>
      <c r="B251" s="14" t="n">
        <v>44811</v>
      </c>
      <c r="C251" s="1" t="n">
        <v>1455</v>
      </c>
      <c r="D251" s="1" t="s">
        <v>34</v>
      </c>
      <c r="E251" s="1" t="s">
        <v>32</v>
      </c>
      <c r="F251" s="1" t="n">
        <v>5</v>
      </c>
      <c r="G251" s="15" t="n">
        <v>246.47</v>
      </c>
      <c r="H251" s="16" t="n">
        <v>0.34</v>
      </c>
      <c r="I251" s="1" t="s">
        <v>33</v>
      </c>
      <c r="J251" s="1" t="n">
        <v>11</v>
      </c>
      <c r="K251" s="1" t="n">
        <v>3.7</v>
      </c>
      <c r="L251" s="15" t="n">
        <v>813.35</v>
      </c>
      <c r="M251" s="15" t="n">
        <f aca="false">F251*G251</f>
        <v>1232.35</v>
      </c>
      <c r="N251" s="15" t="n">
        <f aca="false">M251-L251</f>
        <v>419</v>
      </c>
      <c r="O251" s="1" t="n">
        <f aca="false">YEAR(B251)</f>
        <v>2022</v>
      </c>
      <c r="P251" s="1" t="n">
        <f aca="false">MONTH(B251)</f>
        <v>9</v>
      </c>
      <c r="Q251" s="1" t="str">
        <f aca="false">TEXT(B251,"mmm")</f>
        <v>Sep</v>
      </c>
      <c r="R251" s="1" t="str">
        <f aca="false">"Q"&amp;ROUNDUP(MONTH(B251)/3,0)</f>
        <v>Q3</v>
      </c>
    </row>
    <row r="252" customFormat="false" ht="15" hidden="false" customHeight="true" outlineLevel="0" collapsed="false">
      <c r="A252" s="1" t="n">
        <v>10251</v>
      </c>
      <c r="B252" s="14" t="n">
        <v>44812</v>
      </c>
      <c r="C252" s="1" t="n">
        <v>1410</v>
      </c>
      <c r="D252" s="1" t="s">
        <v>30</v>
      </c>
      <c r="E252" s="1" t="s">
        <v>32</v>
      </c>
      <c r="F252" s="1" t="n">
        <v>5</v>
      </c>
      <c r="G252" s="15" t="n">
        <v>125.33</v>
      </c>
      <c r="H252" s="16" t="n">
        <v>0.2</v>
      </c>
      <c r="I252" s="1" t="s">
        <v>29</v>
      </c>
      <c r="J252" s="1" t="n">
        <v>3</v>
      </c>
      <c r="K252" s="1" t="n">
        <v>3.3</v>
      </c>
      <c r="L252" s="15" t="n">
        <v>501.32</v>
      </c>
      <c r="M252" s="15" t="n">
        <f aca="false">F252*G252</f>
        <v>626.65</v>
      </c>
      <c r="N252" s="15" t="n">
        <f aca="false">M252-L252</f>
        <v>125.33</v>
      </c>
      <c r="O252" s="1" t="n">
        <f aca="false">YEAR(B252)</f>
        <v>2022</v>
      </c>
      <c r="P252" s="1" t="n">
        <f aca="false">MONTH(B252)</f>
        <v>9</v>
      </c>
      <c r="Q252" s="1" t="str">
        <f aca="false">TEXT(B252,"mmm")</f>
        <v>Sep</v>
      </c>
      <c r="R252" s="1" t="str">
        <f aca="false">"Q"&amp;ROUNDUP(MONTH(B252)/3,0)</f>
        <v>Q3</v>
      </c>
    </row>
    <row r="253" customFormat="false" ht="15" hidden="false" customHeight="true" outlineLevel="0" collapsed="false">
      <c r="A253" s="1" t="n">
        <v>10252</v>
      </c>
      <c r="B253" s="14" t="n">
        <v>44813</v>
      </c>
      <c r="C253" s="1" t="n">
        <v>1648</v>
      </c>
      <c r="D253" s="1" t="s">
        <v>27</v>
      </c>
      <c r="E253" s="1" t="s">
        <v>36</v>
      </c>
      <c r="F253" s="1" t="n">
        <v>4</v>
      </c>
      <c r="G253" s="15" t="n">
        <v>343.56</v>
      </c>
      <c r="H253" s="16" t="n">
        <v>0.07</v>
      </c>
      <c r="I253" s="1" t="s">
        <v>31</v>
      </c>
      <c r="J253" s="1" t="n">
        <v>7</v>
      </c>
      <c r="K253" s="1" t="n">
        <v>4.7</v>
      </c>
      <c r="L253" s="15" t="n">
        <v>1278.04</v>
      </c>
      <c r="M253" s="15" t="n">
        <f aca="false">F253*G253</f>
        <v>1374.24</v>
      </c>
      <c r="N253" s="15" t="n">
        <f aca="false">M253-L253</f>
        <v>96.2000000000001</v>
      </c>
      <c r="O253" s="1" t="n">
        <f aca="false">YEAR(B253)</f>
        <v>2022</v>
      </c>
      <c r="P253" s="1" t="n">
        <f aca="false">MONTH(B253)</f>
        <v>9</v>
      </c>
      <c r="Q253" s="1" t="str">
        <f aca="false">TEXT(B253,"mmm")</f>
        <v>Sep</v>
      </c>
      <c r="R253" s="1" t="str">
        <f aca="false">"Q"&amp;ROUNDUP(MONTH(B253)/3,0)</f>
        <v>Q3</v>
      </c>
    </row>
    <row r="254" customFormat="false" ht="15" hidden="false" customHeight="true" outlineLevel="0" collapsed="false">
      <c r="A254" s="1" t="n">
        <v>10253</v>
      </c>
      <c r="B254" s="14" t="n">
        <v>44814</v>
      </c>
      <c r="C254" s="1" t="n">
        <v>1317</v>
      </c>
      <c r="D254" s="1" t="s">
        <v>34</v>
      </c>
      <c r="E254" s="1" t="s">
        <v>36</v>
      </c>
      <c r="F254" s="1" t="n">
        <v>1</v>
      </c>
      <c r="G254" s="15" t="n">
        <v>420.29</v>
      </c>
      <c r="H254" s="16" t="n">
        <v>0.1</v>
      </c>
      <c r="I254" s="1" t="s">
        <v>33</v>
      </c>
      <c r="J254" s="1" t="n">
        <v>6</v>
      </c>
      <c r="K254" s="1" t="n">
        <v>3.5</v>
      </c>
      <c r="L254" s="15" t="n">
        <v>378.26</v>
      </c>
      <c r="M254" s="15" t="n">
        <f aca="false">F254*G254</f>
        <v>420.29</v>
      </c>
      <c r="N254" s="15" t="n">
        <f aca="false">M254-L254</f>
        <v>42.03</v>
      </c>
      <c r="O254" s="1" t="n">
        <f aca="false">YEAR(B254)</f>
        <v>2022</v>
      </c>
      <c r="P254" s="1" t="n">
        <f aca="false">MONTH(B254)</f>
        <v>9</v>
      </c>
      <c r="Q254" s="1" t="str">
        <f aca="false">TEXT(B254,"mmm")</f>
        <v>Sep</v>
      </c>
      <c r="R254" s="1" t="str">
        <f aca="false">"Q"&amp;ROUNDUP(MONTH(B254)/3,0)</f>
        <v>Q3</v>
      </c>
    </row>
    <row r="255" customFormat="false" ht="15" hidden="false" customHeight="true" outlineLevel="0" collapsed="false">
      <c r="A255" s="1" t="n">
        <v>10254</v>
      </c>
      <c r="B255" s="14" t="n">
        <v>44815</v>
      </c>
      <c r="C255" s="1" t="n">
        <v>1676</v>
      </c>
      <c r="D255" s="1" t="s">
        <v>30</v>
      </c>
      <c r="E255" s="1" t="s">
        <v>32</v>
      </c>
      <c r="F255" s="1" t="n">
        <v>5</v>
      </c>
      <c r="G255" s="15" t="n">
        <v>326.29</v>
      </c>
      <c r="H255" s="16" t="n">
        <v>0.24</v>
      </c>
      <c r="I255" s="1" t="s">
        <v>33</v>
      </c>
      <c r="J255" s="1" t="n">
        <v>3</v>
      </c>
      <c r="K255" s="1" t="n">
        <v>4.6</v>
      </c>
      <c r="L255" s="15" t="n">
        <v>1239.9</v>
      </c>
      <c r="M255" s="15" t="n">
        <f aca="false">F255*G255</f>
        <v>1631.45</v>
      </c>
      <c r="N255" s="15" t="n">
        <f aca="false">M255-L255</f>
        <v>391.55</v>
      </c>
      <c r="O255" s="1" t="n">
        <f aca="false">YEAR(B255)</f>
        <v>2022</v>
      </c>
      <c r="P255" s="1" t="n">
        <f aca="false">MONTH(B255)</f>
        <v>9</v>
      </c>
      <c r="Q255" s="1" t="str">
        <f aca="false">TEXT(B255,"mmm")</f>
        <v>Sep</v>
      </c>
      <c r="R255" s="1" t="str">
        <f aca="false">"Q"&amp;ROUNDUP(MONTH(B255)/3,0)</f>
        <v>Q3</v>
      </c>
    </row>
    <row r="256" customFormat="false" ht="15" hidden="false" customHeight="true" outlineLevel="0" collapsed="false">
      <c r="A256" s="1" t="n">
        <v>10255</v>
      </c>
      <c r="B256" s="14" t="n">
        <v>44816</v>
      </c>
      <c r="C256" s="1" t="n">
        <v>1224</v>
      </c>
      <c r="D256" s="1" t="s">
        <v>34</v>
      </c>
      <c r="E256" s="1" t="s">
        <v>32</v>
      </c>
      <c r="F256" s="1" t="n">
        <v>2</v>
      </c>
      <c r="G256" s="15" t="n">
        <v>269.03</v>
      </c>
      <c r="H256" s="16" t="n">
        <v>0.32</v>
      </c>
      <c r="I256" s="1" t="s">
        <v>31</v>
      </c>
      <c r="J256" s="1" t="n">
        <v>8</v>
      </c>
      <c r="K256" s="1" t="n">
        <v>1</v>
      </c>
      <c r="L256" s="15" t="n">
        <v>365.88</v>
      </c>
      <c r="M256" s="15" t="n">
        <f aca="false">F256*G256</f>
        <v>538.06</v>
      </c>
      <c r="N256" s="15" t="n">
        <f aca="false">M256-L256</f>
        <v>172.18</v>
      </c>
      <c r="O256" s="1" t="n">
        <f aca="false">YEAR(B256)</f>
        <v>2022</v>
      </c>
      <c r="P256" s="1" t="n">
        <f aca="false">MONTH(B256)</f>
        <v>9</v>
      </c>
      <c r="Q256" s="1" t="str">
        <f aca="false">TEXT(B256,"mmm")</f>
        <v>Sep</v>
      </c>
      <c r="R256" s="1" t="str">
        <f aca="false">"Q"&amp;ROUNDUP(MONTH(B256)/3,0)</f>
        <v>Q3</v>
      </c>
    </row>
    <row r="257" customFormat="false" ht="15" hidden="false" customHeight="true" outlineLevel="0" collapsed="false">
      <c r="A257" s="1" t="n">
        <v>10256</v>
      </c>
      <c r="B257" s="14" t="n">
        <v>44817</v>
      </c>
      <c r="C257" s="1" t="n">
        <v>1818</v>
      </c>
      <c r="D257" s="1" t="s">
        <v>34</v>
      </c>
      <c r="E257" s="1" t="s">
        <v>36</v>
      </c>
      <c r="F257" s="1" t="n">
        <v>7</v>
      </c>
      <c r="G257" s="15" t="n">
        <v>241.59</v>
      </c>
      <c r="H257" s="16" t="n">
        <v>0.06</v>
      </c>
      <c r="I257" s="1" t="s">
        <v>33</v>
      </c>
      <c r="J257" s="1" t="n">
        <v>1</v>
      </c>
      <c r="K257" s="1" t="n">
        <v>4.6</v>
      </c>
      <c r="L257" s="15" t="n">
        <v>1589.66</v>
      </c>
      <c r="M257" s="15" t="n">
        <f aca="false">F257*G257</f>
        <v>1691.13</v>
      </c>
      <c r="N257" s="15" t="n">
        <f aca="false">M257-L257</f>
        <v>101.47</v>
      </c>
      <c r="O257" s="1" t="n">
        <f aca="false">YEAR(B257)</f>
        <v>2022</v>
      </c>
      <c r="P257" s="1" t="n">
        <f aca="false">MONTH(B257)</f>
        <v>9</v>
      </c>
      <c r="Q257" s="1" t="str">
        <f aca="false">TEXT(B257,"mmm")</f>
        <v>Sep</v>
      </c>
      <c r="R257" s="1" t="str">
        <f aca="false">"Q"&amp;ROUNDUP(MONTH(B257)/3,0)</f>
        <v>Q3</v>
      </c>
    </row>
    <row r="258" customFormat="false" ht="15" hidden="false" customHeight="true" outlineLevel="0" collapsed="false">
      <c r="A258" s="1" t="n">
        <v>10257</v>
      </c>
      <c r="B258" s="14" t="n">
        <v>44818</v>
      </c>
      <c r="C258" s="1" t="n">
        <v>1233</v>
      </c>
      <c r="D258" s="1" t="s">
        <v>37</v>
      </c>
      <c r="E258" s="1" t="s">
        <v>28</v>
      </c>
      <c r="F258" s="1" t="n">
        <v>7</v>
      </c>
      <c r="G258" s="15" t="n">
        <v>507.39</v>
      </c>
      <c r="H258" s="16" t="n">
        <v>0.03</v>
      </c>
      <c r="I258" s="1" t="s">
        <v>33</v>
      </c>
      <c r="J258" s="1" t="n">
        <v>5</v>
      </c>
      <c r="K258" s="1" t="n">
        <v>3.9</v>
      </c>
      <c r="L258" s="15" t="n">
        <v>3445.18</v>
      </c>
      <c r="M258" s="15" t="n">
        <f aca="false">F258*G258</f>
        <v>3551.73</v>
      </c>
      <c r="N258" s="15" t="n">
        <f aca="false">M258-L258</f>
        <v>106.55</v>
      </c>
      <c r="O258" s="1" t="n">
        <f aca="false">YEAR(B258)</f>
        <v>2022</v>
      </c>
      <c r="P258" s="1" t="n">
        <f aca="false">MONTH(B258)</f>
        <v>9</v>
      </c>
      <c r="Q258" s="1" t="str">
        <f aca="false">TEXT(B258,"mmm")</f>
        <v>Sep</v>
      </c>
      <c r="R258" s="1" t="str">
        <f aca="false">"Q"&amp;ROUNDUP(MONTH(B258)/3,0)</f>
        <v>Q3</v>
      </c>
    </row>
    <row r="259" customFormat="false" ht="15" hidden="false" customHeight="true" outlineLevel="0" collapsed="false">
      <c r="A259" s="1" t="n">
        <v>10258</v>
      </c>
      <c r="B259" s="14" t="n">
        <v>44819</v>
      </c>
      <c r="C259" s="1" t="n">
        <v>1683</v>
      </c>
      <c r="D259" s="1" t="s">
        <v>37</v>
      </c>
      <c r="E259" s="1" t="s">
        <v>35</v>
      </c>
      <c r="F259" s="1" t="n">
        <v>2</v>
      </c>
      <c r="G259" s="15" t="n">
        <v>143.33</v>
      </c>
      <c r="H259" s="16" t="n">
        <v>0.31</v>
      </c>
      <c r="I259" s="1" t="s">
        <v>29</v>
      </c>
      <c r="J259" s="1" t="n">
        <v>8</v>
      </c>
      <c r="K259" s="1" t="n">
        <v>1.7</v>
      </c>
      <c r="L259" s="15" t="n">
        <v>197.8</v>
      </c>
      <c r="M259" s="15" t="n">
        <f aca="false">F259*G259</f>
        <v>286.66</v>
      </c>
      <c r="N259" s="15" t="n">
        <f aca="false">M259-L259</f>
        <v>88.86</v>
      </c>
      <c r="O259" s="1" t="n">
        <f aca="false">YEAR(B259)</f>
        <v>2022</v>
      </c>
      <c r="P259" s="1" t="n">
        <f aca="false">MONTH(B259)</f>
        <v>9</v>
      </c>
      <c r="Q259" s="1" t="str">
        <f aca="false">TEXT(B259,"mmm")</f>
        <v>Sep</v>
      </c>
      <c r="R259" s="1" t="str">
        <f aca="false">"Q"&amp;ROUNDUP(MONTH(B259)/3,0)</f>
        <v>Q3</v>
      </c>
    </row>
    <row r="260" customFormat="false" ht="15" hidden="false" customHeight="true" outlineLevel="0" collapsed="false">
      <c r="A260" s="1" t="n">
        <v>10259</v>
      </c>
      <c r="B260" s="14" t="n">
        <v>44820</v>
      </c>
      <c r="C260" s="1" t="n">
        <v>1663</v>
      </c>
      <c r="D260" s="1" t="s">
        <v>34</v>
      </c>
      <c r="E260" s="1" t="s">
        <v>35</v>
      </c>
      <c r="F260" s="1" t="n">
        <v>3</v>
      </c>
      <c r="G260" s="15" t="n">
        <v>444.52</v>
      </c>
      <c r="H260" s="16" t="n">
        <v>0.32</v>
      </c>
      <c r="I260" s="1" t="s">
        <v>31</v>
      </c>
      <c r="J260" s="1" t="n">
        <v>3</v>
      </c>
      <c r="K260" s="1" t="n">
        <v>2.1</v>
      </c>
      <c r="L260" s="15" t="n">
        <v>906.82</v>
      </c>
      <c r="M260" s="15" t="n">
        <f aca="false">F260*G260</f>
        <v>1333.56</v>
      </c>
      <c r="N260" s="15" t="n">
        <f aca="false">M260-L260</f>
        <v>426.74</v>
      </c>
      <c r="O260" s="1" t="n">
        <f aca="false">YEAR(B260)</f>
        <v>2022</v>
      </c>
      <c r="P260" s="1" t="n">
        <f aca="false">MONTH(B260)</f>
        <v>9</v>
      </c>
      <c r="Q260" s="1" t="str">
        <f aca="false">TEXT(B260,"mmm")</f>
        <v>Sep</v>
      </c>
      <c r="R260" s="1" t="str">
        <f aca="false">"Q"&amp;ROUNDUP(MONTH(B260)/3,0)</f>
        <v>Q3</v>
      </c>
    </row>
    <row r="261" customFormat="false" ht="15" hidden="false" customHeight="true" outlineLevel="0" collapsed="false">
      <c r="A261" s="1" t="n">
        <v>10260</v>
      </c>
      <c r="B261" s="14" t="n">
        <v>44821</v>
      </c>
      <c r="C261" s="1" t="n">
        <v>1974</v>
      </c>
      <c r="D261" s="1" t="s">
        <v>30</v>
      </c>
      <c r="E261" s="1" t="s">
        <v>36</v>
      </c>
      <c r="F261" s="1" t="n">
        <v>5</v>
      </c>
      <c r="G261" s="15" t="n">
        <v>458.13</v>
      </c>
      <c r="H261" s="16" t="n">
        <v>0.1</v>
      </c>
      <c r="I261" s="1" t="s">
        <v>33</v>
      </c>
      <c r="J261" s="1" t="n">
        <v>11</v>
      </c>
      <c r="K261" s="1" t="n">
        <v>3.2</v>
      </c>
      <c r="L261" s="15" t="n">
        <v>2061.58</v>
      </c>
      <c r="M261" s="15" t="n">
        <f aca="false">F261*G261</f>
        <v>2290.65</v>
      </c>
      <c r="N261" s="15" t="n">
        <f aca="false">M261-L261</f>
        <v>229.07</v>
      </c>
      <c r="O261" s="1" t="n">
        <f aca="false">YEAR(B261)</f>
        <v>2022</v>
      </c>
      <c r="P261" s="1" t="n">
        <f aca="false">MONTH(B261)</f>
        <v>9</v>
      </c>
      <c r="Q261" s="1" t="str">
        <f aca="false">TEXT(B261,"mmm")</f>
        <v>Sep</v>
      </c>
      <c r="R261" s="1" t="str">
        <f aca="false">"Q"&amp;ROUNDUP(MONTH(B261)/3,0)</f>
        <v>Q3</v>
      </c>
    </row>
    <row r="262" customFormat="false" ht="15" hidden="false" customHeight="true" outlineLevel="0" collapsed="false">
      <c r="A262" s="1" t="n">
        <v>10261</v>
      </c>
      <c r="B262" s="14" t="n">
        <v>44822</v>
      </c>
      <c r="C262" s="1" t="n">
        <v>1826</v>
      </c>
      <c r="D262" s="1" t="s">
        <v>34</v>
      </c>
      <c r="E262" s="1" t="s">
        <v>35</v>
      </c>
      <c r="F262" s="1" t="n">
        <v>5</v>
      </c>
      <c r="G262" s="15" t="n">
        <v>260.23</v>
      </c>
      <c r="H262" s="16" t="n">
        <v>0.13</v>
      </c>
      <c r="I262" s="1" t="s">
        <v>31</v>
      </c>
      <c r="J262" s="1" t="n">
        <v>10</v>
      </c>
      <c r="K262" s="1" t="n">
        <v>1.5</v>
      </c>
      <c r="L262" s="15" t="n">
        <v>1132</v>
      </c>
      <c r="M262" s="15" t="n">
        <f aca="false">F262*G262</f>
        <v>1301.15</v>
      </c>
      <c r="N262" s="15" t="n">
        <f aca="false">M262-L262</f>
        <v>169.15</v>
      </c>
      <c r="O262" s="1" t="n">
        <f aca="false">YEAR(B262)</f>
        <v>2022</v>
      </c>
      <c r="P262" s="1" t="n">
        <f aca="false">MONTH(B262)</f>
        <v>9</v>
      </c>
      <c r="Q262" s="1" t="str">
        <f aca="false">TEXT(B262,"mmm")</f>
        <v>Sep</v>
      </c>
      <c r="R262" s="1" t="str">
        <f aca="false">"Q"&amp;ROUNDUP(MONTH(B262)/3,0)</f>
        <v>Q3</v>
      </c>
    </row>
    <row r="263" customFormat="false" ht="15" hidden="false" customHeight="true" outlineLevel="0" collapsed="false">
      <c r="A263" s="1" t="n">
        <v>10262</v>
      </c>
      <c r="B263" s="14" t="n">
        <v>44823</v>
      </c>
      <c r="C263" s="1" t="n">
        <v>1373</v>
      </c>
      <c r="D263" s="1" t="s">
        <v>30</v>
      </c>
      <c r="E263" s="1" t="s">
        <v>36</v>
      </c>
      <c r="F263" s="1" t="n">
        <v>5</v>
      </c>
      <c r="G263" s="15" t="n">
        <v>188.92</v>
      </c>
      <c r="H263" s="16" t="n">
        <v>0.23</v>
      </c>
      <c r="I263" s="1" t="s">
        <v>33</v>
      </c>
      <c r="J263" s="1" t="n">
        <v>11</v>
      </c>
      <c r="K263" s="1" t="n">
        <v>4.1</v>
      </c>
      <c r="L263" s="15" t="n">
        <v>727.34</v>
      </c>
      <c r="M263" s="15" t="n">
        <f aca="false">F263*G263</f>
        <v>944.6</v>
      </c>
      <c r="N263" s="15" t="n">
        <f aca="false">M263-L263</f>
        <v>217.26</v>
      </c>
      <c r="O263" s="1" t="n">
        <f aca="false">YEAR(B263)</f>
        <v>2022</v>
      </c>
      <c r="P263" s="1" t="n">
        <f aca="false">MONTH(B263)</f>
        <v>9</v>
      </c>
      <c r="Q263" s="1" t="str">
        <f aca="false">TEXT(B263,"mmm")</f>
        <v>Sep</v>
      </c>
      <c r="R263" s="1" t="str">
        <f aca="false">"Q"&amp;ROUNDUP(MONTH(B263)/3,0)</f>
        <v>Q3</v>
      </c>
    </row>
    <row r="264" customFormat="false" ht="15" hidden="false" customHeight="true" outlineLevel="0" collapsed="false">
      <c r="A264" s="1" t="n">
        <v>10263</v>
      </c>
      <c r="B264" s="14" t="n">
        <v>44824</v>
      </c>
      <c r="C264" s="1" t="n">
        <v>1671</v>
      </c>
      <c r="D264" s="1" t="s">
        <v>37</v>
      </c>
      <c r="E264" s="1" t="s">
        <v>36</v>
      </c>
      <c r="F264" s="1" t="n">
        <v>6</v>
      </c>
      <c r="G264" s="15" t="n">
        <v>290.27</v>
      </c>
      <c r="H264" s="16" t="n">
        <v>0.12</v>
      </c>
      <c r="I264" s="1" t="s">
        <v>33</v>
      </c>
      <c r="J264" s="1" t="n">
        <v>6</v>
      </c>
      <c r="K264" s="1" t="n">
        <v>4.2</v>
      </c>
      <c r="L264" s="15" t="n">
        <v>1532.63</v>
      </c>
      <c r="M264" s="15" t="n">
        <f aca="false">F264*G264</f>
        <v>1741.62</v>
      </c>
      <c r="N264" s="15" t="n">
        <f aca="false">M264-L264</f>
        <v>208.99</v>
      </c>
      <c r="O264" s="1" t="n">
        <f aca="false">YEAR(B264)</f>
        <v>2022</v>
      </c>
      <c r="P264" s="1" t="n">
        <f aca="false">MONTH(B264)</f>
        <v>9</v>
      </c>
      <c r="Q264" s="1" t="str">
        <f aca="false">TEXT(B264,"mmm")</f>
        <v>Sep</v>
      </c>
      <c r="R264" s="1" t="str">
        <f aca="false">"Q"&amp;ROUNDUP(MONTH(B264)/3,0)</f>
        <v>Q3</v>
      </c>
    </row>
    <row r="265" customFormat="false" ht="15" hidden="false" customHeight="true" outlineLevel="0" collapsed="false">
      <c r="A265" s="1" t="n">
        <v>10264</v>
      </c>
      <c r="B265" s="14" t="n">
        <v>44825</v>
      </c>
      <c r="C265" s="1" t="n">
        <v>1607</v>
      </c>
      <c r="D265" s="1" t="s">
        <v>34</v>
      </c>
      <c r="E265" s="1" t="s">
        <v>36</v>
      </c>
      <c r="F265" s="1" t="n">
        <v>5</v>
      </c>
      <c r="G265" s="15" t="n">
        <v>69.53</v>
      </c>
      <c r="H265" s="16" t="n">
        <v>0.31</v>
      </c>
      <c r="I265" s="1" t="s">
        <v>33</v>
      </c>
      <c r="J265" s="1" t="n">
        <v>10</v>
      </c>
      <c r="K265" s="1" t="n">
        <v>2.2</v>
      </c>
      <c r="L265" s="15" t="n">
        <v>239.88</v>
      </c>
      <c r="M265" s="15" t="n">
        <f aca="false">F265*G265</f>
        <v>347.65</v>
      </c>
      <c r="N265" s="15" t="n">
        <f aca="false">M265-L265</f>
        <v>107.77</v>
      </c>
      <c r="O265" s="1" t="n">
        <f aca="false">YEAR(B265)</f>
        <v>2022</v>
      </c>
      <c r="P265" s="1" t="n">
        <f aca="false">MONTH(B265)</f>
        <v>9</v>
      </c>
      <c r="Q265" s="1" t="str">
        <f aca="false">TEXT(B265,"mmm")</f>
        <v>Sep</v>
      </c>
      <c r="R265" s="1" t="str">
        <f aca="false">"Q"&amp;ROUNDUP(MONTH(B265)/3,0)</f>
        <v>Q3</v>
      </c>
    </row>
    <row r="266" customFormat="false" ht="15" hidden="false" customHeight="true" outlineLevel="0" collapsed="false">
      <c r="A266" s="1" t="n">
        <v>10265</v>
      </c>
      <c r="B266" s="14" t="n">
        <v>44826</v>
      </c>
      <c r="C266" s="1" t="n">
        <v>1471</v>
      </c>
      <c r="D266" s="1" t="s">
        <v>34</v>
      </c>
      <c r="E266" s="1" t="s">
        <v>36</v>
      </c>
      <c r="F266" s="1" t="n">
        <v>5</v>
      </c>
      <c r="G266" s="15" t="n">
        <v>41.87</v>
      </c>
      <c r="H266" s="16" t="n">
        <v>0.04</v>
      </c>
      <c r="I266" s="1" t="s">
        <v>31</v>
      </c>
      <c r="J266" s="1" t="n">
        <v>11</v>
      </c>
      <c r="K266" s="1" t="n">
        <v>1.3</v>
      </c>
      <c r="L266" s="15" t="n">
        <v>200.98</v>
      </c>
      <c r="M266" s="15" t="n">
        <f aca="false">F266*G266</f>
        <v>209.35</v>
      </c>
      <c r="N266" s="15" t="n">
        <f aca="false">M266-L266</f>
        <v>8.37000000000001</v>
      </c>
      <c r="O266" s="1" t="n">
        <f aca="false">YEAR(B266)</f>
        <v>2022</v>
      </c>
      <c r="P266" s="1" t="n">
        <f aca="false">MONTH(B266)</f>
        <v>9</v>
      </c>
      <c r="Q266" s="1" t="str">
        <f aca="false">TEXT(B266,"mmm")</f>
        <v>Sep</v>
      </c>
      <c r="R266" s="1" t="str">
        <f aca="false">"Q"&amp;ROUNDUP(MONTH(B266)/3,0)</f>
        <v>Q3</v>
      </c>
    </row>
    <row r="267" customFormat="false" ht="15" hidden="false" customHeight="true" outlineLevel="0" collapsed="false">
      <c r="A267" s="1" t="n">
        <v>10266</v>
      </c>
      <c r="B267" s="14" t="n">
        <v>44827</v>
      </c>
      <c r="C267" s="1" t="n">
        <v>1232</v>
      </c>
      <c r="D267" s="1" t="s">
        <v>30</v>
      </c>
      <c r="E267" s="1" t="s">
        <v>28</v>
      </c>
      <c r="F267" s="1" t="n">
        <v>2</v>
      </c>
      <c r="G267" s="15" t="n">
        <v>80.29</v>
      </c>
      <c r="H267" s="16" t="n">
        <v>0.01</v>
      </c>
      <c r="I267" s="1" t="s">
        <v>31</v>
      </c>
      <c r="J267" s="1" t="n">
        <v>2</v>
      </c>
      <c r="K267" s="1" t="n">
        <v>5</v>
      </c>
      <c r="L267" s="15" t="n">
        <v>158.97</v>
      </c>
      <c r="M267" s="15" t="n">
        <f aca="false">F267*G267</f>
        <v>160.58</v>
      </c>
      <c r="N267" s="15" t="n">
        <f aca="false">M267-L267</f>
        <v>1.61000000000001</v>
      </c>
      <c r="O267" s="1" t="n">
        <f aca="false">YEAR(B267)</f>
        <v>2022</v>
      </c>
      <c r="P267" s="1" t="n">
        <f aca="false">MONTH(B267)</f>
        <v>9</v>
      </c>
      <c r="Q267" s="1" t="str">
        <f aca="false">TEXT(B267,"mmm")</f>
        <v>Sep</v>
      </c>
      <c r="R267" s="1" t="str">
        <f aca="false">"Q"&amp;ROUNDUP(MONTH(B267)/3,0)</f>
        <v>Q3</v>
      </c>
    </row>
    <row r="268" customFormat="false" ht="15" hidden="false" customHeight="true" outlineLevel="0" collapsed="false">
      <c r="A268" s="1" t="n">
        <v>10267</v>
      </c>
      <c r="B268" s="14" t="n">
        <v>44828</v>
      </c>
      <c r="C268" s="1" t="n">
        <v>1691</v>
      </c>
      <c r="D268" s="1" t="s">
        <v>27</v>
      </c>
      <c r="E268" s="1" t="s">
        <v>32</v>
      </c>
      <c r="F268" s="1" t="n">
        <v>1</v>
      </c>
      <c r="G268" s="15" t="n">
        <v>124.48</v>
      </c>
      <c r="H268" s="16" t="n">
        <v>0.07</v>
      </c>
      <c r="I268" s="1" t="s">
        <v>31</v>
      </c>
      <c r="J268" s="1" t="n">
        <v>9</v>
      </c>
      <c r="K268" s="1" t="n">
        <v>2</v>
      </c>
      <c r="L268" s="15" t="n">
        <v>115.77</v>
      </c>
      <c r="M268" s="15" t="n">
        <f aca="false">F268*G268</f>
        <v>124.48</v>
      </c>
      <c r="N268" s="15" t="n">
        <f aca="false">M268-L268</f>
        <v>8.71000000000001</v>
      </c>
      <c r="O268" s="1" t="n">
        <f aca="false">YEAR(B268)</f>
        <v>2022</v>
      </c>
      <c r="P268" s="1" t="n">
        <f aca="false">MONTH(B268)</f>
        <v>9</v>
      </c>
      <c r="Q268" s="1" t="str">
        <f aca="false">TEXT(B268,"mmm")</f>
        <v>Sep</v>
      </c>
      <c r="R268" s="1" t="str">
        <f aca="false">"Q"&amp;ROUNDUP(MONTH(B268)/3,0)</f>
        <v>Q3</v>
      </c>
    </row>
    <row r="269" customFormat="false" ht="15" hidden="false" customHeight="true" outlineLevel="0" collapsed="false">
      <c r="A269" s="1" t="n">
        <v>10268</v>
      </c>
      <c r="B269" s="14" t="n">
        <v>44829</v>
      </c>
      <c r="C269" s="1" t="n">
        <v>1112</v>
      </c>
      <c r="D269" s="1" t="s">
        <v>27</v>
      </c>
      <c r="E269" s="1" t="s">
        <v>32</v>
      </c>
      <c r="F269" s="1" t="n">
        <v>1</v>
      </c>
      <c r="G269" s="15" t="n">
        <v>309.94</v>
      </c>
      <c r="H269" s="16" t="n">
        <v>0.1</v>
      </c>
      <c r="I269" s="1" t="s">
        <v>31</v>
      </c>
      <c r="J269" s="1" t="n">
        <v>2</v>
      </c>
      <c r="K269" s="1" t="n">
        <v>1.3</v>
      </c>
      <c r="L269" s="15" t="n">
        <v>278.95</v>
      </c>
      <c r="M269" s="15" t="n">
        <f aca="false">F269*G269</f>
        <v>309.94</v>
      </c>
      <c r="N269" s="15" t="n">
        <f aca="false">M269-L269</f>
        <v>30.99</v>
      </c>
      <c r="O269" s="1" t="n">
        <f aca="false">YEAR(B269)</f>
        <v>2022</v>
      </c>
      <c r="P269" s="1" t="n">
        <f aca="false">MONTH(B269)</f>
        <v>9</v>
      </c>
      <c r="Q269" s="1" t="str">
        <f aca="false">TEXT(B269,"mmm")</f>
        <v>Sep</v>
      </c>
      <c r="R269" s="1" t="str">
        <f aca="false">"Q"&amp;ROUNDUP(MONTH(B269)/3,0)</f>
        <v>Q3</v>
      </c>
    </row>
    <row r="270" customFormat="false" ht="15" hidden="false" customHeight="true" outlineLevel="0" collapsed="false">
      <c r="A270" s="1" t="n">
        <v>10269</v>
      </c>
      <c r="B270" s="14" t="n">
        <v>44830</v>
      </c>
      <c r="C270" s="1" t="n">
        <v>1829</v>
      </c>
      <c r="D270" s="1" t="s">
        <v>34</v>
      </c>
      <c r="E270" s="1" t="s">
        <v>28</v>
      </c>
      <c r="F270" s="1" t="n">
        <v>3</v>
      </c>
      <c r="G270" s="15" t="n">
        <v>511.74</v>
      </c>
      <c r="H270" s="16" t="n">
        <v>0.04</v>
      </c>
      <c r="I270" s="1" t="s">
        <v>33</v>
      </c>
      <c r="J270" s="1" t="n">
        <v>5</v>
      </c>
      <c r="K270" s="1" t="n">
        <v>2.3</v>
      </c>
      <c r="L270" s="15" t="n">
        <v>1473.81</v>
      </c>
      <c r="M270" s="15" t="n">
        <f aca="false">F270*G270</f>
        <v>1535.22</v>
      </c>
      <c r="N270" s="15" t="n">
        <f aca="false">M270-L270</f>
        <v>61.4100000000001</v>
      </c>
      <c r="O270" s="1" t="n">
        <f aca="false">YEAR(B270)</f>
        <v>2022</v>
      </c>
      <c r="P270" s="1" t="n">
        <f aca="false">MONTH(B270)</f>
        <v>9</v>
      </c>
      <c r="Q270" s="1" t="str">
        <f aca="false">TEXT(B270,"mmm")</f>
        <v>Sep</v>
      </c>
      <c r="R270" s="1" t="str">
        <f aca="false">"Q"&amp;ROUNDUP(MONTH(B270)/3,0)</f>
        <v>Q3</v>
      </c>
    </row>
    <row r="271" customFormat="false" ht="15" hidden="false" customHeight="true" outlineLevel="0" collapsed="false">
      <c r="A271" s="1" t="n">
        <v>10270</v>
      </c>
      <c r="B271" s="14" t="n">
        <v>44831</v>
      </c>
      <c r="C271" s="1" t="n">
        <v>1496</v>
      </c>
      <c r="D271" s="1" t="s">
        <v>37</v>
      </c>
      <c r="E271" s="1" t="s">
        <v>35</v>
      </c>
      <c r="F271" s="1" t="n">
        <v>2</v>
      </c>
      <c r="G271" s="15" t="n">
        <v>152.85</v>
      </c>
      <c r="H271" s="16" t="n">
        <v>0.02</v>
      </c>
      <c r="I271" s="1" t="s">
        <v>29</v>
      </c>
      <c r="J271" s="1" t="n">
        <v>3</v>
      </c>
      <c r="K271" s="1" t="n">
        <v>4.9</v>
      </c>
      <c r="L271" s="15" t="n">
        <v>299.59</v>
      </c>
      <c r="M271" s="15" t="n">
        <f aca="false">F271*G271</f>
        <v>305.7</v>
      </c>
      <c r="N271" s="15" t="n">
        <f aca="false">M271-L271</f>
        <v>6.11000000000001</v>
      </c>
      <c r="O271" s="1" t="n">
        <f aca="false">YEAR(B271)</f>
        <v>2022</v>
      </c>
      <c r="P271" s="1" t="n">
        <f aca="false">MONTH(B271)</f>
        <v>9</v>
      </c>
      <c r="Q271" s="1" t="str">
        <f aca="false">TEXT(B271,"mmm")</f>
        <v>Sep</v>
      </c>
      <c r="R271" s="1" t="str">
        <f aca="false">"Q"&amp;ROUNDUP(MONTH(B271)/3,0)</f>
        <v>Q3</v>
      </c>
    </row>
    <row r="272" customFormat="false" ht="15" hidden="false" customHeight="true" outlineLevel="0" collapsed="false">
      <c r="A272" s="1" t="n">
        <v>10271</v>
      </c>
      <c r="B272" s="14" t="n">
        <v>44832</v>
      </c>
      <c r="C272" s="1" t="n">
        <v>1441</v>
      </c>
      <c r="D272" s="1" t="s">
        <v>30</v>
      </c>
      <c r="E272" s="1" t="s">
        <v>35</v>
      </c>
      <c r="F272" s="1" t="n">
        <v>5</v>
      </c>
      <c r="G272" s="15" t="n">
        <v>562.07</v>
      </c>
      <c r="H272" s="16" t="n">
        <v>0.26</v>
      </c>
      <c r="I272" s="1" t="s">
        <v>31</v>
      </c>
      <c r="J272" s="1" t="n">
        <v>10</v>
      </c>
      <c r="K272" s="1" t="n">
        <v>4.2</v>
      </c>
      <c r="L272" s="15" t="n">
        <v>2079.66</v>
      </c>
      <c r="M272" s="15" t="n">
        <f aca="false">F272*G272</f>
        <v>2810.35</v>
      </c>
      <c r="N272" s="15" t="n">
        <f aca="false">M272-L272</f>
        <v>730.690000000001</v>
      </c>
      <c r="O272" s="1" t="n">
        <f aca="false">YEAR(B272)</f>
        <v>2022</v>
      </c>
      <c r="P272" s="1" t="n">
        <f aca="false">MONTH(B272)</f>
        <v>9</v>
      </c>
      <c r="Q272" s="1" t="str">
        <f aca="false">TEXT(B272,"mmm")</f>
        <v>Sep</v>
      </c>
      <c r="R272" s="1" t="str">
        <f aca="false">"Q"&amp;ROUNDUP(MONTH(B272)/3,0)</f>
        <v>Q3</v>
      </c>
    </row>
    <row r="273" customFormat="false" ht="15" hidden="false" customHeight="true" outlineLevel="0" collapsed="false">
      <c r="A273" s="1" t="n">
        <v>10272</v>
      </c>
      <c r="B273" s="14" t="n">
        <v>44833</v>
      </c>
      <c r="C273" s="1" t="n">
        <v>1563</v>
      </c>
      <c r="D273" s="1" t="s">
        <v>30</v>
      </c>
      <c r="E273" s="1" t="s">
        <v>32</v>
      </c>
      <c r="F273" s="1" t="n">
        <v>1</v>
      </c>
      <c r="G273" s="15" t="n">
        <v>573.62</v>
      </c>
      <c r="H273" s="16" t="n">
        <v>0.06</v>
      </c>
      <c r="I273" s="1" t="s">
        <v>31</v>
      </c>
      <c r="J273" s="1" t="n">
        <v>9</v>
      </c>
      <c r="K273" s="1" t="n">
        <v>2.9</v>
      </c>
      <c r="L273" s="15" t="n">
        <v>539.2</v>
      </c>
      <c r="M273" s="15" t="n">
        <f aca="false">F273*G273</f>
        <v>573.62</v>
      </c>
      <c r="N273" s="15" t="n">
        <f aca="false">M273-L273</f>
        <v>34.42</v>
      </c>
      <c r="O273" s="1" t="n">
        <f aca="false">YEAR(B273)</f>
        <v>2022</v>
      </c>
      <c r="P273" s="1" t="n">
        <f aca="false">MONTH(B273)</f>
        <v>9</v>
      </c>
      <c r="Q273" s="1" t="str">
        <f aca="false">TEXT(B273,"mmm")</f>
        <v>Sep</v>
      </c>
      <c r="R273" s="1" t="str">
        <f aca="false">"Q"&amp;ROUNDUP(MONTH(B273)/3,0)</f>
        <v>Q3</v>
      </c>
    </row>
    <row r="274" customFormat="false" ht="15" hidden="false" customHeight="true" outlineLevel="0" collapsed="false">
      <c r="A274" s="1" t="n">
        <v>10273</v>
      </c>
      <c r="B274" s="14" t="n">
        <v>44834</v>
      </c>
      <c r="C274" s="1" t="n">
        <v>1267</v>
      </c>
      <c r="D274" s="1" t="s">
        <v>37</v>
      </c>
      <c r="E274" s="1" t="s">
        <v>35</v>
      </c>
      <c r="F274" s="1" t="n">
        <v>4</v>
      </c>
      <c r="G274" s="15" t="n">
        <v>575.96</v>
      </c>
      <c r="H274" s="16" t="n">
        <v>0.32</v>
      </c>
      <c r="I274" s="1" t="s">
        <v>33</v>
      </c>
      <c r="J274" s="1" t="n">
        <v>9</v>
      </c>
      <c r="K274" s="1" t="n">
        <v>2.2</v>
      </c>
      <c r="L274" s="15" t="n">
        <v>1566.61</v>
      </c>
      <c r="M274" s="15" t="n">
        <f aca="false">F274*G274</f>
        <v>2303.84</v>
      </c>
      <c r="N274" s="15" t="n">
        <f aca="false">M274-L274</f>
        <v>737.23</v>
      </c>
      <c r="O274" s="1" t="n">
        <f aca="false">YEAR(B274)</f>
        <v>2022</v>
      </c>
      <c r="P274" s="1" t="n">
        <f aca="false">MONTH(B274)</f>
        <v>9</v>
      </c>
      <c r="Q274" s="1" t="str">
        <f aca="false">TEXT(B274,"mmm")</f>
        <v>Sep</v>
      </c>
      <c r="R274" s="1" t="str">
        <f aca="false">"Q"&amp;ROUNDUP(MONTH(B274)/3,0)</f>
        <v>Q3</v>
      </c>
    </row>
    <row r="275" customFormat="false" ht="15" hidden="false" customHeight="true" outlineLevel="0" collapsed="false">
      <c r="A275" s="1" t="n">
        <v>10274</v>
      </c>
      <c r="B275" s="14" t="n">
        <v>44835</v>
      </c>
      <c r="C275" s="1" t="n">
        <v>1509</v>
      </c>
      <c r="D275" s="1" t="s">
        <v>27</v>
      </c>
      <c r="E275" s="1" t="s">
        <v>32</v>
      </c>
      <c r="F275" s="1" t="n">
        <v>4</v>
      </c>
      <c r="G275" s="15" t="n">
        <v>504.97</v>
      </c>
      <c r="H275" s="16" t="n">
        <v>0.13</v>
      </c>
      <c r="I275" s="1" t="s">
        <v>33</v>
      </c>
      <c r="J275" s="1" t="n">
        <v>7</v>
      </c>
      <c r="K275" s="1" t="n">
        <v>2.7</v>
      </c>
      <c r="L275" s="15" t="n">
        <v>1757.3</v>
      </c>
      <c r="M275" s="15" t="n">
        <f aca="false">F275*G275</f>
        <v>2019.88</v>
      </c>
      <c r="N275" s="15" t="n">
        <f aca="false">M275-L275</f>
        <v>262.58</v>
      </c>
      <c r="O275" s="1" t="n">
        <f aca="false">YEAR(B275)</f>
        <v>2022</v>
      </c>
      <c r="P275" s="1" t="n">
        <f aca="false">MONTH(B275)</f>
        <v>10</v>
      </c>
      <c r="Q275" s="1" t="str">
        <f aca="false">TEXT(B275,"mmm")</f>
        <v>Oct</v>
      </c>
      <c r="R275" s="1" t="str">
        <f aca="false">"Q"&amp;ROUNDUP(MONTH(B275)/3,0)</f>
        <v>Q4</v>
      </c>
    </row>
    <row r="276" customFormat="false" ht="15" hidden="false" customHeight="true" outlineLevel="0" collapsed="false">
      <c r="A276" s="1" t="n">
        <v>10275</v>
      </c>
      <c r="B276" s="14" t="n">
        <v>44836</v>
      </c>
      <c r="C276" s="1" t="n">
        <v>1806</v>
      </c>
      <c r="D276" s="1" t="s">
        <v>27</v>
      </c>
      <c r="E276" s="1" t="s">
        <v>32</v>
      </c>
      <c r="F276" s="1" t="n">
        <v>4</v>
      </c>
      <c r="G276" s="15" t="n">
        <v>227.84</v>
      </c>
      <c r="H276" s="16" t="n">
        <v>0.23</v>
      </c>
      <c r="I276" s="1" t="s">
        <v>31</v>
      </c>
      <c r="J276" s="1" t="n">
        <v>10</v>
      </c>
      <c r="K276" s="1" t="n">
        <v>1.1</v>
      </c>
      <c r="L276" s="15" t="n">
        <v>701.75</v>
      </c>
      <c r="M276" s="15" t="n">
        <f aca="false">F276*G276</f>
        <v>911.36</v>
      </c>
      <c r="N276" s="15" t="n">
        <f aca="false">M276-L276</f>
        <v>209.61</v>
      </c>
      <c r="O276" s="1" t="n">
        <f aca="false">YEAR(B276)</f>
        <v>2022</v>
      </c>
      <c r="P276" s="1" t="n">
        <f aca="false">MONTH(B276)</f>
        <v>10</v>
      </c>
      <c r="Q276" s="1" t="str">
        <f aca="false">TEXT(B276,"mmm")</f>
        <v>Oct</v>
      </c>
      <c r="R276" s="1" t="str">
        <f aca="false">"Q"&amp;ROUNDUP(MONTH(B276)/3,0)</f>
        <v>Q4</v>
      </c>
    </row>
    <row r="277" customFormat="false" ht="15" hidden="false" customHeight="true" outlineLevel="0" collapsed="false">
      <c r="A277" s="1" t="n">
        <v>10276</v>
      </c>
      <c r="B277" s="14" t="n">
        <v>44837</v>
      </c>
      <c r="C277" s="1" t="n">
        <v>1385</v>
      </c>
      <c r="D277" s="1" t="s">
        <v>30</v>
      </c>
      <c r="E277" s="1" t="s">
        <v>28</v>
      </c>
      <c r="F277" s="1" t="n">
        <v>5</v>
      </c>
      <c r="G277" s="15" t="n">
        <v>57.52</v>
      </c>
      <c r="H277" s="16" t="n">
        <v>0.08</v>
      </c>
      <c r="I277" s="1" t="s">
        <v>31</v>
      </c>
      <c r="J277" s="1" t="n">
        <v>5</v>
      </c>
      <c r="K277" s="1" t="n">
        <v>3.9</v>
      </c>
      <c r="L277" s="15" t="n">
        <v>264.59</v>
      </c>
      <c r="M277" s="15" t="n">
        <f aca="false">F277*G277</f>
        <v>287.6</v>
      </c>
      <c r="N277" s="15" t="n">
        <f aca="false">M277-L277</f>
        <v>23.01</v>
      </c>
      <c r="O277" s="1" t="n">
        <f aca="false">YEAR(B277)</f>
        <v>2022</v>
      </c>
      <c r="P277" s="1" t="n">
        <f aca="false">MONTH(B277)</f>
        <v>10</v>
      </c>
      <c r="Q277" s="1" t="str">
        <f aca="false">TEXT(B277,"mmm")</f>
        <v>Oct</v>
      </c>
      <c r="R277" s="1" t="str">
        <f aca="false">"Q"&amp;ROUNDUP(MONTH(B277)/3,0)</f>
        <v>Q4</v>
      </c>
    </row>
    <row r="278" customFormat="false" ht="15" hidden="false" customHeight="true" outlineLevel="0" collapsed="false">
      <c r="A278" s="1" t="n">
        <v>10277</v>
      </c>
      <c r="B278" s="14" t="n">
        <v>44838</v>
      </c>
      <c r="C278" s="1" t="n">
        <v>1386</v>
      </c>
      <c r="D278" s="1" t="s">
        <v>30</v>
      </c>
      <c r="E278" s="1" t="s">
        <v>35</v>
      </c>
      <c r="F278" s="1" t="n">
        <v>5</v>
      </c>
      <c r="G278" s="15" t="n">
        <v>347.76</v>
      </c>
      <c r="H278" s="16" t="n">
        <v>0.08</v>
      </c>
      <c r="I278" s="1" t="s">
        <v>31</v>
      </c>
      <c r="J278" s="1" t="n">
        <v>9</v>
      </c>
      <c r="K278" s="1" t="n">
        <v>1.4</v>
      </c>
      <c r="L278" s="15" t="n">
        <v>1599.7</v>
      </c>
      <c r="M278" s="15" t="n">
        <f aca="false">F278*G278</f>
        <v>1738.8</v>
      </c>
      <c r="N278" s="15" t="n">
        <f aca="false">M278-L278</f>
        <v>139.1</v>
      </c>
      <c r="O278" s="1" t="n">
        <f aca="false">YEAR(B278)</f>
        <v>2022</v>
      </c>
      <c r="P278" s="1" t="n">
        <f aca="false">MONTH(B278)</f>
        <v>10</v>
      </c>
      <c r="Q278" s="1" t="str">
        <f aca="false">TEXT(B278,"mmm")</f>
        <v>Oct</v>
      </c>
      <c r="R278" s="1" t="str">
        <f aca="false">"Q"&amp;ROUNDUP(MONTH(B278)/3,0)</f>
        <v>Q4</v>
      </c>
    </row>
    <row r="279" customFormat="false" ht="15" hidden="false" customHeight="true" outlineLevel="0" collapsed="false">
      <c r="A279" s="1" t="n">
        <v>10278</v>
      </c>
      <c r="B279" s="14" t="n">
        <v>44839</v>
      </c>
      <c r="C279" s="1" t="n">
        <v>1112</v>
      </c>
      <c r="D279" s="1" t="s">
        <v>37</v>
      </c>
      <c r="E279" s="1" t="s">
        <v>28</v>
      </c>
      <c r="F279" s="1" t="n">
        <v>3</v>
      </c>
      <c r="G279" s="15" t="n">
        <v>341.83</v>
      </c>
      <c r="H279" s="16" t="n">
        <v>0.2</v>
      </c>
      <c r="I279" s="1" t="s">
        <v>31</v>
      </c>
      <c r="J279" s="1" t="n">
        <v>7</v>
      </c>
      <c r="K279" s="1" t="n">
        <v>3.1</v>
      </c>
      <c r="L279" s="15" t="n">
        <v>820.39</v>
      </c>
      <c r="M279" s="15" t="n">
        <f aca="false">F279*G279</f>
        <v>1025.49</v>
      </c>
      <c r="N279" s="15" t="n">
        <f aca="false">M279-L279</f>
        <v>205.1</v>
      </c>
      <c r="O279" s="1" t="n">
        <f aca="false">YEAR(B279)</f>
        <v>2022</v>
      </c>
      <c r="P279" s="1" t="n">
        <f aca="false">MONTH(B279)</f>
        <v>10</v>
      </c>
      <c r="Q279" s="1" t="str">
        <f aca="false">TEXT(B279,"mmm")</f>
        <v>Oct</v>
      </c>
      <c r="R279" s="1" t="str">
        <f aca="false">"Q"&amp;ROUNDUP(MONTH(B279)/3,0)</f>
        <v>Q4</v>
      </c>
    </row>
    <row r="280" customFormat="false" ht="15" hidden="false" customHeight="true" outlineLevel="0" collapsed="false">
      <c r="A280" s="1" t="n">
        <v>10279</v>
      </c>
      <c r="B280" s="14" t="n">
        <v>44840</v>
      </c>
      <c r="C280" s="1" t="n">
        <v>1612</v>
      </c>
      <c r="D280" s="1" t="s">
        <v>34</v>
      </c>
      <c r="E280" s="1" t="s">
        <v>32</v>
      </c>
      <c r="F280" s="1" t="n">
        <v>7</v>
      </c>
      <c r="G280" s="15" t="n">
        <v>512.24</v>
      </c>
      <c r="H280" s="16" t="n">
        <v>0.2</v>
      </c>
      <c r="I280" s="1" t="s">
        <v>31</v>
      </c>
      <c r="J280" s="1" t="n">
        <v>2</v>
      </c>
      <c r="K280" s="1" t="n">
        <v>3.3</v>
      </c>
      <c r="L280" s="15" t="n">
        <v>2868.54</v>
      </c>
      <c r="M280" s="15" t="n">
        <f aca="false">F280*G280</f>
        <v>3585.68</v>
      </c>
      <c r="N280" s="15" t="n">
        <f aca="false">M280-L280</f>
        <v>717.14</v>
      </c>
      <c r="O280" s="1" t="n">
        <f aca="false">YEAR(B280)</f>
        <v>2022</v>
      </c>
      <c r="P280" s="1" t="n">
        <f aca="false">MONTH(B280)</f>
        <v>10</v>
      </c>
      <c r="Q280" s="1" t="str">
        <f aca="false">TEXT(B280,"mmm")</f>
        <v>Oct</v>
      </c>
      <c r="R280" s="1" t="str">
        <f aca="false">"Q"&amp;ROUNDUP(MONTH(B280)/3,0)</f>
        <v>Q4</v>
      </c>
    </row>
    <row r="281" customFormat="false" ht="15" hidden="false" customHeight="true" outlineLevel="0" collapsed="false">
      <c r="A281" s="1" t="n">
        <v>10280</v>
      </c>
      <c r="B281" s="14" t="n">
        <v>44841</v>
      </c>
      <c r="C281" s="1" t="n">
        <v>1624</v>
      </c>
      <c r="D281" s="1" t="s">
        <v>30</v>
      </c>
      <c r="E281" s="1" t="s">
        <v>32</v>
      </c>
      <c r="F281" s="1" t="n">
        <v>3</v>
      </c>
      <c r="G281" s="15" t="n">
        <v>597.65</v>
      </c>
      <c r="H281" s="16" t="n">
        <v>0.27</v>
      </c>
      <c r="I281" s="1" t="s">
        <v>31</v>
      </c>
      <c r="J281" s="1" t="n">
        <v>10</v>
      </c>
      <c r="K281" s="1" t="n">
        <v>1</v>
      </c>
      <c r="L281" s="15" t="n">
        <v>1308.85</v>
      </c>
      <c r="M281" s="15" t="n">
        <f aca="false">F281*G281</f>
        <v>1792.95</v>
      </c>
      <c r="N281" s="15" t="n">
        <f aca="false">M281-L281</f>
        <v>484.1</v>
      </c>
      <c r="O281" s="1" t="n">
        <f aca="false">YEAR(B281)</f>
        <v>2022</v>
      </c>
      <c r="P281" s="1" t="n">
        <f aca="false">MONTH(B281)</f>
        <v>10</v>
      </c>
      <c r="Q281" s="1" t="str">
        <f aca="false">TEXT(B281,"mmm")</f>
        <v>Oct</v>
      </c>
      <c r="R281" s="1" t="str">
        <f aca="false">"Q"&amp;ROUNDUP(MONTH(B281)/3,0)</f>
        <v>Q4</v>
      </c>
    </row>
    <row r="282" customFormat="false" ht="15" hidden="false" customHeight="true" outlineLevel="0" collapsed="false">
      <c r="A282" s="1" t="n">
        <v>10281</v>
      </c>
      <c r="B282" s="14" t="n">
        <v>44842</v>
      </c>
      <c r="C282" s="1" t="n">
        <v>1951</v>
      </c>
      <c r="D282" s="1" t="s">
        <v>30</v>
      </c>
      <c r="E282" s="1" t="s">
        <v>32</v>
      </c>
      <c r="F282" s="1" t="n">
        <v>3</v>
      </c>
      <c r="G282" s="15" t="n">
        <v>312.27</v>
      </c>
      <c r="H282" s="16" t="n">
        <v>0.27</v>
      </c>
      <c r="I282" s="1" t="s">
        <v>33</v>
      </c>
      <c r="J282" s="1" t="n">
        <v>1</v>
      </c>
      <c r="K282" s="1" t="n">
        <v>4.9</v>
      </c>
      <c r="L282" s="15" t="n">
        <v>683.87</v>
      </c>
      <c r="M282" s="15" t="n">
        <f aca="false">F282*G282</f>
        <v>936.81</v>
      </c>
      <c r="N282" s="15" t="n">
        <f aca="false">M282-L282</f>
        <v>252.94</v>
      </c>
      <c r="O282" s="1" t="n">
        <f aca="false">YEAR(B282)</f>
        <v>2022</v>
      </c>
      <c r="P282" s="1" t="n">
        <f aca="false">MONTH(B282)</f>
        <v>10</v>
      </c>
      <c r="Q282" s="1" t="str">
        <f aca="false">TEXT(B282,"mmm")</f>
        <v>Oct</v>
      </c>
      <c r="R282" s="1" t="str">
        <f aca="false">"Q"&amp;ROUNDUP(MONTH(B282)/3,0)</f>
        <v>Q4</v>
      </c>
    </row>
    <row r="283" customFormat="false" ht="15" hidden="false" customHeight="true" outlineLevel="0" collapsed="false">
      <c r="A283" s="1" t="n">
        <v>10282</v>
      </c>
      <c r="B283" s="14" t="n">
        <v>44843</v>
      </c>
      <c r="C283" s="1" t="n">
        <v>1080</v>
      </c>
      <c r="D283" s="1" t="s">
        <v>37</v>
      </c>
      <c r="E283" s="1" t="s">
        <v>36</v>
      </c>
      <c r="F283" s="1" t="n">
        <v>6</v>
      </c>
      <c r="G283" s="15" t="n">
        <v>216.94</v>
      </c>
      <c r="H283" s="16" t="n">
        <v>0.23</v>
      </c>
      <c r="I283" s="1" t="s">
        <v>33</v>
      </c>
      <c r="J283" s="1" t="n">
        <v>10</v>
      </c>
      <c r="K283" s="1" t="n">
        <v>2.2</v>
      </c>
      <c r="L283" s="15" t="n">
        <v>1002.26</v>
      </c>
      <c r="M283" s="15" t="n">
        <f aca="false">F283*G283</f>
        <v>1301.64</v>
      </c>
      <c r="N283" s="15" t="n">
        <f aca="false">M283-L283</f>
        <v>299.38</v>
      </c>
      <c r="O283" s="1" t="n">
        <f aca="false">YEAR(B283)</f>
        <v>2022</v>
      </c>
      <c r="P283" s="1" t="n">
        <f aca="false">MONTH(B283)</f>
        <v>10</v>
      </c>
      <c r="Q283" s="1" t="str">
        <f aca="false">TEXT(B283,"mmm")</f>
        <v>Oct</v>
      </c>
      <c r="R283" s="1" t="str">
        <f aca="false">"Q"&amp;ROUNDUP(MONTH(B283)/3,0)</f>
        <v>Q4</v>
      </c>
    </row>
    <row r="284" customFormat="false" ht="15" hidden="false" customHeight="true" outlineLevel="0" collapsed="false">
      <c r="A284" s="1" t="n">
        <v>10283</v>
      </c>
      <c r="B284" s="14" t="n">
        <v>44844</v>
      </c>
      <c r="C284" s="1" t="n">
        <v>1698</v>
      </c>
      <c r="D284" s="1" t="s">
        <v>34</v>
      </c>
      <c r="E284" s="1" t="s">
        <v>36</v>
      </c>
      <c r="F284" s="1" t="n">
        <v>4</v>
      </c>
      <c r="G284" s="15" t="n">
        <v>123.75</v>
      </c>
      <c r="H284" s="16" t="n">
        <v>0.16</v>
      </c>
      <c r="I284" s="1" t="s">
        <v>31</v>
      </c>
      <c r="J284" s="1" t="n">
        <v>10</v>
      </c>
      <c r="K284" s="1" t="n">
        <v>1.3</v>
      </c>
      <c r="L284" s="15" t="n">
        <v>415.8</v>
      </c>
      <c r="M284" s="15" t="n">
        <f aca="false">F284*G284</f>
        <v>495</v>
      </c>
      <c r="N284" s="15" t="n">
        <f aca="false">M284-L284</f>
        <v>79.2</v>
      </c>
      <c r="O284" s="1" t="n">
        <f aca="false">YEAR(B284)</f>
        <v>2022</v>
      </c>
      <c r="P284" s="1" t="n">
        <f aca="false">MONTH(B284)</f>
        <v>10</v>
      </c>
      <c r="Q284" s="1" t="str">
        <f aca="false">TEXT(B284,"mmm")</f>
        <v>Oct</v>
      </c>
      <c r="R284" s="1" t="str">
        <f aca="false">"Q"&amp;ROUNDUP(MONTH(B284)/3,0)</f>
        <v>Q4</v>
      </c>
    </row>
    <row r="285" customFormat="false" ht="15" hidden="false" customHeight="true" outlineLevel="0" collapsed="false">
      <c r="A285" s="1" t="n">
        <v>10284</v>
      </c>
      <c r="B285" s="14" t="n">
        <v>44845</v>
      </c>
      <c r="C285" s="1" t="n">
        <v>1112</v>
      </c>
      <c r="D285" s="1" t="s">
        <v>34</v>
      </c>
      <c r="E285" s="1" t="s">
        <v>36</v>
      </c>
      <c r="F285" s="1" t="n">
        <v>5</v>
      </c>
      <c r="G285" s="15" t="n">
        <v>17.81</v>
      </c>
      <c r="H285" s="16" t="n">
        <v>0.31</v>
      </c>
      <c r="I285" s="1" t="s">
        <v>33</v>
      </c>
      <c r="J285" s="1" t="n">
        <v>4</v>
      </c>
      <c r="K285" s="1" t="n">
        <v>4.4</v>
      </c>
      <c r="L285" s="15" t="n">
        <v>61.44</v>
      </c>
      <c r="M285" s="15" t="n">
        <f aca="false">F285*G285</f>
        <v>89.05</v>
      </c>
      <c r="N285" s="15" t="n">
        <f aca="false">M285-L285</f>
        <v>27.61</v>
      </c>
      <c r="O285" s="1" t="n">
        <f aca="false">YEAR(B285)</f>
        <v>2022</v>
      </c>
      <c r="P285" s="1" t="n">
        <f aca="false">MONTH(B285)</f>
        <v>10</v>
      </c>
      <c r="Q285" s="1" t="str">
        <f aca="false">TEXT(B285,"mmm")</f>
        <v>Oct</v>
      </c>
      <c r="R285" s="1" t="str">
        <f aca="false">"Q"&amp;ROUNDUP(MONTH(B285)/3,0)</f>
        <v>Q4</v>
      </c>
    </row>
    <row r="286" customFormat="false" ht="15" hidden="false" customHeight="true" outlineLevel="0" collapsed="false">
      <c r="A286" s="1" t="n">
        <v>10285</v>
      </c>
      <c r="B286" s="14" t="n">
        <v>44846</v>
      </c>
      <c r="C286" s="1" t="n">
        <v>1001</v>
      </c>
      <c r="D286" s="1" t="s">
        <v>27</v>
      </c>
      <c r="E286" s="1" t="s">
        <v>28</v>
      </c>
      <c r="F286" s="1" t="n">
        <v>4</v>
      </c>
      <c r="G286" s="15" t="n">
        <v>312.83</v>
      </c>
      <c r="H286" s="16" t="n">
        <v>0.22</v>
      </c>
      <c r="I286" s="1" t="s">
        <v>33</v>
      </c>
      <c r="J286" s="1" t="n">
        <v>10</v>
      </c>
      <c r="K286" s="1" t="n">
        <v>1.6</v>
      </c>
      <c r="L286" s="15" t="n">
        <v>976.03</v>
      </c>
      <c r="M286" s="15" t="n">
        <f aca="false">F286*G286</f>
        <v>1251.32</v>
      </c>
      <c r="N286" s="15" t="n">
        <f aca="false">M286-L286</f>
        <v>275.29</v>
      </c>
      <c r="O286" s="1" t="n">
        <f aca="false">YEAR(B286)</f>
        <v>2022</v>
      </c>
      <c r="P286" s="1" t="n">
        <f aca="false">MONTH(B286)</f>
        <v>10</v>
      </c>
      <c r="Q286" s="1" t="str">
        <f aca="false">TEXT(B286,"mmm")</f>
        <v>Oct</v>
      </c>
      <c r="R286" s="1" t="str">
        <f aca="false">"Q"&amp;ROUNDUP(MONTH(B286)/3,0)</f>
        <v>Q4</v>
      </c>
    </row>
    <row r="287" customFormat="false" ht="15" hidden="false" customHeight="true" outlineLevel="0" collapsed="false">
      <c r="A287" s="1" t="n">
        <v>10286</v>
      </c>
      <c r="B287" s="14" t="n">
        <v>44847</v>
      </c>
      <c r="C287" s="1" t="n">
        <v>1641</v>
      </c>
      <c r="D287" s="1" t="s">
        <v>34</v>
      </c>
      <c r="E287" s="1" t="s">
        <v>32</v>
      </c>
      <c r="F287" s="1" t="n">
        <v>3</v>
      </c>
      <c r="G287" s="15" t="n">
        <v>339.98</v>
      </c>
      <c r="H287" s="16" t="n">
        <v>0.35</v>
      </c>
      <c r="I287" s="1" t="s">
        <v>29</v>
      </c>
      <c r="J287" s="1" t="n">
        <v>8</v>
      </c>
      <c r="K287" s="1" t="n">
        <v>1.1</v>
      </c>
      <c r="L287" s="15" t="n">
        <v>662.96</v>
      </c>
      <c r="M287" s="15" t="n">
        <f aca="false">F287*G287</f>
        <v>1019.94</v>
      </c>
      <c r="N287" s="15" t="n">
        <f aca="false">M287-L287</f>
        <v>356.98</v>
      </c>
      <c r="O287" s="1" t="n">
        <f aca="false">YEAR(B287)</f>
        <v>2022</v>
      </c>
      <c r="P287" s="1" t="n">
        <f aca="false">MONTH(B287)</f>
        <v>10</v>
      </c>
      <c r="Q287" s="1" t="str">
        <f aca="false">TEXT(B287,"mmm")</f>
        <v>Oct</v>
      </c>
      <c r="R287" s="1" t="str">
        <f aca="false">"Q"&amp;ROUNDUP(MONTH(B287)/3,0)</f>
        <v>Q4</v>
      </c>
    </row>
    <row r="288" customFormat="false" ht="15" hidden="false" customHeight="true" outlineLevel="0" collapsed="false">
      <c r="A288" s="1" t="n">
        <v>10287</v>
      </c>
      <c r="B288" s="14" t="n">
        <v>44848</v>
      </c>
      <c r="C288" s="1" t="n">
        <v>1219</v>
      </c>
      <c r="D288" s="1" t="s">
        <v>30</v>
      </c>
      <c r="E288" s="1" t="s">
        <v>35</v>
      </c>
      <c r="F288" s="1" t="n">
        <v>5</v>
      </c>
      <c r="G288" s="15" t="n">
        <v>497.59</v>
      </c>
      <c r="H288" s="16" t="n">
        <v>0.29</v>
      </c>
      <c r="I288" s="1" t="s">
        <v>31</v>
      </c>
      <c r="J288" s="1" t="n">
        <v>6</v>
      </c>
      <c r="K288" s="1" t="n">
        <v>3</v>
      </c>
      <c r="L288" s="15" t="n">
        <v>1766.44</v>
      </c>
      <c r="M288" s="15" t="n">
        <f aca="false">F288*G288</f>
        <v>2487.95</v>
      </c>
      <c r="N288" s="15" t="n">
        <f aca="false">M288-L288</f>
        <v>721.51</v>
      </c>
      <c r="O288" s="1" t="n">
        <f aca="false">YEAR(B288)</f>
        <v>2022</v>
      </c>
      <c r="P288" s="1" t="n">
        <f aca="false">MONTH(B288)</f>
        <v>10</v>
      </c>
      <c r="Q288" s="1" t="str">
        <f aca="false">TEXT(B288,"mmm")</f>
        <v>Oct</v>
      </c>
      <c r="R288" s="1" t="str">
        <f aca="false">"Q"&amp;ROUNDUP(MONTH(B288)/3,0)</f>
        <v>Q4</v>
      </c>
    </row>
    <row r="289" customFormat="false" ht="15" hidden="false" customHeight="true" outlineLevel="0" collapsed="false">
      <c r="A289" s="1" t="n">
        <v>10288</v>
      </c>
      <c r="B289" s="14" t="n">
        <v>44849</v>
      </c>
      <c r="C289" s="1" t="n">
        <v>1565</v>
      </c>
      <c r="D289" s="1" t="s">
        <v>34</v>
      </c>
      <c r="E289" s="1" t="s">
        <v>28</v>
      </c>
      <c r="F289" s="1" t="n">
        <v>2</v>
      </c>
      <c r="G289" s="15" t="n">
        <v>310.18</v>
      </c>
      <c r="H289" s="16" t="n">
        <v>0.02</v>
      </c>
      <c r="I289" s="1" t="s">
        <v>33</v>
      </c>
      <c r="J289" s="1" t="n">
        <v>2</v>
      </c>
      <c r="K289" s="1" t="n">
        <v>1.5</v>
      </c>
      <c r="L289" s="15" t="n">
        <v>607.95</v>
      </c>
      <c r="M289" s="15" t="n">
        <f aca="false">F289*G289</f>
        <v>620.36</v>
      </c>
      <c r="N289" s="15" t="n">
        <f aca="false">M289-L289</f>
        <v>12.41</v>
      </c>
      <c r="O289" s="1" t="n">
        <f aca="false">YEAR(B289)</f>
        <v>2022</v>
      </c>
      <c r="P289" s="1" t="n">
        <f aca="false">MONTH(B289)</f>
        <v>10</v>
      </c>
      <c r="Q289" s="1" t="str">
        <f aca="false">TEXT(B289,"mmm")</f>
        <v>Oct</v>
      </c>
      <c r="R289" s="1" t="str">
        <f aca="false">"Q"&amp;ROUNDUP(MONTH(B289)/3,0)</f>
        <v>Q4</v>
      </c>
    </row>
    <row r="290" customFormat="false" ht="15" hidden="false" customHeight="true" outlineLevel="0" collapsed="false">
      <c r="A290" s="1" t="n">
        <v>10289</v>
      </c>
      <c r="B290" s="14" t="n">
        <v>44850</v>
      </c>
      <c r="C290" s="1" t="n">
        <v>1854</v>
      </c>
      <c r="D290" s="1" t="s">
        <v>34</v>
      </c>
      <c r="E290" s="1" t="s">
        <v>28</v>
      </c>
      <c r="F290" s="1" t="n">
        <v>1</v>
      </c>
      <c r="G290" s="15" t="n">
        <v>551.13</v>
      </c>
      <c r="H290" s="16" t="n">
        <v>0.11</v>
      </c>
      <c r="I290" s="1" t="s">
        <v>33</v>
      </c>
      <c r="J290" s="1" t="n">
        <v>5</v>
      </c>
      <c r="K290" s="1" t="n">
        <v>4.9</v>
      </c>
      <c r="L290" s="15" t="n">
        <v>490.51</v>
      </c>
      <c r="M290" s="15" t="n">
        <f aca="false">F290*G290</f>
        <v>551.13</v>
      </c>
      <c r="N290" s="15" t="n">
        <f aca="false">M290-L290</f>
        <v>60.62</v>
      </c>
      <c r="O290" s="1" t="n">
        <f aca="false">YEAR(B290)</f>
        <v>2022</v>
      </c>
      <c r="P290" s="1" t="n">
        <f aca="false">MONTH(B290)</f>
        <v>10</v>
      </c>
      <c r="Q290" s="1" t="str">
        <f aca="false">TEXT(B290,"mmm")</f>
        <v>Oct</v>
      </c>
      <c r="R290" s="1" t="str">
        <f aca="false">"Q"&amp;ROUNDUP(MONTH(B290)/3,0)</f>
        <v>Q4</v>
      </c>
    </row>
    <row r="291" customFormat="false" ht="15" hidden="false" customHeight="true" outlineLevel="0" collapsed="false">
      <c r="A291" s="1" t="n">
        <v>10290</v>
      </c>
      <c r="B291" s="14" t="n">
        <v>44851</v>
      </c>
      <c r="C291" s="1" t="n">
        <v>1996</v>
      </c>
      <c r="D291" s="1" t="s">
        <v>34</v>
      </c>
      <c r="E291" s="1" t="s">
        <v>28</v>
      </c>
      <c r="F291" s="1" t="n">
        <v>1</v>
      </c>
      <c r="G291" s="15" t="n">
        <v>382.43</v>
      </c>
      <c r="H291" s="16" t="n">
        <v>0.2</v>
      </c>
      <c r="I291" s="1" t="s">
        <v>31</v>
      </c>
      <c r="J291" s="1" t="n">
        <v>9</v>
      </c>
      <c r="K291" s="1" t="n">
        <v>1</v>
      </c>
      <c r="L291" s="15" t="n">
        <v>305.94</v>
      </c>
      <c r="M291" s="15" t="n">
        <f aca="false">F291*G291</f>
        <v>382.43</v>
      </c>
      <c r="N291" s="15" t="n">
        <f aca="false">M291-L291</f>
        <v>76.49</v>
      </c>
      <c r="O291" s="1" t="n">
        <f aca="false">YEAR(B291)</f>
        <v>2022</v>
      </c>
      <c r="P291" s="1" t="n">
        <f aca="false">MONTH(B291)</f>
        <v>10</v>
      </c>
      <c r="Q291" s="1" t="str">
        <f aca="false">TEXT(B291,"mmm")</f>
        <v>Oct</v>
      </c>
      <c r="R291" s="1" t="str">
        <f aca="false">"Q"&amp;ROUNDUP(MONTH(B291)/3,0)</f>
        <v>Q4</v>
      </c>
    </row>
    <row r="292" customFormat="false" ht="15" hidden="false" customHeight="true" outlineLevel="0" collapsed="false">
      <c r="A292" s="1" t="n">
        <v>10291</v>
      </c>
      <c r="B292" s="14" t="n">
        <v>44852</v>
      </c>
      <c r="C292" s="1" t="n">
        <v>1735</v>
      </c>
      <c r="D292" s="1" t="s">
        <v>34</v>
      </c>
      <c r="E292" s="1" t="s">
        <v>35</v>
      </c>
      <c r="F292" s="1" t="n">
        <v>3</v>
      </c>
      <c r="G292" s="15" t="n">
        <v>506.6</v>
      </c>
      <c r="H292" s="16" t="n">
        <v>0.25</v>
      </c>
      <c r="I292" s="1" t="s">
        <v>29</v>
      </c>
      <c r="J292" s="1" t="n">
        <v>6</v>
      </c>
      <c r="K292" s="1" t="n">
        <v>1.2</v>
      </c>
      <c r="L292" s="15" t="n">
        <v>1139.85</v>
      </c>
      <c r="M292" s="15" t="n">
        <f aca="false">F292*G292</f>
        <v>1519.8</v>
      </c>
      <c r="N292" s="15" t="n">
        <f aca="false">M292-L292</f>
        <v>379.95</v>
      </c>
      <c r="O292" s="1" t="n">
        <f aca="false">YEAR(B292)</f>
        <v>2022</v>
      </c>
      <c r="P292" s="1" t="n">
        <f aca="false">MONTH(B292)</f>
        <v>10</v>
      </c>
      <c r="Q292" s="1" t="str">
        <f aca="false">TEXT(B292,"mmm")</f>
        <v>Oct</v>
      </c>
      <c r="R292" s="1" t="str">
        <f aca="false">"Q"&amp;ROUNDUP(MONTH(B292)/3,0)</f>
        <v>Q4</v>
      </c>
    </row>
    <row r="293" customFormat="false" ht="15" hidden="false" customHeight="true" outlineLevel="0" collapsed="false">
      <c r="A293" s="1" t="n">
        <v>10292</v>
      </c>
      <c r="B293" s="14" t="n">
        <v>44853</v>
      </c>
      <c r="C293" s="1" t="n">
        <v>1224</v>
      </c>
      <c r="D293" s="1" t="s">
        <v>27</v>
      </c>
      <c r="E293" s="1" t="s">
        <v>32</v>
      </c>
      <c r="F293" s="1" t="n">
        <v>7</v>
      </c>
      <c r="G293" s="15" t="n">
        <v>101.76</v>
      </c>
      <c r="H293" s="16" t="n">
        <v>0.19</v>
      </c>
      <c r="I293" s="1" t="s">
        <v>33</v>
      </c>
      <c r="J293" s="1" t="n">
        <v>6</v>
      </c>
      <c r="K293" s="1" t="n">
        <v>4.3</v>
      </c>
      <c r="L293" s="15" t="n">
        <v>576.98</v>
      </c>
      <c r="M293" s="15" t="n">
        <f aca="false">F293*G293</f>
        <v>712.32</v>
      </c>
      <c r="N293" s="15" t="n">
        <f aca="false">M293-L293</f>
        <v>135.34</v>
      </c>
      <c r="O293" s="1" t="n">
        <f aca="false">YEAR(B293)</f>
        <v>2022</v>
      </c>
      <c r="P293" s="1" t="n">
        <f aca="false">MONTH(B293)</f>
        <v>10</v>
      </c>
      <c r="Q293" s="1" t="str">
        <f aca="false">TEXT(B293,"mmm")</f>
        <v>Oct</v>
      </c>
      <c r="R293" s="1" t="str">
        <f aca="false">"Q"&amp;ROUNDUP(MONTH(B293)/3,0)</f>
        <v>Q4</v>
      </c>
    </row>
    <row r="294" customFormat="false" ht="15" hidden="false" customHeight="true" outlineLevel="0" collapsed="false">
      <c r="A294" s="1" t="n">
        <v>10293</v>
      </c>
      <c r="B294" s="14" t="n">
        <v>44854</v>
      </c>
      <c r="C294" s="1" t="n">
        <v>1384</v>
      </c>
      <c r="D294" s="1" t="s">
        <v>34</v>
      </c>
      <c r="E294" s="1" t="s">
        <v>36</v>
      </c>
      <c r="F294" s="1" t="n">
        <v>4</v>
      </c>
      <c r="G294" s="15" t="n">
        <v>515.37</v>
      </c>
      <c r="H294" s="16" t="n">
        <v>0.28</v>
      </c>
      <c r="I294" s="1" t="s">
        <v>33</v>
      </c>
      <c r="J294" s="1" t="n">
        <v>7</v>
      </c>
      <c r="K294" s="1" t="n">
        <v>2</v>
      </c>
      <c r="L294" s="15" t="n">
        <v>1484.27</v>
      </c>
      <c r="M294" s="15" t="n">
        <f aca="false">F294*G294</f>
        <v>2061.48</v>
      </c>
      <c r="N294" s="15" t="n">
        <f aca="false">M294-L294</f>
        <v>577.21</v>
      </c>
      <c r="O294" s="1" t="n">
        <f aca="false">YEAR(B294)</f>
        <v>2022</v>
      </c>
      <c r="P294" s="1" t="n">
        <f aca="false">MONTH(B294)</f>
        <v>10</v>
      </c>
      <c r="Q294" s="1" t="str">
        <f aca="false">TEXT(B294,"mmm")</f>
        <v>Oct</v>
      </c>
      <c r="R294" s="1" t="str">
        <f aca="false">"Q"&amp;ROUNDUP(MONTH(B294)/3,0)</f>
        <v>Q4</v>
      </c>
    </row>
    <row r="295" customFormat="false" ht="15" hidden="false" customHeight="true" outlineLevel="0" collapsed="false">
      <c r="A295" s="1" t="n">
        <v>10294</v>
      </c>
      <c r="B295" s="14" t="n">
        <v>44855</v>
      </c>
      <c r="C295" s="1" t="n">
        <v>1402</v>
      </c>
      <c r="D295" s="1" t="s">
        <v>27</v>
      </c>
      <c r="E295" s="1" t="s">
        <v>32</v>
      </c>
      <c r="F295" s="1" t="n">
        <v>2</v>
      </c>
      <c r="G295" s="15" t="n">
        <v>409.96</v>
      </c>
      <c r="H295" s="16" t="n">
        <v>0.1</v>
      </c>
      <c r="I295" s="1" t="s">
        <v>31</v>
      </c>
      <c r="J295" s="1" t="n">
        <v>11</v>
      </c>
      <c r="K295" s="1" t="n">
        <v>4.6</v>
      </c>
      <c r="L295" s="15" t="n">
        <v>737.93</v>
      </c>
      <c r="M295" s="15" t="n">
        <f aca="false">F295*G295</f>
        <v>819.92</v>
      </c>
      <c r="N295" s="15" t="n">
        <f aca="false">M295-L295</f>
        <v>81.99</v>
      </c>
      <c r="O295" s="1" t="n">
        <f aca="false">YEAR(B295)</f>
        <v>2022</v>
      </c>
      <c r="P295" s="1" t="n">
        <f aca="false">MONTH(B295)</f>
        <v>10</v>
      </c>
      <c r="Q295" s="1" t="str">
        <f aca="false">TEXT(B295,"mmm")</f>
        <v>Oct</v>
      </c>
      <c r="R295" s="1" t="str">
        <f aca="false">"Q"&amp;ROUNDUP(MONTH(B295)/3,0)</f>
        <v>Q4</v>
      </c>
    </row>
    <row r="296" customFormat="false" ht="15" hidden="false" customHeight="true" outlineLevel="0" collapsed="false">
      <c r="A296" s="1" t="n">
        <v>10295</v>
      </c>
      <c r="B296" s="14" t="n">
        <v>44856</v>
      </c>
      <c r="C296" s="1" t="n">
        <v>1637</v>
      </c>
      <c r="D296" s="1" t="s">
        <v>30</v>
      </c>
      <c r="E296" s="1" t="s">
        <v>32</v>
      </c>
      <c r="F296" s="1" t="n">
        <v>5</v>
      </c>
      <c r="G296" s="15" t="n">
        <v>114.59</v>
      </c>
      <c r="H296" s="16" t="n">
        <v>0.06</v>
      </c>
      <c r="I296" s="1" t="s">
        <v>31</v>
      </c>
      <c r="J296" s="1" t="n">
        <v>5</v>
      </c>
      <c r="K296" s="1" t="n">
        <v>2.2</v>
      </c>
      <c r="L296" s="15" t="n">
        <v>538.57</v>
      </c>
      <c r="M296" s="15" t="n">
        <f aca="false">F296*G296</f>
        <v>572.95</v>
      </c>
      <c r="N296" s="15" t="n">
        <f aca="false">M296-L296</f>
        <v>34.38</v>
      </c>
      <c r="O296" s="1" t="n">
        <f aca="false">YEAR(B296)</f>
        <v>2022</v>
      </c>
      <c r="P296" s="1" t="n">
        <f aca="false">MONTH(B296)</f>
        <v>10</v>
      </c>
      <c r="Q296" s="1" t="str">
        <f aca="false">TEXT(B296,"mmm")</f>
        <v>Oct</v>
      </c>
      <c r="R296" s="1" t="str">
        <f aca="false">"Q"&amp;ROUNDUP(MONTH(B296)/3,0)</f>
        <v>Q4</v>
      </c>
    </row>
    <row r="297" customFormat="false" ht="15" hidden="false" customHeight="true" outlineLevel="0" collapsed="false">
      <c r="A297" s="1" t="n">
        <v>10296</v>
      </c>
      <c r="B297" s="14" t="n">
        <v>44857</v>
      </c>
      <c r="C297" s="1" t="n">
        <v>1129</v>
      </c>
      <c r="D297" s="1" t="s">
        <v>30</v>
      </c>
      <c r="E297" s="1" t="s">
        <v>28</v>
      </c>
      <c r="F297" s="1" t="n">
        <v>7</v>
      </c>
      <c r="G297" s="15" t="n">
        <v>126.01</v>
      </c>
      <c r="H297" s="16" t="n">
        <v>0.02</v>
      </c>
      <c r="I297" s="1" t="s">
        <v>33</v>
      </c>
      <c r="J297" s="1" t="n">
        <v>3</v>
      </c>
      <c r="K297" s="1" t="n">
        <v>1.3</v>
      </c>
      <c r="L297" s="15" t="n">
        <v>864.43</v>
      </c>
      <c r="M297" s="15" t="n">
        <f aca="false">F297*G297</f>
        <v>882.07</v>
      </c>
      <c r="N297" s="15" t="n">
        <f aca="false">M297-L297</f>
        <v>17.6400000000001</v>
      </c>
      <c r="O297" s="1" t="n">
        <f aca="false">YEAR(B297)</f>
        <v>2022</v>
      </c>
      <c r="P297" s="1" t="n">
        <f aca="false">MONTH(B297)</f>
        <v>10</v>
      </c>
      <c r="Q297" s="1" t="str">
        <f aca="false">TEXT(B297,"mmm")</f>
        <v>Oct</v>
      </c>
      <c r="R297" s="1" t="str">
        <f aca="false">"Q"&amp;ROUNDUP(MONTH(B297)/3,0)</f>
        <v>Q4</v>
      </c>
    </row>
    <row r="298" customFormat="false" ht="15" hidden="false" customHeight="true" outlineLevel="0" collapsed="false">
      <c r="A298" s="1" t="n">
        <v>10297</v>
      </c>
      <c r="B298" s="14" t="n">
        <v>44858</v>
      </c>
      <c r="C298" s="1" t="n">
        <v>1052</v>
      </c>
      <c r="D298" s="1" t="s">
        <v>30</v>
      </c>
      <c r="E298" s="1" t="s">
        <v>28</v>
      </c>
      <c r="F298" s="1" t="n">
        <v>4</v>
      </c>
      <c r="G298" s="15" t="n">
        <v>557</v>
      </c>
      <c r="H298" s="16" t="n">
        <v>0.2</v>
      </c>
      <c r="I298" s="1" t="s">
        <v>31</v>
      </c>
      <c r="J298" s="1" t="n">
        <v>3</v>
      </c>
      <c r="K298" s="1" t="n">
        <v>1</v>
      </c>
      <c r="L298" s="15" t="n">
        <v>1782.4</v>
      </c>
      <c r="M298" s="15" t="n">
        <f aca="false">F298*G298</f>
        <v>2228</v>
      </c>
      <c r="N298" s="15" t="n">
        <f aca="false">M298-L298</f>
        <v>445.6</v>
      </c>
      <c r="O298" s="1" t="n">
        <f aca="false">YEAR(B298)</f>
        <v>2022</v>
      </c>
      <c r="P298" s="1" t="n">
        <f aca="false">MONTH(B298)</f>
        <v>10</v>
      </c>
      <c r="Q298" s="1" t="str">
        <f aca="false">TEXT(B298,"mmm")</f>
        <v>Oct</v>
      </c>
      <c r="R298" s="1" t="str">
        <f aca="false">"Q"&amp;ROUNDUP(MONTH(B298)/3,0)</f>
        <v>Q4</v>
      </c>
    </row>
    <row r="299" customFormat="false" ht="15" hidden="false" customHeight="true" outlineLevel="0" collapsed="false">
      <c r="A299" s="1" t="n">
        <v>10298</v>
      </c>
      <c r="B299" s="14" t="n">
        <v>44859</v>
      </c>
      <c r="C299" s="1" t="n">
        <v>1683</v>
      </c>
      <c r="D299" s="1" t="s">
        <v>30</v>
      </c>
      <c r="E299" s="1" t="s">
        <v>28</v>
      </c>
      <c r="F299" s="1" t="n">
        <v>3</v>
      </c>
      <c r="G299" s="15" t="n">
        <v>33.85</v>
      </c>
      <c r="H299" s="16" t="n">
        <v>0.24</v>
      </c>
      <c r="I299" s="1" t="s">
        <v>33</v>
      </c>
      <c r="J299" s="1" t="n">
        <v>5</v>
      </c>
      <c r="K299" s="1" t="n">
        <v>2.1</v>
      </c>
      <c r="L299" s="15" t="n">
        <v>77.18</v>
      </c>
      <c r="M299" s="15" t="n">
        <f aca="false">F299*G299</f>
        <v>101.55</v>
      </c>
      <c r="N299" s="15" t="n">
        <f aca="false">M299-L299</f>
        <v>24.37</v>
      </c>
      <c r="O299" s="1" t="n">
        <f aca="false">YEAR(B299)</f>
        <v>2022</v>
      </c>
      <c r="P299" s="1" t="n">
        <f aca="false">MONTH(B299)</f>
        <v>10</v>
      </c>
      <c r="Q299" s="1" t="str">
        <f aca="false">TEXT(B299,"mmm")</f>
        <v>Oct</v>
      </c>
      <c r="R299" s="1" t="str">
        <f aca="false">"Q"&amp;ROUNDUP(MONTH(B299)/3,0)</f>
        <v>Q4</v>
      </c>
    </row>
    <row r="300" customFormat="false" ht="15" hidden="false" customHeight="true" outlineLevel="0" collapsed="false">
      <c r="A300" s="1" t="n">
        <v>10299</v>
      </c>
      <c r="B300" s="14" t="n">
        <v>44860</v>
      </c>
      <c r="C300" s="1" t="n">
        <v>1729</v>
      </c>
      <c r="D300" s="1" t="s">
        <v>37</v>
      </c>
      <c r="E300" s="1" t="s">
        <v>36</v>
      </c>
      <c r="F300" s="1" t="n">
        <v>4</v>
      </c>
      <c r="G300" s="15" t="n">
        <v>285.58</v>
      </c>
      <c r="H300" s="16" t="n">
        <v>0.11</v>
      </c>
      <c r="I300" s="1" t="s">
        <v>31</v>
      </c>
      <c r="J300" s="1" t="n">
        <v>4</v>
      </c>
      <c r="K300" s="1" t="n">
        <v>2.9</v>
      </c>
      <c r="L300" s="15" t="n">
        <v>1016.66</v>
      </c>
      <c r="M300" s="15" t="n">
        <f aca="false">F300*G300</f>
        <v>1142.32</v>
      </c>
      <c r="N300" s="15" t="n">
        <f aca="false">M300-L300</f>
        <v>125.66</v>
      </c>
      <c r="O300" s="1" t="n">
        <f aca="false">YEAR(B300)</f>
        <v>2022</v>
      </c>
      <c r="P300" s="1" t="n">
        <f aca="false">MONTH(B300)</f>
        <v>10</v>
      </c>
      <c r="Q300" s="1" t="str">
        <f aca="false">TEXT(B300,"mmm")</f>
        <v>Oct</v>
      </c>
      <c r="R300" s="1" t="str">
        <f aca="false">"Q"&amp;ROUNDUP(MONTH(B300)/3,0)</f>
        <v>Q4</v>
      </c>
    </row>
    <row r="301" customFormat="false" ht="15" hidden="false" customHeight="true" outlineLevel="0" collapsed="false">
      <c r="A301" s="1" t="n">
        <v>10300</v>
      </c>
      <c r="B301" s="14" t="n">
        <v>44861</v>
      </c>
      <c r="C301" s="1" t="n">
        <v>1671</v>
      </c>
      <c r="D301" s="1" t="s">
        <v>34</v>
      </c>
      <c r="E301" s="1" t="s">
        <v>36</v>
      </c>
      <c r="F301" s="1" t="n">
        <v>3</v>
      </c>
      <c r="G301" s="15" t="n">
        <v>198.38</v>
      </c>
      <c r="H301" s="16" t="n">
        <v>0.21</v>
      </c>
      <c r="I301" s="1" t="s">
        <v>33</v>
      </c>
      <c r="J301" s="1" t="n">
        <v>5</v>
      </c>
      <c r="K301" s="1" t="n">
        <v>1</v>
      </c>
      <c r="L301" s="15" t="n">
        <v>470.16</v>
      </c>
      <c r="M301" s="15" t="n">
        <f aca="false">F301*G301</f>
        <v>595.14</v>
      </c>
      <c r="N301" s="15" t="n">
        <f aca="false">M301-L301</f>
        <v>124.98</v>
      </c>
      <c r="O301" s="1" t="n">
        <f aca="false">YEAR(B301)</f>
        <v>2022</v>
      </c>
      <c r="P301" s="1" t="n">
        <f aca="false">MONTH(B301)</f>
        <v>10</v>
      </c>
      <c r="Q301" s="1" t="str">
        <f aca="false">TEXT(B301,"mmm")</f>
        <v>Oct</v>
      </c>
      <c r="R301" s="1" t="str">
        <f aca="false">"Q"&amp;ROUNDUP(MONTH(B301)/3,0)</f>
        <v>Q4</v>
      </c>
    </row>
    <row r="302" customFormat="false" ht="15" hidden="false" customHeight="true" outlineLevel="0" collapsed="false">
      <c r="A302" s="1" t="n">
        <v>10301</v>
      </c>
      <c r="B302" s="14" t="n">
        <v>44862</v>
      </c>
      <c r="C302" s="1" t="n">
        <v>1709</v>
      </c>
      <c r="D302" s="1" t="s">
        <v>30</v>
      </c>
      <c r="E302" s="1" t="s">
        <v>36</v>
      </c>
      <c r="F302" s="1" t="n">
        <v>6</v>
      </c>
      <c r="G302" s="15" t="n">
        <v>404.07</v>
      </c>
      <c r="H302" s="16" t="n">
        <v>0.02</v>
      </c>
      <c r="I302" s="1" t="s">
        <v>33</v>
      </c>
      <c r="J302" s="1" t="n">
        <v>9</v>
      </c>
      <c r="K302" s="1" t="n">
        <v>3.3</v>
      </c>
      <c r="L302" s="15" t="n">
        <v>2375.93</v>
      </c>
      <c r="M302" s="15" t="n">
        <f aca="false">F302*G302</f>
        <v>2424.42</v>
      </c>
      <c r="N302" s="15" t="n">
        <f aca="false">M302-L302</f>
        <v>48.4900000000002</v>
      </c>
      <c r="O302" s="1" t="n">
        <f aca="false">YEAR(B302)</f>
        <v>2022</v>
      </c>
      <c r="P302" s="1" t="n">
        <f aca="false">MONTH(B302)</f>
        <v>10</v>
      </c>
      <c r="Q302" s="1" t="str">
        <f aca="false">TEXT(B302,"mmm")</f>
        <v>Oct</v>
      </c>
      <c r="R302" s="1" t="str">
        <f aca="false">"Q"&amp;ROUNDUP(MONTH(B302)/3,0)</f>
        <v>Q4</v>
      </c>
    </row>
    <row r="303" customFormat="false" ht="15" hidden="false" customHeight="true" outlineLevel="0" collapsed="false">
      <c r="A303" s="1" t="n">
        <v>10302</v>
      </c>
      <c r="B303" s="14" t="n">
        <v>44863</v>
      </c>
      <c r="C303" s="1" t="n">
        <v>1415</v>
      </c>
      <c r="D303" s="1" t="s">
        <v>27</v>
      </c>
      <c r="E303" s="1" t="s">
        <v>32</v>
      </c>
      <c r="F303" s="1" t="n">
        <v>1</v>
      </c>
      <c r="G303" s="15" t="n">
        <v>506.18</v>
      </c>
      <c r="H303" s="16" t="n">
        <v>0.03</v>
      </c>
      <c r="I303" s="1" t="s">
        <v>31</v>
      </c>
      <c r="J303" s="1" t="n">
        <v>5</v>
      </c>
      <c r="K303" s="1" t="n">
        <v>2.3</v>
      </c>
      <c r="L303" s="15" t="n">
        <v>490.99</v>
      </c>
      <c r="M303" s="15" t="n">
        <f aca="false">F303*G303</f>
        <v>506.18</v>
      </c>
      <c r="N303" s="15" t="n">
        <f aca="false">M303-L303</f>
        <v>15.19</v>
      </c>
      <c r="O303" s="1" t="n">
        <f aca="false">YEAR(B303)</f>
        <v>2022</v>
      </c>
      <c r="P303" s="1" t="n">
        <f aca="false">MONTH(B303)</f>
        <v>10</v>
      </c>
      <c r="Q303" s="1" t="str">
        <f aca="false">TEXT(B303,"mmm")</f>
        <v>Oct</v>
      </c>
      <c r="R303" s="1" t="str">
        <f aca="false">"Q"&amp;ROUNDUP(MONTH(B303)/3,0)</f>
        <v>Q4</v>
      </c>
    </row>
    <row r="304" customFormat="false" ht="15" hidden="false" customHeight="true" outlineLevel="0" collapsed="false">
      <c r="A304" s="1" t="n">
        <v>10303</v>
      </c>
      <c r="B304" s="14" t="n">
        <v>44864</v>
      </c>
      <c r="C304" s="1" t="n">
        <v>1246</v>
      </c>
      <c r="D304" s="1" t="s">
        <v>27</v>
      </c>
      <c r="E304" s="1" t="s">
        <v>28</v>
      </c>
      <c r="F304" s="1" t="n">
        <v>7</v>
      </c>
      <c r="G304" s="15" t="n">
        <v>225.82</v>
      </c>
      <c r="H304" s="16" t="n">
        <v>0.25</v>
      </c>
      <c r="I304" s="1" t="s">
        <v>33</v>
      </c>
      <c r="J304" s="1" t="n">
        <v>4</v>
      </c>
      <c r="K304" s="1" t="n">
        <v>2.6</v>
      </c>
      <c r="L304" s="15" t="n">
        <v>1185.56</v>
      </c>
      <c r="M304" s="15" t="n">
        <f aca="false">F304*G304</f>
        <v>1580.74</v>
      </c>
      <c r="N304" s="15" t="n">
        <f aca="false">M304-L304</f>
        <v>395.18</v>
      </c>
      <c r="O304" s="1" t="n">
        <f aca="false">YEAR(B304)</f>
        <v>2022</v>
      </c>
      <c r="P304" s="1" t="n">
        <f aca="false">MONTH(B304)</f>
        <v>10</v>
      </c>
      <c r="Q304" s="1" t="str">
        <f aca="false">TEXT(B304,"mmm")</f>
        <v>Oct</v>
      </c>
      <c r="R304" s="1" t="str">
        <f aca="false">"Q"&amp;ROUNDUP(MONTH(B304)/3,0)</f>
        <v>Q4</v>
      </c>
    </row>
    <row r="305" customFormat="false" ht="15" hidden="false" customHeight="true" outlineLevel="0" collapsed="false">
      <c r="A305" s="1" t="n">
        <v>10304</v>
      </c>
      <c r="B305" s="14" t="n">
        <v>44865</v>
      </c>
      <c r="C305" s="1" t="n">
        <v>1835</v>
      </c>
      <c r="D305" s="1" t="s">
        <v>27</v>
      </c>
      <c r="E305" s="1" t="s">
        <v>35</v>
      </c>
      <c r="F305" s="1" t="n">
        <v>1</v>
      </c>
      <c r="G305" s="15" t="n">
        <v>264.74</v>
      </c>
      <c r="H305" s="16" t="n">
        <v>0.13</v>
      </c>
      <c r="I305" s="1" t="s">
        <v>31</v>
      </c>
      <c r="J305" s="1" t="n">
        <v>4</v>
      </c>
      <c r="K305" s="1" t="n">
        <v>2</v>
      </c>
      <c r="L305" s="15" t="n">
        <v>230.32</v>
      </c>
      <c r="M305" s="15" t="n">
        <f aca="false">F305*G305</f>
        <v>264.74</v>
      </c>
      <c r="N305" s="15" t="n">
        <f aca="false">M305-L305</f>
        <v>34.42</v>
      </c>
      <c r="O305" s="1" t="n">
        <f aca="false">YEAR(B305)</f>
        <v>2022</v>
      </c>
      <c r="P305" s="1" t="n">
        <f aca="false">MONTH(B305)</f>
        <v>10</v>
      </c>
      <c r="Q305" s="1" t="str">
        <f aca="false">TEXT(B305,"mmm")</f>
        <v>Oct</v>
      </c>
      <c r="R305" s="1" t="str">
        <f aca="false">"Q"&amp;ROUNDUP(MONTH(B305)/3,0)</f>
        <v>Q4</v>
      </c>
    </row>
    <row r="306" customFormat="false" ht="15" hidden="false" customHeight="true" outlineLevel="0" collapsed="false">
      <c r="A306" s="1" t="n">
        <v>10305</v>
      </c>
      <c r="B306" s="14" t="n">
        <v>44866</v>
      </c>
      <c r="C306" s="1" t="n">
        <v>1438</v>
      </c>
      <c r="D306" s="1" t="s">
        <v>30</v>
      </c>
      <c r="E306" s="1" t="s">
        <v>32</v>
      </c>
      <c r="F306" s="1" t="n">
        <v>4</v>
      </c>
      <c r="G306" s="15" t="n">
        <v>589.42</v>
      </c>
      <c r="H306" s="16" t="n">
        <v>0.23</v>
      </c>
      <c r="I306" s="1" t="s">
        <v>31</v>
      </c>
      <c r="J306" s="1" t="n">
        <v>1</v>
      </c>
      <c r="K306" s="1" t="n">
        <v>3.1</v>
      </c>
      <c r="L306" s="15" t="n">
        <v>1815.41</v>
      </c>
      <c r="M306" s="15" t="n">
        <f aca="false">F306*G306</f>
        <v>2357.68</v>
      </c>
      <c r="N306" s="15" t="n">
        <f aca="false">M306-L306</f>
        <v>542.27</v>
      </c>
      <c r="O306" s="1" t="n">
        <f aca="false">YEAR(B306)</f>
        <v>2022</v>
      </c>
      <c r="P306" s="1" t="n">
        <f aca="false">MONTH(B306)</f>
        <v>11</v>
      </c>
      <c r="Q306" s="1" t="str">
        <f aca="false">TEXT(B306,"mmm")</f>
        <v>Nov</v>
      </c>
      <c r="R306" s="1" t="str">
        <f aca="false">"Q"&amp;ROUNDUP(MONTH(B306)/3,0)</f>
        <v>Q4</v>
      </c>
    </row>
    <row r="307" customFormat="false" ht="15" hidden="false" customHeight="true" outlineLevel="0" collapsed="false">
      <c r="A307" s="1" t="n">
        <v>10306</v>
      </c>
      <c r="B307" s="14" t="n">
        <v>44867</v>
      </c>
      <c r="C307" s="1" t="n">
        <v>1202</v>
      </c>
      <c r="D307" s="1" t="s">
        <v>37</v>
      </c>
      <c r="E307" s="1" t="s">
        <v>36</v>
      </c>
      <c r="F307" s="1" t="n">
        <v>2</v>
      </c>
      <c r="G307" s="15" t="n">
        <v>473.59</v>
      </c>
      <c r="H307" s="16" t="n">
        <v>0.29</v>
      </c>
      <c r="I307" s="1" t="s">
        <v>31</v>
      </c>
      <c r="J307" s="1" t="n">
        <v>10</v>
      </c>
      <c r="K307" s="1" t="n">
        <v>1.9</v>
      </c>
      <c r="L307" s="15" t="n">
        <v>672.5</v>
      </c>
      <c r="M307" s="15" t="n">
        <f aca="false">F307*G307</f>
        <v>947.18</v>
      </c>
      <c r="N307" s="15" t="n">
        <f aca="false">M307-L307</f>
        <v>274.68</v>
      </c>
      <c r="O307" s="1" t="n">
        <f aca="false">YEAR(B307)</f>
        <v>2022</v>
      </c>
      <c r="P307" s="1" t="n">
        <f aca="false">MONTH(B307)</f>
        <v>11</v>
      </c>
      <c r="Q307" s="1" t="str">
        <f aca="false">TEXT(B307,"mmm")</f>
        <v>Nov</v>
      </c>
      <c r="R307" s="1" t="str">
        <f aca="false">"Q"&amp;ROUNDUP(MONTH(B307)/3,0)</f>
        <v>Q4</v>
      </c>
    </row>
    <row r="308" customFormat="false" ht="15" hidden="false" customHeight="true" outlineLevel="0" collapsed="false">
      <c r="A308" s="1" t="n">
        <v>10307</v>
      </c>
      <c r="B308" s="14" t="n">
        <v>44868</v>
      </c>
      <c r="C308" s="1" t="n">
        <v>1183</v>
      </c>
      <c r="D308" s="1" t="s">
        <v>30</v>
      </c>
      <c r="E308" s="1" t="s">
        <v>35</v>
      </c>
      <c r="F308" s="1" t="n">
        <v>5</v>
      </c>
      <c r="G308" s="15" t="n">
        <v>539.86</v>
      </c>
      <c r="H308" s="16" t="n">
        <v>0.3</v>
      </c>
      <c r="I308" s="1" t="s">
        <v>31</v>
      </c>
      <c r="J308" s="1" t="n">
        <v>4</v>
      </c>
      <c r="K308" s="1" t="n">
        <v>1.5</v>
      </c>
      <c r="L308" s="15" t="n">
        <v>1889.51</v>
      </c>
      <c r="M308" s="15" t="n">
        <f aca="false">F308*G308</f>
        <v>2699.3</v>
      </c>
      <c r="N308" s="15" t="n">
        <f aca="false">M308-L308</f>
        <v>809.79</v>
      </c>
      <c r="O308" s="1" t="n">
        <f aca="false">YEAR(B308)</f>
        <v>2022</v>
      </c>
      <c r="P308" s="1" t="n">
        <f aca="false">MONTH(B308)</f>
        <v>11</v>
      </c>
      <c r="Q308" s="1" t="str">
        <f aca="false">TEXT(B308,"mmm")</f>
        <v>Nov</v>
      </c>
      <c r="R308" s="1" t="str">
        <f aca="false">"Q"&amp;ROUNDUP(MONTH(B308)/3,0)</f>
        <v>Q4</v>
      </c>
    </row>
    <row r="309" customFormat="false" ht="15" hidden="false" customHeight="true" outlineLevel="0" collapsed="false">
      <c r="A309" s="1" t="n">
        <v>10308</v>
      </c>
      <c r="B309" s="14" t="n">
        <v>44869</v>
      </c>
      <c r="C309" s="1" t="n">
        <v>1122</v>
      </c>
      <c r="D309" s="1" t="s">
        <v>30</v>
      </c>
      <c r="E309" s="1" t="s">
        <v>35</v>
      </c>
      <c r="F309" s="1" t="n">
        <v>3</v>
      </c>
      <c r="G309" s="15" t="n">
        <v>271.68</v>
      </c>
      <c r="H309" s="16" t="n">
        <v>0.06</v>
      </c>
      <c r="I309" s="1" t="s">
        <v>31</v>
      </c>
      <c r="J309" s="1" t="n">
        <v>4</v>
      </c>
      <c r="K309" s="1" t="n">
        <v>4.6</v>
      </c>
      <c r="L309" s="15" t="n">
        <v>766.14</v>
      </c>
      <c r="M309" s="15" t="n">
        <f aca="false">F309*G309</f>
        <v>815.04</v>
      </c>
      <c r="N309" s="15" t="n">
        <f aca="false">M309-L309</f>
        <v>48.9</v>
      </c>
      <c r="O309" s="1" t="n">
        <f aca="false">YEAR(B309)</f>
        <v>2022</v>
      </c>
      <c r="P309" s="1" t="n">
        <f aca="false">MONTH(B309)</f>
        <v>11</v>
      </c>
      <c r="Q309" s="1" t="str">
        <f aca="false">TEXT(B309,"mmm")</f>
        <v>Nov</v>
      </c>
      <c r="R309" s="1" t="str">
        <f aca="false">"Q"&amp;ROUNDUP(MONTH(B309)/3,0)</f>
        <v>Q4</v>
      </c>
    </row>
    <row r="310" customFormat="false" ht="15" hidden="false" customHeight="true" outlineLevel="0" collapsed="false">
      <c r="A310" s="1" t="n">
        <v>10309</v>
      </c>
      <c r="B310" s="14" t="n">
        <v>44870</v>
      </c>
      <c r="C310" s="1" t="n">
        <v>1400</v>
      </c>
      <c r="D310" s="1" t="s">
        <v>34</v>
      </c>
      <c r="E310" s="1" t="s">
        <v>28</v>
      </c>
      <c r="F310" s="1" t="n">
        <v>5</v>
      </c>
      <c r="G310" s="15" t="n">
        <v>151.93</v>
      </c>
      <c r="H310" s="16" t="n">
        <v>0.17</v>
      </c>
      <c r="I310" s="1" t="s">
        <v>29</v>
      </c>
      <c r="J310" s="1" t="n">
        <v>9</v>
      </c>
      <c r="K310" s="1" t="n">
        <v>2.6</v>
      </c>
      <c r="L310" s="15" t="n">
        <v>630.51</v>
      </c>
      <c r="M310" s="15" t="n">
        <f aca="false">F310*G310</f>
        <v>759.65</v>
      </c>
      <c r="N310" s="15" t="n">
        <f aca="false">M310-L310</f>
        <v>129.14</v>
      </c>
      <c r="O310" s="1" t="n">
        <f aca="false">YEAR(B310)</f>
        <v>2022</v>
      </c>
      <c r="P310" s="1" t="n">
        <f aca="false">MONTH(B310)</f>
        <v>11</v>
      </c>
      <c r="Q310" s="1" t="str">
        <f aca="false">TEXT(B310,"mmm")</f>
        <v>Nov</v>
      </c>
      <c r="R310" s="1" t="str">
        <f aca="false">"Q"&amp;ROUNDUP(MONTH(B310)/3,0)</f>
        <v>Q4</v>
      </c>
    </row>
    <row r="311" customFormat="false" ht="15" hidden="false" customHeight="true" outlineLevel="0" collapsed="false">
      <c r="A311" s="1" t="n">
        <v>10310</v>
      </c>
      <c r="B311" s="14" t="n">
        <v>44871</v>
      </c>
      <c r="C311" s="1" t="n">
        <v>1766</v>
      </c>
      <c r="D311" s="1" t="s">
        <v>30</v>
      </c>
      <c r="E311" s="1" t="s">
        <v>35</v>
      </c>
      <c r="F311" s="1" t="n">
        <v>1</v>
      </c>
      <c r="G311" s="15" t="n">
        <v>255.94</v>
      </c>
      <c r="H311" s="16" t="n">
        <v>0.26</v>
      </c>
      <c r="I311" s="1" t="s">
        <v>31</v>
      </c>
      <c r="J311" s="1" t="n">
        <v>11</v>
      </c>
      <c r="K311" s="1" t="n">
        <v>1.3</v>
      </c>
      <c r="L311" s="15" t="n">
        <v>189.4</v>
      </c>
      <c r="M311" s="15" t="n">
        <f aca="false">F311*G311</f>
        <v>255.94</v>
      </c>
      <c r="N311" s="15" t="n">
        <f aca="false">M311-L311</f>
        <v>66.54</v>
      </c>
      <c r="O311" s="1" t="n">
        <f aca="false">YEAR(B311)</f>
        <v>2022</v>
      </c>
      <c r="P311" s="1" t="n">
        <f aca="false">MONTH(B311)</f>
        <v>11</v>
      </c>
      <c r="Q311" s="1" t="str">
        <f aca="false">TEXT(B311,"mmm")</f>
        <v>Nov</v>
      </c>
      <c r="R311" s="1" t="str">
        <f aca="false">"Q"&amp;ROUNDUP(MONTH(B311)/3,0)</f>
        <v>Q4</v>
      </c>
    </row>
    <row r="312" customFormat="false" ht="15" hidden="false" customHeight="true" outlineLevel="0" collapsed="false">
      <c r="A312" s="1" t="n">
        <v>10311</v>
      </c>
      <c r="B312" s="14" t="n">
        <v>44872</v>
      </c>
      <c r="C312" s="1" t="n">
        <v>1293</v>
      </c>
      <c r="D312" s="1" t="s">
        <v>34</v>
      </c>
      <c r="E312" s="1" t="s">
        <v>36</v>
      </c>
      <c r="F312" s="1" t="n">
        <v>2</v>
      </c>
      <c r="G312" s="15" t="n">
        <v>433.91</v>
      </c>
      <c r="H312" s="16" t="n">
        <v>0.27</v>
      </c>
      <c r="I312" s="1" t="s">
        <v>31</v>
      </c>
      <c r="J312" s="1" t="n">
        <v>4</v>
      </c>
      <c r="K312" s="1" t="n">
        <v>1.9</v>
      </c>
      <c r="L312" s="15" t="n">
        <v>633.51</v>
      </c>
      <c r="M312" s="15" t="n">
        <f aca="false">F312*G312</f>
        <v>867.82</v>
      </c>
      <c r="N312" s="15" t="n">
        <f aca="false">M312-L312</f>
        <v>234.31</v>
      </c>
      <c r="O312" s="1" t="n">
        <f aca="false">YEAR(B312)</f>
        <v>2022</v>
      </c>
      <c r="P312" s="1" t="n">
        <f aca="false">MONTH(B312)</f>
        <v>11</v>
      </c>
      <c r="Q312" s="1" t="str">
        <f aca="false">TEXT(B312,"mmm")</f>
        <v>Nov</v>
      </c>
      <c r="R312" s="1" t="str">
        <f aca="false">"Q"&amp;ROUNDUP(MONTH(B312)/3,0)</f>
        <v>Q4</v>
      </c>
    </row>
    <row r="313" customFormat="false" ht="15" hidden="false" customHeight="true" outlineLevel="0" collapsed="false">
      <c r="A313" s="1" t="n">
        <v>10312</v>
      </c>
      <c r="B313" s="14" t="n">
        <v>44873</v>
      </c>
      <c r="C313" s="1" t="n">
        <v>1279</v>
      </c>
      <c r="D313" s="1" t="s">
        <v>34</v>
      </c>
      <c r="E313" s="1" t="s">
        <v>28</v>
      </c>
      <c r="F313" s="1" t="n">
        <v>2</v>
      </c>
      <c r="G313" s="15" t="n">
        <v>79.02</v>
      </c>
      <c r="H313" s="16" t="n">
        <v>0.27</v>
      </c>
      <c r="I313" s="1" t="s">
        <v>31</v>
      </c>
      <c r="J313" s="1" t="n">
        <v>7</v>
      </c>
      <c r="K313" s="1" t="n">
        <v>2.2</v>
      </c>
      <c r="L313" s="15" t="n">
        <v>115.37</v>
      </c>
      <c r="M313" s="15" t="n">
        <f aca="false">F313*G313</f>
        <v>158.04</v>
      </c>
      <c r="N313" s="15" t="n">
        <f aca="false">M313-L313</f>
        <v>42.67</v>
      </c>
      <c r="O313" s="1" t="n">
        <f aca="false">YEAR(B313)</f>
        <v>2022</v>
      </c>
      <c r="P313" s="1" t="n">
        <f aca="false">MONTH(B313)</f>
        <v>11</v>
      </c>
      <c r="Q313" s="1" t="str">
        <f aca="false">TEXT(B313,"mmm")</f>
        <v>Nov</v>
      </c>
      <c r="R313" s="1" t="str">
        <f aca="false">"Q"&amp;ROUNDUP(MONTH(B313)/3,0)</f>
        <v>Q4</v>
      </c>
    </row>
    <row r="314" customFormat="false" ht="15" hidden="false" customHeight="true" outlineLevel="0" collapsed="false">
      <c r="A314" s="1" t="n">
        <v>10313</v>
      </c>
      <c r="B314" s="14" t="n">
        <v>44874</v>
      </c>
      <c r="C314" s="1" t="n">
        <v>1836</v>
      </c>
      <c r="D314" s="1" t="s">
        <v>27</v>
      </c>
      <c r="E314" s="1" t="s">
        <v>35</v>
      </c>
      <c r="F314" s="1" t="n">
        <v>5</v>
      </c>
      <c r="G314" s="15" t="n">
        <v>173.22</v>
      </c>
      <c r="H314" s="16" t="n">
        <v>0.08</v>
      </c>
      <c r="I314" s="1" t="s">
        <v>31</v>
      </c>
      <c r="J314" s="1" t="n">
        <v>1</v>
      </c>
      <c r="K314" s="1" t="n">
        <v>4.1</v>
      </c>
      <c r="L314" s="15" t="n">
        <v>796.81</v>
      </c>
      <c r="M314" s="15" t="n">
        <f aca="false">F314*G314</f>
        <v>866.1</v>
      </c>
      <c r="N314" s="15" t="n">
        <f aca="false">M314-L314</f>
        <v>69.2900000000001</v>
      </c>
      <c r="O314" s="1" t="n">
        <f aca="false">YEAR(B314)</f>
        <v>2022</v>
      </c>
      <c r="P314" s="1" t="n">
        <f aca="false">MONTH(B314)</f>
        <v>11</v>
      </c>
      <c r="Q314" s="1" t="str">
        <f aca="false">TEXT(B314,"mmm")</f>
        <v>Nov</v>
      </c>
      <c r="R314" s="1" t="str">
        <f aca="false">"Q"&amp;ROUNDUP(MONTH(B314)/3,0)</f>
        <v>Q4</v>
      </c>
    </row>
    <row r="315" customFormat="false" ht="15" hidden="false" customHeight="true" outlineLevel="0" collapsed="false">
      <c r="A315" s="1" t="n">
        <v>10314</v>
      </c>
      <c r="B315" s="14" t="n">
        <v>44875</v>
      </c>
      <c r="C315" s="1" t="n">
        <v>1883</v>
      </c>
      <c r="D315" s="1" t="s">
        <v>34</v>
      </c>
      <c r="E315" s="1" t="s">
        <v>28</v>
      </c>
      <c r="F315" s="1" t="n">
        <v>1</v>
      </c>
      <c r="G315" s="15" t="n">
        <v>42.28</v>
      </c>
      <c r="H315" s="16" t="n">
        <v>0.07</v>
      </c>
      <c r="I315" s="1" t="s">
        <v>33</v>
      </c>
      <c r="J315" s="1" t="n">
        <v>7</v>
      </c>
      <c r="K315" s="1" t="n">
        <v>1.1</v>
      </c>
      <c r="L315" s="15" t="n">
        <v>39.32</v>
      </c>
      <c r="M315" s="15" t="n">
        <f aca="false">F315*G315</f>
        <v>42.28</v>
      </c>
      <c r="N315" s="15" t="n">
        <f aca="false">M315-L315</f>
        <v>2.96</v>
      </c>
      <c r="O315" s="1" t="n">
        <f aca="false">YEAR(B315)</f>
        <v>2022</v>
      </c>
      <c r="P315" s="1" t="n">
        <f aca="false">MONTH(B315)</f>
        <v>11</v>
      </c>
      <c r="Q315" s="1" t="str">
        <f aca="false">TEXT(B315,"mmm")</f>
        <v>Nov</v>
      </c>
      <c r="R315" s="1" t="str">
        <f aca="false">"Q"&amp;ROUNDUP(MONTH(B315)/3,0)</f>
        <v>Q4</v>
      </c>
    </row>
    <row r="316" customFormat="false" ht="15" hidden="false" customHeight="true" outlineLevel="0" collapsed="false">
      <c r="A316" s="1" t="n">
        <v>10315</v>
      </c>
      <c r="B316" s="14" t="n">
        <v>44876</v>
      </c>
      <c r="C316" s="1" t="n">
        <v>1609</v>
      </c>
      <c r="D316" s="1" t="s">
        <v>34</v>
      </c>
      <c r="E316" s="1" t="s">
        <v>35</v>
      </c>
      <c r="F316" s="1" t="n">
        <v>5</v>
      </c>
      <c r="G316" s="15" t="n">
        <v>267.92</v>
      </c>
      <c r="H316" s="16" t="n">
        <v>0.21</v>
      </c>
      <c r="I316" s="1" t="s">
        <v>31</v>
      </c>
      <c r="J316" s="1" t="n">
        <v>2</v>
      </c>
      <c r="K316" s="1" t="n">
        <v>2.9</v>
      </c>
      <c r="L316" s="15" t="n">
        <v>1058.28</v>
      </c>
      <c r="M316" s="15" t="n">
        <f aca="false">F316*G316</f>
        <v>1339.6</v>
      </c>
      <c r="N316" s="15" t="n">
        <f aca="false">M316-L316</f>
        <v>281.32</v>
      </c>
      <c r="O316" s="1" t="n">
        <f aca="false">YEAR(B316)</f>
        <v>2022</v>
      </c>
      <c r="P316" s="1" t="n">
        <f aca="false">MONTH(B316)</f>
        <v>11</v>
      </c>
      <c r="Q316" s="1" t="str">
        <f aca="false">TEXT(B316,"mmm")</f>
        <v>Nov</v>
      </c>
      <c r="R316" s="1" t="str">
        <f aca="false">"Q"&amp;ROUNDUP(MONTH(B316)/3,0)</f>
        <v>Q4</v>
      </c>
    </row>
    <row r="317" customFormat="false" ht="15" hidden="false" customHeight="true" outlineLevel="0" collapsed="false">
      <c r="A317" s="1" t="n">
        <v>10316</v>
      </c>
      <c r="B317" s="14" t="n">
        <v>44877</v>
      </c>
      <c r="C317" s="1" t="n">
        <v>1197</v>
      </c>
      <c r="D317" s="1" t="s">
        <v>34</v>
      </c>
      <c r="E317" s="1" t="s">
        <v>32</v>
      </c>
      <c r="F317" s="1" t="n">
        <v>4</v>
      </c>
      <c r="G317" s="15" t="n">
        <v>499.06</v>
      </c>
      <c r="H317" s="16" t="n">
        <v>0.26</v>
      </c>
      <c r="I317" s="1" t="s">
        <v>33</v>
      </c>
      <c r="J317" s="1" t="n">
        <v>11</v>
      </c>
      <c r="K317" s="1" t="n">
        <v>2.6</v>
      </c>
      <c r="L317" s="15" t="n">
        <v>1477.22</v>
      </c>
      <c r="M317" s="15" t="n">
        <f aca="false">F317*G317</f>
        <v>1996.24</v>
      </c>
      <c r="N317" s="15" t="n">
        <f aca="false">M317-L317</f>
        <v>519.02</v>
      </c>
      <c r="O317" s="1" t="n">
        <f aca="false">YEAR(B317)</f>
        <v>2022</v>
      </c>
      <c r="P317" s="1" t="n">
        <f aca="false">MONTH(B317)</f>
        <v>11</v>
      </c>
      <c r="Q317" s="1" t="str">
        <f aca="false">TEXT(B317,"mmm")</f>
        <v>Nov</v>
      </c>
      <c r="R317" s="1" t="str">
        <f aca="false">"Q"&amp;ROUNDUP(MONTH(B317)/3,0)</f>
        <v>Q4</v>
      </c>
    </row>
    <row r="318" customFormat="false" ht="15" hidden="false" customHeight="true" outlineLevel="0" collapsed="false">
      <c r="A318" s="1" t="n">
        <v>10317</v>
      </c>
      <c r="B318" s="14" t="n">
        <v>44878</v>
      </c>
      <c r="C318" s="1" t="n">
        <v>1981</v>
      </c>
      <c r="D318" s="1" t="s">
        <v>27</v>
      </c>
      <c r="E318" s="1" t="s">
        <v>32</v>
      </c>
      <c r="F318" s="1" t="n">
        <v>2</v>
      </c>
      <c r="G318" s="15" t="n">
        <v>29.43</v>
      </c>
      <c r="H318" s="16" t="n">
        <v>0.11</v>
      </c>
      <c r="I318" s="1" t="s">
        <v>31</v>
      </c>
      <c r="J318" s="1" t="n">
        <v>8</v>
      </c>
      <c r="K318" s="1" t="n">
        <v>4.9</v>
      </c>
      <c r="L318" s="15" t="n">
        <v>52.39</v>
      </c>
      <c r="M318" s="15" t="n">
        <f aca="false">F318*G318</f>
        <v>58.86</v>
      </c>
      <c r="N318" s="15" t="n">
        <f aca="false">M318-L318</f>
        <v>6.47</v>
      </c>
      <c r="O318" s="1" t="n">
        <f aca="false">YEAR(B318)</f>
        <v>2022</v>
      </c>
      <c r="P318" s="1" t="n">
        <f aca="false">MONTH(B318)</f>
        <v>11</v>
      </c>
      <c r="Q318" s="1" t="str">
        <f aca="false">TEXT(B318,"mmm")</f>
        <v>Nov</v>
      </c>
      <c r="R318" s="1" t="str">
        <f aca="false">"Q"&amp;ROUNDUP(MONTH(B318)/3,0)</f>
        <v>Q4</v>
      </c>
    </row>
    <row r="319" customFormat="false" ht="15" hidden="false" customHeight="true" outlineLevel="0" collapsed="false">
      <c r="A319" s="1" t="n">
        <v>10318</v>
      </c>
      <c r="B319" s="14" t="n">
        <v>44879</v>
      </c>
      <c r="C319" s="1" t="n">
        <v>1906</v>
      </c>
      <c r="D319" s="1" t="s">
        <v>30</v>
      </c>
      <c r="E319" s="1" t="s">
        <v>36</v>
      </c>
      <c r="F319" s="1" t="n">
        <v>2</v>
      </c>
      <c r="G319" s="15" t="n">
        <v>410.06</v>
      </c>
      <c r="H319" s="16" t="n">
        <v>0.04</v>
      </c>
      <c r="I319" s="1" t="s">
        <v>29</v>
      </c>
      <c r="J319" s="1" t="n">
        <v>1</v>
      </c>
      <c r="K319" s="1" t="n">
        <v>1.7</v>
      </c>
      <c r="L319" s="15" t="n">
        <v>787.32</v>
      </c>
      <c r="M319" s="15" t="n">
        <f aca="false">F319*G319</f>
        <v>820.12</v>
      </c>
      <c r="N319" s="15" t="n">
        <f aca="false">M319-L319</f>
        <v>32.8</v>
      </c>
      <c r="O319" s="1" t="n">
        <f aca="false">YEAR(B319)</f>
        <v>2022</v>
      </c>
      <c r="P319" s="1" t="n">
        <f aca="false">MONTH(B319)</f>
        <v>11</v>
      </c>
      <c r="Q319" s="1" t="str">
        <f aca="false">TEXT(B319,"mmm")</f>
        <v>Nov</v>
      </c>
      <c r="R319" s="1" t="str">
        <f aca="false">"Q"&amp;ROUNDUP(MONTH(B319)/3,0)</f>
        <v>Q4</v>
      </c>
    </row>
    <row r="320" customFormat="false" ht="15" hidden="false" customHeight="true" outlineLevel="0" collapsed="false">
      <c r="A320" s="1" t="n">
        <v>10319</v>
      </c>
      <c r="B320" s="14" t="n">
        <v>44880</v>
      </c>
      <c r="C320" s="1" t="n">
        <v>1510</v>
      </c>
      <c r="D320" s="1" t="s">
        <v>30</v>
      </c>
      <c r="E320" s="1" t="s">
        <v>32</v>
      </c>
      <c r="F320" s="1" t="n">
        <v>4</v>
      </c>
      <c r="G320" s="15" t="n">
        <v>560.51</v>
      </c>
      <c r="H320" s="16" t="n">
        <v>0.25</v>
      </c>
      <c r="I320" s="1" t="s">
        <v>31</v>
      </c>
      <c r="J320" s="1" t="n">
        <v>10</v>
      </c>
      <c r="K320" s="1" t="n">
        <v>3.5</v>
      </c>
      <c r="L320" s="15" t="n">
        <v>1681.53</v>
      </c>
      <c r="M320" s="15" t="n">
        <f aca="false">F320*G320</f>
        <v>2242.04</v>
      </c>
      <c r="N320" s="15" t="n">
        <f aca="false">M320-L320</f>
        <v>560.51</v>
      </c>
      <c r="O320" s="1" t="n">
        <f aca="false">YEAR(B320)</f>
        <v>2022</v>
      </c>
      <c r="P320" s="1" t="n">
        <f aca="false">MONTH(B320)</f>
        <v>11</v>
      </c>
      <c r="Q320" s="1" t="str">
        <f aca="false">TEXT(B320,"mmm")</f>
        <v>Nov</v>
      </c>
      <c r="R320" s="1" t="str">
        <f aca="false">"Q"&amp;ROUNDUP(MONTH(B320)/3,0)</f>
        <v>Q4</v>
      </c>
    </row>
    <row r="321" customFormat="false" ht="15" hidden="false" customHeight="true" outlineLevel="0" collapsed="false">
      <c r="A321" s="1" t="n">
        <v>10320</v>
      </c>
      <c r="B321" s="14" t="n">
        <v>44881</v>
      </c>
      <c r="C321" s="1" t="n">
        <v>1751</v>
      </c>
      <c r="D321" s="1" t="s">
        <v>37</v>
      </c>
      <c r="E321" s="1" t="s">
        <v>32</v>
      </c>
      <c r="F321" s="1" t="n">
        <v>1</v>
      </c>
      <c r="G321" s="15" t="n">
        <v>153.6</v>
      </c>
      <c r="H321" s="16" t="n">
        <v>0.1</v>
      </c>
      <c r="I321" s="1" t="s">
        <v>33</v>
      </c>
      <c r="J321" s="1" t="n">
        <v>3</v>
      </c>
      <c r="K321" s="1" t="n">
        <v>1.8</v>
      </c>
      <c r="L321" s="15" t="n">
        <v>138.24</v>
      </c>
      <c r="M321" s="15" t="n">
        <f aca="false">F321*G321</f>
        <v>153.6</v>
      </c>
      <c r="N321" s="15" t="n">
        <f aca="false">M321-L321</f>
        <v>15.36</v>
      </c>
      <c r="O321" s="1" t="n">
        <f aca="false">YEAR(B321)</f>
        <v>2022</v>
      </c>
      <c r="P321" s="1" t="n">
        <f aca="false">MONTH(B321)</f>
        <v>11</v>
      </c>
      <c r="Q321" s="1" t="str">
        <f aca="false">TEXT(B321,"mmm")</f>
        <v>Nov</v>
      </c>
      <c r="R321" s="1" t="str">
        <f aca="false">"Q"&amp;ROUNDUP(MONTH(B321)/3,0)</f>
        <v>Q4</v>
      </c>
    </row>
    <row r="322" customFormat="false" ht="15" hidden="false" customHeight="true" outlineLevel="0" collapsed="false">
      <c r="A322" s="1" t="n">
        <v>10321</v>
      </c>
      <c r="B322" s="14" t="n">
        <v>44882</v>
      </c>
      <c r="C322" s="1" t="n">
        <v>1143</v>
      </c>
      <c r="D322" s="1" t="s">
        <v>37</v>
      </c>
      <c r="E322" s="1" t="s">
        <v>32</v>
      </c>
      <c r="F322" s="1" t="n">
        <v>2</v>
      </c>
      <c r="G322" s="15" t="n">
        <v>420.78</v>
      </c>
      <c r="H322" s="16" t="n">
        <v>0.06</v>
      </c>
      <c r="I322" s="1" t="s">
        <v>33</v>
      </c>
      <c r="J322" s="1" t="n">
        <v>8</v>
      </c>
      <c r="K322" s="1" t="n">
        <v>3.2</v>
      </c>
      <c r="L322" s="15" t="n">
        <v>791.07</v>
      </c>
      <c r="M322" s="15" t="n">
        <f aca="false">F322*G322</f>
        <v>841.56</v>
      </c>
      <c r="N322" s="15" t="n">
        <f aca="false">M322-L322</f>
        <v>50.4899999999999</v>
      </c>
      <c r="O322" s="1" t="n">
        <f aca="false">YEAR(B322)</f>
        <v>2022</v>
      </c>
      <c r="P322" s="1" t="n">
        <f aca="false">MONTH(B322)</f>
        <v>11</v>
      </c>
      <c r="Q322" s="1" t="str">
        <f aca="false">TEXT(B322,"mmm")</f>
        <v>Nov</v>
      </c>
      <c r="R322" s="1" t="str">
        <f aca="false">"Q"&amp;ROUNDUP(MONTH(B322)/3,0)</f>
        <v>Q4</v>
      </c>
    </row>
    <row r="323" customFormat="false" ht="15" hidden="false" customHeight="true" outlineLevel="0" collapsed="false">
      <c r="A323" s="1" t="n">
        <v>10322</v>
      </c>
      <c r="B323" s="14" t="n">
        <v>44883</v>
      </c>
      <c r="C323" s="1" t="n">
        <v>1608</v>
      </c>
      <c r="D323" s="1" t="s">
        <v>34</v>
      </c>
      <c r="E323" s="1" t="s">
        <v>35</v>
      </c>
      <c r="F323" s="1" t="n">
        <v>7</v>
      </c>
      <c r="G323" s="15" t="n">
        <v>585.43</v>
      </c>
      <c r="H323" s="16" t="n">
        <v>0.05</v>
      </c>
      <c r="I323" s="1" t="s">
        <v>31</v>
      </c>
      <c r="J323" s="1" t="n">
        <v>10</v>
      </c>
      <c r="K323" s="1" t="n">
        <v>3.2</v>
      </c>
      <c r="L323" s="15" t="n">
        <v>3893.11</v>
      </c>
      <c r="M323" s="15" t="n">
        <f aca="false">F323*G323</f>
        <v>4098.01</v>
      </c>
      <c r="N323" s="15" t="n">
        <f aca="false">M323-L323</f>
        <v>204.899999999999</v>
      </c>
      <c r="O323" s="1" t="n">
        <f aca="false">YEAR(B323)</f>
        <v>2022</v>
      </c>
      <c r="P323" s="1" t="n">
        <f aca="false">MONTH(B323)</f>
        <v>11</v>
      </c>
      <c r="Q323" s="1" t="str">
        <f aca="false">TEXT(B323,"mmm")</f>
        <v>Nov</v>
      </c>
      <c r="R323" s="1" t="str">
        <f aca="false">"Q"&amp;ROUNDUP(MONTH(B323)/3,0)</f>
        <v>Q4</v>
      </c>
    </row>
    <row r="324" customFormat="false" ht="15" hidden="false" customHeight="true" outlineLevel="0" collapsed="false">
      <c r="A324" s="1" t="n">
        <v>10323</v>
      </c>
      <c r="B324" s="14" t="n">
        <v>44884</v>
      </c>
      <c r="C324" s="1" t="n">
        <v>1200</v>
      </c>
      <c r="D324" s="1" t="s">
        <v>37</v>
      </c>
      <c r="E324" s="1" t="s">
        <v>35</v>
      </c>
      <c r="F324" s="1" t="n">
        <v>6</v>
      </c>
      <c r="G324" s="15" t="n">
        <v>577.93</v>
      </c>
      <c r="H324" s="16" t="n">
        <v>0.11</v>
      </c>
      <c r="I324" s="1" t="s">
        <v>33</v>
      </c>
      <c r="J324" s="1" t="n">
        <v>8</v>
      </c>
      <c r="K324" s="1" t="n">
        <v>1.3</v>
      </c>
      <c r="L324" s="15" t="n">
        <v>3086.15</v>
      </c>
      <c r="M324" s="15" t="n">
        <f aca="false">F324*G324</f>
        <v>3467.58</v>
      </c>
      <c r="N324" s="15" t="n">
        <f aca="false">M324-L324</f>
        <v>381.43</v>
      </c>
      <c r="O324" s="1" t="n">
        <f aca="false">YEAR(B324)</f>
        <v>2022</v>
      </c>
      <c r="P324" s="1" t="n">
        <f aca="false">MONTH(B324)</f>
        <v>11</v>
      </c>
      <c r="Q324" s="1" t="str">
        <f aca="false">TEXT(B324,"mmm")</f>
        <v>Nov</v>
      </c>
      <c r="R324" s="1" t="str">
        <f aca="false">"Q"&amp;ROUNDUP(MONTH(B324)/3,0)</f>
        <v>Q4</v>
      </c>
    </row>
    <row r="325" customFormat="false" ht="15" hidden="false" customHeight="true" outlineLevel="0" collapsed="false">
      <c r="A325" s="1" t="n">
        <v>10324</v>
      </c>
      <c r="B325" s="14" t="n">
        <v>44885</v>
      </c>
      <c r="C325" s="1" t="n">
        <v>1123</v>
      </c>
      <c r="D325" s="1" t="s">
        <v>37</v>
      </c>
      <c r="E325" s="1" t="s">
        <v>28</v>
      </c>
      <c r="F325" s="1" t="n">
        <v>6</v>
      </c>
      <c r="G325" s="15" t="n">
        <v>152.43</v>
      </c>
      <c r="H325" s="16" t="n">
        <v>0.21</v>
      </c>
      <c r="I325" s="1" t="s">
        <v>33</v>
      </c>
      <c r="J325" s="1" t="n">
        <v>11</v>
      </c>
      <c r="K325" s="1" t="n">
        <v>2.8</v>
      </c>
      <c r="L325" s="15" t="n">
        <v>722.52</v>
      </c>
      <c r="M325" s="15" t="n">
        <f aca="false">F325*G325</f>
        <v>914.58</v>
      </c>
      <c r="N325" s="15" t="n">
        <f aca="false">M325-L325</f>
        <v>192.06</v>
      </c>
      <c r="O325" s="1" t="n">
        <f aca="false">YEAR(B325)</f>
        <v>2022</v>
      </c>
      <c r="P325" s="1" t="n">
        <f aca="false">MONTH(B325)</f>
        <v>11</v>
      </c>
      <c r="Q325" s="1" t="str">
        <f aca="false">TEXT(B325,"mmm")</f>
        <v>Nov</v>
      </c>
      <c r="R325" s="1" t="str">
        <f aca="false">"Q"&amp;ROUNDUP(MONTH(B325)/3,0)</f>
        <v>Q4</v>
      </c>
    </row>
    <row r="326" customFormat="false" ht="15" hidden="false" customHeight="true" outlineLevel="0" collapsed="false">
      <c r="A326" s="1" t="n">
        <v>10325</v>
      </c>
      <c r="B326" s="14" t="n">
        <v>44886</v>
      </c>
      <c r="C326" s="1" t="n">
        <v>1186</v>
      </c>
      <c r="D326" s="1" t="s">
        <v>37</v>
      </c>
      <c r="E326" s="1" t="s">
        <v>35</v>
      </c>
      <c r="F326" s="1" t="n">
        <v>6</v>
      </c>
      <c r="G326" s="15" t="n">
        <v>73.69</v>
      </c>
      <c r="H326" s="16" t="n">
        <v>0.13</v>
      </c>
      <c r="I326" s="1" t="s">
        <v>31</v>
      </c>
      <c r="J326" s="1" t="n">
        <v>5</v>
      </c>
      <c r="K326" s="1" t="n">
        <v>2.8</v>
      </c>
      <c r="L326" s="15" t="n">
        <v>384.66</v>
      </c>
      <c r="M326" s="15" t="n">
        <f aca="false">F326*G326</f>
        <v>442.14</v>
      </c>
      <c r="N326" s="15" t="n">
        <f aca="false">M326-L326</f>
        <v>57.48</v>
      </c>
      <c r="O326" s="1" t="n">
        <f aca="false">YEAR(B326)</f>
        <v>2022</v>
      </c>
      <c r="P326" s="1" t="n">
        <f aca="false">MONTH(B326)</f>
        <v>11</v>
      </c>
      <c r="Q326" s="1" t="str">
        <f aca="false">TEXT(B326,"mmm")</f>
        <v>Nov</v>
      </c>
      <c r="R326" s="1" t="str">
        <f aca="false">"Q"&amp;ROUNDUP(MONTH(B326)/3,0)</f>
        <v>Q4</v>
      </c>
    </row>
    <row r="327" customFormat="false" ht="15" hidden="false" customHeight="true" outlineLevel="0" collapsed="false">
      <c r="A327" s="1" t="n">
        <v>10326</v>
      </c>
      <c r="B327" s="14" t="n">
        <v>44887</v>
      </c>
      <c r="C327" s="1" t="n">
        <v>1325</v>
      </c>
      <c r="D327" s="1" t="s">
        <v>34</v>
      </c>
      <c r="E327" s="1" t="s">
        <v>32</v>
      </c>
      <c r="F327" s="1" t="n">
        <v>3</v>
      </c>
      <c r="G327" s="15" t="n">
        <v>101.75</v>
      </c>
      <c r="H327" s="16" t="n">
        <v>0.01</v>
      </c>
      <c r="I327" s="1" t="s">
        <v>33</v>
      </c>
      <c r="J327" s="1" t="n">
        <v>5</v>
      </c>
      <c r="K327" s="1" t="n">
        <v>2.3</v>
      </c>
      <c r="L327" s="15" t="n">
        <v>302.2</v>
      </c>
      <c r="M327" s="15" t="n">
        <f aca="false">F327*G327</f>
        <v>305.25</v>
      </c>
      <c r="N327" s="15" t="n">
        <f aca="false">M327-L327</f>
        <v>3.05000000000001</v>
      </c>
      <c r="O327" s="1" t="n">
        <f aca="false">YEAR(B327)</f>
        <v>2022</v>
      </c>
      <c r="P327" s="1" t="n">
        <f aca="false">MONTH(B327)</f>
        <v>11</v>
      </c>
      <c r="Q327" s="1" t="str">
        <f aca="false">TEXT(B327,"mmm")</f>
        <v>Nov</v>
      </c>
      <c r="R327" s="1" t="str">
        <f aca="false">"Q"&amp;ROUNDUP(MONTH(B327)/3,0)</f>
        <v>Q4</v>
      </c>
    </row>
    <row r="328" customFormat="false" ht="15" hidden="false" customHeight="true" outlineLevel="0" collapsed="false">
      <c r="A328" s="1" t="n">
        <v>10327</v>
      </c>
      <c r="B328" s="14" t="n">
        <v>44888</v>
      </c>
      <c r="C328" s="1" t="n">
        <v>1463</v>
      </c>
      <c r="D328" s="1" t="s">
        <v>27</v>
      </c>
      <c r="E328" s="1" t="s">
        <v>35</v>
      </c>
      <c r="F328" s="1" t="n">
        <v>7</v>
      </c>
      <c r="G328" s="15" t="n">
        <v>425.69</v>
      </c>
      <c r="H328" s="16" t="n">
        <v>0.03</v>
      </c>
      <c r="I328" s="1" t="s">
        <v>29</v>
      </c>
      <c r="J328" s="1" t="n">
        <v>8</v>
      </c>
      <c r="K328" s="1" t="n">
        <v>2.1</v>
      </c>
      <c r="L328" s="15" t="n">
        <v>2890.44</v>
      </c>
      <c r="M328" s="15" t="n">
        <f aca="false">F328*G328</f>
        <v>2979.83</v>
      </c>
      <c r="N328" s="15" t="n">
        <f aca="false">M328-L328</f>
        <v>89.3899999999999</v>
      </c>
      <c r="O328" s="1" t="n">
        <f aca="false">YEAR(B328)</f>
        <v>2022</v>
      </c>
      <c r="P328" s="1" t="n">
        <f aca="false">MONTH(B328)</f>
        <v>11</v>
      </c>
      <c r="Q328" s="1" t="str">
        <f aca="false">TEXT(B328,"mmm")</f>
        <v>Nov</v>
      </c>
      <c r="R328" s="1" t="str">
        <f aca="false">"Q"&amp;ROUNDUP(MONTH(B328)/3,0)</f>
        <v>Q4</v>
      </c>
    </row>
    <row r="329" customFormat="false" ht="15" hidden="false" customHeight="true" outlineLevel="0" collapsed="false">
      <c r="A329" s="1" t="n">
        <v>10328</v>
      </c>
      <c r="B329" s="14" t="n">
        <v>44889</v>
      </c>
      <c r="C329" s="1" t="n">
        <v>1348</v>
      </c>
      <c r="D329" s="1" t="s">
        <v>30</v>
      </c>
      <c r="E329" s="1" t="s">
        <v>36</v>
      </c>
      <c r="F329" s="1" t="n">
        <v>3</v>
      </c>
      <c r="G329" s="15" t="n">
        <v>439.57</v>
      </c>
      <c r="H329" s="16" t="n">
        <v>0.1</v>
      </c>
      <c r="I329" s="1" t="s">
        <v>33</v>
      </c>
      <c r="J329" s="1" t="n">
        <v>10</v>
      </c>
      <c r="K329" s="1" t="n">
        <v>1.9</v>
      </c>
      <c r="L329" s="15" t="n">
        <v>1186.84</v>
      </c>
      <c r="M329" s="15" t="n">
        <f aca="false">F329*G329</f>
        <v>1318.71</v>
      </c>
      <c r="N329" s="15" t="n">
        <f aca="false">M329-L329</f>
        <v>131.87</v>
      </c>
      <c r="O329" s="1" t="n">
        <f aca="false">YEAR(B329)</f>
        <v>2022</v>
      </c>
      <c r="P329" s="1" t="n">
        <f aca="false">MONTH(B329)</f>
        <v>11</v>
      </c>
      <c r="Q329" s="1" t="str">
        <f aca="false">TEXT(B329,"mmm")</f>
        <v>Nov</v>
      </c>
      <c r="R329" s="1" t="str">
        <f aca="false">"Q"&amp;ROUNDUP(MONTH(B329)/3,0)</f>
        <v>Q4</v>
      </c>
    </row>
    <row r="330" customFormat="false" ht="15" hidden="false" customHeight="true" outlineLevel="0" collapsed="false">
      <c r="A330" s="1" t="n">
        <v>10329</v>
      </c>
      <c r="B330" s="14" t="n">
        <v>44890</v>
      </c>
      <c r="C330" s="1" t="n">
        <v>1770</v>
      </c>
      <c r="D330" s="1" t="s">
        <v>34</v>
      </c>
      <c r="E330" s="1" t="s">
        <v>28</v>
      </c>
      <c r="F330" s="1" t="n">
        <v>1</v>
      </c>
      <c r="G330" s="15" t="n">
        <v>409.43</v>
      </c>
      <c r="H330" s="16" t="n">
        <v>0.23</v>
      </c>
      <c r="I330" s="1" t="s">
        <v>29</v>
      </c>
      <c r="J330" s="1" t="n">
        <v>5</v>
      </c>
      <c r="K330" s="1" t="n">
        <v>1</v>
      </c>
      <c r="L330" s="15" t="n">
        <v>315.26</v>
      </c>
      <c r="M330" s="15" t="n">
        <f aca="false">F330*G330</f>
        <v>409.43</v>
      </c>
      <c r="N330" s="15" t="n">
        <f aca="false">M330-L330</f>
        <v>94.17</v>
      </c>
      <c r="O330" s="1" t="n">
        <f aca="false">YEAR(B330)</f>
        <v>2022</v>
      </c>
      <c r="P330" s="1" t="n">
        <f aca="false">MONTH(B330)</f>
        <v>11</v>
      </c>
      <c r="Q330" s="1" t="str">
        <f aca="false">TEXT(B330,"mmm")</f>
        <v>Nov</v>
      </c>
      <c r="R330" s="1" t="str">
        <f aca="false">"Q"&amp;ROUNDUP(MONTH(B330)/3,0)</f>
        <v>Q4</v>
      </c>
    </row>
    <row r="331" customFormat="false" ht="15" hidden="false" customHeight="true" outlineLevel="0" collapsed="false">
      <c r="A331" s="1" t="n">
        <v>10330</v>
      </c>
      <c r="B331" s="14" t="n">
        <v>44891</v>
      </c>
      <c r="C331" s="1" t="n">
        <v>1659</v>
      </c>
      <c r="D331" s="1" t="s">
        <v>30</v>
      </c>
      <c r="E331" s="1" t="s">
        <v>28</v>
      </c>
      <c r="F331" s="1" t="n">
        <v>4</v>
      </c>
      <c r="G331" s="15" t="n">
        <v>211.61</v>
      </c>
      <c r="H331" s="16" t="n">
        <v>0.03</v>
      </c>
      <c r="I331" s="1" t="s">
        <v>31</v>
      </c>
      <c r="J331" s="1" t="n">
        <v>9</v>
      </c>
      <c r="K331" s="1" t="n">
        <v>1</v>
      </c>
      <c r="L331" s="15" t="n">
        <v>821.05</v>
      </c>
      <c r="M331" s="15" t="n">
        <f aca="false">F331*G331</f>
        <v>846.44</v>
      </c>
      <c r="N331" s="15" t="n">
        <f aca="false">M331-L331</f>
        <v>25.3900000000001</v>
      </c>
      <c r="O331" s="1" t="n">
        <f aca="false">YEAR(B331)</f>
        <v>2022</v>
      </c>
      <c r="P331" s="1" t="n">
        <f aca="false">MONTH(B331)</f>
        <v>11</v>
      </c>
      <c r="Q331" s="1" t="str">
        <f aca="false">TEXT(B331,"mmm")</f>
        <v>Nov</v>
      </c>
      <c r="R331" s="1" t="str">
        <f aca="false">"Q"&amp;ROUNDUP(MONTH(B331)/3,0)</f>
        <v>Q4</v>
      </c>
    </row>
    <row r="332" customFormat="false" ht="15" hidden="false" customHeight="true" outlineLevel="0" collapsed="false">
      <c r="A332" s="1" t="n">
        <v>10331</v>
      </c>
      <c r="B332" s="14" t="n">
        <v>44892</v>
      </c>
      <c r="C332" s="1" t="n">
        <v>1763</v>
      </c>
      <c r="D332" s="1" t="s">
        <v>34</v>
      </c>
      <c r="E332" s="1" t="s">
        <v>35</v>
      </c>
      <c r="F332" s="1" t="n">
        <v>5</v>
      </c>
      <c r="G332" s="15" t="n">
        <v>114.32</v>
      </c>
      <c r="H332" s="16" t="n">
        <v>0.2</v>
      </c>
      <c r="I332" s="1" t="s">
        <v>33</v>
      </c>
      <c r="J332" s="1" t="n">
        <v>1</v>
      </c>
      <c r="K332" s="1" t="n">
        <v>3.4</v>
      </c>
      <c r="L332" s="15" t="n">
        <v>457.28</v>
      </c>
      <c r="M332" s="15" t="n">
        <f aca="false">F332*G332</f>
        <v>571.6</v>
      </c>
      <c r="N332" s="15" t="n">
        <f aca="false">M332-L332</f>
        <v>114.32</v>
      </c>
      <c r="O332" s="1" t="n">
        <f aca="false">YEAR(B332)</f>
        <v>2022</v>
      </c>
      <c r="P332" s="1" t="n">
        <f aca="false">MONTH(B332)</f>
        <v>11</v>
      </c>
      <c r="Q332" s="1" t="str">
        <f aca="false">TEXT(B332,"mmm")</f>
        <v>Nov</v>
      </c>
      <c r="R332" s="1" t="str">
        <f aca="false">"Q"&amp;ROUNDUP(MONTH(B332)/3,0)</f>
        <v>Q4</v>
      </c>
    </row>
    <row r="333" customFormat="false" ht="15" hidden="false" customHeight="true" outlineLevel="0" collapsed="false">
      <c r="A333" s="1" t="n">
        <v>10332</v>
      </c>
      <c r="B333" s="14" t="n">
        <v>44893</v>
      </c>
      <c r="C333" s="1" t="n">
        <v>1954</v>
      </c>
      <c r="D333" s="1" t="s">
        <v>34</v>
      </c>
      <c r="E333" s="1" t="s">
        <v>32</v>
      </c>
      <c r="F333" s="1" t="n">
        <v>7</v>
      </c>
      <c r="G333" s="15" t="n">
        <v>354.75</v>
      </c>
      <c r="H333" s="16" t="n">
        <v>0.04</v>
      </c>
      <c r="I333" s="1" t="s">
        <v>29</v>
      </c>
      <c r="J333" s="1" t="n">
        <v>5</v>
      </c>
      <c r="K333" s="1" t="n">
        <v>2.2</v>
      </c>
      <c r="L333" s="15" t="n">
        <v>2383.92</v>
      </c>
      <c r="M333" s="15" t="n">
        <f aca="false">F333*G333</f>
        <v>2483.25</v>
      </c>
      <c r="N333" s="15" t="n">
        <f aca="false">M333-L333</f>
        <v>99.3299999999999</v>
      </c>
      <c r="O333" s="1" t="n">
        <f aca="false">YEAR(B333)</f>
        <v>2022</v>
      </c>
      <c r="P333" s="1" t="n">
        <f aca="false">MONTH(B333)</f>
        <v>11</v>
      </c>
      <c r="Q333" s="1" t="str">
        <f aca="false">TEXT(B333,"mmm")</f>
        <v>Nov</v>
      </c>
      <c r="R333" s="1" t="str">
        <f aca="false">"Q"&amp;ROUNDUP(MONTH(B333)/3,0)</f>
        <v>Q4</v>
      </c>
    </row>
    <row r="334" customFormat="false" ht="15" hidden="false" customHeight="true" outlineLevel="0" collapsed="false">
      <c r="A334" s="1" t="n">
        <v>10333</v>
      </c>
      <c r="B334" s="14" t="n">
        <v>44894</v>
      </c>
      <c r="C334" s="1" t="n">
        <v>1931</v>
      </c>
      <c r="D334" s="1" t="s">
        <v>37</v>
      </c>
      <c r="E334" s="1" t="s">
        <v>28</v>
      </c>
      <c r="F334" s="1" t="n">
        <v>1</v>
      </c>
      <c r="G334" s="15" t="n">
        <v>297.95</v>
      </c>
      <c r="H334" s="16" t="n">
        <v>0.07</v>
      </c>
      <c r="I334" s="1" t="s">
        <v>31</v>
      </c>
      <c r="J334" s="1" t="n">
        <v>3</v>
      </c>
      <c r="K334" s="1" t="n">
        <v>1.7</v>
      </c>
      <c r="L334" s="15" t="n">
        <v>277.09</v>
      </c>
      <c r="M334" s="15" t="n">
        <f aca="false">F334*G334</f>
        <v>297.95</v>
      </c>
      <c r="N334" s="15" t="n">
        <f aca="false">M334-L334</f>
        <v>20.86</v>
      </c>
      <c r="O334" s="1" t="n">
        <f aca="false">YEAR(B334)</f>
        <v>2022</v>
      </c>
      <c r="P334" s="1" t="n">
        <f aca="false">MONTH(B334)</f>
        <v>11</v>
      </c>
      <c r="Q334" s="1" t="str">
        <f aca="false">TEXT(B334,"mmm")</f>
        <v>Nov</v>
      </c>
      <c r="R334" s="1" t="str">
        <f aca="false">"Q"&amp;ROUNDUP(MONTH(B334)/3,0)</f>
        <v>Q4</v>
      </c>
    </row>
    <row r="335" customFormat="false" ht="15" hidden="false" customHeight="true" outlineLevel="0" collapsed="false">
      <c r="A335" s="1" t="n">
        <v>10334</v>
      </c>
      <c r="B335" s="14" t="n">
        <v>44895</v>
      </c>
      <c r="C335" s="1" t="n">
        <v>1402</v>
      </c>
      <c r="D335" s="1" t="s">
        <v>34</v>
      </c>
      <c r="E335" s="1" t="s">
        <v>36</v>
      </c>
      <c r="F335" s="1" t="n">
        <v>5</v>
      </c>
      <c r="G335" s="15" t="n">
        <v>441.37</v>
      </c>
      <c r="H335" s="16" t="n">
        <v>0.06</v>
      </c>
      <c r="I335" s="1" t="s">
        <v>29</v>
      </c>
      <c r="J335" s="1" t="n">
        <v>3</v>
      </c>
      <c r="K335" s="1" t="n">
        <v>3.7</v>
      </c>
      <c r="L335" s="15" t="n">
        <v>2074.44</v>
      </c>
      <c r="M335" s="15" t="n">
        <f aca="false">F335*G335</f>
        <v>2206.85</v>
      </c>
      <c r="N335" s="15" t="n">
        <f aca="false">M335-L335</f>
        <v>132.41</v>
      </c>
      <c r="O335" s="1" t="n">
        <f aca="false">YEAR(B335)</f>
        <v>2022</v>
      </c>
      <c r="P335" s="1" t="n">
        <f aca="false">MONTH(B335)</f>
        <v>11</v>
      </c>
      <c r="Q335" s="1" t="str">
        <f aca="false">TEXT(B335,"mmm")</f>
        <v>Nov</v>
      </c>
      <c r="R335" s="1" t="str">
        <f aca="false">"Q"&amp;ROUNDUP(MONTH(B335)/3,0)</f>
        <v>Q4</v>
      </c>
    </row>
    <row r="336" customFormat="false" ht="15" hidden="false" customHeight="true" outlineLevel="0" collapsed="false">
      <c r="A336" s="1" t="n">
        <v>10335</v>
      </c>
      <c r="B336" s="14" t="n">
        <v>44896</v>
      </c>
      <c r="C336" s="1" t="n">
        <v>1345</v>
      </c>
      <c r="D336" s="1" t="s">
        <v>30</v>
      </c>
      <c r="E336" s="1" t="s">
        <v>36</v>
      </c>
      <c r="F336" s="1" t="n">
        <v>1</v>
      </c>
      <c r="G336" s="15" t="n">
        <v>273.2</v>
      </c>
      <c r="H336" s="16" t="n">
        <v>0.02</v>
      </c>
      <c r="I336" s="1" t="s">
        <v>31</v>
      </c>
      <c r="J336" s="1" t="n">
        <v>2</v>
      </c>
      <c r="K336" s="1" t="n">
        <v>3.1</v>
      </c>
      <c r="L336" s="15" t="n">
        <v>267.74</v>
      </c>
      <c r="M336" s="15" t="n">
        <f aca="false">F336*G336</f>
        <v>273.2</v>
      </c>
      <c r="N336" s="15" t="n">
        <f aca="false">M336-L336</f>
        <v>5.45999999999998</v>
      </c>
      <c r="O336" s="1" t="n">
        <f aca="false">YEAR(B336)</f>
        <v>2022</v>
      </c>
      <c r="P336" s="1" t="n">
        <f aca="false">MONTH(B336)</f>
        <v>12</v>
      </c>
      <c r="Q336" s="1" t="str">
        <f aca="false">TEXT(B336,"mmm")</f>
        <v>Dec</v>
      </c>
      <c r="R336" s="1" t="str">
        <f aca="false">"Q"&amp;ROUNDUP(MONTH(B336)/3,0)</f>
        <v>Q4</v>
      </c>
    </row>
    <row r="337" customFormat="false" ht="15" hidden="false" customHeight="true" outlineLevel="0" collapsed="false">
      <c r="A337" s="1" t="n">
        <v>10336</v>
      </c>
      <c r="B337" s="14" t="n">
        <v>44897</v>
      </c>
      <c r="C337" s="1" t="n">
        <v>1962</v>
      </c>
      <c r="D337" s="1" t="s">
        <v>30</v>
      </c>
      <c r="E337" s="1" t="s">
        <v>28</v>
      </c>
      <c r="F337" s="1" t="n">
        <v>3</v>
      </c>
      <c r="G337" s="15" t="n">
        <v>213.1</v>
      </c>
      <c r="H337" s="16" t="n">
        <v>0.23</v>
      </c>
      <c r="I337" s="1" t="s">
        <v>29</v>
      </c>
      <c r="J337" s="1" t="n">
        <v>3</v>
      </c>
      <c r="K337" s="1" t="n">
        <v>4.7</v>
      </c>
      <c r="L337" s="15" t="n">
        <v>492.26</v>
      </c>
      <c r="M337" s="15" t="n">
        <f aca="false">F337*G337</f>
        <v>639.3</v>
      </c>
      <c r="N337" s="15" t="n">
        <f aca="false">M337-L337</f>
        <v>147.04</v>
      </c>
      <c r="O337" s="1" t="n">
        <f aca="false">YEAR(B337)</f>
        <v>2022</v>
      </c>
      <c r="P337" s="1" t="n">
        <f aca="false">MONTH(B337)</f>
        <v>12</v>
      </c>
      <c r="Q337" s="1" t="str">
        <f aca="false">TEXT(B337,"mmm")</f>
        <v>Dec</v>
      </c>
      <c r="R337" s="1" t="str">
        <f aca="false">"Q"&amp;ROUNDUP(MONTH(B337)/3,0)</f>
        <v>Q4</v>
      </c>
    </row>
    <row r="338" customFormat="false" ht="15" hidden="false" customHeight="true" outlineLevel="0" collapsed="false">
      <c r="A338" s="1" t="n">
        <v>10337</v>
      </c>
      <c r="B338" s="14" t="n">
        <v>44898</v>
      </c>
      <c r="C338" s="1" t="n">
        <v>1510</v>
      </c>
      <c r="D338" s="1" t="s">
        <v>34</v>
      </c>
      <c r="E338" s="1" t="s">
        <v>32</v>
      </c>
      <c r="F338" s="1" t="n">
        <v>6</v>
      </c>
      <c r="G338" s="15" t="n">
        <v>186.68</v>
      </c>
      <c r="H338" s="16" t="n">
        <v>0.16</v>
      </c>
      <c r="I338" s="1" t="s">
        <v>31</v>
      </c>
      <c r="J338" s="1" t="n">
        <v>7</v>
      </c>
      <c r="K338" s="1" t="n">
        <v>4.3</v>
      </c>
      <c r="L338" s="15" t="n">
        <v>940.87</v>
      </c>
      <c r="M338" s="15" t="n">
        <f aca="false">F338*G338</f>
        <v>1120.08</v>
      </c>
      <c r="N338" s="15" t="n">
        <f aca="false">M338-L338</f>
        <v>179.21</v>
      </c>
      <c r="O338" s="1" t="n">
        <f aca="false">YEAR(B338)</f>
        <v>2022</v>
      </c>
      <c r="P338" s="1" t="n">
        <f aca="false">MONTH(B338)</f>
        <v>12</v>
      </c>
      <c r="Q338" s="1" t="str">
        <f aca="false">TEXT(B338,"mmm")</f>
        <v>Dec</v>
      </c>
      <c r="R338" s="1" t="str">
        <f aca="false">"Q"&amp;ROUNDUP(MONTH(B338)/3,0)</f>
        <v>Q4</v>
      </c>
    </row>
    <row r="339" customFormat="false" ht="15" hidden="false" customHeight="true" outlineLevel="0" collapsed="false">
      <c r="A339" s="1" t="n">
        <v>10338</v>
      </c>
      <c r="B339" s="14" t="n">
        <v>44899</v>
      </c>
      <c r="C339" s="1" t="n">
        <v>1146</v>
      </c>
      <c r="D339" s="1" t="s">
        <v>27</v>
      </c>
      <c r="E339" s="1" t="s">
        <v>32</v>
      </c>
      <c r="F339" s="1" t="n">
        <v>4</v>
      </c>
      <c r="G339" s="15" t="n">
        <v>138.71</v>
      </c>
      <c r="H339" s="16" t="n">
        <v>0.29</v>
      </c>
      <c r="I339" s="1" t="s">
        <v>31</v>
      </c>
      <c r="J339" s="1" t="n">
        <v>8</v>
      </c>
      <c r="K339" s="1" t="n">
        <v>3.9</v>
      </c>
      <c r="L339" s="15" t="n">
        <v>393.94</v>
      </c>
      <c r="M339" s="15" t="n">
        <f aca="false">F339*G339</f>
        <v>554.84</v>
      </c>
      <c r="N339" s="15" t="n">
        <f aca="false">M339-L339</f>
        <v>160.9</v>
      </c>
      <c r="O339" s="1" t="n">
        <f aca="false">YEAR(B339)</f>
        <v>2022</v>
      </c>
      <c r="P339" s="1" t="n">
        <f aca="false">MONTH(B339)</f>
        <v>12</v>
      </c>
      <c r="Q339" s="1" t="str">
        <f aca="false">TEXT(B339,"mmm")</f>
        <v>Dec</v>
      </c>
      <c r="R339" s="1" t="str">
        <f aca="false">"Q"&amp;ROUNDUP(MONTH(B339)/3,0)</f>
        <v>Q4</v>
      </c>
    </row>
    <row r="340" customFormat="false" ht="15" hidden="false" customHeight="true" outlineLevel="0" collapsed="false">
      <c r="A340" s="1" t="n">
        <v>10339</v>
      </c>
      <c r="B340" s="14" t="n">
        <v>44900</v>
      </c>
      <c r="C340" s="1" t="n">
        <v>1147</v>
      </c>
      <c r="D340" s="1" t="s">
        <v>34</v>
      </c>
      <c r="E340" s="1" t="s">
        <v>35</v>
      </c>
      <c r="F340" s="1" t="n">
        <v>3</v>
      </c>
      <c r="G340" s="15" t="n">
        <v>170.46</v>
      </c>
      <c r="H340" s="16" t="n">
        <v>0.03</v>
      </c>
      <c r="I340" s="1" t="s">
        <v>29</v>
      </c>
      <c r="J340" s="1" t="n">
        <v>8</v>
      </c>
      <c r="K340" s="1" t="n">
        <v>1.5</v>
      </c>
      <c r="L340" s="15" t="n">
        <v>496.04</v>
      </c>
      <c r="M340" s="15" t="n">
        <f aca="false">F340*G340</f>
        <v>511.38</v>
      </c>
      <c r="N340" s="15" t="n">
        <f aca="false">M340-L340</f>
        <v>15.34</v>
      </c>
      <c r="O340" s="1" t="n">
        <f aca="false">YEAR(B340)</f>
        <v>2022</v>
      </c>
      <c r="P340" s="1" t="n">
        <f aca="false">MONTH(B340)</f>
        <v>12</v>
      </c>
      <c r="Q340" s="1" t="str">
        <f aca="false">TEXT(B340,"mmm")</f>
        <v>Dec</v>
      </c>
      <c r="R340" s="1" t="str">
        <f aca="false">"Q"&amp;ROUNDUP(MONTH(B340)/3,0)</f>
        <v>Q4</v>
      </c>
    </row>
    <row r="341" customFormat="false" ht="15" hidden="false" customHeight="true" outlineLevel="0" collapsed="false">
      <c r="A341" s="1" t="n">
        <v>10340</v>
      </c>
      <c r="B341" s="14" t="n">
        <v>44901</v>
      </c>
      <c r="C341" s="1" t="n">
        <v>1863</v>
      </c>
      <c r="D341" s="1" t="s">
        <v>34</v>
      </c>
      <c r="E341" s="1" t="s">
        <v>35</v>
      </c>
      <c r="F341" s="1" t="n">
        <v>4</v>
      </c>
      <c r="G341" s="15" t="n">
        <v>70.48</v>
      </c>
      <c r="H341" s="16" t="n">
        <v>0.05</v>
      </c>
      <c r="I341" s="1" t="s">
        <v>31</v>
      </c>
      <c r="J341" s="1" t="n">
        <v>11</v>
      </c>
      <c r="K341" s="1" t="n">
        <v>3.7</v>
      </c>
      <c r="L341" s="15" t="n">
        <v>267.82</v>
      </c>
      <c r="M341" s="15" t="n">
        <f aca="false">F341*G341</f>
        <v>281.92</v>
      </c>
      <c r="N341" s="15" t="n">
        <f aca="false">M341-L341</f>
        <v>14.1</v>
      </c>
      <c r="O341" s="1" t="n">
        <f aca="false">YEAR(B341)</f>
        <v>2022</v>
      </c>
      <c r="P341" s="1" t="n">
        <f aca="false">MONTH(B341)</f>
        <v>12</v>
      </c>
      <c r="Q341" s="1" t="str">
        <f aca="false">TEXT(B341,"mmm")</f>
        <v>Dec</v>
      </c>
      <c r="R341" s="1" t="str">
        <f aca="false">"Q"&amp;ROUNDUP(MONTH(B341)/3,0)</f>
        <v>Q4</v>
      </c>
    </row>
    <row r="342" customFormat="false" ht="15" hidden="false" customHeight="true" outlineLevel="0" collapsed="false">
      <c r="A342" s="1" t="n">
        <v>10341</v>
      </c>
      <c r="B342" s="14" t="n">
        <v>44902</v>
      </c>
      <c r="C342" s="1" t="n">
        <v>1710</v>
      </c>
      <c r="D342" s="1" t="s">
        <v>34</v>
      </c>
      <c r="E342" s="1" t="s">
        <v>28</v>
      </c>
      <c r="F342" s="1" t="n">
        <v>7</v>
      </c>
      <c r="G342" s="15" t="n">
        <v>217.91</v>
      </c>
      <c r="H342" s="16" t="n">
        <v>0.11</v>
      </c>
      <c r="I342" s="1" t="s">
        <v>31</v>
      </c>
      <c r="J342" s="1" t="n">
        <v>8</v>
      </c>
      <c r="K342" s="1" t="n">
        <v>3.8</v>
      </c>
      <c r="L342" s="15" t="n">
        <v>1357.58</v>
      </c>
      <c r="M342" s="15" t="n">
        <f aca="false">F342*G342</f>
        <v>1525.37</v>
      </c>
      <c r="N342" s="15" t="n">
        <f aca="false">M342-L342</f>
        <v>167.79</v>
      </c>
      <c r="O342" s="1" t="n">
        <f aca="false">YEAR(B342)</f>
        <v>2022</v>
      </c>
      <c r="P342" s="1" t="n">
        <f aca="false">MONTH(B342)</f>
        <v>12</v>
      </c>
      <c r="Q342" s="1" t="str">
        <f aca="false">TEXT(B342,"mmm")</f>
        <v>Dec</v>
      </c>
      <c r="R342" s="1" t="str">
        <f aca="false">"Q"&amp;ROUNDUP(MONTH(B342)/3,0)</f>
        <v>Q4</v>
      </c>
    </row>
    <row r="343" customFormat="false" ht="15" hidden="false" customHeight="true" outlineLevel="0" collapsed="false">
      <c r="A343" s="1" t="n">
        <v>10342</v>
      </c>
      <c r="B343" s="14" t="n">
        <v>44903</v>
      </c>
      <c r="C343" s="1" t="n">
        <v>1819</v>
      </c>
      <c r="D343" s="1" t="s">
        <v>34</v>
      </c>
      <c r="E343" s="1" t="s">
        <v>35</v>
      </c>
      <c r="F343" s="1" t="n">
        <v>5</v>
      </c>
      <c r="G343" s="15" t="n">
        <v>36.39</v>
      </c>
      <c r="H343" s="16" t="n">
        <v>0.27</v>
      </c>
      <c r="I343" s="1" t="s">
        <v>31</v>
      </c>
      <c r="J343" s="1" t="n">
        <v>1</v>
      </c>
      <c r="K343" s="1" t="n">
        <v>4.1</v>
      </c>
      <c r="L343" s="15" t="n">
        <v>132.82</v>
      </c>
      <c r="M343" s="15" t="n">
        <f aca="false">F343*G343</f>
        <v>181.95</v>
      </c>
      <c r="N343" s="15" t="n">
        <f aca="false">M343-L343</f>
        <v>49.13</v>
      </c>
      <c r="O343" s="1" t="n">
        <f aca="false">YEAR(B343)</f>
        <v>2022</v>
      </c>
      <c r="P343" s="1" t="n">
        <f aca="false">MONTH(B343)</f>
        <v>12</v>
      </c>
      <c r="Q343" s="1" t="str">
        <f aca="false">TEXT(B343,"mmm")</f>
        <v>Dec</v>
      </c>
      <c r="R343" s="1" t="str">
        <f aca="false">"Q"&amp;ROUNDUP(MONTH(B343)/3,0)</f>
        <v>Q4</v>
      </c>
    </row>
    <row r="344" customFormat="false" ht="15" hidden="false" customHeight="true" outlineLevel="0" collapsed="false">
      <c r="A344" s="1" t="n">
        <v>10343</v>
      </c>
      <c r="B344" s="14" t="n">
        <v>44904</v>
      </c>
      <c r="C344" s="1" t="n">
        <v>1488</v>
      </c>
      <c r="D344" s="1" t="s">
        <v>34</v>
      </c>
      <c r="E344" s="1" t="s">
        <v>35</v>
      </c>
      <c r="F344" s="1" t="n">
        <v>1</v>
      </c>
      <c r="G344" s="15" t="n">
        <v>124.05</v>
      </c>
      <c r="H344" s="16" t="n">
        <v>0.11</v>
      </c>
      <c r="I344" s="1" t="s">
        <v>33</v>
      </c>
      <c r="J344" s="1" t="n">
        <v>11</v>
      </c>
      <c r="K344" s="1" t="n">
        <v>2.1</v>
      </c>
      <c r="L344" s="15" t="n">
        <v>110.4</v>
      </c>
      <c r="M344" s="15" t="n">
        <f aca="false">F344*G344</f>
        <v>124.05</v>
      </c>
      <c r="N344" s="15" t="n">
        <f aca="false">M344-L344</f>
        <v>13.65</v>
      </c>
      <c r="O344" s="1" t="n">
        <f aca="false">YEAR(B344)</f>
        <v>2022</v>
      </c>
      <c r="P344" s="1" t="n">
        <f aca="false">MONTH(B344)</f>
        <v>12</v>
      </c>
      <c r="Q344" s="1" t="str">
        <f aca="false">TEXT(B344,"mmm")</f>
        <v>Dec</v>
      </c>
      <c r="R344" s="1" t="str">
        <f aca="false">"Q"&amp;ROUNDUP(MONTH(B344)/3,0)</f>
        <v>Q4</v>
      </c>
    </row>
    <row r="345" customFormat="false" ht="15" hidden="false" customHeight="true" outlineLevel="0" collapsed="false">
      <c r="A345" s="1" t="n">
        <v>10344</v>
      </c>
      <c r="B345" s="14" t="n">
        <v>44905</v>
      </c>
      <c r="C345" s="1" t="n">
        <v>1928</v>
      </c>
      <c r="D345" s="1" t="s">
        <v>37</v>
      </c>
      <c r="E345" s="1" t="s">
        <v>35</v>
      </c>
      <c r="F345" s="1" t="n">
        <v>2</v>
      </c>
      <c r="G345" s="15" t="n">
        <v>451.86</v>
      </c>
      <c r="H345" s="16" t="n">
        <v>0.14</v>
      </c>
      <c r="I345" s="1" t="s">
        <v>29</v>
      </c>
      <c r="J345" s="1" t="n">
        <v>7</v>
      </c>
      <c r="K345" s="1" t="n">
        <v>3.6</v>
      </c>
      <c r="L345" s="15" t="n">
        <v>777.2</v>
      </c>
      <c r="M345" s="15" t="n">
        <f aca="false">F345*G345</f>
        <v>903.72</v>
      </c>
      <c r="N345" s="15" t="n">
        <f aca="false">M345-L345</f>
        <v>126.52</v>
      </c>
      <c r="O345" s="1" t="n">
        <f aca="false">YEAR(B345)</f>
        <v>2022</v>
      </c>
      <c r="P345" s="1" t="n">
        <f aca="false">MONTH(B345)</f>
        <v>12</v>
      </c>
      <c r="Q345" s="1" t="str">
        <f aca="false">TEXT(B345,"mmm")</f>
        <v>Dec</v>
      </c>
      <c r="R345" s="1" t="str">
        <f aca="false">"Q"&amp;ROUNDUP(MONTH(B345)/3,0)</f>
        <v>Q4</v>
      </c>
    </row>
    <row r="346" customFormat="false" ht="15" hidden="false" customHeight="true" outlineLevel="0" collapsed="false">
      <c r="A346" s="1" t="n">
        <v>10345</v>
      </c>
      <c r="B346" s="14" t="n">
        <v>44906</v>
      </c>
      <c r="C346" s="1" t="n">
        <v>1935</v>
      </c>
      <c r="D346" s="1" t="s">
        <v>27</v>
      </c>
      <c r="E346" s="1" t="s">
        <v>36</v>
      </c>
      <c r="F346" s="1" t="n">
        <v>2</v>
      </c>
      <c r="G346" s="15" t="n">
        <v>205.4</v>
      </c>
      <c r="H346" s="16" t="n">
        <v>0.11</v>
      </c>
      <c r="I346" s="1" t="s">
        <v>31</v>
      </c>
      <c r="J346" s="1" t="n">
        <v>2</v>
      </c>
      <c r="K346" s="1" t="n">
        <v>3.5</v>
      </c>
      <c r="L346" s="15" t="n">
        <v>365.61</v>
      </c>
      <c r="M346" s="15" t="n">
        <f aca="false">F346*G346</f>
        <v>410.8</v>
      </c>
      <c r="N346" s="15" t="n">
        <f aca="false">M346-L346</f>
        <v>45.19</v>
      </c>
      <c r="O346" s="1" t="n">
        <f aca="false">YEAR(B346)</f>
        <v>2022</v>
      </c>
      <c r="P346" s="1" t="n">
        <f aca="false">MONTH(B346)</f>
        <v>12</v>
      </c>
      <c r="Q346" s="1" t="str">
        <f aca="false">TEXT(B346,"mmm")</f>
        <v>Dec</v>
      </c>
      <c r="R346" s="1" t="str">
        <f aca="false">"Q"&amp;ROUNDUP(MONTH(B346)/3,0)</f>
        <v>Q4</v>
      </c>
    </row>
    <row r="347" customFormat="false" ht="15" hidden="false" customHeight="true" outlineLevel="0" collapsed="false">
      <c r="A347" s="1" t="n">
        <v>10346</v>
      </c>
      <c r="B347" s="14" t="n">
        <v>44907</v>
      </c>
      <c r="C347" s="1" t="n">
        <v>1639</v>
      </c>
      <c r="D347" s="1" t="s">
        <v>34</v>
      </c>
      <c r="E347" s="1" t="s">
        <v>35</v>
      </c>
      <c r="F347" s="1" t="n">
        <v>4</v>
      </c>
      <c r="G347" s="15" t="n">
        <v>405.92</v>
      </c>
      <c r="H347" s="16" t="n">
        <v>0.03</v>
      </c>
      <c r="I347" s="1" t="s">
        <v>33</v>
      </c>
      <c r="J347" s="1" t="n">
        <v>11</v>
      </c>
      <c r="K347" s="1" t="n">
        <v>2.5</v>
      </c>
      <c r="L347" s="15" t="n">
        <v>1574.97</v>
      </c>
      <c r="M347" s="15" t="n">
        <f aca="false">F347*G347</f>
        <v>1623.68</v>
      </c>
      <c r="N347" s="15" t="n">
        <f aca="false">M347-L347</f>
        <v>48.71</v>
      </c>
      <c r="O347" s="1" t="n">
        <f aca="false">YEAR(B347)</f>
        <v>2022</v>
      </c>
      <c r="P347" s="1" t="n">
        <f aca="false">MONTH(B347)</f>
        <v>12</v>
      </c>
      <c r="Q347" s="1" t="str">
        <f aca="false">TEXT(B347,"mmm")</f>
        <v>Dec</v>
      </c>
      <c r="R347" s="1" t="str">
        <f aca="false">"Q"&amp;ROUNDUP(MONTH(B347)/3,0)</f>
        <v>Q4</v>
      </c>
    </row>
    <row r="348" customFormat="false" ht="15" hidden="false" customHeight="true" outlineLevel="0" collapsed="false">
      <c r="A348" s="1" t="n">
        <v>10347</v>
      </c>
      <c r="B348" s="14" t="n">
        <v>44908</v>
      </c>
      <c r="C348" s="1" t="n">
        <v>1550</v>
      </c>
      <c r="D348" s="1" t="s">
        <v>37</v>
      </c>
      <c r="E348" s="1" t="s">
        <v>28</v>
      </c>
      <c r="F348" s="1" t="n">
        <v>6</v>
      </c>
      <c r="G348" s="15" t="n">
        <v>434.38</v>
      </c>
      <c r="H348" s="16" t="n">
        <v>0.33</v>
      </c>
      <c r="I348" s="1" t="s">
        <v>31</v>
      </c>
      <c r="J348" s="1" t="n">
        <v>10</v>
      </c>
      <c r="K348" s="1" t="n">
        <v>3.7</v>
      </c>
      <c r="L348" s="15" t="n">
        <v>1746.21</v>
      </c>
      <c r="M348" s="15" t="n">
        <f aca="false">F348*G348</f>
        <v>2606.28</v>
      </c>
      <c r="N348" s="15" t="n">
        <f aca="false">M348-L348</f>
        <v>860.07</v>
      </c>
      <c r="O348" s="1" t="n">
        <f aca="false">YEAR(B348)</f>
        <v>2022</v>
      </c>
      <c r="P348" s="1" t="n">
        <f aca="false">MONTH(B348)</f>
        <v>12</v>
      </c>
      <c r="Q348" s="1" t="str">
        <f aca="false">TEXT(B348,"mmm")</f>
        <v>Dec</v>
      </c>
      <c r="R348" s="1" t="str">
        <f aca="false">"Q"&amp;ROUNDUP(MONTH(B348)/3,0)</f>
        <v>Q4</v>
      </c>
    </row>
    <row r="349" customFormat="false" ht="15" hidden="false" customHeight="true" outlineLevel="0" collapsed="false">
      <c r="A349" s="1" t="n">
        <v>10348</v>
      </c>
      <c r="B349" s="14" t="n">
        <v>44909</v>
      </c>
      <c r="C349" s="1" t="n">
        <v>1337</v>
      </c>
      <c r="D349" s="1" t="s">
        <v>37</v>
      </c>
      <c r="E349" s="1" t="s">
        <v>32</v>
      </c>
      <c r="F349" s="1" t="n">
        <v>6</v>
      </c>
      <c r="G349" s="15" t="n">
        <v>354.99</v>
      </c>
      <c r="H349" s="16" t="n">
        <v>0.19</v>
      </c>
      <c r="I349" s="1" t="s">
        <v>33</v>
      </c>
      <c r="J349" s="1" t="n">
        <v>4</v>
      </c>
      <c r="K349" s="1" t="n">
        <v>1.3</v>
      </c>
      <c r="L349" s="15" t="n">
        <v>1725.25</v>
      </c>
      <c r="M349" s="15" t="n">
        <f aca="false">F349*G349</f>
        <v>2129.94</v>
      </c>
      <c r="N349" s="15" t="n">
        <f aca="false">M349-L349</f>
        <v>404.69</v>
      </c>
      <c r="O349" s="1" t="n">
        <f aca="false">YEAR(B349)</f>
        <v>2022</v>
      </c>
      <c r="P349" s="1" t="n">
        <f aca="false">MONTH(B349)</f>
        <v>12</v>
      </c>
      <c r="Q349" s="1" t="str">
        <f aca="false">TEXT(B349,"mmm")</f>
        <v>Dec</v>
      </c>
      <c r="R349" s="1" t="str">
        <f aca="false">"Q"&amp;ROUNDUP(MONTH(B349)/3,0)</f>
        <v>Q4</v>
      </c>
    </row>
    <row r="350" customFormat="false" ht="15" hidden="false" customHeight="true" outlineLevel="0" collapsed="false">
      <c r="A350" s="1" t="n">
        <v>10349</v>
      </c>
      <c r="B350" s="14" t="n">
        <v>44910</v>
      </c>
      <c r="C350" s="1" t="n">
        <v>1871</v>
      </c>
      <c r="D350" s="1" t="s">
        <v>37</v>
      </c>
      <c r="E350" s="1" t="s">
        <v>35</v>
      </c>
      <c r="F350" s="1" t="n">
        <v>4</v>
      </c>
      <c r="G350" s="15" t="n">
        <v>575.84</v>
      </c>
      <c r="H350" s="16" t="n">
        <v>0.28</v>
      </c>
      <c r="I350" s="1" t="s">
        <v>31</v>
      </c>
      <c r="J350" s="1" t="n">
        <v>5</v>
      </c>
      <c r="K350" s="1" t="n">
        <v>3.6</v>
      </c>
      <c r="L350" s="15" t="n">
        <v>1658.42</v>
      </c>
      <c r="M350" s="15" t="n">
        <f aca="false">F350*G350</f>
        <v>2303.36</v>
      </c>
      <c r="N350" s="15" t="n">
        <f aca="false">M350-L350</f>
        <v>644.94</v>
      </c>
      <c r="O350" s="1" t="n">
        <f aca="false">YEAR(B350)</f>
        <v>2022</v>
      </c>
      <c r="P350" s="1" t="n">
        <f aca="false">MONTH(B350)</f>
        <v>12</v>
      </c>
      <c r="Q350" s="1" t="str">
        <f aca="false">TEXT(B350,"mmm")</f>
        <v>Dec</v>
      </c>
      <c r="R350" s="1" t="str">
        <f aca="false">"Q"&amp;ROUNDUP(MONTH(B350)/3,0)</f>
        <v>Q4</v>
      </c>
    </row>
    <row r="351" customFormat="false" ht="15" hidden="false" customHeight="true" outlineLevel="0" collapsed="false">
      <c r="A351" s="1" t="n">
        <v>10350</v>
      </c>
      <c r="B351" s="14" t="n">
        <v>44911</v>
      </c>
      <c r="C351" s="1" t="n">
        <v>1640</v>
      </c>
      <c r="D351" s="1" t="s">
        <v>30</v>
      </c>
      <c r="E351" s="1" t="s">
        <v>32</v>
      </c>
      <c r="F351" s="1" t="n">
        <v>3</v>
      </c>
      <c r="G351" s="15" t="n">
        <v>27.54</v>
      </c>
      <c r="H351" s="16" t="n">
        <v>0.23</v>
      </c>
      <c r="I351" s="1" t="s">
        <v>31</v>
      </c>
      <c r="J351" s="1" t="n">
        <v>1</v>
      </c>
      <c r="K351" s="1" t="n">
        <v>3.4</v>
      </c>
      <c r="L351" s="15" t="n">
        <v>63.62</v>
      </c>
      <c r="M351" s="15" t="n">
        <f aca="false">F351*G351</f>
        <v>82.62</v>
      </c>
      <c r="N351" s="15" t="n">
        <f aca="false">M351-L351</f>
        <v>19</v>
      </c>
      <c r="O351" s="1" t="n">
        <f aca="false">YEAR(B351)</f>
        <v>2022</v>
      </c>
      <c r="P351" s="1" t="n">
        <f aca="false">MONTH(B351)</f>
        <v>12</v>
      </c>
      <c r="Q351" s="1" t="str">
        <f aca="false">TEXT(B351,"mmm")</f>
        <v>Dec</v>
      </c>
      <c r="R351" s="1" t="str">
        <f aca="false">"Q"&amp;ROUNDUP(MONTH(B351)/3,0)</f>
        <v>Q4</v>
      </c>
    </row>
    <row r="352" customFormat="false" ht="15" hidden="false" customHeight="true" outlineLevel="0" collapsed="false">
      <c r="A352" s="1" t="n">
        <v>10351</v>
      </c>
      <c r="B352" s="14" t="n">
        <v>44912</v>
      </c>
      <c r="C352" s="1" t="n">
        <v>1778</v>
      </c>
      <c r="D352" s="1" t="s">
        <v>34</v>
      </c>
      <c r="E352" s="1" t="s">
        <v>35</v>
      </c>
      <c r="F352" s="1" t="n">
        <v>2</v>
      </c>
      <c r="G352" s="15" t="n">
        <v>447.11</v>
      </c>
      <c r="H352" s="16" t="n">
        <v>0.18</v>
      </c>
      <c r="I352" s="1" t="s">
        <v>31</v>
      </c>
      <c r="J352" s="1" t="n">
        <v>4</v>
      </c>
      <c r="K352" s="1" t="n">
        <v>1.8</v>
      </c>
      <c r="L352" s="15" t="n">
        <v>733.26</v>
      </c>
      <c r="M352" s="15" t="n">
        <f aca="false">F352*G352</f>
        <v>894.22</v>
      </c>
      <c r="N352" s="15" t="n">
        <f aca="false">M352-L352</f>
        <v>160.96</v>
      </c>
      <c r="O352" s="1" t="n">
        <f aca="false">YEAR(B352)</f>
        <v>2022</v>
      </c>
      <c r="P352" s="1" t="n">
        <f aca="false">MONTH(B352)</f>
        <v>12</v>
      </c>
      <c r="Q352" s="1" t="str">
        <f aca="false">TEXT(B352,"mmm")</f>
        <v>Dec</v>
      </c>
      <c r="R352" s="1" t="str">
        <f aca="false">"Q"&amp;ROUNDUP(MONTH(B352)/3,0)</f>
        <v>Q4</v>
      </c>
    </row>
    <row r="353" customFormat="false" ht="15" hidden="false" customHeight="true" outlineLevel="0" collapsed="false">
      <c r="A353" s="1" t="n">
        <v>10352</v>
      </c>
      <c r="B353" s="14" t="n">
        <v>44913</v>
      </c>
      <c r="C353" s="1" t="n">
        <v>1987</v>
      </c>
      <c r="D353" s="1" t="s">
        <v>34</v>
      </c>
      <c r="E353" s="1" t="s">
        <v>28</v>
      </c>
      <c r="F353" s="1" t="n">
        <v>3</v>
      </c>
      <c r="G353" s="15" t="n">
        <v>575.89</v>
      </c>
      <c r="H353" s="16" t="n">
        <v>0.03</v>
      </c>
      <c r="I353" s="1" t="s">
        <v>33</v>
      </c>
      <c r="J353" s="1" t="n">
        <v>4</v>
      </c>
      <c r="K353" s="1" t="n">
        <v>4.3</v>
      </c>
      <c r="L353" s="15" t="n">
        <v>1675.84</v>
      </c>
      <c r="M353" s="15" t="n">
        <f aca="false">F353*G353</f>
        <v>1727.67</v>
      </c>
      <c r="N353" s="15" t="n">
        <f aca="false">M353-L353</f>
        <v>51.8300000000002</v>
      </c>
      <c r="O353" s="1" t="n">
        <f aca="false">YEAR(B353)</f>
        <v>2022</v>
      </c>
      <c r="P353" s="1" t="n">
        <f aca="false">MONTH(B353)</f>
        <v>12</v>
      </c>
      <c r="Q353" s="1" t="str">
        <f aca="false">TEXT(B353,"mmm")</f>
        <v>Dec</v>
      </c>
      <c r="R353" s="1" t="str">
        <f aca="false">"Q"&amp;ROUNDUP(MONTH(B353)/3,0)</f>
        <v>Q4</v>
      </c>
    </row>
    <row r="354" customFormat="false" ht="15" hidden="false" customHeight="true" outlineLevel="0" collapsed="false">
      <c r="A354" s="1" t="n">
        <v>10353</v>
      </c>
      <c r="B354" s="14" t="n">
        <v>44914</v>
      </c>
      <c r="C354" s="1" t="n">
        <v>1952</v>
      </c>
      <c r="D354" s="1" t="s">
        <v>37</v>
      </c>
      <c r="E354" s="1" t="s">
        <v>36</v>
      </c>
      <c r="F354" s="1" t="n">
        <v>5</v>
      </c>
      <c r="G354" s="15" t="n">
        <v>519.43</v>
      </c>
      <c r="H354" s="16" t="n">
        <v>0.22</v>
      </c>
      <c r="I354" s="1" t="s">
        <v>29</v>
      </c>
      <c r="J354" s="1" t="n">
        <v>9</v>
      </c>
      <c r="K354" s="1" t="n">
        <v>4.5</v>
      </c>
      <c r="L354" s="15" t="n">
        <v>2025.78</v>
      </c>
      <c r="M354" s="15" t="n">
        <f aca="false">F354*G354</f>
        <v>2597.15</v>
      </c>
      <c r="N354" s="15" t="n">
        <f aca="false">M354-L354</f>
        <v>571.37</v>
      </c>
      <c r="O354" s="1" t="n">
        <f aca="false">YEAR(B354)</f>
        <v>2022</v>
      </c>
      <c r="P354" s="1" t="n">
        <f aca="false">MONTH(B354)</f>
        <v>12</v>
      </c>
      <c r="Q354" s="1" t="str">
        <f aca="false">TEXT(B354,"mmm")</f>
        <v>Dec</v>
      </c>
      <c r="R354" s="1" t="str">
        <f aca="false">"Q"&amp;ROUNDUP(MONTH(B354)/3,0)</f>
        <v>Q4</v>
      </c>
    </row>
    <row r="355" customFormat="false" ht="15" hidden="false" customHeight="true" outlineLevel="0" collapsed="false">
      <c r="A355" s="1" t="n">
        <v>10354</v>
      </c>
      <c r="B355" s="14" t="n">
        <v>44915</v>
      </c>
      <c r="C355" s="1" t="n">
        <v>1472</v>
      </c>
      <c r="D355" s="1" t="s">
        <v>37</v>
      </c>
      <c r="E355" s="1" t="s">
        <v>28</v>
      </c>
      <c r="F355" s="1" t="n">
        <v>2</v>
      </c>
      <c r="G355" s="15" t="n">
        <v>113.22</v>
      </c>
      <c r="H355" s="16" t="n">
        <v>0.05</v>
      </c>
      <c r="I355" s="1" t="s">
        <v>33</v>
      </c>
      <c r="J355" s="1" t="n">
        <v>9</v>
      </c>
      <c r="K355" s="1" t="n">
        <v>1.8</v>
      </c>
      <c r="L355" s="15" t="n">
        <v>215.12</v>
      </c>
      <c r="M355" s="15" t="n">
        <f aca="false">F355*G355</f>
        <v>226.44</v>
      </c>
      <c r="N355" s="15" t="n">
        <f aca="false">M355-L355</f>
        <v>11.32</v>
      </c>
      <c r="O355" s="1" t="n">
        <f aca="false">YEAR(B355)</f>
        <v>2022</v>
      </c>
      <c r="P355" s="1" t="n">
        <f aca="false">MONTH(B355)</f>
        <v>12</v>
      </c>
      <c r="Q355" s="1" t="str">
        <f aca="false">TEXT(B355,"mmm")</f>
        <v>Dec</v>
      </c>
      <c r="R355" s="1" t="str">
        <f aca="false">"Q"&amp;ROUNDUP(MONTH(B355)/3,0)</f>
        <v>Q4</v>
      </c>
    </row>
    <row r="356" customFormat="false" ht="15" hidden="false" customHeight="true" outlineLevel="0" collapsed="false">
      <c r="A356" s="1" t="n">
        <v>10355</v>
      </c>
      <c r="B356" s="14" t="n">
        <v>44916</v>
      </c>
      <c r="C356" s="1" t="n">
        <v>1945</v>
      </c>
      <c r="D356" s="1" t="s">
        <v>34</v>
      </c>
      <c r="E356" s="1" t="s">
        <v>36</v>
      </c>
      <c r="F356" s="1" t="n">
        <v>5</v>
      </c>
      <c r="G356" s="15" t="n">
        <v>206.19</v>
      </c>
      <c r="H356" s="16" t="n">
        <v>0.15</v>
      </c>
      <c r="I356" s="1" t="s">
        <v>31</v>
      </c>
      <c r="J356" s="1" t="n">
        <v>11</v>
      </c>
      <c r="K356" s="1" t="n">
        <v>1.3</v>
      </c>
      <c r="L356" s="15" t="n">
        <v>876.31</v>
      </c>
      <c r="M356" s="15" t="n">
        <f aca="false">F356*G356</f>
        <v>1030.95</v>
      </c>
      <c r="N356" s="15" t="n">
        <f aca="false">M356-L356</f>
        <v>154.64</v>
      </c>
      <c r="O356" s="1" t="n">
        <f aca="false">YEAR(B356)</f>
        <v>2022</v>
      </c>
      <c r="P356" s="1" t="n">
        <f aca="false">MONTH(B356)</f>
        <v>12</v>
      </c>
      <c r="Q356" s="1" t="str">
        <f aca="false">TEXT(B356,"mmm")</f>
        <v>Dec</v>
      </c>
      <c r="R356" s="1" t="str">
        <f aca="false">"Q"&amp;ROUNDUP(MONTH(B356)/3,0)</f>
        <v>Q4</v>
      </c>
    </row>
    <row r="357" customFormat="false" ht="15" hidden="false" customHeight="true" outlineLevel="0" collapsed="false">
      <c r="A357" s="1" t="n">
        <v>10356</v>
      </c>
      <c r="B357" s="14" t="n">
        <v>44917</v>
      </c>
      <c r="C357" s="1" t="n">
        <v>1150</v>
      </c>
      <c r="D357" s="1" t="s">
        <v>30</v>
      </c>
      <c r="E357" s="1" t="s">
        <v>35</v>
      </c>
      <c r="F357" s="1" t="n">
        <v>1</v>
      </c>
      <c r="G357" s="15" t="n">
        <v>115.88</v>
      </c>
      <c r="H357" s="16" t="n">
        <v>0.22</v>
      </c>
      <c r="I357" s="1" t="s">
        <v>33</v>
      </c>
      <c r="J357" s="1" t="n">
        <v>10</v>
      </c>
      <c r="K357" s="1" t="n">
        <v>3.4</v>
      </c>
      <c r="L357" s="15" t="n">
        <v>90.39</v>
      </c>
      <c r="M357" s="15" t="n">
        <f aca="false">F357*G357</f>
        <v>115.88</v>
      </c>
      <c r="N357" s="15" t="n">
        <f aca="false">M357-L357</f>
        <v>25.49</v>
      </c>
      <c r="O357" s="1" t="n">
        <f aca="false">YEAR(B357)</f>
        <v>2022</v>
      </c>
      <c r="P357" s="1" t="n">
        <f aca="false">MONTH(B357)</f>
        <v>12</v>
      </c>
      <c r="Q357" s="1" t="str">
        <f aca="false">TEXT(B357,"mmm")</f>
        <v>Dec</v>
      </c>
      <c r="R357" s="1" t="str">
        <f aca="false">"Q"&amp;ROUNDUP(MONTH(B357)/3,0)</f>
        <v>Q4</v>
      </c>
    </row>
    <row r="358" customFormat="false" ht="15" hidden="false" customHeight="true" outlineLevel="0" collapsed="false">
      <c r="A358" s="1" t="n">
        <v>10357</v>
      </c>
      <c r="B358" s="14" t="n">
        <v>44918</v>
      </c>
      <c r="C358" s="1" t="n">
        <v>1414</v>
      </c>
      <c r="D358" s="1" t="s">
        <v>27</v>
      </c>
      <c r="E358" s="1" t="s">
        <v>35</v>
      </c>
      <c r="F358" s="1" t="n">
        <v>3</v>
      </c>
      <c r="G358" s="15" t="n">
        <v>366.77</v>
      </c>
      <c r="H358" s="16" t="n">
        <v>0.27</v>
      </c>
      <c r="I358" s="1" t="s">
        <v>33</v>
      </c>
      <c r="J358" s="1" t="n">
        <v>1</v>
      </c>
      <c r="K358" s="1" t="n">
        <v>2.9</v>
      </c>
      <c r="L358" s="15" t="n">
        <v>803.23</v>
      </c>
      <c r="M358" s="15" t="n">
        <f aca="false">F358*G358</f>
        <v>1100.31</v>
      </c>
      <c r="N358" s="15" t="n">
        <f aca="false">M358-L358</f>
        <v>297.08</v>
      </c>
      <c r="O358" s="1" t="n">
        <f aca="false">YEAR(B358)</f>
        <v>2022</v>
      </c>
      <c r="P358" s="1" t="n">
        <f aca="false">MONTH(B358)</f>
        <v>12</v>
      </c>
      <c r="Q358" s="1" t="str">
        <f aca="false">TEXT(B358,"mmm")</f>
        <v>Dec</v>
      </c>
      <c r="R358" s="1" t="str">
        <f aca="false">"Q"&amp;ROUNDUP(MONTH(B358)/3,0)</f>
        <v>Q4</v>
      </c>
    </row>
    <row r="359" customFormat="false" ht="15" hidden="false" customHeight="true" outlineLevel="0" collapsed="false">
      <c r="A359" s="1" t="n">
        <v>10358</v>
      </c>
      <c r="B359" s="14" t="n">
        <v>44919</v>
      </c>
      <c r="C359" s="1" t="n">
        <v>1989</v>
      </c>
      <c r="D359" s="1" t="s">
        <v>37</v>
      </c>
      <c r="E359" s="1" t="s">
        <v>36</v>
      </c>
      <c r="F359" s="1" t="n">
        <v>4</v>
      </c>
      <c r="G359" s="15" t="n">
        <v>431.63</v>
      </c>
      <c r="H359" s="16" t="n">
        <v>0.24</v>
      </c>
      <c r="I359" s="1" t="s">
        <v>31</v>
      </c>
      <c r="J359" s="1" t="n">
        <v>8</v>
      </c>
      <c r="K359" s="1" t="n">
        <v>2.7</v>
      </c>
      <c r="L359" s="15" t="n">
        <v>1312.16</v>
      </c>
      <c r="M359" s="15" t="n">
        <f aca="false">F359*G359</f>
        <v>1726.52</v>
      </c>
      <c r="N359" s="15" t="n">
        <f aca="false">M359-L359</f>
        <v>414.36</v>
      </c>
      <c r="O359" s="1" t="n">
        <f aca="false">YEAR(B359)</f>
        <v>2022</v>
      </c>
      <c r="P359" s="1" t="n">
        <f aca="false">MONTH(B359)</f>
        <v>12</v>
      </c>
      <c r="Q359" s="1" t="str">
        <f aca="false">TEXT(B359,"mmm")</f>
        <v>Dec</v>
      </c>
      <c r="R359" s="1" t="str">
        <f aca="false">"Q"&amp;ROUNDUP(MONTH(B359)/3,0)</f>
        <v>Q4</v>
      </c>
    </row>
    <row r="360" customFormat="false" ht="15" hidden="false" customHeight="true" outlineLevel="0" collapsed="false">
      <c r="A360" s="1" t="n">
        <v>10359</v>
      </c>
      <c r="B360" s="14" t="n">
        <v>44920</v>
      </c>
      <c r="C360" s="1" t="n">
        <v>1297</v>
      </c>
      <c r="D360" s="1" t="s">
        <v>27</v>
      </c>
      <c r="E360" s="1" t="s">
        <v>28</v>
      </c>
      <c r="F360" s="1" t="n">
        <v>2</v>
      </c>
      <c r="G360" s="15" t="n">
        <v>200.49</v>
      </c>
      <c r="H360" s="16" t="n">
        <v>0.24</v>
      </c>
      <c r="I360" s="1" t="s">
        <v>31</v>
      </c>
      <c r="J360" s="1" t="n">
        <v>4</v>
      </c>
      <c r="K360" s="1" t="n">
        <v>4</v>
      </c>
      <c r="L360" s="15" t="n">
        <v>304.74</v>
      </c>
      <c r="M360" s="15" t="n">
        <f aca="false">F360*G360</f>
        <v>400.98</v>
      </c>
      <c r="N360" s="15" t="n">
        <f aca="false">M360-L360</f>
        <v>96.24</v>
      </c>
      <c r="O360" s="1" t="n">
        <f aca="false">YEAR(B360)</f>
        <v>2022</v>
      </c>
      <c r="P360" s="1" t="n">
        <f aca="false">MONTH(B360)</f>
        <v>12</v>
      </c>
      <c r="Q360" s="1" t="str">
        <f aca="false">TEXT(B360,"mmm")</f>
        <v>Dec</v>
      </c>
      <c r="R360" s="1" t="str">
        <f aca="false">"Q"&amp;ROUNDUP(MONTH(B360)/3,0)</f>
        <v>Q4</v>
      </c>
    </row>
    <row r="361" customFormat="false" ht="15" hidden="false" customHeight="true" outlineLevel="0" collapsed="false">
      <c r="A361" s="1" t="n">
        <v>10360</v>
      </c>
      <c r="B361" s="14" t="n">
        <v>44921</v>
      </c>
      <c r="C361" s="1" t="n">
        <v>1610</v>
      </c>
      <c r="D361" s="1" t="s">
        <v>37</v>
      </c>
      <c r="E361" s="1" t="s">
        <v>28</v>
      </c>
      <c r="F361" s="1" t="n">
        <v>3</v>
      </c>
      <c r="G361" s="15" t="n">
        <v>330.61</v>
      </c>
      <c r="H361" s="16" t="n">
        <v>0.05</v>
      </c>
      <c r="I361" s="1" t="s">
        <v>31</v>
      </c>
      <c r="J361" s="1" t="n">
        <v>4</v>
      </c>
      <c r="K361" s="1" t="n">
        <v>4.9</v>
      </c>
      <c r="L361" s="15" t="n">
        <v>942.24</v>
      </c>
      <c r="M361" s="15" t="n">
        <f aca="false">F361*G361</f>
        <v>991.83</v>
      </c>
      <c r="N361" s="15" t="n">
        <f aca="false">M361-L361</f>
        <v>49.59</v>
      </c>
      <c r="O361" s="1" t="n">
        <f aca="false">YEAR(B361)</f>
        <v>2022</v>
      </c>
      <c r="P361" s="1" t="n">
        <f aca="false">MONTH(B361)</f>
        <v>12</v>
      </c>
      <c r="Q361" s="1" t="str">
        <f aca="false">TEXT(B361,"mmm")</f>
        <v>Dec</v>
      </c>
      <c r="R361" s="1" t="str">
        <f aca="false">"Q"&amp;ROUNDUP(MONTH(B361)/3,0)</f>
        <v>Q4</v>
      </c>
    </row>
    <row r="362" customFormat="false" ht="15" hidden="false" customHeight="true" outlineLevel="0" collapsed="false">
      <c r="A362" s="1" t="n">
        <v>10361</v>
      </c>
      <c r="B362" s="14" t="n">
        <v>44922</v>
      </c>
      <c r="C362" s="1" t="n">
        <v>1262</v>
      </c>
      <c r="D362" s="1" t="s">
        <v>30</v>
      </c>
      <c r="E362" s="1" t="s">
        <v>36</v>
      </c>
      <c r="F362" s="1" t="n">
        <v>4</v>
      </c>
      <c r="G362" s="15" t="n">
        <v>419.19</v>
      </c>
      <c r="H362" s="16" t="n">
        <v>0.12</v>
      </c>
      <c r="I362" s="1" t="s">
        <v>33</v>
      </c>
      <c r="J362" s="1" t="n">
        <v>5</v>
      </c>
      <c r="K362" s="1" t="n">
        <v>2.9</v>
      </c>
      <c r="L362" s="15" t="n">
        <v>1475.55</v>
      </c>
      <c r="M362" s="15" t="n">
        <f aca="false">F362*G362</f>
        <v>1676.76</v>
      </c>
      <c r="N362" s="15" t="n">
        <f aca="false">M362-L362</f>
        <v>201.21</v>
      </c>
      <c r="O362" s="1" t="n">
        <f aca="false">YEAR(B362)</f>
        <v>2022</v>
      </c>
      <c r="P362" s="1" t="n">
        <f aca="false">MONTH(B362)</f>
        <v>12</v>
      </c>
      <c r="Q362" s="1" t="str">
        <f aca="false">TEXT(B362,"mmm")</f>
        <v>Dec</v>
      </c>
      <c r="R362" s="1" t="str">
        <f aca="false">"Q"&amp;ROUNDUP(MONTH(B362)/3,0)</f>
        <v>Q4</v>
      </c>
    </row>
    <row r="363" customFormat="false" ht="15" hidden="false" customHeight="true" outlineLevel="0" collapsed="false">
      <c r="A363" s="1" t="n">
        <v>10362</v>
      </c>
      <c r="B363" s="14" t="n">
        <v>44923</v>
      </c>
      <c r="C363" s="1" t="n">
        <v>1763</v>
      </c>
      <c r="D363" s="1" t="s">
        <v>30</v>
      </c>
      <c r="E363" s="1" t="s">
        <v>35</v>
      </c>
      <c r="F363" s="1" t="n">
        <v>1</v>
      </c>
      <c r="G363" s="15" t="n">
        <v>261.48</v>
      </c>
      <c r="H363" s="16" t="n">
        <v>0.02</v>
      </c>
      <c r="I363" s="1" t="s">
        <v>33</v>
      </c>
      <c r="J363" s="1" t="n">
        <v>2</v>
      </c>
      <c r="K363" s="1" t="n">
        <v>1</v>
      </c>
      <c r="L363" s="15" t="n">
        <v>256.25</v>
      </c>
      <c r="M363" s="15" t="n">
        <f aca="false">F363*G363</f>
        <v>261.48</v>
      </c>
      <c r="N363" s="15" t="n">
        <f aca="false">M363-L363</f>
        <v>5.23000000000002</v>
      </c>
      <c r="O363" s="1" t="n">
        <f aca="false">YEAR(B363)</f>
        <v>2022</v>
      </c>
      <c r="P363" s="1" t="n">
        <f aca="false">MONTH(B363)</f>
        <v>12</v>
      </c>
      <c r="Q363" s="1" t="str">
        <f aca="false">TEXT(B363,"mmm")</f>
        <v>Dec</v>
      </c>
      <c r="R363" s="1" t="str">
        <f aca="false">"Q"&amp;ROUNDUP(MONTH(B363)/3,0)</f>
        <v>Q4</v>
      </c>
    </row>
    <row r="364" customFormat="false" ht="15" hidden="false" customHeight="true" outlineLevel="0" collapsed="false">
      <c r="A364" s="1" t="n">
        <v>10363</v>
      </c>
      <c r="B364" s="14" t="n">
        <v>44924</v>
      </c>
      <c r="C364" s="1" t="n">
        <v>1143</v>
      </c>
      <c r="D364" s="1" t="s">
        <v>37</v>
      </c>
      <c r="E364" s="1" t="s">
        <v>36</v>
      </c>
      <c r="F364" s="1" t="n">
        <v>2</v>
      </c>
      <c r="G364" s="15" t="n">
        <v>514.6</v>
      </c>
      <c r="H364" s="16" t="n">
        <v>0.25</v>
      </c>
      <c r="I364" s="1" t="s">
        <v>33</v>
      </c>
      <c r="J364" s="1" t="n">
        <v>1</v>
      </c>
      <c r="K364" s="1" t="n">
        <v>3.4</v>
      </c>
      <c r="L364" s="15" t="n">
        <v>771.9</v>
      </c>
      <c r="M364" s="15" t="n">
        <f aca="false">F364*G364</f>
        <v>1029.2</v>
      </c>
      <c r="N364" s="15" t="n">
        <f aca="false">M364-L364</f>
        <v>257.3</v>
      </c>
      <c r="O364" s="1" t="n">
        <f aca="false">YEAR(B364)</f>
        <v>2022</v>
      </c>
      <c r="P364" s="1" t="n">
        <f aca="false">MONTH(B364)</f>
        <v>12</v>
      </c>
      <c r="Q364" s="1" t="str">
        <f aca="false">TEXT(B364,"mmm")</f>
        <v>Dec</v>
      </c>
      <c r="R364" s="1" t="str">
        <f aca="false">"Q"&amp;ROUNDUP(MONTH(B364)/3,0)</f>
        <v>Q4</v>
      </c>
    </row>
    <row r="365" customFormat="false" ht="15" hidden="false" customHeight="true" outlineLevel="0" collapsed="false">
      <c r="A365" s="1" t="n">
        <v>10364</v>
      </c>
      <c r="B365" s="14" t="n">
        <v>44925</v>
      </c>
      <c r="C365" s="1" t="n">
        <v>1345</v>
      </c>
      <c r="D365" s="1" t="s">
        <v>34</v>
      </c>
      <c r="E365" s="1" t="s">
        <v>35</v>
      </c>
      <c r="F365" s="1" t="n">
        <v>5</v>
      </c>
      <c r="G365" s="15" t="n">
        <v>466.36</v>
      </c>
      <c r="H365" s="16" t="n">
        <v>0.33</v>
      </c>
      <c r="I365" s="1" t="s">
        <v>31</v>
      </c>
      <c r="J365" s="1" t="n">
        <v>5</v>
      </c>
      <c r="K365" s="1" t="n">
        <v>3.6</v>
      </c>
      <c r="L365" s="15" t="n">
        <v>1562.31</v>
      </c>
      <c r="M365" s="15" t="n">
        <f aca="false">F365*G365</f>
        <v>2331.8</v>
      </c>
      <c r="N365" s="15" t="n">
        <f aca="false">M365-L365</f>
        <v>769.49</v>
      </c>
      <c r="O365" s="1" t="n">
        <f aca="false">YEAR(B365)</f>
        <v>2022</v>
      </c>
      <c r="P365" s="1" t="n">
        <f aca="false">MONTH(B365)</f>
        <v>12</v>
      </c>
      <c r="Q365" s="1" t="str">
        <f aca="false">TEXT(B365,"mmm")</f>
        <v>Dec</v>
      </c>
      <c r="R365" s="1" t="str">
        <f aca="false">"Q"&amp;ROUNDUP(MONTH(B365)/3,0)</f>
        <v>Q4</v>
      </c>
    </row>
    <row r="366" customFormat="false" ht="15" hidden="false" customHeight="true" outlineLevel="0" collapsed="false">
      <c r="A366" s="1" t="n">
        <v>10365</v>
      </c>
      <c r="B366" s="14" t="n">
        <v>44926</v>
      </c>
      <c r="C366" s="1" t="n">
        <v>1623</v>
      </c>
      <c r="D366" s="1" t="s">
        <v>30</v>
      </c>
      <c r="E366" s="1" t="s">
        <v>36</v>
      </c>
      <c r="F366" s="1" t="n">
        <v>1</v>
      </c>
      <c r="G366" s="15" t="n">
        <v>52.83</v>
      </c>
      <c r="H366" s="16" t="n">
        <v>0.09</v>
      </c>
      <c r="I366" s="1" t="s">
        <v>31</v>
      </c>
      <c r="J366" s="1" t="n">
        <v>7</v>
      </c>
      <c r="K366" s="1" t="n">
        <v>4.3</v>
      </c>
      <c r="L366" s="15" t="n">
        <v>48.08</v>
      </c>
      <c r="M366" s="15" t="n">
        <f aca="false">F366*G366</f>
        <v>52.83</v>
      </c>
      <c r="N366" s="15" t="n">
        <f aca="false">M366-L366</f>
        <v>4.75</v>
      </c>
      <c r="O366" s="1" t="n">
        <f aca="false">YEAR(B366)</f>
        <v>2022</v>
      </c>
      <c r="P366" s="1" t="n">
        <f aca="false">MONTH(B366)</f>
        <v>12</v>
      </c>
      <c r="Q366" s="1" t="str">
        <f aca="false">TEXT(B366,"mmm")</f>
        <v>Dec</v>
      </c>
      <c r="R366" s="1" t="str">
        <f aca="false">"Q"&amp;ROUNDUP(MONTH(B366)/3,0)</f>
        <v>Q4</v>
      </c>
    </row>
    <row r="367" customFormat="false" ht="15" hidden="false" customHeight="true" outlineLevel="0" collapsed="false">
      <c r="A367" s="1" t="n">
        <v>10366</v>
      </c>
      <c r="B367" s="14" t="n">
        <v>44927</v>
      </c>
      <c r="C367" s="1" t="n">
        <v>1571</v>
      </c>
      <c r="D367" s="1" t="s">
        <v>37</v>
      </c>
      <c r="E367" s="1" t="s">
        <v>35</v>
      </c>
      <c r="F367" s="1" t="n">
        <v>6</v>
      </c>
      <c r="G367" s="15" t="n">
        <v>378.36</v>
      </c>
      <c r="H367" s="16" t="n">
        <v>0.03</v>
      </c>
      <c r="I367" s="1" t="s">
        <v>29</v>
      </c>
      <c r="J367" s="1" t="n">
        <v>10</v>
      </c>
      <c r="K367" s="1" t="n">
        <v>1.8</v>
      </c>
      <c r="L367" s="15" t="n">
        <v>2202.06</v>
      </c>
      <c r="M367" s="15" t="n">
        <f aca="false">F367*G367</f>
        <v>2270.16</v>
      </c>
      <c r="N367" s="15" t="n">
        <f aca="false">M367-L367</f>
        <v>68.0999999999999</v>
      </c>
      <c r="O367" s="1" t="n">
        <f aca="false">YEAR(B367)</f>
        <v>2023</v>
      </c>
      <c r="P367" s="1" t="n">
        <f aca="false">MONTH(B367)</f>
        <v>1</v>
      </c>
      <c r="Q367" s="1" t="str">
        <f aca="false">TEXT(B367,"mmm")</f>
        <v>Jan</v>
      </c>
      <c r="R367" s="1" t="str">
        <f aca="false">"Q"&amp;ROUNDUP(MONTH(B367)/3,0)</f>
        <v>Q1</v>
      </c>
    </row>
    <row r="368" customFormat="false" ht="15" hidden="false" customHeight="true" outlineLevel="0" collapsed="false">
      <c r="A368" s="1" t="n">
        <v>10367</v>
      </c>
      <c r="B368" s="14" t="n">
        <v>44928</v>
      </c>
      <c r="C368" s="1" t="n">
        <v>1880</v>
      </c>
      <c r="D368" s="1" t="s">
        <v>34</v>
      </c>
      <c r="E368" s="1" t="s">
        <v>36</v>
      </c>
      <c r="F368" s="1" t="n">
        <v>4</v>
      </c>
      <c r="G368" s="15" t="n">
        <v>152.67</v>
      </c>
      <c r="H368" s="16" t="n">
        <v>0.17</v>
      </c>
      <c r="I368" s="1" t="s">
        <v>31</v>
      </c>
      <c r="J368" s="1" t="n">
        <v>9</v>
      </c>
      <c r="K368" s="1" t="n">
        <v>3.1</v>
      </c>
      <c r="L368" s="15" t="n">
        <v>506.86</v>
      </c>
      <c r="M368" s="15" t="n">
        <f aca="false">F368*G368</f>
        <v>610.68</v>
      </c>
      <c r="N368" s="15" t="n">
        <f aca="false">M368-L368</f>
        <v>103.82</v>
      </c>
      <c r="O368" s="1" t="n">
        <f aca="false">YEAR(B368)</f>
        <v>2023</v>
      </c>
      <c r="P368" s="1" t="n">
        <f aca="false">MONTH(B368)</f>
        <v>1</v>
      </c>
      <c r="Q368" s="1" t="str">
        <f aca="false">TEXT(B368,"mmm")</f>
        <v>Jan</v>
      </c>
      <c r="R368" s="1" t="str">
        <f aca="false">"Q"&amp;ROUNDUP(MONTH(B368)/3,0)</f>
        <v>Q1</v>
      </c>
    </row>
    <row r="369" customFormat="false" ht="15" hidden="false" customHeight="true" outlineLevel="0" collapsed="false">
      <c r="A369" s="1" t="n">
        <v>10368</v>
      </c>
      <c r="B369" s="14" t="n">
        <v>44929</v>
      </c>
      <c r="C369" s="1" t="n">
        <v>1001</v>
      </c>
      <c r="D369" s="1" t="s">
        <v>37</v>
      </c>
      <c r="E369" s="1" t="s">
        <v>32</v>
      </c>
      <c r="F369" s="1" t="n">
        <v>2</v>
      </c>
      <c r="G369" s="15" t="n">
        <v>341.15</v>
      </c>
      <c r="H369" s="16" t="n">
        <v>0.3</v>
      </c>
      <c r="I369" s="1" t="s">
        <v>29</v>
      </c>
      <c r="J369" s="1" t="n">
        <v>2</v>
      </c>
      <c r="K369" s="1" t="n">
        <v>2.8</v>
      </c>
      <c r="L369" s="15" t="n">
        <v>477.61</v>
      </c>
      <c r="M369" s="15" t="n">
        <f aca="false">F369*G369</f>
        <v>682.3</v>
      </c>
      <c r="N369" s="15" t="n">
        <f aca="false">M369-L369</f>
        <v>204.69</v>
      </c>
      <c r="O369" s="1" t="n">
        <f aca="false">YEAR(B369)</f>
        <v>2023</v>
      </c>
      <c r="P369" s="1" t="n">
        <f aca="false">MONTH(B369)</f>
        <v>1</v>
      </c>
      <c r="Q369" s="1" t="str">
        <f aca="false">TEXT(B369,"mmm")</f>
        <v>Jan</v>
      </c>
      <c r="R369" s="1" t="str">
        <f aca="false">"Q"&amp;ROUNDUP(MONTH(B369)/3,0)</f>
        <v>Q1</v>
      </c>
    </row>
    <row r="370" customFormat="false" ht="15" hidden="false" customHeight="true" outlineLevel="0" collapsed="false">
      <c r="A370" s="1" t="n">
        <v>10369</v>
      </c>
      <c r="B370" s="14" t="n">
        <v>44930</v>
      </c>
      <c r="C370" s="1" t="n">
        <v>1896</v>
      </c>
      <c r="D370" s="1" t="s">
        <v>30</v>
      </c>
      <c r="E370" s="1" t="s">
        <v>35</v>
      </c>
      <c r="F370" s="1" t="n">
        <v>2</v>
      </c>
      <c r="G370" s="15" t="n">
        <v>574.78</v>
      </c>
      <c r="H370" s="16" t="n">
        <v>0.19</v>
      </c>
      <c r="I370" s="1" t="s">
        <v>33</v>
      </c>
      <c r="J370" s="1" t="n">
        <v>8</v>
      </c>
      <c r="K370" s="1" t="n">
        <v>3.7</v>
      </c>
      <c r="L370" s="15" t="n">
        <v>931.14</v>
      </c>
      <c r="M370" s="15" t="n">
        <f aca="false">F370*G370</f>
        <v>1149.56</v>
      </c>
      <c r="N370" s="15" t="n">
        <f aca="false">M370-L370</f>
        <v>218.42</v>
      </c>
      <c r="O370" s="1" t="n">
        <f aca="false">YEAR(B370)</f>
        <v>2023</v>
      </c>
      <c r="P370" s="1" t="n">
        <f aca="false">MONTH(B370)</f>
        <v>1</v>
      </c>
      <c r="Q370" s="1" t="str">
        <f aca="false">TEXT(B370,"mmm")</f>
        <v>Jan</v>
      </c>
      <c r="R370" s="1" t="str">
        <f aca="false">"Q"&amp;ROUNDUP(MONTH(B370)/3,0)</f>
        <v>Q1</v>
      </c>
    </row>
    <row r="371" customFormat="false" ht="15" hidden="false" customHeight="true" outlineLevel="0" collapsed="false">
      <c r="A371" s="1" t="n">
        <v>10370</v>
      </c>
      <c r="B371" s="14" t="n">
        <v>44931</v>
      </c>
      <c r="C371" s="1" t="n">
        <v>1303</v>
      </c>
      <c r="D371" s="1" t="s">
        <v>27</v>
      </c>
      <c r="E371" s="1" t="s">
        <v>28</v>
      </c>
      <c r="F371" s="1" t="n">
        <v>7</v>
      </c>
      <c r="G371" s="15" t="n">
        <v>529.25</v>
      </c>
      <c r="H371" s="16" t="n">
        <v>0.02</v>
      </c>
      <c r="I371" s="1" t="s">
        <v>31</v>
      </c>
      <c r="J371" s="1" t="n">
        <v>7</v>
      </c>
      <c r="K371" s="1" t="n">
        <v>1.3</v>
      </c>
      <c r="L371" s="15" t="n">
        <v>3630.66</v>
      </c>
      <c r="M371" s="15" t="n">
        <f aca="false">F371*G371</f>
        <v>3704.75</v>
      </c>
      <c r="N371" s="15" t="n">
        <f aca="false">M371-L371</f>
        <v>74.0900000000002</v>
      </c>
      <c r="O371" s="1" t="n">
        <f aca="false">YEAR(B371)</f>
        <v>2023</v>
      </c>
      <c r="P371" s="1" t="n">
        <f aca="false">MONTH(B371)</f>
        <v>1</v>
      </c>
      <c r="Q371" s="1" t="str">
        <f aca="false">TEXT(B371,"mmm")</f>
        <v>Jan</v>
      </c>
      <c r="R371" s="1" t="str">
        <f aca="false">"Q"&amp;ROUNDUP(MONTH(B371)/3,0)</f>
        <v>Q1</v>
      </c>
    </row>
    <row r="372" customFormat="false" ht="15" hidden="false" customHeight="true" outlineLevel="0" collapsed="false">
      <c r="A372" s="1" t="n">
        <v>10371</v>
      </c>
      <c r="B372" s="14" t="n">
        <v>44932</v>
      </c>
      <c r="C372" s="1" t="n">
        <v>1253</v>
      </c>
      <c r="D372" s="1" t="s">
        <v>34</v>
      </c>
      <c r="E372" s="1" t="s">
        <v>36</v>
      </c>
      <c r="F372" s="1" t="n">
        <v>7</v>
      </c>
      <c r="G372" s="15" t="n">
        <v>251.64</v>
      </c>
      <c r="H372" s="16" t="n">
        <v>0.34</v>
      </c>
      <c r="I372" s="1" t="s">
        <v>33</v>
      </c>
      <c r="J372" s="1" t="n">
        <v>2</v>
      </c>
      <c r="K372" s="1" t="n">
        <v>4.5</v>
      </c>
      <c r="L372" s="15" t="n">
        <v>1162.58</v>
      </c>
      <c r="M372" s="15" t="n">
        <f aca="false">F372*G372</f>
        <v>1761.48</v>
      </c>
      <c r="N372" s="15" t="n">
        <f aca="false">M372-L372</f>
        <v>598.9</v>
      </c>
      <c r="O372" s="1" t="n">
        <f aca="false">YEAR(B372)</f>
        <v>2023</v>
      </c>
      <c r="P372" s="1" t="n">
        <f aca="false">MONTH(B372)</f>
        <v>1</v>
      </c>
      <c r="Q372" s="1" t="str">
        <f aca="false">TEXT(B372,"mmm")</f>
        <v>Jan</v>
      </c>
      <c r="R372" s="1" t="str">
        <f aca="false">"Q"&amp;ROUNDUP(MONTH(B372)/3,0)</f>
        <v>Q1</v>
      </c>
    </row>
    <row r="373" customFormat="false" ht="15" hidden="false" customHeight="true" outlineLevel="0" collapsed="false">
      <c r="A373" s="1" t="n">
        <v>10372</v>
      </c>
      <c r="B373" s="14" t="n">
        <v>44933</v>
      </c>
      <c r="C373" s="1" t="n">
        <v>1651</v>
      </c>
      <c r="D373" s="1" t="s">
        <v>34</v>
      </c>
      <c r="E373" s="1" t="s">
        <v>28</v>
      </c>
      <c r="F373" s="1" t="n">
        <v>1</v>
      </c>
      <c r="G373" s="15" t="n">
        <v>185.54</v>
      </c>
      <c r="H373" s="16" t="n">
        <v>0.29</v>
      </c>
      <c r="I373" s="1" t="s">
        <v>29</v>
      </c>
      <c r="J373" s="1" t="n">
        <v>5</v>
      </c>
      <c r="K373" s="1" t="n">
        <v>3</v>
      </c>
      <c r="L373" s="15" t="n">
        <v>131.73</v>
      </c>
      <c r="M373" s="15" t="n">
        <f aca="false">F373*G373</f>
        <v>185.54</v>
      </c>
      <c r="N373" s="15" t="n">
        <f aca="false">M373-L373</f>
        <v>53.81</v>
      </c>
      <c r="O373" s="1" t="n">
        <f aca="false">YEAR(B373)</f>
        <v>2023</v>
      </c>
      <c r="P373" s="1" t="n">
        <f aca="false">MONTH(B373)</f>
        <v>1</v>
      </c>
      <c r="Q373" s="1" t="str">
        <f aca="false">TEXT(B373,"mmm")</f>
        <v>Jan</v>
      </c>
      <c r="R373" s="1" t="str">
        <f aca="false">"Q"&amp;ROUNDUP(MONTH(B373)/3,0)</f>
        <v>Q1</v>
      </c>
    </row>
    <row r="374" customFormat="false" ht="15" hidden="false" customHeight="true" outlineLevel="0" collapsed="false">
      <c r="A374" s="1" t="n">
        <v>10373</v>
      </c>
      <c r="B374" s="14" t="n">
        <v>44934</v>
      </c>
      <c r="C374" s="1" t="n">
        <v>1452</v>
      </c>
      <c r="D374" s="1" t="s">
        <v>30</v>
      </c>
      <c r="E374" s="1" t="s">
        <v>36</v>
      </c>
      <c r="F374" s="1" t="n">
        <v>2</v>
      </c>
      <c r="G374" s="15" t="n">
        <v>152.13</v>
      </c>
      <c r="H374" s="16" t="n">
        <v>0.05</v>
      </c>
      <c r="I374" s="1" t="s">
        <v>31</v>
      </c>
      <c r="J374" s="1" t="n">
        <v>7</v>
      </c>
      <c r="K374" s="1" t="n">
        <v>4.5</v>
      </c>
      <c r="L374" s="15" t="n">
        <v>289.05</v>
      </c>
      <c r="M374" s="15" t="n">
        <f aca="false">F374*G374</f>
        <v>304.26</v>
      </c>
      <c r="N374" s="15" t="n">
        <f aca="false">M374-L374</f>
        <v>15.21</v>
      </c>
      <c r="O374" s="1" t="n">
        <f aca="false">YEAR(B374)</f>
        <v>2023</v>
      </c>
      <c r="P374" s="1" t="n">
        <f aca="false">MONTH(B374)</f>
        <v>1</v>
      </c>
      <c r="Q374" s="1" t="str">
        <f aca="false">TEXT(B374,"mmm")</f>
        <v>Jan</v>
      </c>
      <c r="R374" s="1" t="str">
        <f aca="false">"Q"&amp;ROUNDUP(MONTH(B374)/3,0)</f>
        <v>Q1</v>
      </c>
    </row>
    <row r="375" customFormat="false" ht="15" hidden="false" customHeight="true" outlineLevel="0" collapsed="false">
      <c r="A375" s="1" t="n">
        <v>10374</v>
      </c>
      <c r="B375" s="14" t="n">
        <v>44935</v>
      </c>
      <c r="C375" s="1" t="n">
        <v>1036</v>
      </c>
      <c r="D375" s="1" t="s">
        <v>34</v>
      </c>
      <c r="E375" s="1" t="s">
        <v>28</v>
      </c>
      <c r="F375" s="1" t="n">
        <v>4</v>
      </c>
      <c r="G375" s="15" t="n">
        <v>326.52</v>
      </c>
      <c r="H375" s="16" t="n">
        <v>0.32</v>
      </c>
      <c r="I375" s="1" t="s">
        <v>29</v>
      </c>
      <c r="J375" s="1" t="n">
        <v>3</v>
      </c>
      <c r="K375" s="1" t="n">
        <v>2.4</v>
      </c>
      <c r="L375" s="15" t="n">
        <v>888.13</v>
      </c>
      <c r="M375" s="15" t="n">
        <f aca="false">F375*G375</f>
        <v>1306.08</v>
      </c>
      <c r="N375" s="15" t="n">
        <f aca="false">M375-L375</f>
        <v>417.95</v>
      </c>
      <c r="O375" s="1" t="n">
        <f aca="false">YEAR(B375)</f>
        <v>2023</v>
      </c>
      <c r="P375" s="1" t="n">
        <f aca="false">MONTH(B375)</f>
        <v>1</v>
      </c>
      <c r="Q375" s="1" t="str">
        <f aca="false">TEXT(B375,"mmm")</f>
        <v>Jan</v>
      </c>
      <c r="R375" s="1" t="str">
        <f aca="false">"Q"&amp;ROUNDUP(MONTH(B375)/3,0)</f>
        <v>Q1</v>
      </c>
    </row>
    <row r="376" customFormat="false" ht="15" hidden="false" customHeight="true" outlineLevel="0" collapsed="false">
      <c r="A376" s="1" t="n">
        <v>10375</v>
      </c>
      <c r="B376" s="14" t="n">
        <v>44936</v>
      </c>
      <c r="C376" s="1" t="n">
        <v>1159</v>
      </c>
      <c r="D376" s="1" t="s">
        <v>37</v>
      </c>
      <c r="E376" s="1" t="s">
        <v>28</v>
      </c>
      <c r="F376" s="1" t="n">
        <v>1</v>
      </c>
      <c r="G376" s="15" t="n">
        <v>81.84</v>
      </c>
      <c r="H376" s="16" t="n">
        <v>0.16</v>
      </c>
      <c r="I376" s="1" t="s">
        <v>31</v>
      </c>
      <c r="J376" s="1" t="n">
        <v>2</v>
      </c>
      <c r="K376" s="1" t="n">
        <v>3.6</v>
      </c>
      <c r="L376" s="15" t="n">
        <v>68.75</v>
      </c>
      <c r="M376" s="15" t="n">
        <f aca="false">F376*G376</f>
        <v>81.84</v>
      </c>
      <c r="N376" s="15" t="n">
        <f aca="false">M376-L376</f>
        <v>13.09</v>
      </c>
      <c r="O376" s="1" t="n">
        <f aca="false">YEAR(B376)</f>
        <v>2023</v>
      </c>
      <c r="P376" s="1" t="n">
        <f aca="false">MONTH(B376)</f>
        <v>1</v>
      </c>
      <c r="Q376" s="1" t="str">
        <f aca="false">TEXT(B376,"mmm")</f>
        <v>Jan</v>
      </c>
      <c r="R376" s="1" t="str">
        <f aca="false">"Q"&amp;ROUNDUP(MONTH(B376)/3,0)</f>
        <v>Q1</v>
      </c>
    </row>
    <row r="377" customFormat="false" ht="15" hidden="false" customHeight="true" outlineLevel="0" collapsed="false">
      <c r="A377" s="1" t="n">
        <v>10376</v>
      </c>
      <c r="B377" s="14" t="n">
        <v>44937</v>
      </c>
      <c r="C377" s="1" t="n">
        <v>1008</v>
      </c>
      <c r="D377" s="1" t="s">
        <v>37</v>
      </c>
      <c r="E377" s="1" t="s">
        <v>36</v>
      </c>
      <c r="F377" s="1" t="n">
        <v>5</v>
      </c>
      <c r="G377" s="15" t="n">
        <v>336.33</v>
      </c>
      <c r="H377" s="16" t="n">
        <v>0.13</v>
      </c>
      <c r="I377" s="1" t="s">
        <v>33</v>
      </c>
      <c r="J377" s="1" t="n">
        <v>6</v>
      </c>
      <c r="K377" s="1" t="n">
        <v>4.8</v>
      </c>
      <c r="L377" s="15" t="n">
        <v>1463.04</v>
      </c>
      <c r="M377" s="15" t="n">
        <f aca="false">F377*G377</f>
        <v>1681.65</v>
      </c>
      <c r="N377" s="15" t="n">
        <f aca="false">M377-L377</f>
        <v>218.61</v>
      </c>
      <c r="O377" s="1" t="n">
        <f aca="false">YEAR(B377)</f>
        <v>2023</v>
      </c>
      <c r="P377" s="1" t="n">
        <f aca="false">MONTH(B377)</f>
        <v>1</v>
      </c>
      <c r="Q377" s="1" t="str">
        <f aca="false">TEXT(B377,"mmm")</f>
        <v>Jan</v>
      </c>
      <c r="R377" s="1" t="str">
        <f aca="false">"Q"&amp;ROUNDUP(MONTH(B377)/3,0)</f>
        <v>Q1</v>
      </c>
    </row>
    <row r="378" customFormat="false" ht="15" hidden="false" customHeight="true" outlineLevel="0" collapsed="false">
      <c r="A378" s="1" t="n">
        <v>10377</v>
      </c>
      <c r="B378" s="14" t="n">
        <v>44938</v>
      </c>
      <c r="C378" s="1" t="n">
        <v>1232</v>
      </c>
      <c r="D378" s="1" t="s">
        <v>34</v>
      </c>
      <c r="E378" s="1" t="s">
        <v>36</v>
      </c>
      <c r="F378" s="1" t="n">
        <v>1</v>
      </c>
      <c r="G378" s="15" t="n">
        <v>15.78</v>
      </c>
      <c r="H378" s="16" t="n">
        <v>0.16</v>
      </c>
      <c r="I378" s="1" t="s">
        <v>29</v>
      </c>
      <c r="J378" s="1" t="n">
        <v>10</v>
      </c>
      <c r="K378" s="1" t="n">
        <v>4.8</v>
      </c>
      <c r="L378" s="15" t="n">
        <v>13.26</v>
      </c>
      <c r="M378" s="15" t="n">
        <f aca="false">F378*G378</f>
        <v>15.78</v>
      </c>
      <c r="N378" s="15" t="n">
        <f aca="false">M378-L378</f>
        <v>2.52</v>
      </c>
      <c r="O378" s="1" t="n">
        <f aca="false">YEAR(B378)</f>
        <v>2023</v>
      </c>
      <c r="P378" s="1" t="n">
        <f aca="false">MONTH(B378)</f>
        <v>1</v>
      </c>
      <c r="Q378" s="1" t="str">
        <f aca="false">TEXT(B378,"mmm")</f>
        <v>Jan</v>
      </c>
      <c r="R378" s="1" t="str">
        <f aca="false">"Q"&amp;ROUNDUP(MONTH(B378)/3,0)</f>
        <v>Q1</v>
      </c>
    </row>
    <row r="379" customFormat="false" ht="15" hidden="false" customHeight="true" outlineLevel="0" collapsed="false">
      <c r="A379" s="1" t="n">
        <v>10378</v>
      </c>
      <c r="B379" s="14" t="n">
        <v>44939</v>
      </c>
      <c r="C379" s="1" t="n">
        <v>1098</v>
      </c>
      <c r="D379" s="1" t="s">
        <v>30</v>
      </c>
      <c r="E379" s="1" t="s">
        <v>28</v>
      </c>
      <c r="F379" s="1" t="n">
        <v>1</v>
      </c>
      <c r="G379" s="15" t="n">
        <v>204.45</v>
      </c>
      <c r="H379" s="16" t="n">
        <v>0.29</v>
      </c>
      <c r="I379" s="1" t="s">
        <v>29</v>
      </c>
      <c r="J379" s="1" t="n">
        <v>6</v>
      </c>
      <c r="K379" s="1" t="n">
        <v>4.8</v>
      </c>
      <c r="L379" s="15" t="n">
        <v>145.16</v>
      </c>
      <c r="M379" s="15" t="n">
        <f aca="false">F379*G379</f>
        <v>204.45</v>
      </c>
      <c r="N379" s="15" t="n">
        <f aca="false">M379-L379</f>
        <v>59.29</v>
      </c>
      <c r="O379" s="1" t="n">
        <f aca="false">YEAR(B379)</f>
        <v>2023</v>
      </c>
      <c r="P379" s="1" t="n">
        <f aca="false">MONTH(B379)</f>
        <v>1</v>
      </c>
      <c r="Q379" s="1" t="str">
        <f aca="false">TEXT(B379,"mmm")</f>
        <v>Jan</v>
      </c>
      <c r="R379" s="1" t="str">
        <f aca="false">"Q"&amp;ROUNDUP(MONTH(B379)/3,0)</f>
        <v>Q1</v>
      </c>
    </row>
    <row r="380" customFormat="false" ht="15" hidden="false" customHeight="true" outlineLevel="0" collapsed="false">
      <c r="A380" s="1" t="n">
        <v>10379</v>
      </c>
      <c r="B380" s="14" t="n">
        <v>44940</v>
      </c>
      <c r="C380" s="1" t="n">
        <v>1658</v>
      </c>
      <c r="D380" s="1" t="s">
        <v>30</v>
      </c>
      <c r="E380" s="1" t="s">
        <v>28</v>
      </c>
      <c r="F380" s="1" t="n">
        <v>5</v>
      </c>
      <c r="G380" s="15" t="n">
        <v>143.66</v>
      </c>
      <c r="H380" s="16" t="n">
        <v>0.23</v>
      </c>
      <c r="I380" s="1" t="s">
        <v>33</v>
      </c>
      <c r="J380" s="1" t="n">
        <v>11</v>
      </c>
      <c r="K380" s="1" t="n">
        <v>1.2</v>
      </c>
      <c r="L380" s="15" t="n">
        <v>553.09</v>
      </c>
      <c r="M380" s="15" t="n">
        <f aca="false">F380*G380</f>
        <v>718.3</v>
      </c>
      <c r="N380" s="15" t="n">
        <f aca="false">M380-L380</f>
        <v>165.21</v>
      </c>
      <c r="O380" s="1" t="n">
        <f aca="false">YEAR(B380)</f>
        <v>2023</v>
      </c>
      <c r="P380" s="1" t="n">
        <f aca="false">MONTH(B380)</f>
        <v>1</v>
      </c>
      <c r="Q380" s="1" t="str">
        <f aca="false">TEXT(B380,"mmm")</f>
        <v>Jan</v>
      </c>
      <c r="R380" s="1" t="str">
        <f aca="false">"Q"&amp;ROUNDUP(MONTH(B380)/3,0)</f>
        <v>Q1</v>
      </c>
    </row>
    <row r="381" customFormat="false" ht="15" hidden="false" customHeight="true" outlineLevel="0" collapsed="false">
      <c r="A381" s="1" t="n">
        <v>10380</v>
      </c>
      <c r="B381" s="14" t="n">
        <v>44941</v>
      </c>
      <c r="C381" s="1" t="n">
        <v>1815</v>
      </c>
      <c r="D381" s="1" t="s">
        <v>30</v>
      </c>
      <c r="E381" s="1" t="s">
        <v>28</v>
      </c>
      <c r="F381" s="1" t="n">
        <v>6</v>
      </c>
      <c r="G381" s="15" t="n">
        <v>583.16</v>
      </c>
      <c r="H381" s="16" t="n">
        <v>0.02</v>
      </c>
      <c r="I381" s="1" t="s">
        <v>33</v>
      </c>
      <c r="J381" s="1" t="n">
        <v>4</v>
      </c>
      <c r="K381" s="1" t="n">
        <v>2.6</v>
      </c>
      <c r="L381" s="15" t="n">
        <v>3428.98</v>
      </c>
      <c r="M381" s="15" t="n">
        <f aca="false">F381*G381</f>
        <v>3498.96</v>
      </c>
      <c r="N381" s="15" t="n">
        <f aca="false">M381-L381</f>
        <v>69.98</v>
      </c>
      <c r="O381" s="1" t="n">
        <f aca="false">YEAR(B381)</f>
        <v>2023</v>
      </c>
      <c r="P381" s="1" t="n">
        <f aca="false">MONTH(B381)</f>
        <v>1</v>
      </c>
      <c r="Q381" s="1" t="str">
        <f aca="false">TEXT(B381,"mmm")</f>
        <v>Jan</v>
      </c>
      <c r="R381" s="1" t="str">
        <f aca="false">"Q"&amp;ROUNDUP(MONTH(B381)/3,0)</f>
        <v>Q1</v>
      </c>
    </row>
    <row r="382" customFormat="false" ht="15" hidden="false" customHeight="true" outlineLevel="0" collapsed="false">
      <c r="A382" s="1" t="n">
        <v>10381</v>
      </c>
      <c r="B382" s="14" t="n">
        <v>44942</v>
      </c>
      <c r="C382" s="1" t="n">
        <v>1207</v>
      </c>
      <c r="D382" s="1" t="s">
        <v>27</v>
      </c>
      <c r="E382" s="1" t="s">
        <v>35</v>
      </c>
      <c r="F382" s="1" t="n">
        <v>7</v>
      </c>
      <c r="G382" s="15" t="n">
        <v>440.44</v>
      </c>
      <c r="H382" s="16" t="n">
        <v>0.34</v>
      </c>
      <c r="I382" s="1" t="s">
        <v>31</v>
      </c>
      <c r="J382" s="1" t="n">
        <v>1</v>
      </c>
      <c r="K382" s="1" t="n">
        <v>1.2</v>
      </c>
      <c r="L382" s="15" t="n">
        <v>2034.83</v>
      </c>
      <c r="M382" s="15" t="n">
        <f aca="false">F382*G382</f>
        <v>3083.08</v>
      </c>
      <c r="N382" s="15" t="n">
        <f aca="false">M382-L382</f>
        <v>1048.25</v>
      </c>
      <c r="O382" s="1" t="n">
        <f aca="false">YEAR(B382)</f>
        <v>2023</v>
      </c>
      <c r="P382" s="1" t="n">
        <f aca="false">MONTH(B382)</f>
        <v>1</v>
      </c>
      <c r="Q382" s="1" t="str">
        <f aca="false">TEXT(B382,"mmm")</f>
        <v>Jan</v>
      </c>
      <c r="R382" s="1" t="str">
        <f aca="false">"Q"&amp;ROUNDUP(MONTH(B382)/3,0)</f>
        <v>Q1</v>
      </c>
    </row>
    <row r="383" customFormat="false" ht="15" hidden="false" customHeight="true" outlineLevel="0" collapsed="false">
      <c r="A383" s="1" t="n">
        <v>10382</v>
      </c>
      <c r="B383" s="14" t="n">
        <v>44943</v>
      </c>
      <c r="C383" s="1" t="n">
        <v>1130</v>
      </c>
      <c r="D383" s="1" t="s">
        <v>37</v>
      </c>
      <c r="E383" s="1" t="s">
        <v>35</v>
      </c>
      <c r="F383" s="1" t="n">
        <v>4</v>
      </c>
      <c r="G383" s="15" t="n">
        <v>219.55</v>
      </c>
      <c r="H383" s="16" t="n">
        <v>0.05</v>
      </c>
      <c r="I383" s="1" t="s">
        <v>31</v>
      </c>
      <c r="J383" s="1" t="n">
        <v>5</v>
      </c>
      <c r="K383" s="1" t="n">
        <v>2.2</v>
      </c>
      <c r="L383" s="15" t="n">
        <v>834.29</v>
      </c>
      <c r="M383" s="15" t="n">
        <f aca="false">F383*G383</f>
        <v>878.2</v>
      </c>
      <c r="N383" s="15" t="n">
        <f aca="false">M383-L383</f>
        <v>43.9100000000001</v>
      </c>
      <c r="O383" s="1" t="n">
        <f aca="false">YEAR(B383)</f>
        <v>2023</v>
      </c>
      <c r="P383" s="1" t="n">
        <f aca="false">MONTH(B383)</f>
        <v>1</v>
      </c>
      <c r="Q383" s="1" t="str">
        <f aca="false">TEXT(B383,"mmm")</f>
        <v>Jan</v>
      </c>
      <c r="R383" s="1" t="str">
        <f aca="false">"Q"&amp;ROUNDUP(MONTH(B383)/3,0)</f>
        <v>Q1</v>
      </c>
    </row>
    <row r="384" customFormat="false" ht="15" hidden="false" customHeight="true" outlineLevel="0" collapsed="false">
      <c r="A384" s="1" t="n">
        <v>10383</v>
      </c>
      <c r="B384" s="14" t="n">
        <v>44944</v>
      </c>
      <c r="C384" s="1" t="n">
        <v>1403</v>
      </c>
      <c r="D384" s="1" t="s">
        <v>37</v>
      </c>
      <c r="E384" s="1" t="s">
        <v>32</v>
      </c>
      <c r="F384" s="1" t="n">
        <v>6</v>
      </c>
      <c r="G384" s="15" t="n">
        <v>69.31</v>
      </c>
      <c r="H384" s="16" t="n">
        <v>0.26</v>
      </c>
      <c r="I384" s="1" t="s">
        <v>31</v>
      </c>
      <c r="J384" s="1" t="n">
        <v>1</v>
      </c>
      <c r="K384" s="1" t="n">
        <v>1.7</v>
      </c>
      <c r="L384" s="15" t="n">
        <v>307.74</v>
      </c>
      <c r="M384" s="15" t="n">
        <f aca="false">F384*G384</f>
        <v>415.86</v>
      </c>
      <c r="N384" s="15" t="n">
        <f aca="false">M384-L384</f>
        <v>108.12</v>
      </c>
      <c r="O384" s="1" t="n">
        <f aca="false">YEAR(B384)</f>
        <v>2023</v>
      </c>
      <c r="P384" s="1" t="n">
        <f aca="false">MONTH(B384)</f>
        <v>1</v>
      </c>
      <c r="Q384" s="1" t="str">
        <f aca="false">TEXT(B384,"mmm")</f>
        <v>Jan</v>
      </c>
      <c r="R384" s="1" t="str">
        <f aca="false">"Q"&amp;ROUNDUP(MONTH(B384)/3,0)</f>
        <v>Q1</v>
      </c>
    </row>
    <row r="385" customFormat="false" ht="15" hidden="false" customHeight="true" outlineLevel="0" collapsed="false">
      <c r="A385" s="1" t="n">
        <v>10384</v>
      </c>
      <c r="B385" s="14" t="n">
        <v>44945</v>
      </c>
      <c r="C385" s="1" t="n">
        <v>1151</v>
      </c>
      <c r="D385" s="1" t="s">
        <v>37</v>
      </c>
      <c r="E385" s="1" t="s">
        <v>35</v>
      </c>
      <c r="F385" s="1" t="n">
        <v>6</v>
      </c>
      <c r="G385" s="15" t="n">
        <v>317.33</v>
      </c>
      <c r="H385" s="16" t="n">
        <v>0.22</v>
      </c>
      <c r="I385" s="1" t="s">
        <v>31</v>
      </c>
      <c r="J385" s="1" t="n">
        <v>11</v>
      </c>
      <c r="K385" s="1" t="n">
        <v>3.5</v>
      </c>
      <c r="L385" s="15" t="n">
        <v>1485.1</v>
      </c>
      <c r="M385" s="15" t="n">
        <f aca="false">F385*G385</f>
        <v>1903.98</v>
      </c>
      <c r="N385" s="15" t="n">
        <f aca="false">M385-L385</f>
        <v>418.88</v>
      </c>
      <c r="O385" s="1" t="n">
        <f aca="false">YEAR(B385)</f>
        <v>2023</v>
      </c>
      <c r="P385" s="1" t="n">
        <f aca="false">MONTH(B385)</f>
        <v>1</v>
      </c>
      <c r="Q385" s="1" t="str">
        <f aca="false">TEXT(B385,"mmm")</f>
        <v>Jan</v>
      </c>
      <c r="R385" s="1" t="str">
        <f aca="false">"Q"&amp;ROUNDUP(MONTH(B385)/3,0)</f>
        <v>Q1</v>
      </c>
    </row>
    <row r="386" customFormat="false" ht="15" hidden="false" customHeight="true" outlineLevel="0" collapsed="false">
      <c r="A386" s="1" t="n">
        <v>10385</v>
      </c>
      <c r="B386" s="14" t="n">
        <v>44946</v>
      </c>
      <c r="C386" s="1" t="n">
        <v>1053</v>
      </c>
      <c r="D386" s="1" t="s">
        <v>30</v>
      </c>
      <c r="E386" s="1" t="s">
        <v>35</v>
      </c>
      <c r="F386" s="1" t="n">
        <v>6</v>
      </c>
      <c r="G386" s="15" t="n">
        <v>139.87</v>
      </c>
      <c r="H386" s="16" t="n">
        <v>0.07</v>
      </c>
      <c r="I386" s="1" t="s">
        <v>31</v>
      </c>
      <c r="J386" s="1" t="n">
        <v>11</v>
      </c>
      <c r="K386" s="1" t="n">
        <v>4.1</v>
      </c>
      <c r="L386" s="15" t="n">
        <v>780.47</v>
      </c>
      <c r="M386" s="15" t="n">
        <f aca="false">F386*G386</f>
        <v>839.22</v>
      </c>
      <c r="N386" s="15" t="n">
        <f aca="false">M386-L386</f>
        <v>58.75</v>
      </c>
      <c r="O386" s="1" t="n">
        <f aca="false">YEAR(B386)</f>
        <v>2023</v>
      </c>
      <c r="P386" s="1" t="n">
        <f aca="false">MONTH(B386)</f>
        <v>1</v>
      </c>
      <c r="Q386" s="1" t="str">
        <f aca="false">TEXT(B386,"mmm")</f>
        <v>Jan</v>
      </c>
      <c r="R386" s="1" t="str">
        <f aca="false">"Q"&amp;ROUNDUP(MONTH(B386)/3,0)</f>
        <v>Q1</v>
      </c>
    </row>
    <row r="387" customFormat="false" ht="15" hidden="false" customHeight="true" outlineLevel="0" collapsed="false">
      <c r="A387" s="1" t="n">
        <v>10386</v>
      </c>
      <c r="B387" s="14" t="n">
        <v>44947</v>
      </c>
      <c r="C387" s="1" t="n">
        <v>1119</v>
      </c>
      <c r="D387" s="1" t="s">
        <v>27</v>
      </c>
      <c r="E387" s="1" t="s">
        <v>36</v>
      </c>
      <c r="F387" s="1" t="n">
        <v>7</v>
      </c>
      <c r="G387" s="15" t="n">
        <v>328.81</v>
      </c>
      <c r="H387" s="16" t="n">
        <v>0.06</v>
      </c>
      <c r="I387" s="1" t="s">
        <v>31</v>
      </c>
      <c r="J387" s="1" t="n">
        <v>8</v>
      </c>
      <c r="K387" s="1" t="n">
        <v>3.1</v>
      </c>
      <c r="L387" s="15" t="n">
        <v>2163.57</v>
      </c>
      <c r="M387" s="15" t="n">
        <f aca="false">F387*G387</f>
        <v>2301.67</v>
      </c>
      <c r="N387" s="15" t="n">
        <f aca="false">M387-L387</f>
        <v>138.1</v>
      </c>
      <c r="O387" s="1" t="n">
        <f aca="false">YEAR(B387)</f>
        <v>2023</v>
      </c>
      <c r="P387" s="1" t="n">
        <f aca="false">MONTH(B387)</f>
        <v>1</v>
      </c>
      <c r="Q387" s="1" t="str">
        <f aca="false">TEXT(B387,"mmm")</f>
        <v>Jan</v>
      </c>
      <c r="R387" s="1" t="str">
        <f aca="false">"Q"&amp;ROUNDUP(MONTH(B387)/3,0)</f>
        <v>Q1</v>
      </c>
    </row>
    <row r="388" customFormat="false" ht="15" hidden="false" customHeight="true" outlineLevel="0" collapsed="false">
      <c r="A388" s="1" t="n">
        <v>10387</v>
      </c>
      <c r="B388" s="14" t="n">
        <v>44948</v>
      </c>
      <c r="C388" s="1" t="n">
        <v>1672</v>
      </c>
      <c r="D388" s="1" t="s">
        <v>37</v>
      </c>
      <c r="E388" s="1" t="s">
        <v>32</v>
      </c>
      <c r="F388" s="1" t="n">
        <v>3</v>
      </c>
      <c r="G388" s="15" t="n">
        <v>503.69</v>
      </c>
      <c r="H388" s="16" t="n">
        <v>0.3</v>
      </c>
      <c r="I388" s="1" t="s">
        <v>29</v>
      </c>
      <c r="J388" s="1" t="n">
        <v>2</v>
      </c>
      <c r="K388" s="1" t="n">
        <v>4.2</v>
      </c>
      <c r="L388" s="15" t="n">
        <v>1057.75</v>
      </c>
      <c r="M388" s="15" t="n">
        <f aca="false">F388*G388</f>
        <v>1511.07</v>
      </c>
      <c r="N388" s="15" t="n">
        <f aca="false">M388-L388</f>
        <v>453.32</v>
      </c>
      <c r="O388" s="1" t="n">
        <f aca="false">YEAR(B388)</f>
        <v>2023</v>
      </c>
      <c r="P388" s="1" t="n">
        <f aca="false">MONTH(B388)</f>
        <v>1</v>
      </c>
      <c r="Q388" s="1" t="str">
        <f aca="false">TEXT(B388,"mmm")</f>
        <v>Jan</v>
      </c>
      <c r="R388" s="1" t="str">
        <f aca="false">"Q"&amp;ROUNDUP(MONTH(B388)/3,0)</f>
        <v>Q1</v>
      </c>
    </row>
    <row r="389" customFormat="false" ht="15" hidden="false" customHeight="true" outlineLevel="0" collapsed="false">
      <c r="A389" s="1" t="n">
        <v>10388</v>
      </c>
      <c r="B389" s="14" t="n">
        <v>44949</v>
      </c>
      <c r="C389" s="1" t="n">
        <v>1919</v>
      </c>
      <c r="D389" s="1" t="s">
        <v>37</v>
      </c>
      <c r="E389" s="1" t="s">
        <v>32</v>
      </c>
      <c r="F389" s="1" t="n">
        <v>7</v>
      </c>
      <c r="G389" s="15" t="n">
        <v>375.24</v>
      </c>
      <c r="H389" s="16" t="n">
        <v>0.15</v>
      </c>
      <c r="I389" s="1" t="s">
        <v>33</v>
      </c>
      <c r="J389" s="1" t="n">
        <v>9</v>
      </c>
      <c r="K389" s="1" t="n">
        <v>1.1</v>
      </c>
      <c r="L389" s="15" t="n">
        <v>2232.68</v>
      </c>
      <c r="M389" s="15" t="n">
        <f aca="false">F389*G389</f>
        <v>2626.68</v>
      </c>
      <c r="N389" s="15" t="n">
        <f aca="false">M389-L389</f>
        <v>394</v>
      </c>
      <c r="O389" s="1" t="n">
        <f aca="false">YEAR(B389)</f>
        <v>2023</v>
      </c>
      <c r="P389" s="1" t="n">
        <f aca="false">MONTH(B389)</f>
        <v>1</v>
      </c>
      <c r="Q389" s="1" t="str">
        <f aca="false">TEXT(B389,"mmm")</f>
        <v>Jan</v>
      </c>
      <c r="R389" s="1" t="str">
        <f aca="false">"Q"&amp;ROUNDUP(MONTH(B389)/3,0)</f>
        <v>Q1</v>
      </c>
    </row>
    <row r="390" customFormat="false" ht="15" hidden="false" customHeight="true" outlineLevel="0" collapsed="false">
      <c r="A390" s="1" t="n">
        <v>10389</v>
      </c>
      <c r="B390" s="14" t="n">
        <v>44950</v>
      </c>
      <c r="C390" s="1" t="n">
        <v>1627</v>
      </c>
      <c r="D390" s="1" t="s">
        <v>27</v>
      </c>
      <c r="E390" s="1" t="s">
        <v>35</v>
      </c>
      <c r="F390" s="1" t="n">
        <v>6</v>
      </c>
      <c r="G390" s="15" t="n">
        <v>385.77</v>
      </c>
      <c r="H390" s="16" t="n">
        <v>0.23</v>
      </c>
      <c r="I390" s="1" t="s">
        <v>31</v>
      </c>
      <c r="J390" s="1" t="n">
        <v>9</v>
      </c>
      <c r="K390" s="1" t="n">
        <v>4.3</v>
      </c>
      <c r="L390" s="15" t="n">
        <v>1782.26</v>
      </c>
      <c r="M390" s="15" t="n">
        <f aca="false">F390*G390</f>
        <v>2314.62</v>
      </c>
      <c r="N390" s="15" t="n">
        <f aca="false">M390-L390</f>
        <v>532.36</v>
      </c>
      <c r="O390" s="1" t="n">
        <f aca="false">YEAR(B390)</f>
        <v>2023</v>
      </c>
      <c r="P390" s="1" t="n">
        <f aca="false">MONTH(B390)</f>
        <v>1</v>
      </c>
      <c r="Q390" s="1" t="str">
        <f aca="false">TEXT(B390,"mmm")</f>
        <v>Jan</v>
      </c>
      <c r="R390" s="1" t="str">
        <f aca="false">"Q"&amp;ROUNDUP(MONTH(B390)/3,0)</f>
        <v>Q1</v>
      </c>
    </row>
    <row r="391" customFormat="false" ht="15" hidden="false" customHeight="true" outlineLevel="0" collapsed="false">
      <c r="A391" s="1" t="n">
        <v>10390</v>
      </c>
      <c r="B391" s="14" t="n">
        <v>44951</v>
      </c>
      <c r="C391" s="1" t="n">
        <v>1586</v>
      </c>
      <c r="D391" s="1" t="s">
        <v>34</v>
      </c>
      <c r="E391" s="1" t="s">
        <v>36</v>
      </c>
      <c r="F391" s="1" t="n">
        <v>3</v>
      </c>
      <c r="G391" s="15" t="n">
        <v>331.5</v>
      </c>
      <c r="H391" s="16" t="n">
        <v>0.18</v>
      </c>
      <c r="I391" s="1" t="s">
        <v>29</v>
      </c>
      <c r="J391" s="1" t="n">
        <v>3</v>
      </c>
      <c r="K391" s="1" t="n">
        <v>1.7</v>
      </c>
      <c r="L391" s="15" t="n">
        <v>815.49</v>
      </c>
      <c r="M391" s="15" t="n">
        <f aca="false">F391*G391</f>
        <v>994.5</v>
      </c>
      <c r="N391" s="15" t="n">
        <f aca="false">M391-L391</f>
        <v>179.01</v>
      </c>
      <c r="O391" s="1" t="n">
        <f aca="false">YEAR(B391)</f>
        <v>2023</v>
      </c>
      <c r="P391" s="1" t="n">
        <f aca="false">MONTH(B391)</f>
        <v>1</v>
      </c>
      <c r="Q391" s="1" t="str">
        <f aca="false">TEXT(B391,"mmm")</f>
        <v>Jan</v>
      </c>
      <c r="R391" s="1" t="str">
        <f aca="false">"Q"&amp;ROUNDUP(MONTH(B391)/3,0)</f>
        <v>Q1</v>
      </c>
    </row>
    <row r="392" customFormat="false" ht="15" hidden="false" customHeight="true" outlineLevel="0" collapsed="false">
      <c r="A392" s="1" t="n">
        <v>10391</v>
      </c>
      <c r="B392" s="14" t="n">
        <v>44952</v>
      </c>
      <c r="C392" s="1" t="n">
        <v>1624</v>
      </c>
      <c r="D392" s="1" t="s">
        <v>37</v>
      </c>
      <c r="E392" s="1" t="s">
        <v>36</v>
      </c>
      <c r="F392" s="1" t="n">
        <v>5</v>
      </c>
      <c r="G392" s="15" t="n">
        <v>557.45</v>
      </c>
      <c r="H392" s="16" t="n">
        <v>0.25</v>
      </c>
      <c r="I392" s="1" t="s">
        <v>31</v>
      </c>
      <c r="J392" s="1" t="n">
        <v>6</v>
      </c>
      <c r="K392" s="1" t="n">
        <v>2.8</v>
      </c>
      <c r="L392" s="15" t="n">
        <v>2090.44</v>
      </c>
      <c r="M392" s="15" t="n">
        <f aca="false">F392*G392</f>
        <v>2787.25</v>
      </c>
      <c r="N392" s="15" t="n">
        <f aca="false">M392-L392</f>
        <v>696.81</v>
      </c>
      <c r="O392" s="1" t="n">
        <f aca="false">YEAR(B392)</f>
        <v>2023</v>
      </c>
      <c r="P392" s="1" t="n">
        <f aca="false">MONTH(B392)</f>
        <v>1</v>
      </c>
      <c r="Q392" s="1" t="str">
        <f aca="false">TEXT(B392,"mmm")</f>
        <v>Jan</v>
      </c>
      <c r="R392" s="1" t="str">
        <f aca="false">"Q"&amp;ROUNDUP(MONTH(B392)/3,0)</f>
        <v>Q1</v>
      </c>
    </row>
    <row r="393" customFormat="false" ht="15" hidden="false" customHeight="true" outlineLevel="0" collapsed="false">
      <c r="A393" s="1" t="n">
        <v>10392</v>
      </c>
      <c r="B393" s="14" t="n">
        <v>44953</v>
      </c>
      <c r="C393" s="1" t="n">
        <v>1967</v>
      </c>
      <c r="D393" s="1" t="s">
        <v>34</v>
      </c>
      <c r="E393" s="1" t="s">
        <v>32</v>
      </c>
      <c r="F393" s="1" t="n">
        <v>7</v>
      </c>
      <c r="G393" s="15" t="n">
        <v>560.16</v>
      </c>
      <c r="H393" s="16" t="n">
        <v>0.17</v>
      </c>
      <c r="I393" s="1" t="s">
        <v>33</v>
      </c>
      <c r="J393" s="1" t="n">
        <v>9</v>
      </c>
      <c r="K393" s="1" t="n">
        <v>2.8</v>
      </c>
      <c r="L393" s="15" t="n">
        <v>3254.53</v>
      </c>
      <c r="M393" s="15" t="n">
        <f aca="false">F393*G393</f>
        <v>3921.12</v>
      </c>
      <c r="N393" s="15" t="n">
        <f aca="false">M393-L393</f>
        <v>666.59</v>
      </c>
      <c r="O393" s="1" t="n">
        <f aca="false">YEAR(B393)</f>
        <v>2023</v>
      </c>
      <c r="P393" s="1" t="n">
        <f aca="false">MONTH(B393)</f>
        <v>1</v>
      </c>
      <c r="Q393" s="1" t="str">
        <f aca="false">TEXT(B393,"mmm")</f>
        <v>Jan</v>
      </c>
      <c r="R393" s="1" t="str">
        <f aca="false">"Q"&amp;ROUNDUP(MONTH(B393)/3,0)</f>
        <v>Q1</v>
      </c>
    </row>
    <row r="394" customFormat="false" ht="15" hidden="false" customHeight="true" outlineLevel="0" collapsed="false">
      <c r="A394" s="1" t="n">
        <v>10393</v>
      </c>
      <c r="B394" s="14" t="n">
        <v>44954</v>
      </c>
      <c r="C394" s="1" t="n">
        <v>1419</v>
      </c>
      <c r="D394" s="1" t="s">
        <v>34</v>
      </c>
      <c r="E394" s="1" t="s">
        <v>36</v>
      </c>
      <c r="F394" s="1" t="n">
        <v>4</v>
      </c>
      <c r="G394" s="15" t="n">
        <v>314.94</v>
      </c>
      <c r="H394" s="16" t="n">
        <v>0.1</v>
      </c>
      <c r="I394" s="1" t="s">
        <v>33</v>
      </c>
      <c r="J394" s="1" t="n">
        <v>7</v>
      </c>
      <c r="K394" s="1" t="n">
        <v>4.5</v>
      </c>
      <c r="L394" s="15" t="n">
        <v>1133.78</v>
      </c>
      <c r="M394" s="15" t="n">
        <f aca="false">F394*G394</f>
        <v>1259.76</v>
      </c>
      <c r="N394" s="15" t="n">
        <f aca="false">M394-L394</f>
        <v>125.98</v>
      </c>
      <c r="O394" s="1" t="n">
        <f aca="false">YEAR(B394)</f>
        <v>2023</v>
      </c>
      <c r="P394" s="1" t="n">
        <f aca="false">MONTH(B394)</f>
        <v>1</v>
      </c>
      <c r="Q394" s="1" t="str">
        <f aca="false">TEXT(B394,"mmm")</f>
        <v>Jan</v>
      </c>
      <c r="R394" s="1" t="str">
        <f aca="false">"Q"&amp;ROUNDUP(MONTH(B394)/3,0)</f>
        <v>Q1</v>
      </c>
    </row>
    <row r="395" customFormat="false" ht="15" hidden="false" customHeight="true" outlineLevel="0" collapsed="false">
      <c r="A395" s="1" t="n">
        <v>10394</v>
      </c>
      <c r="B395" s="14" t="n">
        <v>44955</v>
      </c>
      <c r="C395" s="1" t="n">
        <v>1421</v>
      </c>
      <c r="D395" s="1" t="s">
        <v>34</v>
      </c>
      <c r="E395" s="1" t="s">
        <v>28</v>
      </c>
      <c r="F395" s="1" t="n">
        <v>6</v>
      </c>
      <c r="G395" s="15" t="n">
        <v>193.87</v>
      </c>
      <c r="H395" s="16" t="n">
        <v>0.13</v>
      </c>
      <c r="I395" s="1" t="s">
        <v>31</v>
      </c>
      <c r="J395" s="1" t="n">
        <v>4</v>
      </c>
      <c r="K395" s="1" t="n">
        <v>4.9</v>
      </c>
      <c r="L395" s="15" t="n">
        <v>1012</v>
      </c>
      <c r="M395" s="15" t="n">
        <f aca="false">F395*G395</f>
        <v>1163.22</v>
      </c>
      <c r="N395" s="15" t="n">
        <f aca="false">M395-L395</f>
        <v>151.22</v>
      </c>
      <c r="O395" s="1" t="n">
        <f aca="false">YEAR(B395)</f>
        <v>2023</v>
      </c>
      <c r="P395" s="1" t="n">
        <f aca="false">MONTH(B395)</f>
        <v>1</v>
      </c>
      <c r="Q395" s="1" t="str">
        <f aca="false">TEXT(B395,"mmm")</f>
        <v>Jan</v>
      </c>
      <c r="R395" s="1" t="str">
        <f aca="false">"Q"&amp;ROUNDUP(MONTH(B395)/3,0)</f>
        <v>Q1</v>
      </c>
    </row>
    <row r="396" customFormat="false" ht="15" hidden="false" customHeight="true" outlineLevel="0" collapsed="false">
      <c r="A396" s="1" t="n">
        <v>10395</v>
      </c>
      <c r="B396" s="14" t="n">
        <v>44956</v>
      </c>
      <c r="C396" s="1" t="n">
        <v>1103</v>
      </c>
      <c r="D396" s="1" t="s">
        <v>27</v>
      </c>
      <c r="E396" s="1" t="s">
        <v>35</v>
      </c>
      <c r="F396" s="1" t="n">
        <v>2</v>
      </c>
      <c r="G396" s="15" t="n">
        <v>283.86</v>
      </c>
      <c r="H396" s="16" t="n">
        <v>0.3</v>
      </c>
      <c r="I396" s="1" t="s">
        <v>33</v>
      </c>
      <c r="J396" s="1" t="n">
        <v>3</v>
      </c>
      <c r="K396" s="1" t="n">
        <v>2</v>
      </c>
      <c r="L396" s="15" t="n">
        <v>397.4</v>
      </c>
      <c r="M396" s="15" t="n">
        <f aca="false">F396*G396</f>
        <v>567.72</v>
      </c>
      <c r="N396" s="15" t="n">
        <f aca="false">M396-L396</f>
        <v>170.32</v>
      </c>
      <c r="O396" s="1" t="n">
        <f aca="false">YEAR(B396)</f>
        <v>2023</v>
      </c>
      <c r="P396" s="1" t="n">
        <f aca="false">MONTH(B396)</f>
        <v>1</v>
      </c>
      <c r="Q396" s="1" t="str">
        <f aca="false">TEXT(B396,"mmm")</f>
        <v>Jan</v>
      </c>
      <c r="R396" s="1" t="str">
        <f aca="false">"Q"&amp;ROUNDUP(MONTH(B396)/3,0)</f>
        <v>Q1</v>
      </c>
    </row>
    <row r="397" customFormat="false" ht="15" hidden="false" customHeight="true" outlineLevel="0" collapsed="false">
      <c r="A397" s="1" t="n">
        <v>10396</v>
      </c>
      <c r="B397" s="14" t="n">
        <v>44957</v>
      </c>
      <c r="C397" s="1" t="n">
        <v>1851</v>
      </c>
      <c r="D397" s="1" t="s">
        <v>27</v>
      </c>
      <c r="E397" s="1" t="s">
        <v>28</v>
      </c>
      <c r="F397" s="1" t="n">
        <v>5</v>
      </c>
      <c r="G397" s="15" t="n">
        <v>124.14</v>
      </c>
      <c r="H397" s="16" t="n">
        <v>0.16</v>
      </c>
      <c r="I397" s="1" t="s">
        <v>31</v>
      </c>
      <c r="J397" s="1" t="n">
        <v>2</v>
      </c>
      <c r="K397" s="1" t="n">
        <v>1.3</v>
      </c>
      <c r="L397" s="15" t="n">
        <v>521.39</v>
      </c>
      <c r="M397" s="15" t="n">
        <f aca="false">F397*G397</f>
        <v>620.7</v>
      </c>
      <c r="N397" s="15" t="n">
        <f aca="false">M397-L397</f>
        <v>99.3100000000001</v>
      </c>
      <c r="O397" s="1" t="n">
        <f aca="false">YEAR(B397)</f>
        <v>2023</v>
      </c>
      <c r="P397" s="1" t="n">
        <f aca="false">MONTH(B397)</f>
        <v>1</v>
      </c>
      <c r="Q397" s="1" t="str">
        <f aca="false">TEXT(B397,"mmm")</f>
        <v>Jan</v>
      </c>
      <c r="R397" s="1" t="str">
        <f aca="false">"Q"&amp;ROUNDUP(MONTH(B397)/3,0)</f>
        <v>Q1</v>
      </c>
    </row>
    <row r="398" customFormat="false" ht="15" hidden="false" customHeight="true" outlineLevel="0" collapsed="false">
      <c r="A398" s="1" t="n">
        <v>10397</v>
      </c>
      <c r="B398" s="14" t="n">
        <v>44958</v>
      </c>
      <c r="C398" s="1" t="n">
        <v>1253</v>
      </c>
      <c r="D398" s="1" t="s">
        <v>37</v>
      </c>
      <c r="E398" s="1" t="s">
        <v>32</v>
      </c>
      <c r="F398" s="1" t="n">
        <v>3</v>
      </c>
      <c r="G398" s="15" t="n">
        <v>387.26</v>
      </c>
      <c r="H398" s="16" t="n">
        <v>0.07</v>
      </c>
      <c r="I398" s="1" t="s">
        <v>31</v>
      </c>
      <c r="J398" s="1" t="n">
        <v>10</v>
      </c>
      <c r="K398" s="1" t="n">
        <v>3.6</v>
      </c>
      <c r="L398" s="15" t="n">
        <v>1080.46</v>
      </c>
      <c r="M398" s="15" t="n">
        <f aca="false">F398*G398</f>
        <v>1161.78</v>
      </c>
      <c r="N398" s="15" t="n">
        <f aca="false">M398-L398</f>
        <v>81.3199999999999</v>
      </c>
      <c r="O398" s="1" t="n">
        <f aca="false">YEAR(B398)</f>
        <v>2023</v>
      </c>
      <c r="P398" s="1" t="n">
        <f aca="false">MONTH(B398)</f>
        <v>2</v>
      </c>
      <c r="Q398" s="1" t="str">
        <f aca="false">TEXT(B398,"mmm")</f>
        <v>Feb</v>
      </c>
      <c r="R398" s="1" t="str">
        <f aca="false">"Q"&amp;ROUNDUP(MONTH(B398)/3,0)</f>
        <v>Q1</v>
      </c>
    </row>
    <row r="399" customFormat="false" ht="15" hidden="false" customHeight="true" outlineLevel="0" collapsed="false">
      <c r="A399" s="1" t="n">
        <v>10398</v>
      </c>
      <c r="B399" s="14" t="n">
        <v>44959</v>
      </c>
      <c r="C399" s="1" t="n">
        <v>1226</v>
      </c>
      <c r="D399" s="1" t="s">
        <v>37</v>
      </c>
      <c r="E399" s="1" t="s">
        <v>32</v>
      </c>
      <c r="F399" s="1" t="n">
        <v>7</v>
      </c>
      <c r="G399" s="15" t="n">
        <v>307.55</v>
      </c>
      <c r="H399" s="16" t="n">
        <v>0.33</v>
      </c>
      <c r="I399" s="1" t="s">
        <v>31</v>
      </c>
      <c r="J399" s="1" t="n">
        <v>10</v>
      </c>
      <c r="K399" s="1" t="n">
        <v>3</v>
      </c>
      <c r="L399" s="15" t="n">
        <v>1442.41</v>
      </c>
      <c r="M399" s="15" t="n">
        <f aca="false">F399*G399</f>
        <v>2152.85</v>
      </c>
      <c r="N399" s="15" t="n">
        <f aca="false">M399-L399</f>
        <v>710.44</v>
      </c>
      <c r="O399" s="1" t="n">
        <f aca="false">YEAR(B399)</f>
        <v>2023</v>
      </c>
      <c r="P399" s="1" t="n">
        <f aca="false">MONTH(B399)</f>
        <v>2</v>
      </c>
      <c r="Q399" s="1" t="str">
        <f aca="false">TEXT(B399,"mmm")</f>
        <v>Feb</v>
      </c>
      <c r="R399" s="1" t="str">
        <f aca="false">"Q"&amp;ROUNDUP(MONTH(B399)/3,0)</f>
        <v>Q1</v>
      </c>
    </row>
    <row r="400" customFormat="false" ht="15" hidden="false" customHeight="true" outlineLevel="0" collapsed="false">
      <c r="A400" s="1" t="n">
        <v>10399</v>
      </c>
      <c r="B400" s="14" t="n">
        <v>44960</v>
      </c>
      <c r="C400" s="1" t="n">
        <v>1111</v>
      </c>
      <c r="D400" s="1" t="s">
        <v>30</v>
      </c>
      <c r="E400" s="1" t="s">
        <v>36</v>
      </c>
      <c r="F400" s="1" t="n">
        <v>4</v>
      </c>
      <c r="G400" s="15" t="n">
        <v>75.43</v>
      </c>
      <c r="H400" s="16" t="n">
        <v>0.28</v>
      </c>
      <c r="I400" s="1" t="s">
        <v>29</v>
      </c>
      <c r="J400" s="1" t="n">
        <v>1</v>
      </c>
      <c r="K400" s="1" t="n">
        <v>3.3</v>
      </c>
      <c r="L400" s="15" t="n">
        <v>217.24</v>
      </c>
      <c r="M400" s="15" t="n">
        <f aca="false">F400*G400</f>
        <v>301.72</v>
      </c>
      <c r="N400" s="15" t="n">
        <f aca="false">M400-L400</f>
        <v>84.48</v>
      </c>
      <c r="O400" s="1" t="n">
        <f aca="false">YEAR(B400)</f>
        <v>2023</v>
      </c>
      <c r="P400" s="1" t="n">
        <f aca="false">MONTH(B400)</f>
        <v>2</v>
      </c>
      <c r="Q400" s="1" t="str">
        <f aca="false">TEXT(B400,"mmm")</f>
        <v>Feb</v>
      </c>
      <c r="R400" s="1" t="str">
        <f aca="false">"Q"&amp;ROUNDUP(MONTH(B400)/3,0)</f>
        <v>Q1</v>
      </c>
    </row>
    <row r="401" customFormat="false" ht="15" hidden="false" customHeight="true" outlineLevel="0" collapsed="false">
      <c r="A401" s="1" t="n">
        <v>10400</v>
      </c>
      <c r="B401" s="14" t="n">
        <v>44961</v>
      </c>
      <c r="C401" s="1" t="n">
        <v>1509</v>
      </c>
      <c r="D401" s="1" t="s">
        <v>27</v>
      </c>
      <c r="E401" s="1" t="s">
        <v>36</v>
      </c>
      <c r="F401" s="1" t="n">
        <v>1</v>
      </c>
      <c r="G401" s="15" t="n">
        <v>130.62</v>
      </c>
      <c r="H401" s="16" t="n">
        <v>0.02</v>
      </c>
      <c r="I401" s="1" t="s">
        <v>33</v>
      </c>
      <c r="J401" s="1" t="n">
        <v>11</v>
      </c>
      <c r="K401" s="1" t="n">
        <v>1.2</v>
      </c>
      <c r="L401" s="15" t="n">
        <v>128.01</v>
      </c>
      <c r="M401" s="15" t="n">
        <f aca="false">F401*G401</f>
        <v>130.62</v>
      </c>
      <c r="N401" s="15" t="n">
        <f aca="false">M401-L401</f>
        <v>2.61000000000001</v>
      </c>
      <c r="O401" s="1" t="n">
        <f aca="false">YEAR(B401)</f>
        <v>2023</v>
      </c>
      <c r="P401" s="1" t="n">
        <f aca="false">MONTH(B401)</f>
        <v>2</v>
      </c>
      <c r="Q401" s="1" t="str">
        <f aca="false">TEXT(B401,"mmm")</f>
        <v>Feb</v>
      </c>
      <c r="R401" s="1" t="str">
        <f aca="false">"Q"&amp;ROUNDUP(MONTH(B401)/3,0)</f>
        <v>Q1</v>
      </c>
    </row>
    <row r="402" customFormat="false" ht="15" hidden="false" customHeight="true" outlineLevel="0" collapsed="false">
      <c r="A402" s="1" t="n">
        <v>10401</v>
      </c>
      <c r="B402" s="14" t="n">
        <v>44962</v>
      </c>
      <c r="C402" s="1" t="n">
        <v>1472</v>
      </c>
      <c r="D402" s="1" t="s">
        <v>30</v>
      </c>
      <c r="E402" s="1" t="s">
        <v>32</v>
      </c>
      <c r="F402" s="1" t="n">
        <v>4</v>
      </c>
      <c r="G402" s="15" t="n">
        <v>295.58</v>
      </c>
      <c r="H402" s="16" t="n">
        <v>0.35</v>
      </c>
      <c r="I402" s="1" t="s">
        <v>33</v>
      </c>
      <c r="J402" s="1" t="n">
        <v>10</v>
      </c>
      <c r="K402" s="1" t="n">
        <v>4.1</v>
      </c>
      <c r="L402" s="15" t="n">
        <v>768.51</v>
      </c>
      <c r="M402" s="15" t="n">
        <f aca="false">F402*G402</f>
        <v>1182.32</v>
      </c>
      <c r="N402" s="15" t="n">
        <f aca="false">M402-L402</f>
        <v>413.81</v>
      </c>
      <c r="O402" s="1" t="n">
        <f aca="false">YEAR(B402)</f>
        <v>2023</v>
      </c>
      <c r="P402" s="1" t="n">
        <f aca="false">MONTH(B402)</f>
        <v>2</v>
      </c>
      <c r="Q402" s="1" t="str">
        <f aca="false">TEXT(B402,"mmm")</f>
        <v>Feb</v>
      </c>
      <c r="R402" s="1" t="str">
        <f aca="false">"Q"&amp;ROUNDUP(MONTH(B402)/3,0)</f>
        <v>Q1</v>
      </c>
    </row>
    <row r="403" customFormat="false" ht="15" hidden="false" customHeight="true" outlineLevel="0" collapsed="false">
      <c r="A403" s="1" t="n">
        <v>10402</v>
      </c>
      <c r="B403" s="14" t="n">
        <v>44963</v>
      </c>
      <c r="C403" s="1" t="n">
        <v>1098</v>
      </c>
      <c r="D403" s="1" t="s">
        <v>30</v>
      </c>
      <c r="E403" s="1" t="s">
        <v>32</v>
      </c>
      <c r="F403" s="1" t="n">
        <v>4</v>
      </c>
      <c r="G403" s="15" t="n">
        <v>534.24</v>
      </c>
      <c r="H403" s="16" t="n">
        <v>0.24</v>
      </c>
      <c r="I403" s="1" t="s">
        <v>33</v>
      </c>
      <c r="J403" s="1" t="n">
        <v>11</v>
      </c>
      <c r="K403" s="1" t="n">
        <v>1.9</v>
      </c>
      <c r="L403" s="15" t="n">
        <v>1624.09</v>
      </c>
      <c r="M403" s="15" t="n">
        <f aca="false">F403*G403</f>
        <v>2136.96</v>
      </c>
      <c r="N403" s="15" t="n">
        <f aca="false">M403-L403</f>
        <v>512.87</v>
      </c>
      <c r="O403" s="1" t="n">
        <f aca="false">YEAR(B403)</f>
        <v>2023</v>
      </c>
      <c r="P403" s="1" t="n">
        <f aca="false">MONTH(B403)</f>
        <v>2</v>
      </c>
      <c r="Q403" s="1" t="str">
        <f aca="false">TEXT(B403,"mmm")</f>
        <v>Feb</v>
      </c>
      <c r="R403" s="1" t="str">
        <f aca="false">"Q"&amp;ROUNDUP(MONTH(B403)/3,0)</f>
        <v>Q1</v>
      </c>
    </row>
    <row r="404" customFormat="false" ht="15" hidden="false" customHeight="true" outlineLevel="0" collapsed="false">
      <c r="A404" s="1" t="n">
        <v>10403</v>
      </c>
      <c r="B404" s="14" t="n">
        <v>44964</v>
      </c>
      <c r="C404" s="1" t="n">
        <v>1152</v>
      </c>
      <c r="D404" s="1" t="s">
        <v>34</v>
      </c>
      <c r="E404" s="1" t="s">
        <v>28</v>
      </c>
      <c r="F404" s="1" t="n">
        <v>6</v>
      </c>
      <c r="G404" s="15" t="n">
        <v>346.34</v>
      </c>
      <c r="H404" s="16" t="n">
        <v>0.06</v>
      </c>
      <c r="I404" s="1" t="s">
        <v>31</v>
      </c>
      <c r="J404" s="1" t="n">
        <v>1</v>
      </c>
      <c r="K404" s="1" t="n">
        <v>2.3</v>
      </c>
      <c r="L404" s="15" t="n">
        <v>1953.36</v>
      </c>
      <c r="M404" s="15" t="n">
        <f aca="false">F404*G404</f>
        <v>2078.04</v>
      </c>
      <c r="N404" s="15" t="n">
        <f aca="false">M404-L404</f>
        <v>124.68</v>
      </c>
      <c r="O404" s="1" t="n">
        <f aca="false">YEAR(B404)</f>
        <v>2023</v>
      </c>
      <c r="P404" s="1" t="n">
        <f aca="false">MONTH(B404)</f>
        <v>2</v>
      </c>
      <c r="Q404" s="1" t="str">
        <f aca="false">TEXT(B404,"mmm")</f>
        <v>Feb</v>
      </c>
      <c r="R404" s="1" t="str">
        <f aca="false">"Q"&amp;ROUNDUP(MONTH(B404)/3,0)</f>
        <v>Q1</v>
      </c>
    </row>
    <row r="405" customFormat="false" ht="15" hidden="false" customHeight="true" outlineLevel="0" collapsed="false">
      <c r="A405" s="1" t="n">
        <v>10404</v>
      </c>
      <c r="B405" s="14" t="n">
        <v>44965</v>
      </c>
      <c r="C405" s="1" t="n">
        <v>1860</v>
      </c>
      <c r="D405" s="1" t="s">
        <v>37</v>
      </c>
      <c r="E405" s="1" t="s">
        <v>28</v>
      </c>
      <c r="F405" s="1" t="n">
        <v>6</v>
      </c>
      <c r="G405" s="15" t="n">
        <v>413.7</v>
      </c>
      <c r="H405" s="16" t="n">
        <v>0.08</v>
      </c>
      <c r="I405" s="1" t="s">
        <v>33</v>
      </c>
      <c r="J405" s="1" t="n">
        <v>4</v>
      </c>
      <c r="K405" s="1" t="n">
        <v>1.9</v>
      </c>
      <c r="L405" s="15" t="n">
        <v>2283.62</v>
      </c>
      <c r="M405" s="15" t="n">
        <f aca="false">F405*G405</f>
        <v>2482.2</v>
      </c>
      <c r="N405" s="15" t="n">
        <f aca="false">M405-L405</f>
        <v>198.58</v>
      </c>
      <c r="O405" s="1" t="n">
        <f aca="false">YEAR(B405)</f>
        <v>2023</v>
      </c>
      <c r="P405" s="1" t="n">
        <f aca="false">MONTH(B405)</f>
        <v>2</v>
      </c>
      <c r="Q405" s="1" t="str">
        <f aca="false">TEXT(B405,"mmm")</f>
        <v>Feb</v>
      </c>
      <c r="R405" s="1" t="str">
        <f aca="false">"Q"&amp;ROUNDUP(MONTH(B405)/3,0)</f>
        <v>Q1</v>
      </c>
    </row>
    <row r="406" customFormat="false" ht="15" hidden="false" customHeight="true" outlineLevel="0" collapsed="false">
      <c r="A406" s="1" t="n">
        <v>10405</v>
      </c>
      <c r="B406" s="14" t="n">
        <v>44966</v>
      </c>
      <c r="C406" s="1" t="n">
        <v>1913</v>
      </c>
      <c r="D406" s="1" t="s">
        <v>37</v>
      </c>
      <c r="E406" s="1" t="s">
        <v>36</v>
      </c>
      <c r="F406" s="1" t="n">
        <v>7</v>
      </c>
      <c r="G406" s="15" t="n">
        <v>213.33</v>
      </c>
      <c r="H406" s="16" t="n">
        <v>0.24</v>
      </c>
      <c r="I406" s="1" t="s">
        <v>31</v>
      </c>
      <c r="J406" s="1" t="n">
        <v>4</v>
      </c>
      <c r="K406" s="1" t="n">
        <v>4.8</v>
      </c>
      <c r="L406" s="15" t="n">
        <v>1134.92</v>
      </c>
      <c r="M406" s="15" t="n">
        <f aca="false">F406*G406</f>
        <v>1493.31</v>
      </c>
      <c r="N406" s="15" t="n">
        <f aca="false">M406-L406</f>
        <v>358.39</v>
      </c>
      <c r="O406" s="1" t="n">
        <f aca="false">YEAR(B406)</f>
        <v>2023</v>
      </c>
      <c r="P406" s="1" t="n">
        <f aca="false">MONTH(B406)</f>
        <v>2</v>
      </c>
      <c r="Q406" s="1" t="str">
        <f aca="false">TEXT(B406,"mmm")</f>
        <v>Feb</v>
      </c>
      <c r="R406" s="1" t="str">
        <f aca="false">"Q"&amp;ROUNDUP(MONTH(B406)/3,0)</f>
        <v>Q1</v>
      </c>
    </row>
    <row r="407" customFormat="false" ht="15" hidden="false" customHeight="true" outlineLevel="0" collapsed="false">
      <c r="A407" s="1" t="n">
        <v>10406</v>
      </c>
      <c r="B407" s="14" t="n">
        <v>44967</v>
      </c>
      <c r="C407" s="1" t="n">
        <v>1895</v>
      </c>
      <c r="D407" s="1" t="s">
        <v>30</v>
      </c>
      <c r="E407" s="1" t="s">
        <v>28</v>
      </c>
      <c r="F407" s="1" t="n">
        <v>7</v>
      </c>
      <c r="G407" s="15" t="n">
        <v>349.28</v>
      </c>
      <c r="H407" s="16" t="n">
        <v>0.27</v>
      </c>
      <c r="I407" s="1" t="s">
        <v>31</v>
      </c>
      <c r="J407" s="1" t="n">
        <v>9</v>
      </c>
      <c r="K407" s="1" t="n">
        <v>1.7</v>
      </c>
      <c r="L407" s="15" t="n">
        <v>1784.82</v>
      </c>
      <c r="M407" s="15" t="n">
        <f aca="false">F407*G407</f>
        <v>2444.96</v>
      </c>
      <c r="N407" s="15" t="n">
        <f aca="false">M407-L407</f>
        <v>660.14</v>
      </c>
      <c r="O407" s="1" t="n">
        <f aca="false">YEAR(B407)</f>
        <v>2023</v>
      </c>
      <c r="P407" s="1" t="n">
        <f aca="false">MONTH(B407)</f>
        <v>2</v>
      </c>
      <c r="Q407" s="1" t="str">
        <f aca="false">TEXT(B407,"mmm")</f>
        <v>Feb</v>
      </c>
      <c r="R407" s="1" t="str">
        <f aca="false">"Q"&amp;ROUNDUP(MONTH(B407)/3,0)</f>
        <v>Q1</v>
      </c>
    </row>
    <row r="408" customFormat="false" ht="15" hidden="false" customHeight="true" outlineLevel="0" collapsed="false">
      <c r="A408" s="1" t="n">
        <v>10407</v>
      </c>
      <c r="B408" s="14" t="n">
        <v>44968</v>
      </c>
      <c r="C408" s="1" t="n">
        <v>1877</v>
      </c>
      <c r="D408" s="1" t="s">
        <v>34</v>
      </c>
      <c r="E408" s="1" t="s">
        <v>36</v>
      </c>
      <c r="F408" s="1" t="n">
        <v>3</v>
      </c>
      <c r="G408" s="15" t="n">
        <v>276.72</v>
      </c>
      <c r="H408" s="16" t="n">
        <v>0.08</v>
      </c>
      <c r="I408" s="1" t="s">
        <v>33</v>
      </c>
      <c r="J408" s="1" t="n">
        <v>10</v>
      </c>
      <c r="K408" s="1" t="n">
        <v>3.9</v>
      </c>
      <c r="L408" s="15" t="n">
        <v>763.75</v>
      </c>
      <c r="M408" s="15" t="n">
        <f aca="false">F408*G408</f>
        <v>830.16</v>
      </c>
      <c r="N408" s="15" t="n">
        <f aca="false">M408-L408</f>
        <v>66.4100000000001</v>
      </c>
      <c r="O408" s="1" t="n">
        <f aca="false">YEAR(B408)</f>
        <v>2023</v>
      </c>
      <c r="P408" s="1" t="n">
        <f aca="false">MONTH(B408)</f>
        <v>2</v>
      </c>
      <c r="Q408" s="1" t="str">
        <f aca="false">TEXT(B408,"mmm")</f>
        <v>Feb</v>
      </c>
      <c r="R408" s="1" t="str">
        <f aca="false">"Q"&amp;ROUNDUP(MONTH(B408)/3,0)</f>
        <v>Q1</v>
      </c>
    </row>
    <row r="409" customFormat="false" ht="15" hidden="false" customHeight="true" outlineLevel="0" collapsed="false">
      <c r="A409" s="1" t="n">
        <v>10408</v>
      </c>
      <c r="B409" s="14" t="n">
        <v>44969</v>
      </c>
      <c r="C409" s="1" t="n">
        <v>1337</v>
      </c>
      <c r="D409" s="1" t="s">
        <v>37</v>
      </c>
      <c r="E409" s="1" t="s">
        <v>36</v>
      </c>
      <c r="F409" s="1" t="n">
        <v>7</v>
      </c>
      <c r="G409" s="15" t="n">
        <v>400.59</v>
      </c>
      <c r="H409" s="16" t="n">
        <v>0.09</v>
      </c>
      <c r="I409" s="1" t="s">
        <v>31</v>
      </c>
      <c r="J409" s="1" t="n">
        <v>1</v>
      </c>
      <c r="K409" s="1" t="n">
        <v>2</v>
      </c>
      <c r="L409" s="15" t="n">
        <v>2551.76</v>
      </c>
      <c r="M409" s="15" t="n">
        <f aca="false">F409*G409</f>
        <v>2804.13</v>
      </c>
      <c r="N409" s="15" t="n">
        <f aca="false">M409-L409</f>
        <v>252.369999999999</v>
      </c>
      <c r="O409" s="1" t="n">
        <f aca="false">YEAR(B409)</f>
        <v>2023</v>
      </c>
      <c r="P409" s="1" t="n">
        <f aca="false">MONTH(B409)</f>
        <v>2</v>
      </c>
      <c r="Q409" s="1" t="str">
        <f aca="false">TEXT(B409,"mmm")</f>
        <v>Feb</v>
      </c>
      <c r="R409" s="1" t="str">
        <f aca="false">"Q"&amp;ROUNDUP(MONTH(B409)/3,0)</f>
        <v>Q1</v>
      </c>
    </row>
    <row r="410" customFormat="false" ht="15" hidden="false" customHeight="true" outlineLevel="0" collapsed="false">
      <c r="A410" s="1" t="n">
        <v>10409</v>
      </c>
      <c r="B410" s="14" t="n">
        <v>44970</v>
      </c>
      <c r="C410" s="1" t="n">
        <v>1705</v>
      </c>
      <c r="D410" s="1" t="s">
        <v>34</v>
      </c>
      <c r="E410" s="1" t="s">
        <v>35</v>
      </c>
      <c r="F410" s="1" t="n">
        <v>3</v>
      </c>
      <c r="G410" s="15" t="n">
        <v>44.59</v>
      </c>
      <c r="H410" s="16" t="n">
        <v>0.11</v>
      </c>
      <c r="I410" s="1" t="s">
        <v>31</v>
      </c>
      <c r="J410" s="1" t="n">
        <v>11</v>
      </c>
      <c r="K410" s="1" t="n">
        <v>2.7</v>
      </c>
      <c r="L410" s="15" t="n">
        <v>119.06</v>
      </c>
      <c r="M410" s="15" t="n">
        <f aca="false">F410*G410</f>
        <v>133.77</v>
      </c>
      <c r="N410" s="15" t="n">
        <f aca="false">M410-L410</f>
        <v>14.71</v>
      </c>
      <c r="O410" s="1" t="n">
        <f aca="false">YEAR(B410)</f>
        <v>2023</v>
      </c>
      <c r="P410" s="1" t="n">
        <f aca="false">MONTH(B410)</f>
        <v>2</v>
      </c>
      <c r="Q410" s="1" t="str">
        <f aca="false">TEXT(B410,"mmm")</f>
        <v>Feb</v>
      </c>
      <c r="R410" s="1" t="str">
        <f aca="false">"Q"&amp;ROUNDUP(MONTH(B410)/3,0)</f>
        <v>Q1</v>
      </c>
    </row>
    <row r="411" customFormat="false" ht="15" hidden="false" customHeight="true" outlineLevel="0" collapsed="false">
      <c r="A411" s="1" t="n">
        <v>10410</v>
      </c>
      <c r="B411" s="14" t="n">
        <v>44971</v>
      </c>
      <c r="C411" s="1" t="n">
        <v>1821</v>
      </c>
      <c r="D411" s="1" t="s">
        <v>37</v>
      </c>
      <c r="E411" s="1" t="s">
        <v>36</v>
      </c>
      <c r="F411" s="1" t="n">
        <v>6</v>
      </c>
      <c r="G411" s="15" t="n">
        <v>303.58</v>
      </c>
      <c r="H411" s="16" t="n">
        <v>0.21</v>
      </c>
      <c r="I411" s="1" t="s">
        <v>29</v>
      </c>
      <c r="J411" s="1" t="n">
        <v>4</v>
      </c>
      <c r="K411" s="1" t="n">
        <v>5</v>
      </c>
      <c r="L411" s="15" t="n">
        <v>1438.97</v>
      </c>
      <c r="M411" s="15" t="n">
        <f aca="false">F411*G411</f>
        <v>1821.48</v>
      </c>
      <c r="N411" s="15" t="n">
        <f aca="false">M411-L411</f>
        <v>382.51</v>
      </c>
      <c r="O411" s="1" t="n">
        <f aca="false">YEAR(B411)</f>
        <v>2023</v>
      </c>
      <c r="P411" s="1" t="n">
        <f aca="false">MONTH(B411)</f>
        <v>2</v>
      </c>
      <c r="Q411" s="1" t="str">
        <f aca="false">TEXT(B411,"mmm")</f>
        <v>Feb</v>
      </c>
      <c r="R411" s="1" t="str">
        <f aca="false">"Q"&amp;ROUNDUP(MONTH(B411)/3,0)</f>
        <v>Q1</v>
      </c>
    </row>
    <row r="412" customFormat="false" ht="15" hidden="false" customHeight="true" outlineLevel="0" collapsed="false">
      <c r="A412" s="1" t="n">
        <v>10411</v>
      </c>
      <c r="B412" s="14" t="n">
        <v>44972</v>
      </c>
      <c r="C412" s="1" t="n">
        <v>1162</v>
      </c>
      <c r="D412" s="1" t="s">
        <v>27</v>
      </c>
      <c r="E412" s="1" t="s">
        <v>28</v>
      </c>
      <c r="F412" s="1" t="n">
        <v>6</v>
      </c>
      <c r="G412" s="15" t="n">
        <v>188.16</v>
      </c>
      <c r="H412" s="16" t="n">
        <v>0.06</v>
      </c>
      <c r="I412" s="1" t="s">
        <v>33</v>
      </c>
      <c r="J412" s="1" t="n">
        <v>3</v>
      </c>
      <c r="K412" s="1" t="n">
        <v>1.4</v>
      </c>
      <c r="L412" s="15" t="n">
        <v>1061.22</v>
      </c>
      <c r="M412" s="15" t="n">
        <f aca="false">F412*G412</f>
        <v>1128.96</v>
      </c>
      <c r="N412" s="15" t="n">
        <f aca="false">M412-L412</f>
        <v>67.74</v>
      </c>
      <c r="O412" s="1" t="n">
        <f aca="false">YEAR(B412)</f>
        <v>2023</v>
      </c>
      <c r="P412" s="1" t="n">
        <f aca="false">MONTH(B412)</f>
        <v>2</v>
      </c>
      <c r="Q412" s="1" t="str">
        <f aca="false">TEXT(B412,"mmm")</f>
        <v>Feb</v>
      </c>
      <c r="R412" s="1" t="str">
        <f aca="false">"Q"&amp;ROUNDUP(MONTH(B412)/3,0)</f>
        <v>Q1</v>
      </c>
    </row>
    <row r="413" customFormat="false" ht="15" hidden="false" customHeight="true" outlineLevel="0" collapsed="false">
      <c r="A413" s="1" t="n">
        <v>10412</v>
      </c>
      <c r="B413" s="14" t="n">
        <v>44973</v>
      </c>
      <c r="C413" s="1" t="n">
        <v>1719</v>
      </c>
      <c r="D413" s="1" t="s">
        <v>30</v>
      </c>
      <c r="E413" s="1" t="s">
        <v>32</v>
      </c>
      <c r="F413" s="1" t="n">
        <v>2</v>
      </c>
      <c r="G413" s="15" t="n">
        <v>205.82</v>
      </c>
      <c r="H413" s="16" t="n">
        <v>0.04</v>
      </c>
      <c r="I413" s="1" t="s">
        <v>33</v>
      </c>
      <c r="J413" s="1" t="n">
        <v>9</v>
      </c>
      <c r="K413" s="1" t="n">
        <v>4.5</v>
      </c>
      <c r="L413" s="15" t="n">
        <v>395.17</v>
      </c>
      <c r="M413" s="15" t="n">
        <f aca="false">F413*G413</f>
        <v>411.64</v>
      </c>
      <c r="N413" s="15" t="n">
        <f aca="false">M413-L413</f>
        <v>16.47</v>
      </c>
      <c r="O413" s="1" t="n">
        <f aca="false">YEAR(B413)</f>
        <v>2023</v>
      </c>
      <c r="P413" s="1" t="n">
        <f aca="false">MONTH(B413)</f>
        <v>2</v>
      </c>
      <c r="Q413" s="1" t="str">
        <f aca="false">TEXT(B413,"mmm")</f>
        <v>Feb</v>
      </c>
      <c r="R413" s="1" t="str">
        <f aca="false">"Q"&amp;ROUNDUP(MONTH(B413)/3,0)</f>
        <v>Q1</v>
      </c>
    </row>
    <row r="414" customFormat="false" ht="15" hidden="false" customHeight="true" outlineLevel="0" collapsed="false">
      <c r="A414" s="1" t="n">
        <v>10413</v>
      </c>
      <c r="B414" s="14" t="n">
        <v>44974</v>
      </c>
      <c r="C414" s="1" t="n">
        <v>1956</v>
      </c>
      <c r="D414" s="1" t="s">
        <v>34</v>
      </c>
      <c r="E414" s="1" t="s">
        <v>32</v>
      </c>
      <c r="F414" s="1" t="n">
        <v>2</v>
      </c>
      <c r="G414" s="15" t="n">
        <v>577.14</v>
      </c>
      <c r="H414" s="16" t="n">
        <v>0.24</v>
      </c>
      <c r="I414" s="1" t="s">
        <v>31</v>
      </c>
      <c r="J414" s="1" t="n">
        <v>5</v>
      </c>
      <c r="K414" s="1" t="n">
        <v>4.8</v>
      </c>
      <c r="L414" s="15" t="n">
        <v>877.25</v>
      </c>
      <c r="M414" s="15" t="n">
        <f aca="false">F414*G414</f>
        <v>1154.28</v>
      </c>
      <c r="N414" s="15" t="n">
        <f aca="false">M414-L414</f>
        <v>277.03</v>
      </c>
      <c r="O414" s="1" t="n">
        <f aca="false">YEAR(B414)</f>
        <v>2023</v>
      </c>
      <c r="P414" s="1" t="n">
        <f aca="false">MONTH(B414)</f>
        <v>2</v>
      </c>
      <c r="Q414" s="1" t="str">
        <f aca="false">TEXT(B414,"mmm")</f>
        <v>Feb</v>
      </c>
      <c r="R414" s="1" t="str">
        <f aca="false">"Q"&amp;ROUNDUP(MONTH(B414)/3,0)</f>
        <v>Q1</v>
      </c>
    </row>
    <row r="415" customFormat="false" ht="15" hidden="false" customHeight="true" outlineLevel="0" collapsed="false">
      <c r="A415" s="1" t="n">
        <v>10414</v>
      </c>
      <c r="B415" s="14" t="n">
        <v>44975</v>
      </c>
      <c r="C415" s="1" t="n">
        <v>1680</v>
      </c>
      <c r="D415" s="1" t="s">
        <v>37</v>
      </c>
      <c r="E415" s="1" t="s">
        <v>28</v>
      </c>
      <c r="F415" s="1" t="n">
        <v>5</v>
      </c>
      <c r="G415" s="15" t="n">
        <v>121.88</v>
      </c>
      <c r="H415" s="16" t="n">
        <v>0.27</v>
      </c>
      <c r="I415" s="1" t="s">
        <v>31</v>
      </c>
      <c r="J415" s="1" t="n">
        <v>9</v>
      </c>
      <c r="K415" s="1" t="n">
        <v>3.8</v>
      </c>
      <c r="L415" s="15" t="n">
        <v>444.86</v>
      </c>
      <c r="M415" s="15" t="n">
        <f aca="false">F415*G415</f>
        <v>609.4</v>
      </c>
      <c r="N415" s="15" t="n">
        <f aca="false">M415-L415</f>
        <v>164.54</v>
      </c>
      <c r="O415" s="1" t="n">
        <f aca="false">YEAR(B415)</f>
        <v>2023</v>
      </c>
      <c r="P415" s="1" t="n">
        <f aca="false">MONTH(B415)</f>
        <v>2</v>
      </c>
      <c r="Q415" s="1" t="str">
        <f aca="false">TEXT(B415,"mmm")</f>
        <v>Feb</v>
      </c>
      <c r="R415" s="1" t="str">
        <f aca="false">"Q"&amp;ROUNDUP(MONTH(B415)/3,0)</f>
        <v>Q1</v>
      </c>
    </row>
    <row r="416" customFormat="false" ht="15" hidden="false" customHeight="true" outlineLevel="0" collapsed="false">
      <c r="A416" s="1" t="n">
        <v>10415</v>
      </c>
      <c r="B416" s="14" t="n">
        <v>44976</v>
      </c>
      <c r="C416" s="1" t="n">
        <v>1995</v>
      </c>
      <c r="D416" s="1" t="s">
        <v>37</v>
      </c>
      <c r="E416" s="1" t="s">
        <v>32</v>
      </c>
      <c r="F416" s="1" t="n">
        <v>6</v>
      </c>
      <c r="G416" s="15" t="n">
        <v>197.08</v>
      </c>
      <c r="H416" s="16" t="n">
        <v>0.18</v>
      </c>
      <c r="I416" s="1" t="s">
        <v>33</v>
      </c>
      <c r="J416" s="1" t="n">
        <v>10</v>
      </c>
      <c r="K416" s="1" t="n">
        <v>1</v>
      </c>
      <c r="L416" s="15" t="n">
        <v>969.63</v>
      </c>
      <c r="M416" s="15" t="n">
        <f aca="false">F416*G416</f>
        <v>1182.48</v>
      </c>
      <c r="N416" s="15" t="n">
        <f aca="false">M416-L416</f>
        <v>212.85</v>
      </c>
      <c r="O416" s="1" t="n">
        <f aca="false">YEAR(B416)</f>
        <v>2023</v>
      </c>
      <c r="P416" s="1" t="n">
        <f aca="false">MONTH(B416)</f>
        <v>2</v>
      </c>
      <c r="Q416" s="1" t="str">
        <f aca="false">TEXT(B416,"mmm")</f>
        <v>Feb</v>
      </c>
      <c r="R416" s="1" t="str">
        <f aca="false">"Q"&amp;ROUNDUP(MONTH(B416)/3,0)</f>
        <v>Q1</v>
      </c>
    </row>
    <row r="417" customFormat="false" ht="15" hidden="false" customHeight="true" outlineLevel="0" collapsed="false">
      <c r="A417" s="1" t="n">
        <v>10416</v>
      </c>
      <c r="B417" s="14" t="n">
        <v>44977</v>
      </c>
      <c r="C417" s="1" t="n">
        <v>1160</v>
      </c>
      <c r="D417" s="1" t="s">
        <v>30</v>
      </c>
      <c r="E417" s="1" t="s">
        <v>36</v>
      </c>
      <c r="F417" s="1" t="n">
        <v>1</v>
      </c>
      <c r="G417" s="15" t="n">
        <v>313.29</v>
      </c>
      <c r="H417" s="16" t="n">
        <v>0.13</v>
      </c>
      <c r="I417" s="1" t="s">
        <v>33</v>
      </c>
      <c r="J417" s="1" t="n">
        <v>6</v>
      </c>
      <c r="K417" s="1" t="n">
        <v>4.3</v>
      </c>
      <c r="L417" s="15" t="n">
        <v>272.56</v>
      </c>
      <c r="M417" s="15" t="n">
        <f aca="false">F417*G417</f>
        <v>313.29</v>
      </c>
      <c r="N417" s="15" t="n">
        <f aca="false">M417-L417</f>
        <v>40.73</v>
      </c>
      <c r="O417" s="1" t="n">
        <f aca="false">YEAR(B417)</f>
        <v>2023</v>
      </c>
      <c r="P417" s="1" t="n">
        <f aca="false">MONTH(B417)</f>
        <v>2</v>
      </c>
      <c r="Q417" s="1" t="str">
        <f aca="false">TEXT(B417,"mmm")</f>
        <v>Feb</v>
      </c>
      <c r="R417" s="1" t="str">
        <f aca="false">"Q"&amp;ROUNDUP(MONTH(B417)/3,0)</f>
        <v>Q1</v>
      </c>
    </row>
    <row r="418" customFormat="false" ht="15" hidden="false" customHeight="true" outlineLevel="0" collapsed="false">
      <c r="A418" s="1" t="n">
        <v>10417</v>
      </c>
      <c r="B418" s="14" t="n">
        <v>44978</v>
      </c>
      <c r="C418" s="1" t="n">
        <v>1579</v>
      </c>
      <c r="D418" s="1" t="s">
        <v>27</v>
      </c>
      <c r="E418" s="1" t="s">
        <v>32</v>
      </c>
      <c r="F418" s="1" t="n">
        <v>2</v>
      </c>
      <c r="G418" s="15" t="n">
        <v>519.87</v>
      </c>
      <c r="H418" s="16" t="n">
        <v>0.15</v>
      </c>
      <c r="I418" s="1" t="s">
        <v>33</v>
      </c>
      <c r="J418" s="1" t="n">
        <v>11</v>
      </c>
      <c r="K418" s="1" t="n">
        <v>4.5</v>
      </c>
      <c r="L418" s="15" t="n">
        <v>883.78</v>
      </c>
      <c r="M418" s="15" t="n">
        <f aca="false">F418*G418</f>
        <v>1039.74</v>
      </c>
      <c r="N418" s="15" t="n">
        <f aca="false">M418-L418</f>
        <v>155.96</v>
      </c>
      <c r="O418" s="1" t="n">
        <f aca="false">YEAR(B418)</f>
        <v>2023</v>
      </c>
      <c r="P418" s="1" t="n">
        <f aca="false">MONTH(B418)</f>
        <v>2</v>
      </c>
      <c r="Q418" s="1" t="str">
        <f aca="false">TEXT(B418,"mmm")</f>
        <v>Feb</v>
      </c>
      <c r="R418" s="1" t="str">
        <f aca="false">"Q"&amp;ROUNDUP(MONTH(B418)/3,0)</f>
        <v>Q1</v>
      </c>
    </row>
    <row r="419" customFormat="false" ht="15" hidden="false" customHeight="true" outlineLevel="0" collapsed="false">
      <c r="A419" s="1" t="n">
        <v>10418</v>
      </c>
      <c r="B419" s="14" t="n">
        <v>44979</v>
      </c>
      <c r="C419" s="1" t="n">
        <v>1800</v>
      </c>
      <c r="D419" s="1" t="s">
        <v>34</v>
      </c>
      <c r="E419" s="1" t="s">
        <v>28</v>
      </c>
      <c r="F419" s="1" t="n">
        <v>3</v>
      </c>
      <c r="G419" s="15" t="n">
        <v>258.75</v>
      </c>
      <c r="H419" s="16" t="n">
        <v>0.14</v>
      </c>
      <c r="I419" s="1" t="s">
        <v>29</v>
      </c>
      <c r="J419" s="1" t="n">
        <v>9</v>
      </c>
      <c r="K419" s="1" t="n">
        <v>4.9</v>
      </c>
      <c r="L419" s="15" t="n">
        <v>667.58</v>
      </c>
      <c r="M419" s="15" t="n">
        <f aca="false">F419*G419</f>
        <v>776.25</v>
      </c>
      <c r="N419" s="15" t="n">
        <f aca="false">M419-L419</f>
        <v>108.67</v>
      </c>
      <c r="O419" s="1" t="n">
        <f aca="false">YEAR(B419)</f>
        <v>2023</v>
      </c>
      <c r="P419" s="1" t="n">
        <f aca="false">MONTH(B419)</f>
        <v>2</v>
      </c>
      <c r="Q419" s="1" t="str">
        <f aca="false">TEXT(B419,"mmm")</f>
        <v>Feb</v>
      </c>
      <c r="R419" s="1" t="str">
        <f aca="false">"Q"&amp;ROUNDUP(MONTH(B419)/3,0)</f>
        <v>Q1</v>
      </c>
    </row>
    <row r="420" customFormat="false" ht="15" hidden="false" customHeight="true" outlineLevel="0" collapsed="false">
      <c r="A420" s="1" t="n">
        <v>10419</v>
      </c>
      <c r="B420" s="14" t="n">
        <v>44980</v>
      </c>
      <c r="C420" s="1" t="n">
        <v>1397</v>
      </c>
      <c r="D420" s="1" t="s">
        <v>30</v>
      </c>
      <c r="E420" s="1" t="s">
        <v>32</v>
      </c>
      <c r="F420" s="1" t="n">
        <v>4</v>
      </c>
      <c r="G420" s="15" t="n">
        <v>450.16</v>
      </c>
      <c r="H420" s="16" t="n">
        <v>0.34</v>
      </c>
      <c r="I420" s="1" t="s">
        <v>29</v>
      </c>
      <c r="J420" s="1" t="n">
        <v>1</v>
      </c>
      <c r="K420" s="1" t="n">
        <v>4.4</v>
      </c>
      <c r="L420" s="15" t="n">
        <v>1188.42</v>
      </c>
      <c r="M420" s="15" t="n">
        <f aca="false">F420*G420</f>
        <v>1800.64</v>
      </c>
      <c r="N420" s="15" t="n">
        <f aca="false">M420-L420</f>
        <v>612.22</v>
      </c>
      <c r="O420" s="1" t="n">
        <f aca="false">YEAR(B420)</f>
        <v>2023</v>
      </c>
      <c r="P420" s="1" t="n">
        <f aca="false">MONTH(B420)</f>
        <v>2</v>
      </c>
      <c r="Q420" s="1" t="str">
        <f aca="false">TEXT(B420,"mmm")</f>
        <v>Feb</v>
      </c>
      <c r="R420" s="1" t="str">
        <f aca="false">"Q"&amp;ROUNDUP(MONTH(B420)/3,0)</f>
        <v>Q1</v>
      </c>
    </row>
    <row r="421" customFormat="false" ht="15" hidden="false" customHeight="true" outlineLevel="0" collapsed="false">
      <c r="A421" s="1" t="n">
        <v>10420</v>
      </c>
      <c r="B421" s="14" t="n">
        <v>44981</v>
      </c>
      <c r="C421" s="1" t="n">
        <v>1276</v>
      </c>
      <c r="D421" s="1" t="s">
        <v>37</v>
      </c>
      <c r="E421" s="1" t="s">
        <v>36</v>
      </c>
      <c r="F421" s="1" t="n">
        <v>7</v>
      </c>
      <c r="G421" s="15" t="n">
        <v>515.98</v>
      </c>
      <c r="H421" s="16" t="n">
        <v>0.27</v>
      </c>
      <c r="I421" s="1" t="s">
        <v>31</v>
      </c>
      <c r="J421" s="1" t="n">
        <v>4</v>
      </c>
      <c r="K421" s="1" t="n">
        <v>2.8</v>
      </c>
      <c r="L421" s="15" t="n">
        <v>2636.66</v>
      </c>
      <c r="M421" s="15" t="n">
        <f aca="false">F421*G421</f>
        <v>3611.86</v>
      </c>
      <c r="N421" s="15" t="n">
        <f aca="false">M421-L421</f>
        <v>975.2</v>
      </c>
      <c r="O421" s="1" t="n">
        <f aca="false">YEAR(B421)</f>
        <v>2023</v>
      </c>
      <c r="P421" s="1" t="n">
        <f aca="false">MONTH(B421)</f>
        <v>2</v>
      </c>
      <c r="Q421" s="1" t="str">
        <f aca="false">TEXT(B421,"mmm")</f>
        <v>Feb</v>
      </c>
      <c r="R421" s="1" t="str">
        <f aca="false">"Q"&amp;ROUNDUP(MONTH(B421)/3,0)</f>
        <v>Q1</v>
      </c>
    </row>
    <row r="422" customFormat="false" ht="15" hidden="false" customHeight="true" outlineLevel="0" collapsed="false">
      <c r="A422" s="1" t="n">
        <v>10421</v>
      </c>
      <c r="B422" s="14" t="n">
        <v>44982</v>
      </c>
      <c r="C422" s="1" t="n">
        <v>1815</v>
      </c>
      <c r="D422" s="1" t="s">
        <v>27</v>
      </c>
      <c r="E422" s="1" t="s">
        <v>36</v>
      </c>
      <c r="F422" s="1" t="n">
        <v>7</v>
      </c>
      <c r="G422" s="15" t="n">
        <v>196.36</v>
      </c>
      <c r="H422" s="16" t="n">
        <v>0.07</v>
      </c>
      <c r="I422" s="1" t="s">
        <v>29</v>
      </c>
      <c r="J422" s="1" t="n">
        <v>4</v>
      </c>
      <c r="K422" s="1" t="n">
        <v>3.8</v>
      </c>
      <c r="L422" s="15" t="n">
        <v>1278.3</v>
      </c>
      <c r="M422" s="15" t="n">
        <f aca="false">F422*G422</f>
        <v>1374.52</v>
      </c>
      <c r="N422" s="15" t="n">
        <f aca="false">M422-L422</f>
        <v>96.22</v>
      </c>
      <c r="O422" s="1" t="n">
        <f aca="false">YEAR(B422)</f>
        <v>2023</v>
      </c>
      <c r="P422" s="1" t="n">
        <f aca="false">MONTH(B422)</f>
        <v>2</v>
      </c>
      <c r="Q422" s="1" t="str">
        <f aca="false">TEXT(B422,"mmm")</f>
        <v>Feb</v>
      </c>
      <c r="R422" s="1" t="str">
        <f aca="false">"Q"&amp;ROUNDUP(MONTH(B422)/3,0)</f>
        <v>Q1</v>
      </c>
    </row>
    <row r="423" customFormat="false" ht="15" hidden="false" customHeight="true" outlineLevel="0" collapsed="false">
      <c r="A423" s="1" t="n">
        <v>10422</v>
      </c>
      <c r="B423" s="14" t="n">
        <v>44983</v>
      </c>
      <c r="C423" s="1" t="n">
        <v>1915</v>
      </c>
      <c r="D423" s="1" t="s">
        <v>34</v>
      </c>
      <c r="E423" s="1" t="s">
        <v>28</v>
      </c>
      <c r="F423" s="1" t="n">
        <v>5</v>
      </c>
      <c r="G423" s="15" t="n">
        <v>244.76</v>
      </c>
      <c r="H423" s="16" t="n">
        <v>0.13</v>
      </c>
      <c r="I423" s="1" t="s">
        <v>33</v>
      </c>
      <c r="J423" s="1" t="n">
        <v>10</v>
      </c>
      <c r="K423" s="1" t="n">
        <v>2.9</v>
      </c>
      <c r="L423" s="15" t="n">
        <v>1064.71</v>
      </c>
      <c r="M423" s="15" t="n">
        <f aca="false">F423*G423</f>
        <v>1223.8</v>
      </c>
      <c r="N423" s="15" t="n">
        <f aca="false">M423-L423</f>
        <v>159.09</v>
      </c>
      <c r="O423" s="1" t="n">
        <f aca="false">YEAR(B423)</f>
        <v>2023</v>
      </c>
      <c r="P423" s="1" t="n">
        <f aca="false">MONTH(B423)</f>
        <v>2</v>
      </c>
      <c r="Q423" s="1" t="str">
        <f aca="false">TEXT(B423,"mmm")</f>
        <v>Feb</v>
      </c>
      <c r="R423" s="1" t="str">
        <f aca="false">"Q"&amp;ROUNDUP(MONTH(B423)/3,0)</f>
        <v>Q1</v>
      </c>
    </row>
    <row r="424" customFormat="false" ht="15" hidden="false" customHeight="true" outlineLevel="0" collapsed="false">
      <c r="A424" s="1" t="n">
        <v>10423</v>
      </c>
      <c r="B424" s="14" t="n">
        <v>44984</v>
      </c>
      <c r="C424" s="1" t="n">
        <v>1503</v>
      </c>
      <c r="D424" s="1" t="s">
        <v>37</v>
      </c>
      <c r="E424" s="1" t="s">
        <v>28</v>
      </c>
      <c r="F424" s="1" t="n">
        <v>2</v>
      </c>
      <c r="G424" s="15" t="n">
        <v>223.59</v>
      </c>
      <c r="H424" s="16" t="n">
        <v>0.19</v>
      </c>
      <c r="I424" s="1" t="s">
        <v>33</v>
      </c>
      <c r="J424" s="1" t="n">
        <v>10</v>
      </c>
      <c r="K424" s="1" t="n">
        <v>2.4</v>
      </c>
      <c r="L424" s="15" t="n">
        <v>362.22</v>
      </c>
      <c r="M424" s="15" t="n">
        <f aca="false">F424*G424</f>
        <v>447.18</v>
      </c>
      <c r="N424" s="15" t="n">
        <f aca="false">M424-L424</f>
        <v>84.96</v>
      </c>
      <c r="O424" s="1" t="n">
        <f aca="false">YEAR(B424)</f>
        <v>2023</v>
      </c>
      <c r="P424" s="1" t="n">
        <f aca="false">MONTH(B424)</f>
        <v>2</v>
      </c>
      <c r="Q424" s="1" t="str">
        <f aca="false">TEXT(B424,"mmm")</f>
        <v>Feb</v>
      </c>
      <c r="R424" s="1" t="str">
        <f aca="false">"Q"&amp;ROUNDUP(MONTH(B424)/3,0)</f>
        <v>Q1</v>
      </c>
    </row>
    <row r="425" customFormat="false" ht="15" hidden="false" customHeight="true" outlineLevel="0" collapsed="false">
      <c r="A425" s="1" t="n">
        <v>10424</v>
      </c>
      <c r="B425" s="14" t="n">
        <v>44985</v>
      </c>
      <c r="C425" s="1" t="n">
        <v>1895</v>
      </c>
      <c r="D425" s="1" t="s">
        <v>30</v>
      </c>
      <c r="E425" s="1" t="s">
        <v>28</v>
      </c>
      <c r="F425" s="1" t="n">
        <v>4</v>
      </c>
      <c r="G425" s="15" t="n">
        <v>502.22</v>
      </c>
      <c r="H425" s="16" t="n">
        <v>0.21</v>
      </c>
      <c r="I425" s="1" t="s">
        <v>31</v>
      </c>
      <c r="J425" s="1" t="n">
        <v>6</v>
      </c>
      <c r="K425" s="1" t="n">
        <v>3.5</v>
      </c>
      <c r="L425" s="15" t="n">
        <v>1587.02</v>
      </c>
      <c r="M425" s="15" t="n">
        <f aca="false">F425*G425</f>
        <v>2008.88</v>
      </c>
      <c r="N425" s="15" t="n">
        <f aca="false">M425-L425</f>
        <v>421.86</v>
      </c>
      <c r="O425" s="1" t="n">
        <f aca="false">YEAR(B425)</f>
        <v>2023</v>
      </c>
      <c r="P425" s="1" t="n">
        <f aca="false">MONTH(B425)</f>
        <v>2</v>
      </c>
      <c r="Q425" s="1" t="str">
        <f aca="false">TEXT(B425,"mmm")</f>
        <v>Feb</v>
      </c>
      <c r="R425" s="1" t="str">
        <f aca="false">"Q"&amp;ROUNDUP(MONTH(B425)/3,0)</f>
        <v>Q1</v>
      </c>
    </row>
    <row r="426" customFormat="false" ht="15" hidden="false" customHeight="true" outlineLevel="0" collapsed="false">
      <c r="A426" s="1" t="n">
        <v>10425</v>
      </c>
      <c r="B426" s="14" t="n">
        <v>44986</v>
      </c>
      <c r="C426" s="1" t="n">
        <v>1391</v>
      </c>
      <c r="D426" s="1" t="s">
        <v>30</v>
      </c>
      <c r="E426" s="1" t="s">
        <v>35</v>
      </c>
      <c r="F426" s="1" t="n">
        <v>4</v>
      </c>
      <c r="G426" s="15" t="n">
        <v>40.94</v>
      </c>
      <c r="H426" s="16" t="n">
        <v>0.16</v>
      </c>
      <c r="I426" s="1" t="s">
        <v>33</v>
      </c>
      <c r="J426" s="1" t="n">
        <v>10</v>
      </c>
      <c r="K426" s="1" t="n">
        <v>4.1</v>
      </c>
      <c r="L426" s="15" t="n">
        <v>137.56</v>
      </c>
      <c r="M426" s="15" t="n">
        <f aca="false">F426*G426</f>
        <v>163.76</v>
      </c>
      <c r="N426" s="15" t="n">
        <f aca="false">M426-L426</f>
        <v>26.2</v>
      </c>
      <c r="O426" s="1" t="n">
        <f aca="false">YEAR(B426)</f>
        <v>2023</v>
      </c>
      <c r="P426" s="1" t="n">
        <f aca="false">MONTH(B426)</f>
        <v>3</v>
      </c>
      <c r="Q426" s="1" t="str">
        <f aca="false">TEXT(B426,"mmm")</f>
        <v>Mar</v>
      </c>
      <c r="R426" s="1" t="str">
        <f aca="false">"Q"&amp;ROUNDUP(MONTH(B426)/3,0)</f>
        <v>Q1</v>
      </c>
    </row>
    <row r="427" customFormat="false" ht="15" hidden="false" customHeight="true" outlineLevel="0" collapsed="false">
      <c r="A427" s="1" t="n">
        <v>10426</v>
      </c>
      <c r="B427" s="14" t="n">
        <v>44987</v>
      </c>
      <c r="C427" s="1" t="n">
        <v>1134</v>
      </c>
      <c r="D427" s="1" t="s">
        <v>34</v>
      </c>
      <c r="E427" s="1" t="s">
        <v>35</v>
      </c>
      <c r="F427" s="1" t="n">
        <v>2</v>
      </c>
      <c r="G427" s="15" t="n">
        <v>195.43</v>
      </c>
      <c r="H427" s="16" t="n">
        <v>0.28</v>
      </c>
      <c r="I427" s="1" t="s">
        <v>29</v>
      </c>
      <c r="J427" s="1" t="n">
        <v>1</v>
      </c>
      <c r="K427" s="1" t="n">
        <v>3.5</v>
      </c>
      <c r="L427" s="15" t="n">
        <v>281.42</v>
      </c>
      <c r="M427" s="15" t="n">
        <f aca="false">F427*G427</f>
        <v>390.86</v>
      </c>
      <c r="N427" s="15" t="n">
        <f aca="false">M427-L427</f>
        <v>109.44</v>
      </c>
      <c r="O427" s="1" t="n">
        <f aca="false">YEAR(B427)</f>
        <v>2023</v>
      </c>
      <c r="P427" s="1" t="n">
        <f aca="false">MONTH(B427)</f>
        <v>3</v>
      </c>
      <c r="Q427" s="1" t="str">
        <f aca="false">TEXT(B427,"mmm")</f>
        <v>Mar</v>
      </c>
      <c r="R427" s="1" t="str">
        <f aca="false">"Q"&amp;ROUNDUP(MONTH(B427)/3,0)</f>
        <v>Q1</v>
      </c>
    </row>
    <row r="428" customFormat="false" ht="15" hidden="false" customHeight="true" outlineLevel="0" collapsed="false">
      <c r="A428" s="1" t="n">
        <v>10427</v>
      </c>
      <c r="B428" s="14" t="n">
        <v>44988</v>
      </c>
      <c r="C428" s="1" t="n">
        <v>1194</v>
      </c>
      <c r="D428" s="1" t="s">
        <v>27</v>
      </c>
      <c r="E428" s="1" t="s">
        <v>36</v>
      </c>
      <c r="F428" s="1" t="n">
        <v>1</v>
      </c>
      <c r="G428" s="15" t="n">
        <v>412.45</v>
      </c>
      <c r="H428" s="16" t="n">
        <v>0.27</v>
      </c>
      <c r="I428" s="1" t="s">
        <v>33</v>
      </c>
      <c r="J428" s="1" t="n">
        <v>10</v>
      </c>
      <c r="K428" s="1" t="n">
        <v>4.3</v>
      </c>
      <c r="L428" s="15" t="n">
        <v>301.09</v>
      </c>
      <c r="M428" s="15" t="n">
        <f aca="false">F428*G428</f>
        <v>412.45</v>
      </c>
      <c r="N428" s="15" t="n">
        <f aca="false">M428-L428</f>
        <v>111.36</v>
      </c>
      <c r="O428" s="1" t="n">
        <f aca="false">YEAR(B428)</f>
        <v>2023</v>
      </c>
      <c r="P428" s="1" t="n">
        <f aca="false">MONTH(B428)</f>
        <v>3</v>
      </c>
      <c r="Q428" s="1" t="str">
        <f aca="false">TEXT(B428,"mmm")</f>
        <v>Mar</v>
      </c>
      <c r="R428" s="1" t="str">
        <f aca="false">"Q"&amp;ROUNDUP(MONTH(B428)/3,0)</f>
        <v>Q1</v>
      </c>
    </row>
    <row r="429" customFormat="false" ht="15" hidden="false" customHeight="true" outlineLevel="0" collapsed="false">
      <c r="A429" s="1" t="n">
        <v>10428</v>
      </c>
      <c r="B429" s="14" t="n">
        <v>44989</v>
      </c>
      <c r="C429" s="1" t="n">
        <v>1400</v>
      </c>
      <c r="D429" s="1" t="s">
        <v>34</v>
      </c>
      <c r="E429" s="1" t="s">
        <v>35</v>
      </c>
      <c r="F429" s="1" t="n">
        <v>1</v>
      </c>
      <c r="G429" s="15" t="n">
        <v>345.78</v>
      </c>
      <c r="H429" s="16" t="n">
        <v>0.18</v>
      </c>
      <c r="I429" s="1" t="s">
        <v>33</v>
      </c>
      <c r="J429" s="1" t="n">
        <v>5</v>
      </c>
      <c r="K429" s="1" t="n">
        <v>1.7</v>
      </c>
      <c r="L429" s="15" t="n">
        <v>283.54</v>
      </c>
      <c r="M429" s="15" t="n">
        <f aca="false">F429*G429</f>
        <v>345.78</v>
      </c>
      <c r="N429" s="15" t="n">
        <f aca="false">M429-L429</f>
        <v>62.24</v>
      </c>
      <c r="O429" s="1" t="n">
        <f aca="false">YEAR(B429)</f>
        <v>2023</v>
      </c>
      <c r="P429" s="1" t="n">
        <f aca="false">MONTH(B429)</f>
        <v>3</v>
      </c>
      <c r="Q429" s="1" t="str">
        <f aca="false">TEXT(B429,"mmm")</f>
        <v>Mar</v>
      </c>
      <c r="R429" s="1" t="str">
        <f aca="false">"Q"&amp;ROUNDUP(MONTH(B429)/3,0)</f>
        <v>Q1</v>
      </c>
    </row>
    <row r="430" customFormat="false" ht="15" hidden="false" customHeight="true" outlineLevel="0" collapsed="false">
      <c r="A430" s="1" t="n">
        <v>10429</v>
      </c>
      <c r="B430" s="14" t="n">
        <v>44990</v>
      </c>
      <c r="C430" s="1" t="n">
        <v>1639</v>
      </c>
      <c r="D430" s="1" t="s">
        <v>34</v>
      </c>
      <c r="E430" s="1" t="s">
        <v>35</v>
      </c>
      <c r="F430" s="1" t="n">
        <v>5</v>
      </c>
      <c r="G430" s="15" t="n">
        <v>270.23</v>
      </c>
      <c r="H430" s="16" t="n">
        <v>0.3</v>
      </c>
      <c r="I430" s="1" t="s">
        <v>31</v>
      </c>
      <c r="J430" s="1" t="n">
        <v>3</v>
      </c>
      <c r="K430" s="1" t="n">
        <v>2.5</v>
      </c>
      <c r="L430" s="15" t="n">
        <v>945.8</v>
      </c>
      <c r="M430" s="15" t="n">
        <f aca="false">F430*G430</f>
        <v>1351.15</v>
      </c>
      <c r="N430" s="15" t="n">
        <f aca="false">M430-L430</f>
        <v>405.35</v>
      </c>
      <c r="O430" s="1" t="n">
        <f aca="false">YEAR(B430)</f>
        <v>2023</v>
      </c>
      <c r="P430" s="1" t="n">
        <f aca="false">MONTH(B430)</f>
        <v>3</v>
      </c>
      <c r="Q430" s="1" t="str">
        <f aca="false">TEXT(B430,"mmm")</f>
        <v>Mar</v>
      </c>
      <c r="R430" s="1" t="str">
        <f aca="false">"Q"&amp;ROUNDUP(MONTH(B430)/3,0)</f>
        <v>Q1</v>
      </c>
    </row>
    <row r="431" customFormat="false" ht="15" hidden="false" customHeight="true" outlineLevel="0" collapsed="false">
      <c r="A431" s="1" t="n">
        <v>10430</v>
      </c>
      <c r="B431" s="14" t="n">
        <v>44991</v>
      </c>
      <c r="C431" s="1" t="n">
        <v>1032</v>
      </c>
      <c r="D431" s="1" t="s">
        <v>34</v>
      </c>
      <c r="E431" s="1" t="s">
        <v>32</v>
      </c>
      <c r="F431" s="1" t="n">
        <v>1</v>
      </c>
      <c r="G431" s="15" t="n">
        <v>330.87</v>
      </c>
      <c r="H431" s="16" t="n">
        <v>0.26</v>
      </c>
      <c r="I431" s="1" t="s">
        <v>31</v>
      </c>
      <c r="J431" s="1" t="n">
        <v>1</v>
      </c>
      <c r="K431" s="1" t="n">
        <v>2.3</v>
      </c>
      <c r="L431" s="15" t="n">
        <v>244.84</v>
      </c>
      <c r="M431" s="15" t="n">
        <f aca="false">F431*G431</f>
        <v>330.87</v>
      </c>
      <c r="N431" s="15" t="n">
        <f aca="false">M431-L431</f>
        <v>86.03</v>
      </c>
      <c r="O431" s="1" t="n">
        <f aca="false">YEAR(B431)</f>
        <v>2023</v>
      </c>
      <c r="P431" s="1" t="n">
        <f aca="false">MONTH(B431)</f>
        <v>3</v>
      </c>
      <c r="Q431" s="1" t="str">
        <f aca="false">TEXT(B431,"mmm")</f>
        <v>Mar</v>
      </c>
      <c r="R431" s="1" t="str">
        <f aca="false">"Q"&amp;ROUNDUP(MONTH(B431)/3,0)</f>
        <v>Q1</v>
      </c>
    </row>
    <row r="432" customFormat="false" ht="15" hidden="false" customHeight="true" outlineLevel="0" collapsed="false">
      <c r="A432" s="1" t="n">
        <v>10431</v>
      </c>
      <c r="B432" s="14" t="n">
        <v>44992</v>
      </c>
      <c r="C432" s="1" t="n">
        <v>1687</v>
      </c>
      <c r="D432" s="1" t="s">
        <v>27</v>
      </c>
      <c r="E432" s="1" t="s">
        <v>35</v>
      </c>
      <c r="F432" s="1" t="n">
        <v>5</v>
      </c>
      <c r="G432" s="15" t="n">
        <v>130.59</v>
      </c>
      <c r="H432" s="16" t="n">
        <v>0.27</v>
      </c>
      <c r="I432" s="1" t="s">
        <v>31</v>
      </c>
      <c r="J432" s="1" t="n">
        <v>6</v>
      </c>
      <c r="K432" s="1" t="n">
        <v>1.8</v>
      </c>
      <c r="L432" s="15" t="n">
        <v>476.65</v>
      </c>
      <c r="M432" s="15" t="n">
        <f aca="false">F432*G432</f>
        <v>652.95</v>
      </c>
      <c r="N432" s="15" t="n">
        <f aca="false">M432-L432</f>
        <v>176.3</v>
      </c>
      <c r="O432" s="1" t="n">
        <f aca="false">YEAR(B432)</f>
        <v>2023</v>
      </c>
      <c r="P432" s="1" t="n">
        <f aca="false">MONTH(B432)</f>
        <v>3</v>
      </c>
      <c r="Q432" s="1" t="str">
        <f aca="false">TEXT(B432,"mmm")</f>
        <v>Mar</v>
      </c>
      <c r="R432" s="1" t="str">
        <f aca="false">"Q"&amp;ROUNDUP(MONTH(B432)/3,0)</f>
        <v>Q1</v>
      </c>
    </row>
    <row r="433" customFormat="false" ht="15" hidden="false" customHeight="true" outlineLevel="0" collapsed="false">
      <c r="A433" s="1" t="n">
        <v>10432</v>
      </c>
      <c r="B433" s="14" t="n">
        <v>44993</v>
      </c>
      <c r="C433" s="1" t="n">
        <v>1459</v>
      </c>
      <c r="D433" s="1" t="s">
        <v>37</v>
      </c>
      <c r="E433" s="1" t="s">
        <v>32</v>
      </c>
      <c r="F433" s="1" t="n">
        <v>3</v>
      </c>
      <c r="G433" s="15" t="n">
        <v>266.97</v>
      </c>
      <c r="H433" s="16" t="n">
        <v>0.33</v>
      </c>
      <c r="I433" s="1" t="s">
        <v>31</v>
      </c>
      <c r="J433" s="1" t="n">
        <v>3</v>
      </c>
      <c r="K433" s="1" t="n">
        <v>2.8</v>
      </c>
      <c r="L433" s="15" t="n">
        <v>536.61</v>
      </c>
      <c r="M433" s="15" t="n">
        <f aca="false">F433*G433</f>
        <v>800.91</v>
      </c>
      <c r="N433" s="15" t="n">
        <f aca="false">M433-L433</f>
        <v>264.3</v>
      </c>
      <c r="O433" s="1" t="n">
        <f aca="false">YEAR(B433)</f>
        <v>2023</v>
      </c>
      <c r="P433" s="1" t="n">
        <f aca="false">MONTH(B433)</f>
        <v>3</v>
      </c>
      <c r="Q433" s="1" t="str">
        <f aca="false">TEXT(B433,"mmm")</f>
        <v>Mar</v>
      </c>
      <c r="R433" s="1" t="str">
        <f aca="false">"Q"&amp;ROUNDUP(MONTH(B433)/3,0)</f>
        <v>Q1</v>
      </c>
    </row>
    <row r="434" customFormat="false" ht="15" hidden="false" customHeight="true" outlineLevel="0" collapsed="false">
      <c r="A434" s="1" t="n">
        <v>10433</v>
      </c>
      <c r="B434" s="14" t="n">
        <v>44994</v>
      </c>
      <c r="C434" s="1" t="n">
        <v>1954</v>
      </c>
      <c r="D434" s="1" t="s">
        <v>37</v>
      </c>
      <c r="E434" s="1" t="s">
        <v>28</v>
      </c>
      <c r="F434" s="1" t="n">
        <v>2</v>
      </c>
      <c r="G434" s="15" t="n">
        <v>308.5</v>
      </c>
      <c r="H434" s="16" t="n">
        <v>0.09</v>
      </c>
      <c r="I434" s="1" t="s">
        <v>33</v>
      </c>
      <c r="J434" s="1" t="n">
        <v>4</v>
      </c>
      <c r="K434" s="1" t="n">
        <v>4.8</v>
      </c>
      <c r="L434" s="15" t="n">
        <v>561.47</v>
      </c>
      <c r="M434" s="15" t="n">
        <f aca="false">F434*G434</f>
        <v>617</v>
      </c>
      <c r="N434" s="15" t="n">
        <f aca="false">M434-L434</f>
        <v>55.53</v>
      </c>
      <c r="O434" s="1" t="n">
        <f aca="false">YEAR(B434)</f>
        <v>2023</v>
      </c>
      <c r="P434" s="1" t="n">
        <f aca="false">MONTH(B434)</f>
        <v>3</v>
      </c>
      <c r="Q434" s="1" t="str">
        <f aca="false">TEXT(B434,"mmm")</f>
        <v>Mar</v>
      </c>
      <c r="R434" s="1" t="str">
        <f aca="false">"Q"&amp;ROUNDUP(MONTH(B434)/3,0)</f>
        <v>Q1</v>
      </c>
    </row>
    <row r="435" customFormat="false" ht="15" hidden="false" customHeight="true" outlineLevel="0" collapsed="false">
      <c r="A435" s="1" t="n">
        <v>10434</v>
      </c>
      <c r="B435" s="14" t="n">
        <v>44995</v>
      </c>
      <c r="C435" s="1" t="n">
        <v>1882</v>
      </c>
      <c r="D435" s="1" t="s">
        <v>34</v>
      </c>
      <c r="E435" s="1" t="s">
        <v>32</v>
      </c>
      <c r="F435" s="1" t="n">
        <v>4</v>
      </c>
      <c r="G435" s="15" t="n">
        <v>542.2</v>
      </c>
      <c r="H435" s="16" t="n">
        <v>0.09</v>
      </c>
      <c r="I435" s="1" t="s">
        <v>31</v>
      </c>
      <c r="J435" s="1" t="n">
        <v>9</v>
      </c>
      <c r="K435" s="1" t="n">
        <v>3.2</v>
      </c>
      <c r="L435" s="15" t="n">
        <v>1973.61</v>
      </c>
      <c r="M435" s="15" t="n">
        <f aca="false">F435*G435</f>
        <v>2168.8</v>
      </c>
      <c r="N435" s="15" t="n">
        <f aca="false">M435-L435</f>
        <v>195.19</v>
      </c>
      <c r="O435" s="1" t="n">
        <f aca="false">YEAR(B435)</f>
        <v>2023</v>
      </c>
      <c r="P435" s="1" t="n">
        <f aca="false">MONTH(B435)</f>
        <v>3</v>
      </c>
      <c r="Q435" s="1" t="str">
        <f aca="false">TEXT(B435,"mmm")</f>
        <v>Mar</v>
      </c>
      <c r="R435" s="1" t="str">
        <f aca="false">"Q"&amp;ROUNDUP(MONTH(B435)/3,0)</f>
        <v>Q1</v>
      </c>
    </row>
    <row r="436" customFormat="false" ht="15" hidden="false" customHeight="true" outlineLevel="0" collapsed="false">
      <c r="A436" s="1" t="n">
        <v>10435</v>
      </c>
      <c r="B436" s="14" t="n">
        <v>44996</v>
      </c>
      <c r="C436" s="1" t="n">
        <v>1469</v>
      </c>
      <c r="D436" s="1" t="s">
        <v>30</v>
      </c>
      <c r="E436" s="1" t="s">
        <v>32</v>
      </c>
      <c r="F436" s="1" t="n">
        <v>5</v>
      </c>
      <c r="G436" s="15" t="n">
        <v>167.59</v>
      </c>
      <c r="H436" s="16" t="n">
        <v>0.31</v>
      </c>
      <c r="I436" s="1" t="s">
        <v>33</v>
      </c>
      <c r="J436" s="1" t="n">
        <v>2</v>
      </c>
      <c r="K436" s="1" t="n">
        <v>2.1</v>
      </c>
      <c r="L436" s="15" t="n">
        <v>578.19</v>
      </c>
      <c r="M436" s="15" t="n">
        <f aca="false">F436*G436</f>
        <v>837.95</v>
      </c>
      <c r="N436" s="15" t="n">
        <f aca="false">M436-L436</f>
        <v>259.76</v>
      </c>
      <c r="O436" s="1" t="n">
        <f aca="false">YEAR(B436)</f>
        <v>2023</v>
      </c>
      <c r="P436" s="1" t="n">
        <f aca="false">MONTH(B436)</f>
        <v>3</v>
      </c>
      <c r="Q436" s="1" t="str">
        <f aca="false">TEXT(B436,"mmm")</f>
        <v>Mar</v>
      </c>
      <c r="R436" s="1" t="str">
        <f aca="false">"Q"&amp;ROUNDUP(MONTH(B436)/3,0)</f>
        <v>Q1</v>
      </c>
    </row>
    <row r="437" customFormat="false" ht="15" hidden="false" customHeight="true" outlineLevel="0" collapsed="false">
      <c r="A437" s="1" t="n">
        <v>10436</v>
      </c>
      <c r="B437" s="14" t="n">
        <v>44997</v>
      </c>
      <c r="C437" s="1" t="n">
        <v>1374</v>
      </c>
      <c r="D437" s="1" t="s">
        <v>30</v>
      </c>
      <c r="E437" s="1" t="s">
        <v>28</v>
      </c>
      <c r="F437" s="1" t="n">
        <v>7</v>
      </c>
      <c r="G437" s="15" t="n">
        <v>522.68</v>
      </c>
      <c r="H437" s="16" t="n">
        <v>0.27</v>
      </c>
      <c r="I437" s="1" t="s">
        <v>31</v>
      </c>
      <c r="J437" s="1" t="n">
        <v>1</v>
      </c>
      <c r="K437" s="1" t="n">
        <v>2.4</v>
      </c>
      <c r="L437" s="15" t="n">
        <v>2670.89</v>
      </c>
      <c r="M437" s="15" t="n">
        <f aca="false">F437*G437</f>
        <v>3658.76</v>
      </c>
      <c r="N437" s="15" t="n">
        <f aca="false">M437-L437</f>
        <v>987.87</v>
      </c>
      <c r="O437" s="1" t="n">
        <f aca="false">YEAR(B437)</f>
        <v>2023</v>
      </c>
      <c r="P437" s="1" t="n">
        <f aca="false">MONTH(B437)</f>
        <v>3</v>
      </c>
      <c r="Q437" s="1" t="str">
        <f aca="false">TEXT(B437,"mmm")</f>
        <v>Mar</v>
      </c>
      <c r="R437" s="1" t="str">
        <f aca="false">"Q"&amp;ROUNDUP(MONTH(B437)/3,0)</f>
        <v>Q1</v>
      </c>
    </row>
    <row r="438" customFormat="false" ht="15" hidden="false" customHeight="true" outlineLevel="0" collapsed="false">
      <c r="A438" s="1" t="n">
        <v>10437</v>
      </c>
      <c r="B438" s="14" t="n">
        <v>44998</v>
      </c>
      <c r="C438" s="1" t="n">
        <v>1021</v>
      </c>
      <c r="D438" s="1" t="s">
        <v>37</v>
      </c>
      <c r="E438" s="1" t="s">
        <v>28</v>
      </c>
      <c r="F438" s="1" t="n">
        <v>1</v>
      </c>
      <c r="G438" s="15" t="n">
        <v>391.88</v>
      </c>
      <c r="H438" s="16" t="n">
        <v>0.32</v>
      </c>
      <c r="I438" s="1" t="s">
        <v>31</v>
      </c>
      <c r="J438" s="1" t="n">
        <v>10</v>
      </c>
      <c r="K438" s="1" t="n">
        <v>3.5</v>
      </c>
      <c r="L438" s="15" t="n">
        <v>266.48</v>
      </c>
      <c r="M438" s="15" t="n">
        <f aca="false">F438*G438</f>
        <v>391.88</v>
      </c>
      <c r="N438" s="15" t="n">
        <f aca="false">M438-L438</f>
        <v>125.4</v>
      </c>
      <c r="O438" s="1" t="n">
        <f aca="false">YEAR(B438)</f>
        <v>2023</v>
      </c>
      <c r="P438" s="1" t="n">
        <f aca="false">MONTH(B438)</f>
        <v>3</v>
      </c>
      <c r="Q438" s="1" t="str">
        <f aca="false">TEXT(B438,"mmm")</f>
        <v>Mar</v>
      </c>
      <c r="R438" s="1" t="str">
        <f aca="false">"Q"&amp;ROUNDUP(MONTH(B438)/3,0)</f>
        <v>Q1</v>
      </c>
    </row>
    <row r="439" customFormat="false" ht="15" hidden="false" customHeight="true" outlineLevel="0" collapsed="false">
      <c r="A439" s="1" t="n">
        <v>10438</v>
      </c>
      <c r="B439" s="14" t="n">
        <v>44999</v>
      </c>
      <c r="C439" s="1" t="n">
        <v>1749</v>
      </c>
      <c r="D439" s="1" t="s">
        <v>27</v>
      </c>
      <c r="E439" s="1" t="s">
        <v>36</v>
      </c>
      <c r="F439" s="1" t="n">
        <v>7</v>
      </c>
      <c r="G439" s="15" t="n">
        <v>26.9</v>
      </c>
      <c r="H439" s="16" t="n">
        <v>0.02</v>
      </c>
      <c r="I439" s="1" t="s">
        <v>31</v>
      </c>
      <c r="J439" s="1" t="n">
        <v>6</v>
      </c>
      <c r="K439" s="1" t="n">
        <v>2.4</v>
      </c>
      <c r="L439" s="15" t="n">
        <v>184.53</v>
      </c>
      <c r="M439" s="15" t="n">
        <f aca="false">F439*G439</f>
        <v>188.3</v>
      </c>
      <c r="N439" s="15" t="n">
        <f aca="false">M439-L439</f>
        <v>3.76999999999998</v>
      </c>
      <c r="O439" s="1" t="n">
        <f aca="false">YEAR(B439)</f>
        <v>2023</v>
      </c>
      <c r="P439" s="1" t="n">
        <f aca="false">MONTH(B439)</f>
        <v>3</v>
      </c>
      <c r="Q439" s="1" t="str">
        <f aca="false">TEXT(B439,"mmm")</f>
        <v>Mar</v>
      </c>
      <c r="R439" s="1" t="str">
        <f aca="false">"Q"&amp;ROUNDUP(MONTH(B439)/3,0)</f>
        <v>Q1</v>
      </c>
    </row>
    <row r="440" customFormat="false" ht="15" hidden="false" customHeight="true" outlineLevel="0" collapsed="false">
      <c r="A440" s="1" t="n">
        <v>10439</v>
      </c>
      <c r="B440" s="14" t="n">
        <v>45000</v>
      </c>
      <c r="C440" s="1" t="n">
        <v>1669</v>
      </c>
      <c r="D440" s="1" t="s">
        <v>34</v>
      </c>
      <c r="E440" s="1" t="s">
        <v>36</v>
      </c>
      <c r="F440" s="1" t="n">
        <v>5</v>
      </c>
      <c r="G440" s="15" t="n">
        <v>438.91</v>
      </c>
      <c r="H440" s="16" t="n">
        <v>0.22</v>
      </c>
      <c r="I440" s="1" t="s">
        <v>29</v>
      </c>
      <c r="J440" s="1" t="n">
        <v>1</v>
      </c>
      <c r="K440" s="1" t="n">
        <v>3.2</v>
      </c>
      <c r="L440" s="15" t="n">
        <v>1711.75</v>
      </c>
      <c r="M440" s="15" t="n">
        <f aca="false">F440*G440</f>
        <v>2194.55</v>
      </c>
      <c r="N440" s="15" t="n">
        <f aca="false">M440-L440</f>
        <v>482.8</v>
      </c>
      <c r="O440" s="1" t="n">
        <f aca="false">YEAR(B440)</f>
        <v>2023</v>
      </c>
      <c r="P440" s="1" t="n">
        <f aca="false">MONTH(B440)</f>
        <v>3</v>
      </c>
      <c r="Q440" s="1" t="str">
        <f aca="false">TEXT(B440,"mmm")</f>
        <v>Mar</v>
      </c>
      <c r="R440" s="1" t="str">
        <f aca="false">"Q"&amp;ROUNDUP(MONTH(B440)/3,0)</f>
        <v>Q1</v>
      </c>
    </row>
    <row r="441" customFormat="false" ht="15" hidden="false" customHeight="true" outlineLevel="0" collapsed="false">
      <c r="A441" s="1" t="n">
        <v>10440</v>
      </c>
      <c r="B441" s="14" t="n">
        <v>45001</v>
      </c>
      <c r="C441" s="1" t="n">
        <v>1037</v>
      </c>
      <c r="D441" s="1" t="s">
        <v>37</v>
      </c>
      <c r="E441" s="1" t="s">
        <v>36</v>
      </c>
      <c r="F441" s="1" t="n">
        <v>6</v>
      </c>
      <c r="G441" s="15" t="n">
        <v>35.8</v>
      </c>
      <c r="H441" s="16" t="n">
        <v>0.05</v>
      </c>
      <c r="I441" s="1" t="s">
        <v>31</v>
      </c>
      <c r="J441" s="1" t="n">
        <v>1</v>
      </c>
      <c r="K441" s="1" t="n">
        <v>2.1</v>
      </c>
      <c r="L441" s="15" t="n">
        <v>204.06</v>
      </c>
      <c r="M441" s="15" t="n">
        <f aca="false">F441*G441</f>
        <v>214.8</v>
      </c>
      <c r="N441" s="15" t="n">
        <f aca="false">M441-L441</f>
        <v>10.74</v>
      </c>
      <c r="O441" s="1" t="n">
        <f aca="false">YEAR(B441)</f>
        <v>2023</v>
      </c>
      <c r="P441" s="1" t="n">
        <f aca="false">MONTH(B441)</f>
        <v>3</v>
      </c>
      <c r="Q441" s="1" t="str">
        <f aca="false">TEXT(B441,"mmm")</f>
        <v>Mar</v>
      </c>
      <c r="R441" s="1" t="str">
        <f aca="false">"Q"&amp;ROUNDUP(MONTH(B441)/3,0)</f>
        <v>Q1</v>
      </c>
    </row>
    <row r="442" customFormat="false" ht="15" hidden="false" customHeight="true" outlineLevel="0" collapsed="false">
      <c r="A442" s="1" t="n">
        <v>10441</v>
      </c>
      <c r="B442" s="14" t="n">
        <v>45002</v>
      </c>
      <c r="C442" s="1" t="n">
        <v>1229</v>
      </c>
      <c r="D442" s="1" t="s">
        <v>34</v>
      </c>
      <c r="E442" s="1" t="s">
        <v>36</v>
      </c>
      <c r="F442" s="1" t="n">
        <v>5</v>
      </c>
      <c r="G442" s="15" t="n">
        <v>598.47</v>
      </c>
      <c r="H442" s="16" t="n">
        <v>0.18</v>
      </c>
      <c r="I442" s="1" t="s">
        <v>31</v>
      </c>
      <c r="J442" s="1" t="n">
        <v>7</v>
      </c>
      <c r="K442" s="1" t="n">
        <v>2.4</v>
      </c>
      <c r="L442" s="15" t="n">
        <v>2453.73</v>
      </c>
      <c r="M442" s="15" t="n">
        <f aca="false">F442*G442</f>
        <v>2992.35</v>
      </c>
      <c r="N442" s="15" t="n">
        <f aca="false">M442-L442</f>
        <v>538.62</v>
      </c>
      <c r="O442" s="1" t="n">
        <f aca="false">YEAR(B442)</f>
        <v>2023</v>
      </c>
      <c r="P442" s="1" t="n">
        <f aca="false">MONTH(B442)</f>
        <v>3</v>
      </c>
      <c r="Q442" s="1" t="str">
        <f aca="false">TEXT(B442,"mmm")</f>
        <v>Mar</v>
      </c>
      <c r="R442" s="1" t="str">
        <f aca="false">"Q"&amp;ROUNDUP(MONTH(B442)/3,0)</f>
        <v>Q1</v>
      </c>
    </row>
    <row r="443" customFormat="false" ht="15" hidden="false" customHeight="true" outlineLevel="0" collapsed="false">
      <c r="A443" s="1" t="n">
        <v>10442</v>
      </c>
      <c r="B443" s="14" t="n">
        <v>45003</v>
      </c>
      <c r="C443" s="1" t="n">
        <v>1364</v>
      </c>
      <c r="D443" s="1" t="s">
        <v>30</v>
      </c>
      <c r="E443" s="1" t="s">
        <v>32</v>
      </c>
      <c r="F443" s="1" t="n">
        <v>1</v>
      </c>
      <c r="G443" s="15" t="n">
        <v>525.49</v>
      </c>
      <c r="H443" s="16" t="n">
        <v>0.05</v>
      </c>
      <c r="I443" s="1" t="s">
        <v>29</v>
      </c>
      <c r="J443" s="1" t="n">
        <v>2</v>
      </c>
      <c r="K443" s="1" t="n">
        <v>3.8</v>
      </c>
      <c r="L443" s="15" t="n">
        <v>499.22</v>
      </c>
      <c r="M443" s="15" t="n">
        <f aca="false">F443*G443</f>
        <v>525.49</v>
      </c>
      <c r="N443" s="15" t="n">
        <f aca="false">M443-L443</f>
        <v>26.27</v>
      </c>
      <c r="O443" s="1" t="n">
        <f aca="false">YEAR(B443)</f>
        <v>2023</v>
      </c>
      <c r="P443" s="1" t="n">
        <f aca="false">MONTH(B443)</f>
        <v>3</v>
      </c>
      <c r="Q443" s="1" t="str">
        <f aca="false">TEXT(B443,"mmm")</f>
        <v>Mar</v>
      </c>
      <c r="R443" s="1" t="str">
        <f aca="false">"Q"&amp;ROUNDUP(MONTH(B443)/3,0)</f>
        <v>Q1</v>
      </c>
    </row>
    <row r="444" customFormat="false" ht="15" hidden="false" customHeight="true" outlineLevel="0" collapsed="false">
      <c r="A444" s="1" t="n">
        <v>10443</v>
      </c>
      <c r="B444" s="14" t="n">
        <v>45004</v>
      </c>
      <c r="C444" s="1" t="n">
        <v>1562</v>
      </c>
      <c r="D444" s="1" t="s">
        <v>34</v>
      </c>
      <c r="E444" s="1" t="s">
        <v>32</v>
      </c>
      <c r="F444" s="1" t="n">
        <v>6</v>
      </c>
      <c r="G444" s="15" t="n">
        <v>188.95</v>
      </c>
      <c r="H444" s="16" t="n">
        <v>0.04</v>
      </c>
      <c r="I444" s="1" t="s">
        <v>29</v>
      </c>
      <c r="J444" s="1" t="n">
        <v>4</v>
      </c>
      <c r="K444" s="1" t="n">
        <v>3.3</v>
      </c>
      <c r="L444" s="15" t="n">
        <v>1088.35</v>
      </c>
      <c r="M444" s="15" t="n">
        <f aca="false">F444*G444</f>
        <v>1133.7</v>
      </c>
      <c r="N444" s="15" t="n">
        <f aca="false">M444-L444</f>
        <v>45.3499999999999</v>
      </c>
      <c r="O444" s="1" t="n">
        <f aca="false">YEAR(B444)</f>
        <v>2023</v>
      </c>
      <c r="P444" s="1" t="n">
        <f aca="false">MONTH(B444)</f>
        <v>3</v>
      </c>
      <c r="Q444" s="1" t="str">
        <f aca="false">TEXT(B444,"mmm")</f>
        <v>Mar</v>
      </c>
      <c r="R444" s="1" t="str">
        <f aca="false">"Q"&amp;ROUNDUP(MONTH(B444)/3,0)</f>
        <v>Q1</v>
      </c>
    </row>
    <row r="445" customFormat="false" ht="15" hidden="false" customHeight="true" outlineLevel="0" collapsed="false">
      <c r="A445" s="1" t="n">
        <v>10444</v>
      </c>
      <c r="B445" s="14" t="n">
        <v>45005</v>
      </c>
      <c r="C445" s="1" t="n">
        <v>1437</v>
      </c>
      <c r="D445" s="1" t="s">
        <v>34</v>
      </c>
      <c r="E445" s="1" t="s">
        <v>36</v>
      </c>
      <c r="F445" s="1" t="n">
        <v>6</v>
      </c>
      <c r="G445" s="15" t="n">
        <v>165.59</v>
      </c>
      <c r="H445" s="16" t="n">
        <v>0</v>
      </c>
      <c r="I445" s="1" t="s">
        <v>33</v>
      </c>
      <c r="J445" s="1" t="n">
        <v>4</v>
      </c>
      <c r="K445" s="1" t="n">
        <v>1.4</v>
      </c>
      <c r="L445" s="15" t="n">
        <v>993.54</v>
      </c>
      <c r="M445" s="15" t="n">
        <f aca="false">F445*G445</f>
        <v>993.54</v>
      </c>
      <c r="N445" s="15" t="n">
        <f aca="false">M445-L445</f>
        <v>0</v>
      </c>
      <c r="O445" s="1" t="n">
        <f aca="false">YEAR(B445)</f>
        <v>2023</v>
      </c>
      <c r="P445" s="1" t="n">
        <f aca="false">MONTH(B445)</f>
        <v>3</v>
      </c>
      <c r="Q445" s="1" t="str">
        <f aca="false">TEXT(B445,"mmm")</f>
        <v>Mar</v>
      </c>
      <c r="R445" s="1" t="str">
        <f aca="false">"Q"&amp;ROUNDUP(MONTH(B445)/3,0)</f>
        <v>Q1</v>
      </c>
    </row>
    <row r="446" customFormat="false" ht="15" hidden="false" customHeight="true" outlineLevel="0" collapsed="false">
      <c r="A446" s="1" t="n">
        <v>10445</v>
      </c>
      <c r="B446" s="14" t="n">
        <v>45006</v>
      </c>
      <c r="C446" s="1" t="n">
        <v>1775</v>
      </c>
      <c r="D446" s="1" t="s">
        <v>30</v>
      </c>
      <c r="E446" s="1" t="s">
        <v>35</v>
      </c>
      <c r="F446" s="1" t="n">
        <v>1</v>
      </c>
      <c r="G446" s="15" t="n">
        <v>238.14</v>
      </c>
      <c r="H446" s="16" t="n">
        <v>0.22</v>
      </c>
      <c r="I446" s="1" t="s">
        <v>31</v>
      </c>
      <c r="J446" s="1" t="n">
        <v>2</v>
      </c>
      <c r="K446" s="1" t="n">
        <v>4.9</v>
      </c>
      <c r="L446" s="15" t="n">
        <v>185.75</v>
      </c>
      <c r="M446" s="15" t="n">
        <f aca="false">F446*G446</f>
        <v>238.14</v>
      </c>
      <c r="N446" s="15" t="n">
        <f aca="false">M446-L446</f>
        <v>52.39</v>
      </c>
      <c r="O446" s="1" t="n">
        <f aca="false">YEAR(B446)</f>
        <v>2023</v>
      </c>
      <c r="P446" s="1" t="n">
        <f aca="false">MONTH(B446)</f>
        <v>3</v>
      </c>
      <c r="Q446" s="1" t="str">
        <f aca="false">TEXT(B446,"mmm")</f>
        <v>Mar</v>
      </c>
      <c r="R446" s="1" t="str">
        <f aca="false">"Q"&amp;ROUNDUP(MONTH(B446)/3,0)</f>
        <v>Q1</v>
      </c>
    </row>
    <row r="447" customFormat="false" ht="15" hidden="false" customHeight="true" outlineLevel="0" collapsed="false">
      <c r="A447" s="1" t="n">
        <v>10446</v>
      </c>
      <c r="B447" s="14" t="n">
        <v>45007</v>
      </c>
      <c r="C447" s="1" t="n">
        <v>1282</v>
      </c>
      <c r="D447" s="1" t="s">
        <v>30</v>
      </c>
      <c r="E447" s="1" t="s">
        <v>36</v>
      </c>
      <c r="F447" s="1" t="n">
        <v>6</v>
      </c>
      <c r="G447" s="15" t="n">
        <v>223.36</v>
      </c>
      <c r="H447" s="16" t="n">
        <v>0.13</v>
      </c>
      <c r="I447" s="1" t="s">
        <v>31</v>
      </c>
      <c r="J447" s="1" t="n">
        <v>6</v>
      </c>
      <c r="K447" s="1" t="n">
        <v>1.2</v>
      </c>
      <c r="L447" s="15" t="n">
        <v>1165.94</v>
      </c>
      <c r="M447" s="15" t="n">
        <f aca="false">F447*G447</f>
        <v>1340.16</v>
      </c>
      <c r="N447" s="15" t="n">
        <f aca="false">M447-L447</f>
        <v>174.22</v>
      </c>
      <c r="O447" s="1" t="n">
        <f aca="false">YEAR(B447)</f>
        <v>2023</v>
      </c>
      <c r="P447" s="1" t="n">
        <f aca="false">MONTH(B447)</f>
        <v>3</v>
      </c>
      <c r="Q447" s="1" t="str">
        <f aca="false">TEXT(B447,"mmm")</f>
        <v>Mar</v>
      </c>
      <c r="R447" s="1" t="str">
        <f aca="false">"Q"&amp;ROUNDUP(MONTH(B447)/3,0)</f>
        <v>Q1</v>
      </c>
    </row>
    <row r="448" customFormat="false" ht="15" hidden="false" customHeight="true" outlineLevel="0" collapsed="false">
      <c r="A448" s="1" t="n">
        <v>10447</v>
      </c>
      <c r="B448" s="14" t="n">
        <v>45008</v>
      </c>
      <c r="C448" s="1" t="n">
        <v>1026</v>
      </c>
      <c r="D448" s="1" t="s">
        <v>34</v>
      </c>
      <c r="E448" s="1" t="s">
        <v>35</v>
      </c>
      <c r="F448" s="1" t="n">
        <v>2</v>
      </c>
      <c r="G448" s="15" t="n">
        <v>232.82</v>
      </c>
      <c r="H448" s="16" t="n">
        <v>0.04</v>
      </c>
      <c r="I448" s="1" t="s">
        <v>29</v>
      </c>
      <c r="J448" s="1" t="n">
        <v>10</v>
      </c>
      <c r="K448" s="1" t="n">
        <v>1.3</v>
      </c>
      <c r="L448" s="15" t="n">
        <v>447.01</v>
      </c>
      <c r="M448" s="15" t="n">
        <f aca="false">F448*G448</f>
        <v>465.64</v>
      </c>
      <c r="N448" s="15" t="n">
        <f aca="false">M448-L448</f>
        <v>18.63</v>
      </c>
      <c r="O448" s="1" t="n">
        <f aca="false">YEAR(B448)</f>
        <v>2023</v>
      </c>
      <c r="P448" s="1" t="n">
        <f aca="false">MONTH(B448)</f>
        <v>3</v>
      </c>
      <c r="Q448" s="1" t="str">
        <f aca="false">TEXT(B448,"mmm")</f>
        <v>Mar</v>
      </c>
      <c r="R448" s="1" t="str">
        <f aca="false">"Q"&amp;ROUNDUP(MONTH(B448)/3,0)</f>
        <v>Q1</v>
      </c>
    </row>
    <row r="449" customFormat="false" ht="15" hidden="false" customHeight="true" outlineLevel="0" collapsed="false">
      <c r="A449" s="1" t="n">
        <v>10448</v>
      </c>
      <c r="B449" s="14" t="n">
        <v>45009</v>
      </c>
      <c r="C449" s="1" t="n">
        <v>1225</v>
      </c>
      <c r="D449" s="1" t="s">
        <v>37</v>
      </c>
      <c r="E449" s="1" t="s">
        <v>28</v>
      </c>
      <c r="F449" s="1" t="n">
        <v>4</v>
      </c>
      <c r="G449" s="15" t="n">
        <v>201.19</v>
      </c>
      <c r="H449" s="16" t="n">
        <v>0.11</v>
      </c>
      <c r="I449" s="1" t="s">
        <v>29</v>
      </c>
      <c r="J449" s="1" t="n">
        <v>2</v>
      </c>
      <c r="K449" s="1" t="n">
        <v>3.8</v>
      </c>
      <c r="L449" s="15" t="n">
        <v>716.24</v>
      </c>
      <c r="M449" s="15" t="n">
        <f aca="false">F449*G449</f>
        <v>804.76</v>
      </c>
      <c r="N449" s="15" t="n">
        <f aca="false">M449-L449</f>
        <v>88.52</v>
      </c>
      <c r="O449" s="1" t="n">
        <f aca="false">YEAR(B449)</f>
        <v>2023</v>
      </c>
      <c r="P449" s="1" t="n">
        <f aca="false">MONTH(B449)</f>
        <v>3</v>
      </c>
      <c r="Q449" s="1" t="str">
        <f aca="false">TEXT(B449,"mmm")</f>
        <v>Mar</v>
      </c>
      <c r="R449" s="1" t="str">
        <f aca="false">"Q"&amp;ROUNDUP(MONTH(B449)/3,0)</f>
        <v>Q1</v>
      </c>
    </row>
    <row r="450" customFormat="false" ht="15" hidden="false" customHeight="true" outlineLevel="0" collapsed="false">
      <c r="A450" s="1" t="n">
        <v>10449</v>
      </c>
      <c r="B450" s="14" t="n">
        <v>45010</v>
      </c>
      <c r="C450" s="1" t="n">
        <v>1276</v>
      </c>
      <c r="D450" s="1" t="s">
        <v>30</v>
      </c>
      <c r="E450" s="1" t="s">
        <v>32</v>
      </c>
      <c r="F450" s="1" t="n">
        <v>7</v>
      </c>
      <c r="G450" s="15" t="n">
        <v>378.36</v>
      </c>
      <c r="H450" s="16" t="n">
        <v>0.06</v>
      </c>
      <c r="I450" s="1" t="s">
        <v>33</v>
      </c>
      <c r="J450" s="1" t="n">
        <v>8</v>
      </c>
      <c r="K450" s="1" t="n">
        <v>3.8</v>
      </c>
      <c r="L450" s="15" t="n">
        <v>2489.61</v>
      </c>
      <c r="M450" s="15" t="n">
        <f aca="false">F450*G450</f>
        <v>2648.52</v>
      </c>
      <c r="N450" s="15" t="n">
        <f aca="false">M450-L450</f>
        <v>158.91</v>
      </c>
      <c r="O450" s="1" t="n">
        <f aca="false">YEAR(B450)</f>
        <v>2023</v>
      </c>
      <c r="P450" s="1" t="n">
        <f aca="false">MONTH(B450)</f>
        <v>3</v>
      </c>
      <c r="Q450" s="1" t="str">
        <f aca="false">TEXT(B450,"mmm")</f>
        <v>Mar</v>
      </c>
      <c r="R450" s="1" t="str">
        <f aca="false">"Q"&amp;ROUNDUP(MONTH(B450)/3,0)</f>
        <v>Q1</v>
      </c>
    </row>
    <row r="451" customFormat="false" ht="15" hidden="false" customHeight="true" outlineLevel="0" collapsed="false">
      <c r="A451" s="1" t="n">
        <v>10450</v>
      </c>
      <c r="B451" s="14" t="n">
        <v>45011</v>
      </c>
      <c r="C451" s="1" t="n">
        <v>1797</v>
      </c>
      <c r="D451" s="1" t="s">
        <v>34</v>
      </c>
      <c r="E451" s="1" t="s">
        <v>32</v>
      </c>
      <c r="F451" s="1" t="n">
        <v>2</v>
      </c>
      <c r="G451" s="15" t="n">
        <v>111.09</v>
      </c>
      <c r="H451" s="16" t="n">
        <v>0.33</v>
      </c>
      <c r="I451" s="1" t="s">
        <v>31</v>
      </c>
      <c r="J451" s="1" t="n">
        <v>4</v>
      </c>
      <c r="K451" s="1" t="n">
        <v>1.1</v>
      </c>
      <c r="L451" s="15" t="n">
        <v>148.86</v>
      </c>
      <c r="M451" s="15" t="n">
        <f aca="false">F451*G451</f>
        <v>222.18</v>
      </c>
      <c r="N451" s="15" t="n">
        <f aca="false">M451-L451</f>
        <v>73.32</v>
      </c>
      <c r="O451" s="1" t="n">
        <f aca="false">YEAR(B451)</f>
        <v>2023</v>
      </c>
      <c r="P451" s="1" t="n">
        <f aca="false">MONTH(B451)</f>
        <v>3</v>
      </c>
      <c r="Q451" s="1" t="str">
        <f aca="false">TEXT(B451,"mmm")</f>
        <v>Mar</v>
      </c>
      <c r="R451" s="1" t="str">
        <f aca="false">"Q"&amp;ROUNDUP(MONTH(B451)/3,0)</f>
        <v>Q1</v>
      </c>
    </row>
    <row r="452" customFormat="false" ht="15" hidden="false" customHeight="true" outlineLevel="0" collapsed="false">
      <c r="A452" s="1" t="n">
        <v>10451</v>
      </c>
      <c r="B452" s="14" t="n">
        <v>45012</v>
      </c>
      <c r="C452" s="1" t="n">
        <v>1608</v>
      </c>
      <c r="D452" s="1" t="s">
        <v>37</v>
      </c>
      <c r="E452" s="1" t="s">
        <v>35</v>
      </c>
      <c r="F452" s="1" t="n">
        <v>2</v>
      </c>
      <c r="G452" s="15" t="n">
        <v>509.9</v>
      </c>
      <c r="H452" s="16" t="n">
        <v>0.11</v>
      </c>
      <c r="I452" s="1" t="s">
        <v>31</v>
      </c>
      <c r="J452" s="1" t="n">
        <v>1</v>
      </c>
      <c r="K452" s="1" t="n">
        <v>3.6</v>
      </c>
      <c r="L452" s="15" t="n">
        <v>907.62</v>
      </c>
      <c r="M452" s="15" t="n">
        <f aca="false">F452*G452</f>
        <v>1019.8</v>
      </c>
      <c r="N452" s="15" t="n">
        <f aca="false">M452-L452</f>
        <v>112.18</v>
      </c>
      <c r="O452" s="1" t="n">
        <f aca="false">YEAR(B452)</f>
        <v>2023</v>
      </c>
      <c r="P452" s="1" t="n">
        <f aca="false">MONTH(B452)</f>
        <v>3</v>
      </c>
      <c r="Q452" s="1" t="str">
        <f aca="false">TEXT(B452,"mmm")</f>
        <v>Mar</v>
      </c>
      <c r="R452" s="1" t="str">
        <f aca="false">"Q"&amp;ROUNDUP(MONTH(B452)/3,0)</f>
        <v>Q1</v>
      </c>
    </row>
    <row r="453" customFormat="false" ht="15" hidden="false" customHeight="true" outlineLevel="0" collapsed="false">
      <c r="A453" s="1" t="n">
        <v>10452</v>
      </c>
      <c r="B453" s="14" t="n">
        <v>45013</v>
      </c>
      <c r="C453" s="1" t="n">
        <v>1283</v>
      </c>
      <c r="D453" s="1" t="s">
        <v>34</v>
      </c>
      <c r="E453" s="1" t="s">
        <v>36</v>
      </c>
      <c r="F453" s="1" t="n">
        <v>1</v>
      </c>
      <c r="G453" s="15" t="n">
        <v>490.26</v>
      </c>
      <c r="H453" s="16" t="n">
        <v>0.12</v>
      </c>
      <c r="I453" s="1" t="s">
        <v>31</v>
      </c>
      <c r="J453" s="1" t="n">
        <v>7</v>
      </c>
      <c r="K453" s="1" t="n">
        <v>1.1</v>
      </c>
      <c r="L453" s="15" t="n">
        <v>431.43</v>
      </c>
      <c r="M453" s="15" t="n">
        <f aca="false">F453*G453</f>
        <v>490.26</v>
      </c>
      <c r="N453" s="15" t="n">
        <f aca="false">M453-L453</f>
        <v>58.83</v>
      </c>
      <c r="O453" s="1" t="n">
        <f aca="false">YEAR(B453)</f>
        <v>2023</v>
      </c>
      <c r="P453" s="1" t="n">
        <f aca="false">MONTH(B453)</f>
        <v>3</v>
      </c>
      <c r="Q453" s="1" t="str">
        <f aca="false">TEXT(B453,"mmm")</f>
        <v>Mar</v>
      </c>
      <c r="R453" s="1" t="str">
        <f aca="false">"Q"&amp;ROUNDUP(MONTH(B453)/3,0)</f>
        <v>Q1</v>
      </c>
    </row>
    <row r="454" customFormat="false" ht="15" hidden="false" customHeight="true" outlineLevel="0" collapsed="false">
      <c r="A454" s="1" t="n">
        <v>10453</v>
      </c>
      <c r="B454" s="14" t="n">
        <v>45014</v>
      </c>
      <c r="C454" s="1" t="n">
        <v>1878</v>
      </c>
      <c r="D454" s="1" t="s">
        <v>30</v>
      </c>
      <c r="E454" s="1" t="s">
        <v>32</v>
      </c>
      <c r="F454" s="1" t="n">
        <v>1</v>
      </c>
      <c r="G454" s="15" t="n">
        <v>293.74</v>
      </c>
      <c r="H454" s="16" t="n">
        <v>0.29</v>
      </c>
      <c r="I454" s="1" t="s">
        <v>33</v>
      </c>
      <c r="J454" s="1" t="n">
        <v>6</v>
      </c>
      <c r="K454" s="1" t="n">
        <v>4.8</v>
      </c>
      <c r="L454" s="15" t="n">
        <v>208.56</v>
      </c>
      <c r="M454" s="15" t="n">
        <f aca="false">F454*G454</f>
        <v>293.74</v>
      </c>
      <c r="N454" s="15" t="n">
        <f aca="false">M454-L454</f>
        <v>85.18</v>
      </c>
      <c r="O454" s="1" t="n">
        <f aca="false">YEAR(B454)</f>
        <v>2023</v>
      </c>
      <c r="P454" s="1" t="n">
        <f aca="false">MONTH(B454)</f>
        <v>3</v>
      </c>
      <c r="Q454" s="1" t="str">
        <f aca="false">TEXT(B454,"mmm")</f>
        <v>Mar</v>
      </c>
      <c r="R454" s="1" t="str">
        <f aca="false">"Q"&amp;ROUNDUP(MONTH(B454)/3,0)</f>
        <v>Q1</v>
      </c>
    </row>
    <row r="455" customFormat="false" ht="15" hidden="false" customHeight="true" outlineLevel="0" collapsed="false">
      <c r="A455" s="1" t="n">
        <v>10454</v>
      </c>
      <c r="B455" s="14" t="n">
        <v>45015</v>
      </c>
      <c r="C455" s="1" t="n">
        <v>1959</v>
      </c>
      <c r="D455" s="1" t="s">
        <v>37</v>
      </c>
      <c r="E455" s="1" t="s">
        <v>35</v>
      </c>
      <c r="F455" s="1" t="n">
        <v>7</v>
      </c>
      <c r="G455" s="15" t="n">
        <v>513.85</v>
      </c>
      <c r="H455" s="16" t="n">
        <v>0.23</v>
      </c>
      <c r="I455" s="1" t="s">
        <v>31</v>
      </c>
      <c r="J455" s="1" t="n">
        <v>6</v>
      </c>
      <c r="K455" s="1" t="n">
        <v>3.8</v>
      </c>
      <c r="L455" s="15" t="n">
        <v>2769.65</v>
      </c>
      <c r="M455" s="15" t="n">
        <f aca="false">F455*G455</f>
        <v>3596.95</v>
      </c>
      <c r="N455" s="15" t="n">
        <f aca="false">M455-L455</f>
        <v>827.3</v>
      </c>
      <c r="O455" s="1" t="n">
        <f aca="false">YEAR(B455)</f>
        <v>2023</v>
      </c>
      <c r="P455" s="1" t="n">
        <f aca="false">MONTH(B455)</f>
        <v>3</v>
      </c>
      <c r="Q455" s="1" t="str">
        <f aca="false">TEXT(B455,"mmm")</f>
        <v>Mar</v>
      </c>
      <c r="R455" s="1" t="str">
        <f aca="false">"Q"&amp;ROUNDUP(MONTH(B455)/3,0)</f>
        <v>Q1</v>
      </c>
    </row>
    <row r="456" customFormat="false" ht="15" hidden="false" customHeight="true" outlineLevel="0" collapsed="false">
      <c r="A456" s="1" t="n">
        <v>10455</v>
      </c>
      <c r="B456" s="14" t="n">
        <v>45016</v>
      </c>
      <c r="C456" s="1" t="n">
        <v>1480</v>
      </c>
      <c r="D456" s="1" t="s">
        <v>34</v>
      </c>
      <c r="E456" s="1" t="s">
        <v>28</v>
      </c>
      <c r="F456" s="1" t="n">
        <v>4</v>
      </c>
      <c r="G456" s="15" t="n">
        <v>159.58</v>
      </c>
      <c r="H456" s="16" t="n">
        <v>0.25</v>
      </c>
      <c r="I456" s="1" t="s">
        <v>29</v>
      </c>
      <c r="J456" s="1" t="n">
        <v>11</v>
      </c>
      <c r="K456" s="1" t="n">
        <v>1.7</v>
      </c>
      <c r="L456" s="15" t="n">
        <v>478.74</v>
      </c>
      <c r="M456" s="15" t="n">
        <f aca="false">F456*G456</f>
        <v>638.32</v>
      </c>
      <c r="N456" s="15" t="n">
        <f aca="false">M456-L456</f>
        <v>159.58</v>
      </c>
      <c r="O456" s="1" t="n">
        <f aca="false">YEAR(B456)</f>
        <v>2023</v>
      </c>
      <c r="P456" s="1" t="n">
        <f aca="false">MONTH(B456)</f>
        <v>3</v>
      </c>
      <c r="Q456" s="1" t="str">
        <f aca="false">TEXT(B456,"mmm")</f>
        <v>Mar</v>
      </c>
      <c r="R456" s="1" t="str">
        <f aca="false">"Q"&amp;ROUNDUP(MONTH(B456)/3,0)</f>
        <v>Q1</v>
      </c>
    </row>
    <row r="457" customFormat="false" ht="15" hidden="false" customHeight="true" outlineLevel="0" collapsed="false">
      <c r="A457" s="1" t="n">
        <v>10456</v>
      </c>
      <c r="B457" s="14" t="n">
        <v>45017</v>
      </c>
      <c r="C457" s="1" t="n">
        <v>1452</v>
      </c>
      <c r="D457" s="1" t="s">
        <v>34</v>
      </c>
      <c r="E457" s="1" t="s">
        <v>28</v>
      </c>
      <c r="F457" s="1" t="n">
        <v>5</v>
      </c>
      <c r="G457" s="15" t="n">
        <v>25.28</v>
      </c>
      <c r="H457" s="16" t="n">
        <v>0.22</v>
      </c>
      <c r="I457" s="1" t="s">
        <v>31</v>
      </c>
      <c r="J457" s="1" t="n">
        <v>3</v>
      </c>
      <c r="K457" s="1" t="n">
        <v>1.6</v>
      </c>
      <c r="L457" s="15" t="n">
        <v>98.59</v>
      </c>
      <c r="M457" s="15" t="n">
        <f aca="false">F457*G457</f>
        <v>126.4</v>
      </c>
      <c r="N457" s="15" t="n">
        <f aca="false">M457-L457</f>
        <v>27.81</v>
      </c>
      <c r="O457" s="1" t="n">
        <f aca="false">YEAR(B457)</f>
        <v>2023</v>
      </c>
      <c r="P457" s="1" t="n">
        <f aca="false">MONTH(B457)</f>
        <v>4</v>
      </c>
      <c r="Q457" s="1" t="str">
        <f aca="false">TEXT(B457,"mmm")</f>
        <v>Apr</v>
      </c>
      <c r="R457" s="1" t="str">
        <f aca="false">"Q"&amp;ROUNDUP(MONTH(B457)/3,0)</f>
        <v>Q2</v>
      </c>
    </row>
    <row r="458" customFormat="false" ht="15" hidden="false" customHeight="true" outlineLevel="0" collapsed="false">
      <c r="A458" s="1" t="n">
        <v>10457</v>
      </c>
      <c r="B458" s="14" t="n">
        <v>45018</v>
      </c>
      <c r="C458" s="1" t="n">
        <v>1828</v>
      </c>
      <c r="D458" s="1" t="s">
        <v>30</v>
      </c>
      <c r="E458" s="1" t="s">
        <v>32</v>
      </c>
      <c r="F458" s="1" t="n">
        <v>2</v>
      </c>
      <c r="G458" s="15" t="n">
        <v>377.24</v>
      </c>
      <c r="H458" s="16" t="n">
        <v>0.33</v>
      </c>
      <c r="I458" s="1" t="s">
        <v>33</v>
      </c>
      <c r="J458" s="1" t="n">
        <v>10</v>
      </c>
      <c r="K458" s="1" t="n">
        <v>3.3</v>
      </c>
      <c r="L458" s="15" t="n">
        <v>505.5</v>
      </c>
      <c r="M458" s="15" t="n">
        <f aca="false">F458*G458</f>
        <v>754.48</v>
      </c>
      <c r="N458" s="15" t="n">
        <f aca="false">M458-L458</f>
        <v>248.98</v>
      </c>
      <c r="O458" s="1" t="n">
        <f aca="false">YEAR(B458)</f>
        <v>2023</v>
      </c>
      <c r="P458" s="1" t="n">
        <f aca="false">MONTH(B458)</f>
        <v>4</v>
      </c>
      <c r="Q458" s="1" t="str">
        <f aca="false">TEXT(B458,"mmm")</f>
        <v>Apr</v>
      </c>
      <c r="R458" s="1" t="str">
        <f aca="false">"Q"&amp;ROUNDUP(MONTH(B458)/3,0)</f>
        <v>Q2</v>
      </c>
    </row>
    <row r="459" customFormat="false" ht="15" hidden="false" customHeight="true" outlineLevel="0" collapsed="false">
      <c r="A459" s="1" t="n">
        <v>10458</v>
      </c>
      <c r="B459" s="14" t="n">
        <v>45019</v>
      </c>
      <c r="C459" s="1" t="n">
        <v>1815</v>
      </c>
      <c r="D459" s="1" t="s">
        <v>27</v>
      </c>
      <c r="E459" s="1" t="s">
        <v>36</v>
      </c>
      <c r="F459" s="1" t="n">
        <v>6</v>
      </c>
      <c r="G459" s="15" t="n">
        <v>282.88</v>
      </c>
      <c r="H459" s="16" t="n">
        <v>0.07</v>
      </c>
      <c r="I459" s="1" t="s">
        <v>31</v>
      </c>
      <c r="J459" s="1" t="n">
        <v>7</v>
      </c>
      <c r="K459" s="1" t="n">
        <v>3.5</v>
      </c>
      <c r="L459" s="15" t="n">
        <v>1578.47</v>
      </c>
      <c r="M459" s="15" t="n">
        <f aca="false">F459*G459</f>
        <v>1697.28</v>
      </c>
      <c r="N459" s="15" t="n">
        <f aca="false">M459-L459</f>
        <v>118.81</v>
      </c>
      <c r="O459" s="1" t="n">
        <f aca="false">YEAR(B459)</f>
        <v>2023</v>
      </c>
      <c r="P459" s="1" t="n">
        <f aca="false">MONTH(B459)</f>
        <v>4</v>
      </c>
      <c r="Q459" s="1" t="str">
        <f aca="false">TEXT(B459,"mmm")</f>
        <v>Apr</v>
      </c>
      <c r="R459" s="1" t="str">
        <f aca="false">"Q"&amp;ROUNDUP(MONTH(B459)/3,0)</f>
        <v>Q2</v>
      </c>
    </row>
    <row r="460" customFormat="false" ht="15" hidden="false" customHeight="true" outlineLevel="0" collapsed="false">
      <c r="A460" s="1" t="n">
        <v>10459</v>
      </c>
      <c r="B460" s="14" t="n">
        <v>45020</v>
      </c>
      <c r="C460" s="1" t="n">
        <v>1658</v>
      </c>
      <c r="D460" s="1" t="s">
        <v>30</v>
      </c>
      <c r="E460" s="1" t="s">
        <v>35</v>
      </c>
      <c r="F460" s="1" t="n">
        <v>4</v>
      </c>
      <c r="G460" s="15" t="n">
        <v>346.79</v>
      </c>
      <c r="H460" s="16" t="n">
        <v>0.35</v>
      </c>
      <c r="I460" s="1" t="s">
        <v>33</v>
      </c>
      <c r="J460" s="1" t="n">
        <v>6</v>
      </c>
      <c r="K460" s="1" t="n">
        <v>4.3</v>
      </c>
      <c r="L460" s="15" t="n">
        <v>901.65</v>
      </c>
      <c r="M460" s="15" t="n">
        <f aca="false">F460*G460</f>
        <v>1387.16</v>
      </c>
      <c r="N460" s="15" t="n">
        <f aca="false">M460-L460</f>
        <v>485.51</v>
      </c>
      <c r="O460" s="1" t="n">
        <f aca="false">YEAR(B460)</f>
        <v>2023</v>
      </c>
      <c r="P460" s="1" t="n">
        <f aca="false">MONTH(B460)</f>
        <v>4</v>
      </c>
      <c r="Q460" s="1" t="str">
        <f aca="false">TEXT(B460,"mmm")</f>
        <v>Apr</v>
      </c>
      <c r="R460" s="1" t="str">
        <f aca="false">"Q"&amp;ROUNDUP(MONTH(B460)/3,0)</f>
        <v>Q2</v>
      </c>
    </row>
    <row r="461" customFormat="false" ht="15" hidden="false" customHeight="true" outlineLevel="0" collapsed="false">
      <c r="A461" s="1" t="n">
        <v>10460</v>
      </c>
      <c r="B461" s="14" t="n">
        <v>45021</v>
      </c>
      <c r="C461" s="1" t="n">
        <v>1515</v>
      </c>
      <c r="D461" s="1" t="s">
        <v>37</v>
      </c>
      <c r="E461" s="1" t="s">
        <v>32</v>
      </c>
      <c r="F461" s="1" t="n">
        <v>2</v>
      </c>
      <c r="G461" s="15" t="n">
        <v>541.11</v>
      </c>
      <c r="H461" s="16" t="n">
        <v>0.29</v>
      </c>
      <c r="I461" s="1" t="s">
        <v>31</v>
      </c>
      <c r="J461" s="1" t="n">
        <v>10</v>
      </c>
      <c r="K461" s="1" t="n">
        <v>4.6</v>
      </c>
      <c r="L461" s="15" t="n">
        <v>768.38</v>
      </c>
      <c r="M461" s="15" t="n">
        <f aca="false">F461*G461</f>
        <v>1082.22</v>
      </c>
      <c r="N461" s="15" t="n">
        <f aca="false">M461-L461</f>
        <v>313.84</v>
      </c>
      <c r="O461" s="1" t="n">
        <f aca="false">YEAR(B461)</f>
        <v>2023</v>
      </c>
      <c r="P461" s="1" t="n">
        <f aca="false">MONTH(B461)</f>
        <v>4</v>
      </c>
      <c r="Q461" s="1" t="str">
        <f aca="false">TEXT(B461,"mmm")</f>
        <v>Apr</v>
      </c>
      <c r="R461" s="1" t="str">
        <f aca="false">"Q"&amp;ROUNDUP(MONTH(B461)/3,0)</f>
        <v>Q2</v>
      </c>
    </row>
    <row r="462" customFormat="false" ht="15" hidden="false" customHeight="true" outlineLevel="0" collapsed="false">
      <c r="A462" s="1" t="n">
        <v>10461</v>
      </c>
      <c r="B462" s="14" t="n">
        <v>45022</v>
      </c>
      <c r="C462" s="1" t="n">
        <v>1546</v>
      </c>
      <c r="D462" s="1" t="s">
        <v>30</v>
      </c>
      <c r="E462" s="1" t="s">
        <v>28</v>
      </c>
      <c r="F462" s="1" t="n">
        <v>5</v>
      </c>
      <c r="G462" s="15" t="n">
        <v>582.41</v>
      </c>
      <c r="H462" s="16" t="n">
        <v>0.21</v>
      </c>
      <c r="I462" s="1" t="s">
        <v>33</v>
      </c>
      <c r="J462" s="1" t="n">
        <v>10</v>
      </c>
      <c r="K462" s="1" t="n">
        <v>2.6</v>
      </c>
      <c r="L462" s="15" t="n">
        <v>2300.52</v>
      </c>
      <c r="M462" s="15" t="n">
        <f aca="false">F462*G462</f>
        <v>2912.05</v>
      </c>
      <c r="N462" s="15" t="n">
        <f aca="false">M462-L462</f>
        <v>611.53</v>
      </c>
      <c r="O462" s="1" t="n">
        <f aca="false">YEAR(B462)</f>
        <v>2023</v>
      </c>
      <c r="P462" s="1" t="n">
        <f aca="false">MONTH(B462)</f>
        <v>4</v>
      </c>
      <c r="Q462" s="1" t="str">
        <f aca="false">TEXT(B462,"mmm")</f>
        <v>Apr</v>
      </c>
      <c r="R462" s="1" t="str">
        <f aca="false">"Q"&amp;ROUNDUP(MONTH(B462)/3,0)</f>
        <v>Q2</v>
      </c>
    </row>
    <row r="463" customFormat="false" ht="15" hidden="false" customHeight="true" outlineLevel="0" collapsed="false">
      <c r="A463" s="1" t="n">
        <v>10462</v>
      </c>
      <c r="B463" s="14" t="n">
        <v>45023</v>
      </c>
      <c r="C463" s="1" t="n">
        <v>1191</v>
      </c>
      <c r="D463" s="1" t="s">
        <v>34</v>
      </c>
      <c r="E463" s="1" t="s">
        <v>36</v>
      </c>
      <c r="F463" s="1" t="n">
        <v>6</v>
      </c>
      <c r="G463" s="15" t="n">
        <v>386.16</v>
      </c>
      <c r="H463" s="16" t="n">
        <v>0.23</v>
      </c>
      <c r="I463" s="1" t="s">
        <v>33</v>
      </c>
      <c r="J463" s="1" t="n">
        <v>9</v>
      </c>
      <c r="K463" s="1" t="n">
        <v>4.4</v>
      </c>
      <c r="L463" s="15" t="n">
        <v>1784.06</v>
      </c>
      <c r="M463" s="15" t="n">
        <f aca="false">F463*G463</f>
        <v>2316.96</v>
      </c>
      <c r="N463" s="15" t="n">
        <f aca="false">M463-L463</f>
        <v>532.9</v>
      </c>
      <c r="O463" s="1" t="n">
        <f aca="false">YEAR(B463)</f>
        <v>2023</v>
      </c>
      <c r="P463" s="1" t="n">
        <f aca="false">MONTH(B463)</f>
        <v>4</v>
      </c>
      <c r="Q463" s="1" t="str">
        <f aca="false">TEXT(B463,"mmm")</f>
        <v>Apr</v>
      </c>
      <c r="R463" s="1" t="str">
        <f aca="false">"Q"&amp;ROUNDUP(MONTH(B463)/3,0)</f>
        <v>Q2</v>
      </c>
    </row>
    <row r="464" customFormat="false" ht="15" hidden="false" customHeight="true" outlineLevel="0" collapsed="false">
      <c r="A464" s="1" t="n">
        <v>10463</v>
      </c>
      <c r="B464" s="14" t="n">
        <v>45024</v>
      </c>
      <c r="C464" s="1" t="n">
        <v>1048</v>
      </c>
      <c r="D464" s="1" t="s">
        <v>30</v>
      </c>
      <c r="E464" s="1" t="s">
        <v>35</v>
      </c>
      <c r="F464" s="1" t="n">
        <v>2</v>
      </c>
      <c r="G464" s="15" t="n">
        <v>461.97</v>
      </c>
      <c r="H464" s="16" t="n">
        <v>0.23</v>
      </c>
      <c r="I464" s="1" t="s">
        <v>31</v>
      </c>
      <c r="J464" s="1" t="n">
        <v>3</v>
      </c>
      <c r="K464" s="1" t="n">
        <v>3.2</v>
      </c>
      <c r="L464" s="15" t="n">
        <v>711.43</v>
      </c>
      <c r="M464" s="15" t="n">
        <f aca="false">F464*G464</f>
        <v>923.94</v>
      </c>
      <c r="N464" s="15" t="n">
        <f aca="false">M464-L464</f>
        <v>212.51</v>
      </c>
      <c r="O464" s="1" t="n">
        <f aca="false">YEAR(B464)</f>
        <v>2023</v>
      </c>
      <c r="P464" s="1" t="n">
        <f aca="false">MONTH(B464)</f>
        <v>4</v>
      </c>
      <c r="Q464" s="1" t="str">
        <f aca="false">TEXT(B464,"mmm")</f>
        <v>Apr</v>
      </c>
      <c r="R464" s="1" t="str">
        <f aca="false">"Q"&amp;ROUNDUP(MONTH(B464)/3,0)</f>
        <v>Q2</v>
      </c>
    </row>
    <row r="465" customFormat="false" ht="15" hidden="false" customHeight="true" outlineLevel="0" collapsed="false">
      <c r="A465" s="1" t="n">
        <v>10464</v>
      </c>
      <c r="B465" s="14" t="n">
        <v>45025</v>
      </c>
      <c r="C465" s="1" t="n">
        <v>1511</v>
      </c>
      <c r="D465" s="1" t="s">
        <v>37</v>
      </c>
      <c r="E465" s="1" t="s">
        <v>32</v>
      </c>
      <c r="F465" s="1" t="n">
        <v>3</v>
      </c>
      <c r="G465" s="15" t="n">
        <v>64.03</v>
      </c>
      <c r="H465" s="16" t="n">
        <v>0.02</v>
      </c>
      <c r="I465" s="1" t="s">
        <v>29</v>
      </c>
      <c r="J465" s="1" t="n">
        <v>3</v>
      </c>
      <c r="K465" s="1" t="n">
        <v>2.9</v>
      </c>
      <c r="L465" s="15" t="n">
        <v>188.25</v>
      </c>
      <c r="M465" s="15" t="n">
        <f aca="false">F465*G465</f>
        <v>192.09</v>
      </c>
      <c r="N465" s="15" t="n">
        <f aca="false">M465-L465</f>
        <v>3.84</v>
      </c>
      <c r="O465" s="1" t="n">
        <f aca="false">YEAR(B465)</f>
        <v>2023</v>
      </c>
      <c r="P465" s="1" t="n">
        <f aca="false">MONTH(B465)</f>
        <v>4</v>
      </c>
      <c r="Q465" s="1" t="str">
        <f aca="false">TEXT(B465,"mmm")</f>
        <v>Apr</v>
      </c>
      <c r="R465" s="1" t="str">
        <f aca="false">"Q"&amp;ROUNDUP(MONTH(B465)/3,0)</f>
        <v>Q2</v>
      </c>
    </row>
    <row r="466" customFormat="false" ht="15" hidden="false" customHeight="true" outlineLevel="0" collapsed="false">
      <c r="A466" s="1" t="n">
        <v>10465</v>
      </c>
      <c r="B466" s="14" t="n">
        <v>45026</v>
      </c>
      <c r="C466" s="1" t="n">
        <v>1016</v>
      </c>
      <c r="D466" s="1" t="s">
        <v>34</v>
      </c>
      <c r="E466" s="1" t="s">
        <v>35</v>
      </c>
      <c r="F466" s="1" t="n">
        <v>7</v>
      </c>
      <c r="G466" s="15" t="n">
        <v>109.02</v>
      </c>
      <c r="H466" s="16" t="n">
        <v>0.08</v>
      </c>
      <c r="I466" s="1" t="s">
        <v>33</v>
      </c>
      <c r="J466" s="1" t="n">
        <v>4</v>
      </c>
      <c r="K466" s="1" t="n">
        <v>3.8</v>
      </c>
      <c r="L466" s="15" t="n">
        <v>702.09</v>
      </c>
      <c r="M466" s="15" t="n">
        <f aca="false">F466*G466</f>
        <v>763.14</v>
      </c>
      <c r="N466" s="15" t="n">
        <f aca="false">M466-L466</f>
        <v>61.05</v>
      </c>
      <c r="O466" s="1" t="n">
        <f aca="false">YEAR(B466)</f>
        <v>2023</v>
      </c>
      <c r="P466" s="1" t="n">
        <f aca="false">MONTH(B466)</f>
        <v>4</v>
      </c>
      <c r="Q466" s="1" t="str">
        <f aca="false">TEXT(B466,"mmm")</f>
        <v>Apr</v>
      </c>
      <c r="R466" s="1" t="str">
        <f aca="false">"Q"&amp;ROUNDUP(MONTH(B466)/3,0)</f>
        <v>Q2</v>
      </c>
    </row>
    <row r="467" customFormat="false" ht="15" hidden="false" customHeight="true" outlineLevel="0" collapsed="false">
      <c r="A467" s="1" t="n">
        <v>10466</v>
      </c>
      <c r="B467" s="14" t="n">
        <v>45027</v>
      </c>
      <c r="C467" s="1" t="n">
        <v>1171</v>
      </c>
      <c r="D467" s="1" t="s">
        <v>34</v>
      </c>
      <c r="E467" s="1" t="s">
        <v>36</v>
      </c>
      <c r="F467" s="1" t="n">
        <v>4</v>
      </c>
      <c r="G467" s="15" t="n">
        <v>443.92</v>
      </c>
      <c r="H467" s="16" t="n">
        <v>0.34</v>
      </c>
      <c r="I467" s="1" t="s">
        <v>29</v>
      </c>
      <c r="J467" s="1" t="n">
        <v>3</v>
      </c>
      <c r="K467" s="1" t="n">
        <v>1.4</v>
      </c>
      <c r="L467" s="15" t="n">
        <v>1171.95</v>
      </c>
      <c r="M467" s="15" t="n">
        <f aca="false">F467*G467</f>
        <v>1775.68</v>
      </c>
      <c r="N467" s="15" t="n">
        <f aca="false">M467-L467</f>
        <v>603.73</v>
      </c>
      <c r="O467" s="1" t="n">
        <f aca="false">YEAR(B467)</f>
        <v>2023</v>
      </c>
      <c r="P467" s="1" t="n">
        <f aca="false">MONTH(B467)</f>
        <v>4</v>
      </c>
      <c r="Q467" s="1" t="str">
        <f aca="false">TEXT(B467,"mmm")</f>
        <v>Apr</v>
      </c>
      <c r="R467" s="1" t="str">
        <f aca="false">"Q"&amp;ROUNDUP(MONTH(B467)/3,0)</f>
        <v>Q2</v>
      </c>
    </row>
    <row r="468" customFormat="false" ht="15" hidden="false" customHeight="true" outlineLevel="0" collapsed="false">
      <c r="A468" s="1" t="n">
        <v>10467</v>
      </c>
      <c r="B468" s="14" t="n">
        <v>45028</v>
      </c>
      <c r="C468" s="1" t="n">
        <v>1219</v>
      </c>
      <c r="D468" s="1" t="s">
        <v>34</v>
      </c>
      <c r="E468" s="1" t="s">
        <v>36</v>
      </c>
      <c r="F468" s="1" t="n">
        <v>7</v>
      </c>
      <c r="G468" s="15" t="n">
        <v>267.35</v>
      </c>
      <c r="H468" s="16" t="n">
        <v>0.19</v>
      </c>
      <c r="I468" s="1" t="s">
        <v>29</v>
      </c>
      <c r="J468" s="1" t="n">
        <v>4</v>
      </c>
      <c r="K468" s="1" t="n">
        <v>2.1</v>
      </c>
      <c r="L468" s="15" t="n">
        <v>1515.87</v>
      </c>
      <c r="M468" s="15" t="n">
        <f aca="false">F468*G468</f>
        <v>1871.45</v>
      </c>
      <c r="N468" s="15" t="n">
        <f aca="false">M468-L468</f>
        <v>355.58</v>
      </c>
      <c r="O468" s="1" t="n">
        <f aca="false">YEAR(B468)</f>
        <v>2023</v>
      </c>
      <c r="P468" s="1" t="n">
        <f aca="false">MONTH(B468)</f>
        <v>4</v>
      </c>
      <c r="Q468" s="1" t="str">
        <f aca="false">TEXT(B468,"mmm")</f>
        <v>Apr</v>
      </c>
      <c r="R468" s="1" t="str">
        <f aca="false">"Q"&amp;ROUNDUP(MONTH(B468)/3,0)</f>
        <v>Q2</v>
      </c>
    </row>
    <row r="469" customFormat="false" ht="15" hidden="false" customHeight="true" outlineLevel="0" collapsed="false">
      <c r="A469" s="1" t="n">
        <v>10468</v>
      </c>
      <c r="B469" s="14" t="n">
        <v>45029</v>
      </c>
      <c r="C469" s="1" t="n">
        <v>1157</v>
      </c>
      <c r="D469" s="1" t="s">
        <v>30</v>
      </c>
      <c r="E469" s="1" t="s">
        <v>28</v>
      </c>
      <c r="F469" s="1" t="n">
        <v>1</v>
      </c>
      <c r="G469" s="15" t="n">
        <v>275.89</v>
      </c>
      <c r="H469" s="16" t="n">
        <v>0.13</v>
      </c>
      <c r="I469" s="1" t="s">
        <v>29</v>
      </c>
      <c r="J469" s="1" t="n">
        <v>6</v>
      </c>
      <c r="K469" s="1" t="n">
        <v>4.3</v>
      </c>
      <c r="L469" s="15" t="n">
        <v>240.02</v>
      </c>
      <c r="M469" s="15" t="n">
        <f aca="false">F469*G469</f>
        <v>275.89</v>
      </c>
      <c r="N469" s="15" t="n">
        <f aca="false">M469-L469</f>
        <v>35.87</v>
      </c>
      <c r="O469" s="1" t="n">
        <f aca="false">YEAR(B469)</f>
        <v>2023</v>
      </c>
      <c r="P469" s="1" t="n">
        <f aca="false">MONTH(B469)</f>
        <v>4</v>
      </c>
      <c r="Q469" s="1" t="str">
        <f aca="false">TEXT(B469,"mmm")</f>
        <v>Apr</v>
      </c>
      <c r="R469" s="1" t="str">
        <f aca="false">"Q"&amp;ROUNDUP(MONTH(B469)/3,0)</f>
        <v>Q2</v>
      </c>
    </row>
    <row r="470" customFormat="false" ht="15" hidden="false" customHeight="true" outlineLevel="0" collapsed="false">
      <c r="A470" s="1" t="n">
        <v>10469</v>
      </c>
      <c r="B470" s="14" t="n">
        <v>45030</v>
      </c>
      <c r="C470" s="1" t="n">
        <v>1476</v>
      </c>
      <c r="D470" s="1" t="s">
        <v>27</v>
      </c>
      <c r="E470" s="1" t="s">
        <v>36</v>
      </c>
      <c r="F470" s="1" t="n">
        <v>2</v>
      </c>
      <c r="G470" s="15" t="n">
        <v>195.54</v>
      </c>
      <c r="H470" s="16" t="n">
        <v>0.27</v>
      </c>
      <c r="I470" s="1" t="s">
        <v>31</v>
      </c>
      <c r="J470" s="1" t="n">
        <v>1</v>
      </c>
      <c r="K470" s="1" t="n">
        <v>3</v>
      </c>
      <c r="L470" s="15" t="n">
        <v>285.49</v>
      </c>
      <c r="M470" s="15" t="n">
        <f aca="false">F470*G470</f>
        <v>391.08</v>
      </c>
      <c r="N470" s="15" t="n">
        <f aca="false">M470-L470</f>
        <v>105.59</v>
      </c>
      <c r="O470" s="1" t="n">
        <f aca="false">YEAR(B470)</f>
        <v>2023</v>
      </c>
      <c r="P470" s="1" t="n">
        <f aca="false">MONTH(B470)</f>
        <v>4</v>
      </c>
      <c r="Q470" s="1" t="str">
        <f aca="false">TEXT(B470,"mmm")</f>
        <v>Apr</v>
      </c>
      <c r="R470" s="1" t="str">
        <f aca="false">"Q"&amp;ROUNDUP(MONTH(B470)/3,0)</f>
        <v>Q2</v>
      </c>
    </row>
    <row r="471" customFormat="false" ht="15" hidden="false" customHeight="true" outlineLevel="0" collapsed="false">
      <c r="A471" s="1" t="n">
        <v>10470</v>
      </c>
      <c r="B471" s="14" t="n">
        <v>45031</v>
      </c>
      <c r="C471" s="1" t="n">
        <v>1045</v>
      </c>
      <c r="D471" s="1" t="s">
        <v>34</v>
      </c>
      <c r="E471" s="1" t="s">
        <v>32</v>
      </c>
      <c r="F471" s="1" t="n">
        <v>6</v>
      </c>
      <c r="G471" s="15" t="n">
        <v>370.3</v>
      </c>
      <c r="H471" s="16" t="n">
        <v>0.18</v>
      </c>
      <c r="I471" s="1" t="s">
        <v>31</v>
      </c>
      <c r="J471" s="1" t="n">
        <v>2</v>
      </c>
      <c r="K471" s="1" t="n">
        <v>4.6</v>
      </c>
      <c r="L471" s="15" t="n">
        <v>1821.88</v>
      </c>
      <c r="M471" s="15" t="n">
        <f aca="false">F471*G471</f>
        <v>2221.8</v>
      </c>
      <c r="N471" s="15" t="n">
        <f aca="false">M471-L471</f>
        <v>399.92</v>
      </c>
      <c r="O471" s="1" t="n">
        <f aca="false">YEAR(B471)</f>
        <v>2023</v>
      </c>
      <c r="P471" s="1" t="n">
        <f aca="false">MONTH(B471)</f>
        <v>4</v>
      </c>
      <c r="Q471" s="1" t="str">
        <f aca="false">TEXT(B471,"mmm")</f>
        <v>Apr</v>
      </c>
      <c r="R471" s="1" t="str">
        <f aca="false">"Q"&amp;ROUNDUP(MONTH(B471)/3,0)</f>
        <v>Q2</v>
      </c>
    </row>
    <row r="472" customFormat="false" ht="15" hidden="false" customHeight="true" outlineLevel="0" collapsed="false">
      <c r="A472" s="1" t="n">
        <v>10471</v>
      </c>
      <c r="B472" s="14" t="n">
        <v>45032</v>
      </c>
      <c r="C472" s="1" t="n">
        <v>1372</v>
      </c>
      <c r="D472" s="1" t="s">
        <v>30</v>
      </c>
      <c r="E472" s="1" t="s">
        <v>35</v>
      </c>
      <c r="F472" s="1" t="n">
        <v>6</v>
      </c>
      <c r="G472" s="15" t="n">
        <v>123.32</v>
      </c>
      <c r="H472" s="16" t="n">
        <v>0</v>
      </c>
      <c r="I472" s="1" t="s">
        <v>29</v>
      </c>
      <c r="J472" s="1" t="n">
        <v>10</v>
      </c>
      <c r="K472" s="1" t="n">
        <v>1.4</v>
      </c>
      <c r="L472" s="15" t="n">
        <v>739.92</v>
      </c>
      <c r="M472" s="15" t="n">
        <f aca="false">F472*G472</f>
        <v>739.92</v>
      </c>
      <c r="N472" s="15" t="n">
        <f aca="false">M472-L472</f>
        <v>0</v>
      </c>
      <c r="O472" s="1" t="n">
        <f aca="false">YEAR(B472)</f>
        <v>2023</v>
      </c>
      <c r="P472" s="1" t="n">
        <f aca="false">MONTH(B472)</f>
        <v>4</v>
      </c>
      <c r="Q472" s="1" t="str">
        <f aca="false">TEXT(B472,"mmm")</f>
        <v>Apr</v>
      </c>
      <c r="R472" s="1" t="str">
        <f aca="false">"Q"&amp;ROUNDUP(MONTH(B472)/3,0)</f>
        <v>Q2</v>
      </c>
    </row>
    <row r="473" customFormat="false" ht="15" hidden="false" customHeight="true" outlineLevel="0" collapsed="false">
      <c r="A473" s="1" t="n">
        <v>10472</v>
      </c>
      <c r="B473" s="14" t="n">
        <v>45033</v>
      </c>
      <c r="C473" s="1" t="n">
        <v>1517</v>
      </c>
      <c r="D473" s="1" t="s">
        <v>34</v>
      </c>
      <c r="E473" s="1" t="s">
        <v>36</v>
      </c>
      <c r="F473" s="1" t="n">
        <v>4</v>
      </c>
      <c r="G473" s="15" t="n">
        <v>381.75</v>
      </c>
      <c r="H473" s="16" t="n">
        <v>0.26</v>
      </c>
      <c r="I473" s="1" t="s">
        <v>33</v>
      </c>
      <c r="J473" s="1" t="n">
        <v>6</v>
      </c>
      <c r="K473" s="1" t="n">
        <v>2.3</v>
      </c>
      <c r="L473" s="15" t="n">
        <v>1129.98</v>
      </c>
      <c r="M473" s="15" t="n">
        <f aca="false">F473*G473</f>
        <v>1527</v>
      </c>
      <c r="N473" s="15" t="n">
        <f aca="false">M473-L473</f>
        <v>397.02</v>
      </c>
      <c r="O473" s="1" t="n">
        <f aca="false">YEAR(B473)</f>
        <v>2023</v>
      </c>
      <c r="P473" s="1" t="n">
        <f aca="false">MONTH(B473)</f>
        <v>4</v>
      </c>
      <c r="Q473" s="1" t="str">
        <f aca="false">TEXT(B473,"mmm")</f>
        <v>Apr</v>
      </c>
      <c r="R473" s="1" t="str">
        <f aca="false">"Q"&amp;ROUNDUP(MONTH(B473)/3,0)</f>
        <v>Q2</v>
      </c>
    </row>
    <row r="474" customFormat="false" ht="15" hidden="false" customHeight="true" outlineLevel="0" collapsed="false">
      <c r="A474" s="1" t="n">
        <v>10473</v>
      </c>
      <c r="B474" s="14" t="n">
        <v>45034</v>
      </c>
      <c r="C474" s="1" t="n">
        <v>1098</v>
      </c>
      <c r="D474" s="1" t="s">
        <v>27</v>
      </c>
      <c r="E474" s="1" t="s">
        <v>36</v>
      </c>
      <c r="F474" s="1" t="n">
        <v>4</v>
      </c>
      <c r="G474" s="15" t="n">
        <v>116.67</v>
      </c>
      <c r="H474" s="16" t="n">
        <v>0.26</v>
      </c>
      <c r="I474" s="1" t="s">
        <v>31</v>
      </c>
      <c r="J474" s="1" t="n">
        <v>6</v>
      </c>
      <c r="K474" s="1" t="n">
        <v>2.4</v>
      </c>
      <c r="L474" s="15" t="n">
        <v>345.34</v>
      </c>
      <c r="M474" s="15" t="n">
        <f aca="false">F474*G474</f>
        <v>466.68</v>
      </c>
      <c r="N474" s="15" t="n">
        <f aca="false">M474-L474</f>
        <v>121.34</v>
      </c>
      <c r="O474" s="1" t="n">
        <f aca="false">YEAR(B474)</f>
        <v>2023</v>
      </c>
      <c r="P474" s="1" t="n">
        <f aca="false">MONTH(B474)</f>
        <v>4</v>
      </c>
      <c r="Q474" s="1" t="str">
        <f aca="false">TEXT(B474,"mmm")</f>
        <v>Apr</v>
      </c>
      <c r="R474" s="1" t="str">
        <f aca="false">"Q"&amp;ROUNDUP(MONTH(B474)/3,0)</f>
        <v>Q2</v>
      </c>
    </row>
    <row r="475" customFormat="false" ht="15" hidden="false" customHeight="true" outlineLevel="0" collapsed="false">
      <c r="A475" s="1" t="n">
        <v>10474</v>
      </c>
      <c r="B475" s="14" t="n">
        <v>45035</v>
      </c>
      <c r="C475" s="1" t="n">
        <v>1891</v>
      </c>
      <c r="D475" s="1" t="s">
        <v>34</v>
      </c>
      <c r="E475" s="1" t="s">
        <v>32</v>
      </c>
      <c r="F475" s="1" t="n">
        <v>7</v>
      </c>
      <c r="G475" s="15" t="n">
        <v>52.34</v>
      </c>
      <c r="H475" s="16" t="n">
        <v>0.06</v>
      </c>
      <c r="I475" s="1" t="s">
        <v>33</v>
      </c>
      <c r="J475" s="1" t="n">
        <v>1</v>
      </c>
      <c r="K475" s="1" t="n">
        <v>2.7</v>
      </c>
      <c r="L475" s="15" t="n">
        <v>344.4</v>
      </c>
      <c r="M475" s="15" t="n">
        <f aca="false">F475*G475</f>
        <v>366.38</v>
      </c>
      <c r="N475" s="15" t="n">
        <f aca="false">M475-L475</f>
        <v>21.98</v>
      </c>
      <c r="O475" s="1" t="n">
        <f aca="false">YEAR(B475)</f>
        <v>2023</v>
      </c>
      <c r="P475" s="1" t="n">
        <f aca="false">MONTH(B475)</f>
        <v>4</v>
      </c>
      <c r="Q475" s="1" t="str">
        <f aca="false">TEXT(B475,"mmm")</f>
        <v>Apr</v>
      </c>
      <c r="R475" s="1" t="str">
        <f aca="false">"Q"&amp;ROUNDUP(MONTH(B475)/3,0)</f>
        <v>Q2</v>
      </c>
    </row>
    <row r="476" customFormat="false" ht="15" hidden="false" customHeight="true" outlineLevel="0" collapsed="false">
      <c r="A476" s="1" t="n">
        <v>10475</v>
      </c>
      <c r="B476" s="14" t="n">
        <v>45036</v>
      </c>
      <c r="C476" s="1" t="n">
        <v>1744</v>
      </c>
      <c r="D476" s="1" t="s">
        <v>30</v>
      </c>
      <c r="E476" s="1" t="s">
        <v>35</v>
      </c>
      <c r="F476" s="1" t="n">
        <v>6</v>
      </c>
      <c r="G476" s="15" t="n">
        <v>208.26</v>
      </c>
      <c r="H476" s="16" t="n">
        <v>0.33</v>
      </c>
      <c r="I476" s="1" t="s">
        <v>31</v>
      </c>
      <c r="J476" s="1" t="n">
        <v>6</v>
      </c>
      <c r="K476" s="1" t="n">
        <v>4.9</v>
      </c>
      <c r="L476" s="15" t="n">
        <v>837.21</v>
      </c>
      <c r="M476" s="15" t="n">
        <f aca="false">F476*G476</f>
        <v>1249.56</v>
      </c>
      <c r="N476" s="15" t="n">
        <f aca="false">M476-L476</f>
        <v>412.35</v>
      </c>
      <c r="O476" s="1" t="n">
        <f aca="false">YEAR(B476)</f>
        <v>2023</v>
      </c>
      <c r="P476" s="1" t="n">
        <f aca="false">MONTH(B476)</f>
        <v>4</v>
      </c>
      <c r="Q476" s="1" t="str">
        <f aca="false">TEXT(B476,"mmm")</f>
        <v>Apr</v>
      </c>
      <c r="R476" s="1" t="str">
        <f aca="false">"Q"&amp;ROUNDUP(MONTH(B476)/3,0)</f>
        <v>Q2</v>
      </c>
    </row>
    <row r="477" customFormat="false" ht="15" hidden="false" customHeight="true" outlineLevel="0" collapsed="false">
      <c r="A477" s="1" t="n">
        <v>10476</v>
      </c>
      <c r="B477" s="14" t="n">
        <v>45037</v>
      </c>
      <c r="C477" s="1" t="n">
        <v>1036</v>
      </c>
      <c r="D477" s="1" t="s">
        <v>37</v>
      </c>
      <c r="E477" s="1" t="s">
        <v>35</v>
      </c>
      <c r="F477" s="1" t="n">
        <v>6</v>
      </c>
      <c r="G477" s="15" t="n">
        <v>150.22</v>
      </c>
      <c r="H477" s="16" t="n">
        <v>0.08</v>
      </c>
      <c r="I477" s="1" t="s">
        <v>33</v>
      </c>
      <c r="J477" s="1" t="n">
        <v>11</v>
      </c>
      <c r="K477" s="1" t="n">
        <v>2.2</v>
      </c>
      <c r="L477" s="15" t="n">
        <v>829.21</v>
      </c>
      <c r="M477" s="15" t="n">
        <f aca="false">F477*G477</f>
        <v>901.32</v>
      </c>
      <c r="N477" s="15" t="n">
        <f aca="false">M477-L477</f>
        <v>72.1099999999999</v>
      </c>
      <c r="O477" s="1" t="n">
        <f aca="false">YEAR(B477)</f>
        <v>2023</v>
      </c>
      <c r="P477" s="1" t="n">
        <f aca="false">MONTH(B477)</f>
        <v>4</v>
      </c>
      <c r="Q477" s="1" t="str">
        <f aca="false">TEXT(B477,"mmm")</f>
        <v>Apr</v>
      </c>
      <c r="R477" s="1" t="str">
        <f aca="false">"Q"&amp;ROUNDUP(MONTH(B477)/3,0)</f>
        <v>Q2</v>
      </c>
    </row>
    <row r="478" customFormat="false" ht="15" hidden="false" customHeight="true" outlineLevel="0" collapsed="false">
      <c r="A478" s="1" t="n">
        <v>10477</v>
      </c>
      <c r="B478" s="14" t="n">
        <v>45038</v>
      </c>
      <c r="C478" s="1" t="n">
        <v>1279</v>
      </c>
      <c r="D478" s="1" t="s">
        <v>37</v>
      </c>
      <c r="E478" s="1" t="s">
        <v>28</v>
      </c>
      <c r="F478" s="1" t="n">
        <v>6</v>
      </c>
      <c r="G478" s="15" t="n">
        <v>535.06</v>
      </c>
      <c r="H478" s="16" t="n">
        <v>0.16</v>
      </c>
      <c r="I478" s="1" t="s">
        <v>29</v>
      </c>
      <c r="J478" s="1" t="n">
        <v>9</v>
      </c>
      <c r="K478" s="1" t="n">
        <v>3.1</v>
      </c>
      <c r="L478" s="15" t="n">
        <v>2696.7</v>
      </c>
      <c r="M478" s="15" t="n">
        <f aca="false">F478*G478</f>
        <v>3210.36</v>
      </c>
      <c r="N478" s="15" t="n">
        <f aca="false">M478-L478</f>
        <v>513.66</v>
      </c>
      <c r="O478" s="1" t="n">
        <f aca="false">YEAR(B478)</f>
        <v>2023</v>
      </c>
      <c r="P478" s="1" t="n">
        <f aca="false">MONTH(B478)</f>
        <v>4</v>
      </c>
      <c r="Q478" s="1" t="str">
        <f aca="false">TEXT(B478,"mmm")</f>
        <v>Apr</v>
      </c>
      <c r="R478" s="1" t="str">
        <f aca="false">"Q"&amp;ROUNDUP(MONTH(B478)/3,0)</f>
        <v>Q2</v>
      </c>
    </row>
    <row r="479" customFormat="false" ht="15" hidden="false" customHeight="true" outlineLevel="0" collapsed="false">
      <c r="A479" s="1" t="n">
        <v>10478</v>
      </c>
      <c r="B479" s="14" t="n">
        <v>45039</v>
      </c>
      <c r="C479" s="1" t="n">
        <v>1348</v>
      </c>
      <c r="D479" s="1" t="s">
        <v>30</v>
      </c>
      <c r="E479" s="1" t="s">
        <v>28</v>
      </c>
      <c r="F479" s="1" t="n">
        <v>2</v>
      </c>
      <c r="G479" s="15" t="n">
        <v>47.15</v>
      </c>
      <c r="H479" s="16" t="n">
        <v>0.04</v>
      </c>
      <c r="I479" s="1" t="s">
        <v>33</v>
      </c>
      <c r="J479" s="1" t="n">
        <v>8</v>
      </c>
      <c r="K479" s="1" t="n">
        <v>3.1</v>
      </c>
      <c r="L479" s="15" t="n">
        <v>90.53</v>
      </c>
      <c r="M479" s="15" t="n">
        <f aca="false">F479*G479</f>
        <v>94.3</v>
      </c>
      <c r="N479" s="15" t="n">
        <f aca="false">M479-L479</f>
        <v>3.77</v>
      </c>
      <c r="O479" s="1" t="n">
        <f aca="false">YEAR(B479)</f>
        <v>2023</v>
      </c>
      <c r="P479" s="1" t="n">
        <f aca="false">MONTH(B479)</f>
        <v>4</v>
      </c>
      <c r="Q479" s="1" t="str">
        <f aca="false">TEXT(B479,"mmm")</f>
        <v>Apr</v>
      </c>
      <c r="R479" s="1" t="str">
        <f aca="false">"Q"&amp;ROUNDUP(MONTH(B479)/3,0)</f>
        <v>Q2</v>
      </c>
    </row>
    <row r="480" customFormat="false" ht="15" hidden="false" customHeight="true" outlineLevel="0" collapsed="false">
      <c r="A480" s="1" t="n">
        <v>10479</v>
      </c>
      <c r="B480" s="14" t="n">
        <v>45040</v>
      </c>
      <c r="C480" s="1" t="n">
        <v>1496</v>
      </c>
      <c r="D480" s="1" t="s">
        <v>34</v>
      </c>
      <c r="E480" s="1" t="s">
        <v>35</v>
      </c>
      <c r="F480" s="1" t="n">
        <v>6</v>
      </c>
      <c r="G480" s="15" t="n">
        <v>118.32</v>
      </c>
      <c r="H480" s="16" t="n">
        <v>0.21</v>
      </c>
      <c r="I480" s="1" t="s">
        <v>31</v>
      </c>
      <c r="J480" s="1" t="n">
        <v>10</v>
      </c>
      <c r="K480" s="1" t="n">
        <v>4.1</v>
      </c>
      <c r="L480" s="15" t="n">
        <v>560.84</v>
      </c>
      <c r="M480" s="15" t="n">
        <f aca="false">F480*G480</f>
        <v>709.92</v>
      </c>
      <c r="N480" s="15" t="n">
        <f aca="false">M480-L480</f>
        <v>149.08</v>
      </c>
      <c r="O480" s="1" t="n">
        <f aca="false">YEAR(B480)</f>
        <v>2023</v>
      </c>
      <c r="P480" s="1" t="n">
        <f aca="false">MONTH(B480)</f>
        <v>4</v>
      </c>
      <c r="Q480" s="1" t="str">
        <f aca="false">TEXT(B480,"mmm")</f>
        <v>Apr</v>
      </c>
      <c r="R480" s="1" t="str">
        <f aca="false">"Q"&amp;ROUNDUP(MONTH(B480)/3,0)</f>
        <v>Q2</v>
      </c>
    </row>
    <row r="481" customFormat="false" ht="15" hidden="false" customHeight="true" outlineLevel="0" collapsed="false">
      <c r="A481" s="1" t="n">
        <v>10480</v>
      </c>
      <c r="B481" s="14" t="n">
        <v>45041</v>
      </c>
      <c r="C481" s="1" t="n">
        <v>1301</v>
      </c>
      <c r="D481" s="1" t="s">
        <v>30</v>
      </c>
      <c r="E481" s="1" t="s">
        <v>32</v>
      </c>
      <c r="F481" s="1" t="n">
        <v>1</v>
      </c>
      <c r="G481" s="15" t="n">
        <v>336</v>
      </c>
      <c r="H481" s="16" t="n">
        <v>0.13</v>
      </c>
      <c r="I481" s="1" t="s">
        <v>31</v>
      </c>
      <c r="J481" s="1" t="n">
        <v>5</v>
      </c>
      <c r="K481" s="1" t="n">
        <v>3.1</v>
      </c>
      <c r="L481" s="15" t="n">
        <v>292.32</v>
      </c>
      <c r="M481" s="15" t="n">
        <f aca="false">F481*G481</f>
        <v>336</v>
      </c>
      <c r="N481" s="15" t="n">
        <f aca="false">M481-L481</f>
        <v>43.68</v>
      </c>
      <c r="O481" s="1" t="n">
        <f aca="false">YEAR(B481)</f>
        <v>2023</v>
      </c>
      <c r="P481" s="1" t="n">
        <f aca="false">MONTH(B481)</f>
        <v>4</v>
      </c>
      <c r="Q481" s="1" t="str">
        <f aca="false">TEXT(B481,"mmm")</f>
        <v>Apr</v>
      </c>
      <c r="R481" s="1" t="str">
        <f aca="false">"Q"&amp;ROUNDUP(MONTH(B481)/3,0)</f>
        <v>Q2</v>
      </c>
    </row>
    <row r="482" customFormat="false" ht="15" hidden="false" customHeight="true" outlineLevel="0" collapsed="false">
      <c r="A482" s="1" t="n">
        <v>10481</v>
      </c>
      <c r="B482" s="14" t="n">
        <v>45042</v>
      </c>
      <c r="C482" s="1" t="n">
        <v>1180</v>
      </c>
      <c r="D482" s="1" t="s">
        <v>34</v>
      </c>
      <c r="E482" s="1" t="s">
        <v>32</v>
      </c>
      <c r="F482" s="1" t="n">
        <v>6</v>
      </c>
      <c r="G482" s="15" t="n">
        <v>296.42</v>
      </c>
      <c r="H482" s="16" t="n">
        <v>0.12</v>
      </c>
      <c r="I482" s="1" t="s">
        <v>31</v>
      </c>
      <c r="J482" s="1" t="n">
        <v>4</v>
      </c>
      <c r="K482" s="1" t="n">
        <v>3.4</v>
      </c>
      <c r="L482" s="15" t="n">
        <v>1565.1</v>
      </c>
      <c r="M482" s="15" t="n">
        <f aca="false">F482*G482</f>
        <v>1778.52</v>
      </c>
      <c r="N482" s="15" t="n">
        <f aca="false">M482-L482</f>
        <v>213.42</v>
      </c>
      <c r="O482" s="1" t="n">
        <f aca="false">YEAR(B482)</f>
        <v>2023</v>
      </c>
      <c r="P482" s="1" t="n">
        <f aca="false">MONTH(B482)</f>
        <v>4</v>
      </c>
      <c r="Q482" s="1" t="str">
        <f aca="false">TEXT(B482,"mmm")</f>
        <v>Apr</v>
      </c>
      <c r="R482" s="1" t="str">
        <f aca="false">"Q"&amp;ROUNDUP(MONTH(B482)/3,0)</f>
        <v>Q2</v>
      </c>
    </row>
    <row r="483" customFormat="false" ht="15" hidden="false" customHeight="true" outlineLevel="0" collapsed="false">
      <c r="A483" s="1" t="n">
        <v>10482</v>
      </c>
      <c r="B483" s="14" t="n">
        <v>45043</v>
      </c>
      <c r="C483" s="1" t="n">
        <v>1606</v>
      </c>
      <c r="D483" s="1" t="s">
        <v>34</v>
      </c>
      <c r="E483" s="1" t="s">
        <v>28</v>
      </c>
      <c r="F483" s="1" t="n">
        <v>1</v>
      </c>
      <c r="G483" s="15" t="n">
        <v>41.82</v>
      </c>
      <c r="H483" s="16" t="n">
        <v>0.29</v>
      </c>
      <c r="I483" s="1" t="s">
        <v>33</v>
      </c>
      <c r="J483" s="1" t="n">
        <v>6</v>
      </c>
      <c r="K483" s="1" t="n">
        <v>4</v>
      </c>
      <c r="L483" s="15" t="n">
        <v>29.69</v>
      </c>
      <c r="M483" s="15" t="n">
        <f aca="false">F483*G483</f>
        <v>41.82</v>
      </c>
      <c r="N483" s="15" t="n">
        <f aca="false">M483-L483</f>
        <v>12.13</v>
      </c>
      <c r="O483" s="1" t="n">
        <f aca="false">YEAR(B483)</f>
        <v>2023</v>
      </c>
      <c r="P483" s="1" t="n">
        <f aca="false">MONTH(B483)</f>
        <v>4</v>
      </c>
      <c r="Q483" s="1" t="str">
        <f aca="false">TEXT(B483,"mmm")</f>
        <v>Apr</v>
      </c>
      <c r="R483" s="1" t="str">
        <f aca="false">"Q"&amp;ROUNDUP(MONTH(B483)/3,0)</f>
        <v>Q2</v>
      </c>
    </row>
    <row r="484" customFormat="false" ht="15" hidden="false" customHeight="true" outlineLevel="0" collapsed="false">
      <c r="A484" s="1" t="n">
        <v>10483</v>
      </c>
      <c r="B484" s="14" t="n">
        <v>45044</v>
      </c>
      <c r="C484" s="1" t="n">
        <v>1098</v>
      </c>
      <c r="D484" s="1" t="s">
        <v>30</v>
      </c>
      <c r="E484" s="1" t="s">
        <v>36</v>
      </c>
      <c r="F484" s="1" t="n">
        <v>2</v>
      </c>
      <c r="G484" s="15" t="n">
        <v>19.24</v>
      </c>
      <c r="H484" s="16" t="n">
        <v>0</v>
      </c>
      <c r="I484" s="1" t="s">
        <v>31</v>
      </c>
      <c r="J484" s="1" t="n">
        <v>11</v>
      </c>
      <c r="K484" s="1" t="n">
        <v>1.4</v>
      </c>
      <c r="L484" s="15" t="n">
        <v>38.48</v>
      </c>
      <c r="M484" s="15" t="n">
        <f aca="false">F484*G484</f>
        <v>38.48</v>
      </c>
      <c r="N484" s="15" t="n">
        <f aca="false">M484-L484</f>
        <v>0</v>
      </c>
      <c r="O484" s="1" t="n">
        <f aca="false">YEAR(B484)</f>
        <v>2023</v>
      </c>
      <c r="P484" s="1" t="n">
        <f aca="false">MONTH(B484)</f>
        <v>4</v>
      </c>
      <c r="Q484" s="1" t="str">
        <f aca="false">TEXT(B484,"mmm")</f>
        <v>Apr</v>
      </c>
      <c r="R484" s="1" t="str">
        <f aca="false">"Q"&amp;ROUNDUP(MONTH(B484)/3,0)</f>
        <v>Q2</v>
      </c>
    </row>
    <row r="485" customFormat="false" ht="15" hidden="false" customHeight="true" outlineLevel="0" collapsed="false">
      <c r="A485" s="1" t="n">
        <v>10484</v>
      </c>
      <c r="B485" s="14" t="n">
        <v>45045</v>
      </c>
      <c r="C485" s="1" t="n">
        <v>1699</v>
      </c>
      <c r="D485" s="1" t="s">
        <v>34</v>
      </c>
      <c r="E485" s="1" t="s">
        <v>32</v>
      </c>
      <c r="F485" s="1" t="n">
        <v>4</v>
      </c>
      <c r="G485" s="15" t="n">
        <v>593.02</v>
      </c>
      <c r="H485" s="16" t="n">
        <v>0.28</v>
      </c>
      <c r="I485" s="1" t="s">
        <v>33</v>
      </c>
      <c r="J485" s="1" t="n">
        <v>5</v>
      </c>
      <c r="K485" s="1" t="n">
        <v>4.9</v>
      </c>
      <c r="L485" s="15" t="n">
        <v>1707.9</v>
      </c>
      <c r="M485" s="15" t="n">
        <f aca="false">F485*G485</f>
        <v>2372.08</v>
      </c>
      <c r="N485" s="15" t="n">
        <f aca="false">M485-L485</f>
        <v>664.18</v>
      </c>
      <c r="O485" s="1" t="n">
        <f aca="false">YEAR(B485)</f>
        <v>2023</v>
      </c>
      <c r="P485" s="1" t="n">
        <f aca="false">MONTH(B485)</f>
        <v>4</v>
      </c>
      <c r="Q485" s="1" t="str">
        <f aca="false">TEXT(B485,"mmm")</f>
        <v>Apr</v>
      </c>
      <c r="R485" s="1" t="str">
        <f aca="false">"Q"&amp;ROUNDUP(MONTH(B485)/3,0)</f>
        <v>Q2</v>
      </c>
    </row>
    <row r="486" customFormat="false" ht="15" hidden="false" customHeight="true" outlineLevel="0" collapsed="false">
      <c r="A486" s="1" t="n">
        <v>10485</v>
      </c>
      <c r="B486" s="14" t="n">
        <v>45046</v>
      </c>
      <c r="C486" s="1" t="n">
        <v>1992</v>
      </c>
      <c r="D486" s="1" t="s">
        <v>34</v>
      </c>
      <c r="E486" s="1" t="s">
        <v>36</v>
      </c>
      <c r="F486" s="1" t="n">
        <v>1</v>
      </c>
      <c r="G486" s="15" t="n">
        <v>400.42</v>
      </c>
      <c r="H486" s="16" t="n">
        <v>0.2</v>
      </c>
      <c r="I486" s="1" t="s">
        <v>33</v>
      </c>
      <c r="J486" s="1" t="n">
        <v>6</v>
      </c>
      <c r="K486" s="1" t="n">
        <v>4.4</v>
      </c>
      <c r="L486" s="15" t="n">
        <v>320.34</v>
      </c>
      <c r="M486" s="15" t="n">
        <f aca="false">F486*G486</f>
        <v>400.42</v>
      </c>
      <c r="N486" s="15" t="n">
        <f aca="false">M486-L486</f>
        <v>80.08</v>
      </c>
      <c r="O486" s="1" t="n">
        <f aca="false">YEAR(B486)</f>
        <v>2023</v>
      </c>
      <c r="P486" s="1" t="n">
        <f aca="false">MONTH(B486)</f>
        <v>4</v>
      </c>
      <c r="Q486" s="1" t="str">
        <f aca="false">TEXT(B486,"mmm")</f>
        <v>Apr</v>
      </c>
      <c r="R486" s="1" t="str">
        <f aca="false">"Q"&amp;ROUNDUP(MONTH(B486)/3,0)</f>
        <v>Q2</v>
      </c>
    </row>
    <row r="487" customFormat="false" ht="15" hidden="false" customHeight="true" outlineLevel="0" collapsed="false">
      <c r="A487" s="1" t="n">
        <v>10486</v>
      </c>
      <c r="B487" s="14" t="n">
        <v>45047</v>
      </c>
      <c r="C487" s="1" t="n">
        <v>1115</v>
      </c>
      <c r="D487" s="1" t="s">
        <v>37</v>
      </c>
      <c r="E487" s="1" t="s">
        <v>32</v>
      </c>
      <c r="F487" s="1" t="n">
        <v>2</v>
      </c>
      <c r="G487" s="15" t="n">
        <v>228.76</v>
      </c>
      <c r="H487" s="16" t="n">
        <v>0.35</v>
      </c>
      <c r="I487" s="1" t="s">
        <v>33</v>
      </c>
      <c r="J487" s="1" t="n">
        <v>10</v>
      </c>
      <c r="K487" s="1" t="n">
        <v>2.6</v>
      </c>
      <c r="L487" s="15" t="n">
        <v>297.39</v>
      </c>
      <c r="M487" s="15" t="n">
        <f aca="false">F487*G487</f>
        <v>457.52</v>
      </c>
      <c r="N487" s="15" t="n">
        <f aca="false">M487-L487</f>
        <v>160.13</v>
      </c>
      <c r="O487" s="1" t="n">
        <f aca="false">YEAR(B487)</f>
        <v>2023</v>
      </c>
      <c r="P487" s="1" t="n">
        <f aca="false">MONTH(B487)</f>
        <v>5</v>
      </c>
      <c r="Q487" s="1" t="str">
        <f aca="false">TEXT(B487,"mmm")</f>
        <v>May</v>
      </c>
      <c r="R487" s="1" t="str">
        <f aca="false">"Q"&amp;ROUNDUP(MONTH(B487)/3,0)</f>
        <v>Q2</v>
      </c>
    </row>
    <row r="488" customFormat="false" ht="15" hidden="false" customHeight="true" outlineLevel="0" collapsed="false">
      <c r="A488" s="1" t="n">
        <v>10487</v>
      </c>
      <c r="B488" s="14" t="n">
        <v>45048</v>
      </c>
      <c r="C488" s="1" t="n">
        <v>1190</v>
      </c>
      <c r="D488" s="1" t="s">
        <v>27</v>
      </c>
      <c r="E488" s="1" t="s">
        <v>35</v>
      </c>
      <c r="F488" s="1" t="n">
        <v>6</v>
      </c>
      <c r="G488" s="15" t="n">
        <v>290.2</v>
      </c>
      <c r="H488" s="16" t="n">
        <v>0.21</v>
      </c>
      <c r="I488" s="1" t="s">
        <v>29</v>
      </c>
      <c r="J488" s="1" t="n">
        <v>11</v>
      </c>
      <c r="K488" s="1" t="n">
        <v>3.9</v>
      </c>
      <c r="L488" s="15" t="n">
        <v>1375.55</v>
      </c>
      <c r="M488" s="15" t="n">
        <f aca="false">F488*G488</f>
        <v>1741.2</v>
      </c>
      <c r="N488" s="15" t="n">
        <f aca="false">M488-L488</f>
        <v>365.65</v>
      </c>
      <c r="O488" s="1" t="n">
        <f aca="false">YEAR(B488)</f>
        <v>2023</v>
      </c>
      <c r="P488" s="1" t="n">
        <f aca="false">MONTH(B488)</f>
        <v>5</v>
      </c>
      <c r="Q488" s="1" t="str">
        <f aca="false">TEXT(B488,"mmm")</f>
        <v>May</v>
      </c>
      <c r="R488" s="1" t="str">
        <f aca="false">"Q"&amp;ROUNDUP(MONTH(B488)/3,0)</f>
        <v>Q2</v>
      </c>
    </row>
    <row r="489" customFormat="false" ht="15" hidden="false" customHeight="true" outlineLevel="0" collapsed="false">
      <c r="A489" s="1" t="n">
        <v>10488</v>
      </c>
      <c r="B489" s="14" t="n">
        <v>45049</v>
      </c>
      <c r="C489" s="1" t="n">
        <v>1252</v>
      </c>
      <c r="D489" s="1" t="s">
        <v>30</v>
      </c>
      <c r="E489" s="1" t="s">
        <v>28</v>
      </c>
      <c r="F489" s="1" t="n">
        <v>2</v>
      </c>
      <c r="G489" s="15" t="n">
        <v>170.93</v>
      </c>
      <c r="H489" s="16" t="n">
        <v>0.02</v>
      </c>
      <c r="I489" s="1" t="s">
        <v>33</v>
      </c>
      <c r="J489" s="1" t="n">
        <v>3</v>
      </c>
      <c r="K489" s="1" t="n">
        <v>4</v>
      </c>
      <c r="L489" s="15" t="n">
        <v>335.02</v>
      </c>
      <c r="M489" s="15" t="n">
        <f aca="false">F489*G489</f>
        <v>341.86</v>
      </c>
      <c r="N489" s="15" t="n">
        <f aca="false">M489-L489</f>
        <v>6.84000000000003</v>
      </c>
      <c r="O489" s="1" t="n">
        <f aca="false">YEAR(B489)</f>
        <v>2023</v>
      </c>
      <c r="P489" s="1" t="n">
        <f aca="false">MONTH(B489)</f>
        <v>5</v>
      </c>
      <c r="Q489" s="1" t="str">
        <f aca="false">TEXT(B489,"mmm")</f>
        <v>May</v>
      </c>
      <c r="R489" s="1" t="str">
        <f aca="false">"Q"&amp;ROUNDUP(MONTH(B489)/3,0)</f>
        <v>Q2</v>
      </c>
    </row>
    <row r="490" customFormat="false" ht="15" hidden="false" customHeight="true" outlineLevel="0" collapsed="false">
      <c r="A490" s="1" t="n">
        <v>10489</v>
      </c>
      <c r="B490" s="14" t="n">
        <v>45050</v>
      </c>
      <c r="C490" s="1" t="n">
        <v>1980</v>
      </c>
      <c r="D490" s="1" t="s">
        <v>34</v>
      </c>
      <c r="E490" s="1" t="s">
        <v>36</v>
      </c>
      <c r="F490" s="1" t="n">
        <v>6</v>
      </c>
      <c r="G490" s="15" t="n">
        <v>216.75</v>
      </c>
      <c r="H490" s="16" t="n">
        <v>0.02</v>
      </c>
      <c r="I490" s="1" t="s">
        <v>31</v>
      </c>
      <c r="J490" s="1" t="n">
        <v>7</v>
      </c>
      <c r="K490" s="1" t="n">
        <v>4.4</v>
      </c>
      <c r="L490" s="15" t="n">
        <v>1274.49</v>
      </c>
      <c r="M490" s="15" t="n">
        <f aca="false">F490*G490</f>
        <v>1300.5</v>
      </c>
      <c r="N490" s="15" t="n">
        <f aca="false">M490-L490</f>
        <v>26.01</v>
      </c>
      <c r="O490" s="1" t="n">
        <f aca="false">YEAR(B490)</f>
        <v>2023</v>
      </c>
      <c r="P490" s="1" t="n">
        <f aca="false">MONTH(B490)</f>
        <v>5</v>
      </c>
      <c r="Q490" s="1" t="str">
        <f aca="false">TEXT(B490,"mmm")</f>
        <v>May</v>
      </c>
      <c r="R490" s="1" t="str">
        <f aca="false">"Q"&amp;ROUNDUP(MONTH(B490)/3,0)</f>
        <v>Q2</v>
      </c>
    </row>
    <row r="491" customFormat="false" ht="15" hidden="false" customHeight="true" outlineLevel="0" collapsed="false">
      <c r="A491" s="1" t="n">
        <v>10490</v>
      </c>
      <c r="B491" s="14" t="n">
        <v>45051</v>
      </c>
      <c r="C491" s="1" t="n">
        <v>1927</v>
      </c>
      <c r="D491" s="1" t="s">
        <v>34</v>
      </c>
      <c r="E491" s="1" t="s">
        <v>36</v>
      </c>
      <c r="F491" s="1" t="n">
        <v>7</v>
      </c>
      <c r="G491" s="15" t="n">
        <v>394.69</v>
      </c>
      <c r="H491" s="16" t="n">
        <v>0.31</v>
      </c>
      <c r="I491" s="1" t="s">
        <v>33</v>
      </c>
      <c r="J491" s="1" t="n">
        <v>8</v>
      </c>
      <c r="K491" s="1" t="n">
        <v>1.8</v>
      </c>
      <c r="L491" s="15" t="n">
        <v>1906.35</v>
      </c>
      <c r="M491" s="15" t="n">
        <f aca="false">F491*G491</f>
        <v>2762.83</v>
      </c>
      <c r="N491" s="15" t="n">
        <f aca="false">M491-L491</f>
        <v>856.48</v>
      </c>
      <c r="O491" s="1" t="n">
        <f aca="false">YEAR(B491)</f>
        <v>2023</v>
      </c>
      <c r="P491" s="1" t="n">
        <f aca="false">MONTH(B491)</f>
        <v>5</v>
      </c>
      <c r="Q491" s="1" t="str">
        <f aca="false">TEXT(B491,"mmm")</f>
        <v>May</v>
      </c>
      <c r="R491" s="1" t="str">
        <f aca="false">"Q"&amp;ROUNDUP(MONTH(B491)/3,0)</f>
        <v>Q2</v>
      </c>
    </row>
    <row r="492" customFormat="false" ht="15" hidden="false" customHeight="true" outlineLevel="0" collapsed="false">
      <c r="A492" s="1" t="n">
        <v>10491</v>
      </c>
      <c r="B492" s="14" t="n">
        <v>45052</v>
      </c>
      <c r="C492" s="1" t="n">
        <v>1982</v>
      </c>
      <c r="D492" s="1" t="s">
        <v>27</v>
      </c>
      <c r="E492" s="1" t="s">
        <v>35</v>
      </c>
      <c r="F492" s="1" t="n">
        <v>2</v>
      </c>
      <c r="G492" s="15" t="n">
        <v>531.44</v>
      </c>
      <c r="H492" s="16" t="n">
        <v>0.29</v>
      </c>
      <c r="I492" s="1" t="s">
        <v>33</v>
      </c>
      <c r="J492" s="1" t="n">
        <v>5</v>
      </c>
      <c r="K492" s="1" t="n">
        <v>3.8</v>
      </c>
      <c r="L492" s="15" t="n">
        <v>754.64</v>
      </c>
      <c r="M492" s="15" t="n">
        <f aca="false">F492*G492</f>
        <v>1062.88</v>
      </c>
      <c r="N492" s="15" t="n">
        <f aca="false">M492-L492</f>
        <v>308.24</v>
      </c>
      <c r="O492" s="1" t="n">
        <f aca="false">YEAR(B492)</f>
        <v>2023</v>
      </c>
      <c r="P492" s="1" t="n">
        <f aca="false">MONTH(B492)</f>
        <v>5</v>
      </c>
      <c r="Q492" s="1" t="str">
        <f aca="false">TEXT(B492,"mmm")</f>
        <v>May</v>
      </c>
      <c r="R492" s="1" t="str">
        <f aca="false">"Q"&amp;ROUNDUP(MONTH(B492)/3,0)</f>
        <v>Q2</v>
      </c>
    </row>
    <row r="493" customFormat="false" ht="15" hidden="false" customHeight="true" outlineLevel="0" collapsed="false">
      <c r="A493" s="1" t="n">
        <v>10492</v>
      </c>
      <c r="B493" s="14" t="n">
        <v>45053</v>
      </c>
      <c r="C493" s="1" t="n">
        <v>1160</v>
      </c>
      <c r="D493" s="1" t="s">
        <v>34</v>
      </c>
      <c r="E493" s="1" t="s">
        <v>32</v>
      </c>
      <c r="F493" s="1" t="n">
        <v>4</v>
      </c>
      <c r="G493" s="15" t="n">
        <v>122.72</v>
      </c>
      <c r="H493" s="16" t="n">
        <v>0.12</v>
      </c>
      <c r="I493" s="1" t="s">
        <v>31</v>
      </c>
      <c r="J493" s="1" t="n">
        <v>5</v>
      </c>
      <c r="K493" s="1" t="n">
        <v>1.1</v>
      </c>
      <c r="L493" s="15" t="n">
        <v>431.97</v>
      </c>
      <c r="M493" s="15" t="n">
        <f aca="false">F493*G493</f>
        <v>490.88</v>
      </c>
      <c r="N493" s="15" t="n">
        <f aca="false">M493-L493</f>
        <v>58.91</v>
      </c>
      <c r="O493" s="1" t="n">
        <f aca="false">YEAR(B493)</f>
        <v>2023</v>
      </c>
      <c r="P493" s="1" t="n">
        <f aca="false">MONTH(B493)</f>
        <v>5</v>
      </c>
      <c r="Q493" s="1" t="str">
        <f aca="false">TEXT(B493,"mmm")</f>
        <v>May</v>
      </c>
      <c r="R493" s="1" t="str">
        <f aca="false">"Q"&amp;ROUNDUP(MONTH(B493)/3,0)</f>
        <v>Q2</v>
      </c>
    </row>
    <row r="494" customFormat="false" ht="15" hidden="false" customHeight="true" outlineLevel="0" collapsed="false">
      <c r="A494" s="1" t="n">
        <v>10493</v>
      </c>
      <c r="B494" s="14" t="n">
        <v>45054</v>
      </c>
      <c r="C494" s="1" t="n">
        <v>1255</v>
      </c>
      <c r="D494" s="1" t="s">
        <v>34</v>
      </c>
      <c r="E494" s="1" t="s">
        <v>36</v>
      </c>
      <c r="F494" s="1" t="n">
        <v>1</v>
      </c>
      <c r="G494" s="15" t="n">
        <v>506.61</v>
      </c>
      <c r="H494" s="16" t="n">
        <v>0.22</v>
      </c>
      <c r="I494" s="1" t="s">
        <v>33</v>
      </c>
      <c r="J494" s="1" t="n">
        <v>4</v>
      </c>
      <c r="K494" s="1" t="n">
        <v>1.5</v>
      </c>
      <c r="L494" s="15" t="n">
        <v>395.16</v>
      </c>
      <c r="M494" s="15" t="n">
        <f aca="false">F494*G494</f>
        <v>506.61</v>
      </c>
      <c r="N494" s="15" t="n">
        <f aca="false">M494-L494</f>
        <v>111.45</v>
      </c>
      <c r="O494" s="1" t="n">
        <f aca="false">YEAR(B494)</f>
        <v>2023</v>
      </c>
      <c r="P494" s="1" t="n">
        <f aca="false">MONTH(B494)</f>
        <v>5</v>
      </c>
      <c r="Q494" s="1" t="str">
        <f aca="false">TEXT(B494,"mmm")</f>
        <v>May</v>
      </c>
      <c r="R494" s="1" t="str">
        <f aca="false">"Q"&amp;ROUNDUP(MONTH(B494)/3,0)</f>
        <v>Q2</v>
      </c>
    </row>
    <row r="495" customFormat="false" ht="15" hidden="false" customHeight="true" outlineLevel="0" collapsed="false">
      <c r="A495" s="1" t="n">
        <v>10494</v>
      </c>
      <c r="B495" s="14" t="n">
        <v>45055</v>
      </c>
      <c r="C495" s="1" t="n">
        <v>1322</v>
      </c>
      <c r="D495" s="1" t="s">
        <v>30</v>
      </c>
      <c r="E495" s="1" t="s">
        <v>32</v>
      </c>
      <c r="F495" s="1" t="n">
        <v>7</v>
      </c>
      <c r="G495" s="15" t="n">
        <v>86.11</v>
      </c>
      <c r="H495" s="16" t="n">
        <v>0.17</v>
      </c>
      <c r="I495" s="1" t="s">
        <v>31</v>
      </c>
      <c r="J495" s="1" t="n">
        <v>10</v>
      </c>
      <c r="K495" s="1" t="n">
        <v>4.1</v>
      </c>
      <c r="L495" s="15" t="n">
        <v>500.3</v>
      </c>
      <c r="M495" s="15" t="n">
        <f aca="false">F495*G495</f>
        <v>602.77</v>
      </c>
      <c r="N495" s="15" t="n">
        <f aca="false">M495-L495</f>
        <v>102.47</v>
      </c>
      <c r="O495" s="1" t="n">
        <f aca="false">YEAR(B495)</f>
        <v>2023</v>
      </c>
      <c r="P495" s="1" t="n">
        <f aca="false">MONTH(B495)</f>
        <v>5</v>
      </c>
      <c r="Q495" s="1" t="str">
        <f aca="false">TEXT(B495,"mmm")</f>
        <v>May</v>
      </c>
      <c r="R495" s="1" t="str">
        <f aca="false">"Q"&amp;ROUNDUP(MONTH(B495)/3,0)</f>
        <v>Q2</v>
      </c>
    </row>
    <row r="496" customFormat="false" ht="15" hidden="false" customHeight="true" outlineLevel="0" collapsed="false">
      <c r="A496" s="1" t="n">
        <v>10495</v>
      </c>
      <c r="B496" s="14" t="n">
        <v>45056</v>
      </c>
      <c r="C496" s="1" t="n">
        <v>1127</v>
      </c>
      <c r="D496" s="1" t="s">
        <v>30</v>
      </c>
      <c r="E496" s="1" t="s">
        <v>35</v>
      </c>
      <c r="F496" s="1" t="n">
        <v>4</v>
      </c>
      <c r="G496" s="15" t="n">
        <v>140.77</v>
      </c>
      <c r="H496" s="16" t="n">
        <v>0.34</v>
      </c>
      <c r="I496" s="1" t="s">
        <v>31</v>
      </c>
      <c r="J496" s="1" t="n">
        <v>5</v>
      </c>
      <c r="K496" s="1" t="n">
        <v>4.3</v>
      </c>
      <c r="L496" s="15" t="n">
        <v>371.63</v>
      </c>
      <c r="M496" s="15" t="n">
        <f aca="false">F496*G496</f>
        <v>563.08</v>
      </c>
      <c r="N496" s="15" t="n">
        <f aca="false">M496-L496</f>
        <v>191.45</v>
      </c>
      <c r="O496" s="1" t="n">
        <f aca="false">YEAR(B496)</f>
        <v>2023</v>
      </c>
      <c r="P496" s="1" t="n">
        <f aca="false">MONTH(B496)</f>
        <v>5</v>
      </c>
      <c r="Q496" s="1" t="str">
        <f aca="false">TEXT(B496,"mmm")</f>
        <v>May</v>
      </c>
      <c r="R496" s="1" t="str">
        <f aca="false">"Q"&amp;ROUNDUP(MONTH(B496)/3,0)</f>
        <v>Q2</v>
      </c>
    </row>
    <row r="497" customFormat="false" ht="15" hidden="false" customHeight="true" outlineLevel="0" collapsed="false">
      <c r="A497" s="1" t="n">
        <v>10496</v>
      </c>
      <c r="B497" s="14" t="n">
        <v>45057</v>
      </c>
      <c r="C497" s="1" t="n">
        <v>1017</v>
      </c>
      <c r="D497" s="1" t="s">
        <v>30</v>
      </c>
      <c r="E497" s="1" t="s">
        <v>28</v>
      </c>
      <c r="F497" s="1" t="n">
        <v>3</v>
      </c>
      <c r="G497" s="15" t="n">
        <v>36.75</v>
      </c>
      <c r="H497" s="16" t="n">
        <v>0.33</v>
      </c>
      <c r="I497" s="1" t="s">
        <v>29</v>
      </c>
      <c r="J497" s="1" t="n">
        <v>10</v>
      </c>
      <c r="K497" s="1" t="n">
        <v>3.4</v>
      </c>
      <c r="L497" s="15" t="n">
        <v>73.87</v>
      </c>
      <c r="M497" s="15" t="n">
        <f aca="false">F497*G497</f>
        <v>110.25</v>
      </c>
      <c r="N497" s="15" t="n">
        <f aca="false">M497-L497</f>
        <v>36.38</v>
      </c>
      <c r="O497" s="1" t="n">
        <f aca="false">YEAR(B497)</f>
        <v>2023</v>
      </c>
      <c r="P497" s="1" t="n">
        <f aca="false">MONTH(B497)</f>
        <v>5</v>
      </c>
      <c r="Q497" s="1" t="str">
        <f aca="false">TEXT(B497,"mmm")</f>
        <v>May</v>
      </c>
      <c r="R497" s="1" t="str">
        <f aca="false">"Q"&amp;ROUNDUP(MONTH(B497)/3,0)</f>
        <v>Q2</v>
      </c>
    </row>
    <row r="498" customFormat="false" ht="15" hidden="false" customHeight="true" outlineLevel="0" collapsed="false">
      <c r="A498" s="1" t="n">
        <v>10497</v>
      </c>
      <c r="B498" s="14" t="n">
        <v>45058</v>
      </c>
      <c r="C498" s="1" t="n">
        <v>1792</v>
      </c>
      <c r="D498" s="1" t="s">
        <v>34</v>
      </c>
      <c r="E498" s="1" t="s">
        <v>36</v>
      </c>
      <c r="F498" s="1" t="n">
        <v>6</v>
      </c>
      <c r="G498" s="15" t="n">
        <v>97.37</v>
      </c>
      <c r="H498" s="16" t="n">
        <v>0.34</v>
      </c>
      <c r="I498" s="1" t="s">
        <v>29</v>
      </c>
      <c r="J498" s="1" t="n">
        <v>11</v>
      </c>
      <c r="K498" s="1" t="n">
        <v>3.3</v>
      </c>
      <c r="L498" s="15" t="n">
        <v>385.59</v>
      </c>
      <c r="M498" s="15" t="n">
        <f aca="false">F498*G498</f>
        <v>584.22</v>
      </c>
      <c r="N498" s="15" t="n">
        <f aca="false">M498-L498</f>
        <v>198.63</v>
      </c>
      <c r="O498" s="1" t="n">
        <f aca="false">YEAR(B498)</f>
        <v>2023</v>
      </c>
      <c r="P498" s="1" t="n">
        <f aca="false">MONTH(B498)</f>
        <v>5</v>
      </c>
      <c r="Q498" s="1" t="str">
        <f aca="false">TEXT(B498,"mmm")</f>
        <v>May</v>
      </c>
      <c r="R498" s="1" t="str">
        <f aca="false">"Q"&amp;ROUNDUP(MONTH(B498)/3,0)</f>
        <v>Q2</v>
      </c>
    </row>
    <row r="499" customFormat="false" ht="15" hidden="false" customHeight="true" outlineLevel="0" collapsed="false">
      <c r="A499" s="1" t="n">
        <v>10498</v>
      </c>
      <c r="B499" s="14" t="n">
        <v>45059</v>
      </c>
      <c r="C499" s="1" t="n">
        <v>1734</v>
      </c>
      <c r="D499" s="1" t="s">
        <v>34</v>
      </c>
      <c r="E499" s="1" t="s">
        <v>32</v>
      </c>
      <c r="F499" s="1" t="n">
        <v>1</v>
      </c>
      <c r="G499" s="15" t="n">
        <v>551.62</v>
      </c>
      <c r="H499" s="16" t="n">
        <v>0.3</v>
      </c>
      <c r="I499" s="1" t="s">
        <v>33</v>
      </c>
      <c r="J499" s="1" t="n">
        <v>8</v>
      </c>
      <c r="K499" s="1" t="n">
        <v>4</v>
      </c>
      <c r="L499" s="15" t="n">
        <v>386.13</v>
      </c>
      <c r="M499" s="15" t="n">
        <f aca="false">F499*G499</f>
        <v>551.62</v>
      </c>
      <c r="N499" s="15" t="n">
        <f aca="false">M499-L499</f>
        <v>165.49</v>
      </c>
      <c r="O499" s="1" t="n">
        <f aca="false">YEAR(B499)</f>
        <v>2023</v>
      </c>
      <c r="P499" s="1" t="n">
        <f aca="false">MONTH(B499)</f>
        <v>5</v>
      </c>
      <c r="Q499" s="1" t="str">
        <f aca="false">TEXT(B499,"mmm")</f>
        <v>May</v>
      </c>
      <c r="R499" s="1" t="str">
        <f aca="false">"Q"&amp;ROUNDUP(MONTH(B499)/3,0)</f>
        <v>Q2</v>
      </c>
    </row>
    <row r="500" customFormat="false" ht="15" hidden="false" customHeight="true" outlineLevel="0" collapsed="false">
      <c r="A500" s="1" t="n">
        <v>10499</v>
      </c>
      <c r="B500" s="14" t="n">
        <v>45060</v>
      </c>
      <c r="C500" s="1" t="n">
        <v>1565</v>
      </c>
      <c r="D500" s="1" t="s">
        <v>27</v>
      </c>
      <c r="E500" s="1" t="s">
        <v>36</v>
      </c>
      <c r="F500" s="1" t="n">
        <v>4</v>
      </c>
      <c r="G500" s="15" t="n">
        <v>283.77</v>
      </c>
      <c r="H500" s="16" t="n">
        <v>0.32</v>
      </c>
      <c r="I500" s="1" t="s">
        <v>33</v>
      </c>
      <c r="J500" s="1" t="n">
        <v>5</v>
      </c>
      <c r="K500" s="1" t="n">
        <v>4.6</v>
      </c>
      <c r="L500" s="15" t="n">
        <v>771.85</v>
      </c>
      <c r="M500" s="15" t="n">
        <f aca="false">F500*G500</f>
        <v>1135.08</v>
      </c>
      <c r="N500" s="15" t="n">
        <f aca="false">M500-L500</f>
        <v>363.23</v>
      </c>
      <c r="O500" s="1" t="n">
        <f aca="false">YEAR(B500)</f>
        <v>2023</v>
      </c>
      <c r="P500" s="1" t="n">
        <f aca="false">MONTH(B500)</f>
        <v>5</v>
      </c>
      <c r="Q500" s="1" t="str">
        <f aca="false">TEXT(B500,"mmm")</f>
        <v>May</v>
      </c>
      <c r="R500" s="1" t="str">
        <f aca="false">"Q"&amp;ROUNDUP(MONTH(B500)/3,0)</f>
        <v>Q2</v>
      </c>
    </row>
    <row r="501" customFormat="false" ht="15" hidden="false" customHeight="true" outlineLevel="0" collapsed="false">
      <c r="A501" s="1" t="n">
        <v>10500</v>
      </c>
      <c r="B501" s="14" t="n">
        <v>45061</v>
      </c>
      <c r="C501" s="1" t="n">
        <v>1569</v>
      </c>
      <c r="D501" s="1" t="s">
        <v>34</v>
      </c>
      <c r="E501" s="1" t="s">
        <v>32</v>
      </c>
      <c r="F501" s="1" t="n">
        <v>1</v>
      </c>
      <c r="G501" s="15" t="n">
        <v>60.43</v>
      </c>
      <c r="H501" s="16" t="n">
        <v>0.08</v>
      </c>
      <c r="I501" s="1" t="s">
        <v>29</v>
      </c>
      <c r="J501" s="1" t="n">
        <v>9</v>
      </c>
      <c r="K501" s="1" t="n">
        <v>2.7</v>
      </c>
      <c r="L501" s="15" t="n">
        <v>55.6</v>
      </c>
      <c r="M501" s="15" t="n">
        <f aca="false">F501*G501</f>
        <v>60.43</v>
      </c>
      <c r="N501" s="15" t="n">
        <f aca="false">M501-L501</f>
        <v>4.83</v>
      </c>
      <c r="O501" s="1" t="n">
        <f aca="false">YEAR(B501)</f>
        <v>2023</v>
      </c>
      <c r="P501" s="1" t="n">
        <f aca="false">MONTH(B501)</f>
        <v>5</v>
      </c>
      <c r="Q501" s="1" t="str">
        <f aca="false">TEXT(B501,"mmm")</f>
        <v>May</v>
      </c>
      <c r="R501" s="1" t="str">
        <f aca="false">"Q"&amp;ROUNDUP(MONTH(B501)/3,0)</f>
        <v>Q2</v>
      </c>
    </row>
    <row r="502" customFormat="false" ht="15" hidden="false" customHeight="true" outlineLevel="0" collapsed="false">
      <c r="A502" s="1" t="n">
        <v>10501</v>
      </c>
      <c r="B502" s="14" t="n">
        <v>45062</v>
      </c>
      <c r="C502" s="1" t="n">
        <v>1322</v>
      </c>
      <c r="D502" s="1" t="s">
        <v>37</v>
      </c>
      <c r="E502" s="1" t="s">
        <v>32</v>
      </c>
      <c r="F502" s="1" t="n">
        <v>3</v>
      </c>
      <c r="G502" s="15" t="n">
        <v>576.44</v>
      </c>
      <c r="H502" s="16" t="n">
        <v>0.29</v>
      </c>
      <c r="I502" s="1" t="s">
        <v>29</v>
      </c>
      <c r="J502" s="1" t="n">
        <v>1</v>
      </c>
      <c r="K502" s="1" t="n">
        <v>1.5</v>
      </c>
      <c r="L502" s="15" t="n">
        <v>1227.82</v>
      </c>
      <c r="M502" s="15" t="n">
        <f aca="false">F502*G502</f>
        <v>1729.32</v>
      </c>
      <c r="N502" s="15" t="n">
        <f aca="false">M502-L502</f>
        <v>501.5</v>
      </c>
      <c r="O502" s="1" t="n">
        <f aca="false">YEAR(B502)</f>
        <v>2023</v>
      </c>
      <c r="P502" s="1" t="n">
        <f aca="false">MONTH(B502)</f>
        <v>5</v>
      </c>
      <c r="Q502" s="1" t="str">
        <f aca="false">TEXT(B502,"mmm")</f>
        <v>May</v>
      </c>
      <c r="R502" s="1" t="str">
        <f aca="false">"Q"&amp;ROUNDUP(MONTH(B502)/3,0)</f>
        <v>Q2</v>
      </c>
    </row>
    <row r="503" customFormat="false" ht="15" hidden="false" customHeight="true" outlineLevel="0" collapsed="false">
      <c r="A503" s="1" t="n">
        <v>10502</v>
      </c>
      <c r="B503" s="14" t="n">
        <v>45063</v>
      </c>
      <c r="C503" s="1" t="n">
        <v>1871</v>
      </c>
      <c r="D503" s="1" t="s">
        <v>37</v>
      </c>
      <c r="E503" s="1" t="s">
        <v>32</v>
      </c>
      <c r="F503" s="1" t="n">
        <v>5</v>
      </c>
      <c r="G503" s="15" t="n">
        <v>529.21</v>
      </c>
      <c r="H503" s="16" t="n">
        <v>0.25</v>
      </c>
      <c r="I503" s="1" t="s">
        <v>33</v>
      </c>
      <c r="J503" s="1" t="n">
        <v>7</v>
      </c>
      <c r="K503" s="1" t="n">
        <v>4.4</v>
      </c>
      <c r="L503" s="15" t="n">
        <v>1984.54</v>
      </c>
      <c r="M503" s="15" t="n">
        <f aca="false">F503*G503</f>
        <v>2646.05</v>
      </c>
      <c r="N503" s="15" t="n">
        <f aca="false">M503-L503</f>
        <v>661.51</v>
      </c>
      <c r="O503" s="1" t="n">
        <f aca="false">YEAR(B503)</f>
        <v>2023</v>
      </c>
      <c r="P503" s="1" t="n">
        <f aca="false">MONTH(B503)</f>
        <v>5</v>
      </c>
      <c r="Q503" s="1" t="str">
        <f aca="false">TEXT(B503,"mmm")</f>
        <v>May</v>
      </c>
      <c r="R503" s="1" t="str">
        <f aca="false">"Q"&amp;ROUNDUP(MONTH(B503)/3,0)</f>
        <v>Q2</v>
      </c>
    </row>
    <row r="504" customFormat="false" ht="15" hidden="false" customHeight="true" outlineLevel="0" collapsed="false">
      <c r="A504" s="1" t="n">
        <v>10503</v>
      </c>
      <c r="B504" s="14" t="n">
        <v>45064</v>
      </c>
      <c r="C504" s="1" t="n">
        <v>1685</v>
      </c>
      <c r="D504" s="1" t="s">
        <v>30</v>
      </c>
      <c r="E504" s="1" t="s">
        <v>35</v>
      </c>
      <c r="F504" s="1" t="n">
        <v>6</v>
      </c>
      <c r="G504" s="15" t="n">
        <v>456.49</v>
      </c>
      <c r="H504" s="16" t="n">
        <v>0.34</v>
      </c>
      <c r="I504" s="1" t="s">
        <v>33</v>
      </c>
      <c r="J504" s="1" t="n">
        <v>5</v>
      </c>
      <c r="K504" s="1" t="n">
        <v>2.4</v>
      </c>
      <c r="L504" s="15" t="n">
        <v>1807.7</v>
      </c>
      <c r="M504" s="15" t="n">
        <f aca="false">F504*G504</f>
        <v>2738.94</v>
      </c>
      <c r="N504" s="15" t="n">
        <f aca="false">M504-L504</f>
        <v>931.24</v>
      </c>
      <c r="O504" s="1" t="n">
        <f aca="false">YEAR(B504)</f>
        <v>2023</v>
      </c>
      <c r="P504" s="1" t="n">
        <f aca="false">MONTH(B504)</f>
        <v>5</v>
      </c>
      <c r="Q504" s="1" t="str">
        <f aca="false">TEXT(B504,"mmm")</f>
        <v>May</v>
      </c>
      <c r="R504" s="1" t="str">
        <f aca="false">"Q"&amp;ROUNDUP(MONTH(B504)/3,0)</f>
        <v>Q2</v>
      </c>
    </row>
    <row r="505" customFormat="false" ht="15" hidden="false" customHeight="true" outlineLevel="0" collapsed="false">
      <c r="A505" s="1" t="n">
        <v>10504</v>
      </c>
      <c r="B505" s="14" t="n">
        <v>45065</v>
      </c>
      <c r="C505" s="1" t="n">
        <v>1791</v>
      </c>
      <c r="D505" s="1" t="s">
        <v>34</v>
      </c>
      <c r="E505" s="1" t="s">
        <v>28</v>
      </c>
      <c r="F505" s="1" t="n">
        <v>6</v>
      </c>
      <c r="G505" s="15" t="n">
        <v>561.08</v>
      </c>
      <c r="H505" s="16" t="n">
        <v>0.2</v>
      </c>
      <c r="I505" s="1" t="s">
        <v>31</v>
      </c>
      <c r="J505" s="1" t="n">
        <v>4</v>
      </c>
      <c r="K505" s="1" t="n">
        <v>1.5</v>
      </c>
      <c r="L505" s="15" t="n">
        <v>2693.18</v>
      </c>
      <c r="M505" s="15" t="n">
        <f aca="false">F505*G505</f>
        <v>3366.48</v>
      </c>
      <c r="N505" s="15" t="n">
        <f aca="false">M505-L505</f>
        <v>673.300000000001</v>
      </c>
      <c r="O505" s="1" t="n">
        <f aca="false">YEAR(B505)</f>
        <v>2023</v>
      </c>
      <c r="P505" s="1" t="n">
        <f aca="false">MONTH(B505)</f>
        <v>5</v>
      </c>
      <c r="Q505" s="1" t="str">
        <f aca="false">TEXT(B505,"mmm")</f>
        <v>May</v>
      </c>
      <c r="R505" s="1" t="str">
        <f aca="false">"Q"&amp;ROUNDUP(MONTH(B505)/3,0)</f>
        <v>Q2</v>
      </c>
    </row>
    <row r="506" customFormat="false" ht="15" hidden="false" customHeight="true" outlineLevel="0" collapsed="false">
      <c r="A506" s="1" t="n">
        <v>10505</v>
      </c>
      <c r="B506" s="14" t="n">
        <v>45066</v>
      </c>
      <c r="C506" s="1" t="n">
        <v>1625</v>
      </c>
      <c r="D506" s="1" t="s">
        <v>34</v>
      </c>
      <c r="E506" s="1" t="s">
        <v>36</v>
      </c>
      <c r="F506" s="1" t="n">
        <v>2</v>
      </c>
      <c r="G506" s="15" t="n">
        <v>143.78</v>
      </c>
      <c r="H506" s="16" t="n">
        <v>0.03</v>
      </c>
      <c r="I506" s="1" t="s">
        <v>31</v>
      </c>
      <c r="J506" s="1" t="n">
        <v>3</v>
      </c>
      <c r="K506" s="1" t="n">
        <v>3.5</v>
      </c>
      <c r="L506" s="15" t="n">
        <v>278.93</v>
      </c>
      <c r="M506" s="15" t="n">
        <f aca="false">F506*G506</f>
        <v>287.56</v>
      </c>
      <c r="N506" s="15" t="n">
        <f aca="false">M506-L506</f>
        <v>8.63</v>
      </c>
      <c r="O506" s="1" t="n">
        <f aca="false">YEAR(B506)</f>
        <v>2023</v>
      </c>
      <c r="P506" s="1" t="n">
        <f aca="false">MONTH(B506)</f>
        <v>5</v>
      </c>
      <c r="Q506" s="1" t="str">
        <f aca="false">TEXT(B506,"mmm")</f>
        <v>May</v>
      </c>
      <c r="R506" s="1" t="str">
        <f aca="false">"Q"&amp;ROUNDUP(MONTH(B506)/3,0)</f>
        <v>Q2</v>
      </c>
    </row>
    <row r="507" customFormat="false" ht="15" hidden="false" customHeight="true" outlineLevel="0" collapsed="false">
      <c r="A507" s="1" t="n">
        <v>10506</v>
      </c>
      <c r="B507" s="14" t="n">
        <v>45067</v>
      </c>
      <c r="C507" s="1" t="n">
        <v>1287</v>
      </c>
      <c r="D507" s="1" t="s">
        <v>30</v>
      </c>
      <c r="E507" s="1" t="s">
        <v>28</v>
      </c>
      <c r="F507" s="1" t="n">
        <v>6</v>
      </c>
      <c r="G507" s="15" t="n">
        <v>504.28</v>
      </c>
      <c r="H507" s="16" t="n">
        <v>0.21</v>
      </c>
      <c r="I507" s="1" t="s">
        <v>31</v>
      </c>
      <c r="J507" s="1" t="n">
        <v>10</v>
      </c>
      <c r="K507" s="1" t="n">
        <v>3.3</v>
      </c>
      <c r="L507" s="15" t="n">
        <v>2390.29</v>
      </c>
      <c r="M507" s="15" t="n">
        <f aca="false">F507*G507</f>
        <v>3025.68</v>
      </c>
      <c r="N507" s="15" t="n">
        <f aca="false">M507-L507</f>
        <v>635.39</v>
      </c>
      <c r="O507" s="1" t="n">
        <f aca="false">YEAR(B507)</f>
        <v>2023</v>
      </c>
      <c r="P507" s="1" t="n">
        <f aca="false">MONTH(B507)</f>
        <v>5</v>
      </c>
      <c r="Q507" s="1" t="str">
        <f aca="false">TEXT(B507,"mmm")</f>
        <v>May</v>
      </c>
      <c r="R507" s="1" t="str">
        <f aca="false">"Q"&amp;ROUNDUP(MONTH(B507)/3,0)</f>
        <v>Q2</v>
      </c>
    </row>
    <row r="508" customFormat="false" ht="15" hidden="false" customHeight="true" outlineLevel="0" collapsed="false">
      <c r="A508" s="1" t="n">
        <v>10507</v>
      </c>
      <c r="B508" s="14" t="n">
        <v>45068</v>
      </c>
      <c r="C508" s="1" t="n">
        <v>1942</v>
      </c>
      <c r="D508" s="1" t="s">
        <v>27</v>
      </c>
      <c r="E508" s="1" t="s">
        <v>32</v>
      </c>
      <c r="F508" s="1" t="n">
        <v>6</v>
      </c>
      <c r="G508" s="15" t="n">
        <v>418.64</v>
      </c>
      <c r="H508" s="16" t="n">
        <v>0.24</v>
      </c>
      <c r="I508" s="1" t="s">
        <v>33</v>
      </c>
      <c r="J508" s="1" t="n">
        <v>7</v>
      </c>
      <c r="K508" s="1" t="n">
        <v>2.9</v>
      </c>
      <c r="L508" s="15" t="n">
        <v>1909</v>
      </c>
      <c r="M508" s="15" t="n">
        <f aca="false">F508*G508</f>
        <v>2511.84</v>
      </c>
      <c r="N508" s="15" t="n">
        <f aca="false">M508-L508</f>
        <v>602.84</v>
      </c>
      <c r="O508" s="1" t="n">
        <f aca="false">YEAR(B508)</f>
        <v>2023</v>
      </c>
      <c r="P508" s="1" t="n">
        <f aca="false">MONTH(B508)</f>
        <v>5</v>
      </c>
      <c r="Q508" s="1" t="str">
        <f aca="false">TEXT(B508,"mmm")</f>
        <v>May</v>
      </c>
      <c r="R508" s="1" t="str">
        <f aca="false">"Q"&amp;ROUNDUP(MONTH(B508)/3,0)</f>
        <v>Q2</v>
      </c>
    </row>
    <row r="509" customFormat="false" ht="15" hidden="false" customHeight="true" outlineLevel="0" collapsed="false">
      <c r="A509" s="1" t="n">
        <v>10508</v>
      </c>
      <c r="B509" s="14" t="n">
        <v>45069</v>
      </c>
      <c r="C509" s="1" t="n">
        <v>1853</v>
      </c>
      <c r="D509" s="1" t="s">
        <v>27</v>
      </c>
      <c r="E509" s="1" t="s">
        <v>32</v>
      </c>
      <c r="F509" s="1" t="n">
        <v>4</v>
      </c>
      <c r="G509" s="15" t="n">
        <v>523.81</v>
      </c>
      <c r="H509" s="16" t="n">
        <v>0.08</v>
      </c>
      <c r="I509" s="1" t="s">
        <v>29</v>
      </c>
      <c r="J509" s="1" t="n">
        <v>2</v>
      </c>
      <c r="K509" s="1" t="n">
        <v>4.4</v>
      </c>
      <c r="L509" s="15" t="n">
        <v>1927.62</v>
      </c>
      <c r="M509" s="15" t="n">
        <f aca="false">F509*G509</f>
        <v>2095.24</v>
      </c>
      <c r="N509" s="15" t="n">
        <f aca="false">M509-L509</f>
        <v>167.62</v>
      </c>
      <c r="O509" s="1" t="n">
        <f aca="false">YEAR(B509)</f>
        <v>2023</v>
      </c>
      <c r="P509" s="1" t="n">
        <f aca="false">MONTH(B509)</f>
        <v>5</v>
      </c>
      <c r="Q509" s="1" t="str">
        <f aca="false">TEXT(B509,"mmm")</f>
        <v>May</v>
      </c>
      <c r="R509" s="1" t="str">
        <f aca="false">"Q"&amp;ROUNDUP(MONTH(B509)/3,0)</f>
        <v>Q2</v>
      </c>
    </row>
    <row r="510" customFormat="false" ht="15" hidden="false" customHeight="true" outlineLevel="0" collapsed="false">
      <c r="A510" s="1" t="n">
        <v>10509</v>
      </c>
      <c r="B510" s="14" t="n">
        <v>45070</v>
      </c>
      <c r="C510" s="1" t="n">
        <v>1662</v>
      </c>
      <c r="D510" s="1" t="s">
        <v>34</v>
      </c>
      <c r="E510" s="1" t="s">
        <v>28</v>
      </c>
      <c r="F510" s="1" t="n">
        <v>7</v>
      </c>
      <c r="G510" s="15" t="n">
        <v>481.19</v>
      </c>
      <c r="H510" s="16" t="n">
        <v>0.14</v>
      </c>
      <c r="I510" s="1" t="s">
        <v>29</v>
      </c>
      <c r="J510" s="1" t="n">
        <v>5</v>
      </c>
      <c r="K510" s="1" t="n">
        <v>2.1</v>
      </c>
      <c r="L510" s="15" t="n">
        <v>2896.76</v>
      </c>
      <c r="M510" s="15" t="n">
        <f aca="false">F510*G510</f>
        <v>3368.33</v>
      </c>
      <c r="N510" s="15" t="n">
        <f aca="false">M510-L510</f>
        <v>471.57</v>
      </c>
      <c r="O510" s="1" t="n">
        <f aca="false">YEAR(B510)</f>
        <v>2023</v>
      </c>
      <c r="P510" s="1" t="n">
        <f aca="false">MONTH(B510)</f>
        <v>5</v>
      </c>
      <c r="Q510" s="1" t="str">
        <f aca="false">TEXT(B510,"mmm")</f>
        <v>May</v>
      </c>
      <c r="R510" s="1" t="str">
        <f aca="false">"Q"&amp;ROUNDUP(MONTH(B510)/3,0)</f>
        <v>Q2</v>
      </c>
    </row>
    <row r="511" customFormat="false" ht="15" hidden="false" customHeight="true" outlineLevel="0" collapsed="false">
      <c r="A511" s="1" t="n">
        <v>10510</v>
      </c>
      <c r="B511" s="14" t="n">
        <v>45071</v>
      </c>
      <c r="C511" s="1" t="n">
        <v>1961</v>
      </c>
      <c r="D511" s="1" t="s">
        <v>34</v>
      </c>
      <c r="E511" s="1" t="s">
        <v>28</v>
      </c>
      <c r="F511" s="1" t="n">
        <v>6</v>
      </c>
      <c r="G511" s="15" t="n">
        <v>217.7</v>
      </c>
      <c r="H511" s="16" t="n">
        <v>0.21</v>
      </c>
      <c r="I511" s="1" t="s">
        <v>31</v>
      </c>
      <c r="J511" s="1" t="n">
        <v>2</v>
      </c>
      <c r="K511" s="1" t="n">
        <v>1.1</v>
      </c>
      <c r="L511" s="15" t="n">
        <v>1031.9</v>
      </c>
      <c r="M511" s="15" t="n">
        <f aca="false">F511*G511</f>
        <v>1306.2</v>
      </c>
      <c r="N511" s="15" t="n">
        <f aca="false">M511-L511</f>
        <v>274.3</v>
      </c>
      <c r="O511" s="1" t="n">
        <f aca="false">YEAR(B511)</f>
        <v>2023</v>
      </c>
      <c r="P511" s="1" t="n">
        <f aca="false">MONTH(B511)</f>
        <v>5</v>
      </c>
      <c r="Q511" s="1" t="str">
        <f aca="false">TEXT(B511,"mmm")</f>
        <v>May</v>
      </c>
      <c r="R511" s="1" t="str">
        <f aca="false">"Q"&amp;ROUNDUP(MONTH(B511)/3,0)</f>
        <v>Q2</v>
      </c>
    </row>
    <row r="512" customFormat="false" ht="15" hidden="false" customHeight="true" outlineLevel="0" collapsed="false">
      <c r="A512" s="1" t="n">
        <v>10511</v>
      </c>
      <c r="B512" s="14" t="n">
        <v>45072</v>
      </c>
      <c r="C512" s="1" t="n">
        <v>1638</v>
      </c>
      <c r="D512" s="1" t="s">
        <v>27</v>
      </c>
      <c r="E512" s="1" t="s">
        <v>36</v>
      </c>
      <c r="F512" s="1" t="n">
        <v>6</v>
      </c>
      <c r="G512" s="15" t="n">
        <v>468.02</v>
      </c>
      <c r="H512" s="16" t="n">
        <v>0.13</v>
      </c>
      <c r="I512" s="1" t="s">
        <v>33</v>
      </c>
      <c r="J512" s="1" t="n">
        <v>7</v>
      </c>
      <c r="K512" s="1" t="n">
        <v>2.3</v>
      </c>
      <c r="L512" s="15" t="n">
        <v>2443.06</v>
      </c>
      <c r="M512" s="15" t="n">
        <f aca="false">F512*G512</f>
        <v>2808.12</v>
      </c>
      <c r="N512" s="15" t="n">
        <f aca="false">M512-L512</f>
        <v>365.06</v>
      </c>
      <c r="O512" s="1" t="n">
        <f aca="false">YEAR(B512)</f>
        <v>2023</v>
      </c>
      <c r="P512" s="1" t="n">
        <f aca="false">MONTH(B512)</f>
        <v>5</v>
      </c>
      <c r="Q512" s="1" t="str">
        <f aca="false">TEXT(B512,"mmm")</f>
        <v>May</v>
      </c>
      <c r="R512" s="1" t="str">
        <f aca="false">"Q"&amp;ROUNDUP(MONTH(B512)/3,0)</f>
        <v>Q2</v>
      </c>
    </row>
    <row r="513" customFormat="false" ht="15" hidden="false" customHeight="true" outlineLevel="0" collapsed="false">
      <c r="A513" s="1" t="n">
        <v>10512</v>
      </c>
      <c r="B513" s="14" t="n">
        <v>45073</v>
      </c>
      <c r="C513" s="1" t="n">
        <v>1154</v>
      </c>
      <c r="D513" s="1" t="s">
        <v>37</v>
      </c>
      <c r="E513" s="1" t="s">
        <v>32</v>
      </c>
      <c r="F513" s="1" t="n">
        <v>3</v>
      </c>
      <c r="G513" s="15" t="n">
        <v>168.54</v>
      </c>
      <c r="H513" s="16" t="n">
        <v>0.13</v>
      </c>
      <c r="I513" s="1" t="s">
        <v>31</v>
      </c>
      <c r="J513" s="1" t="n">
        <v>6</v>
      </c>
      <c r="K513" s="1" t="n">
        <v>1</v>
      </c>
      <c r="L513" s="15" t="n">
        <v>439.89</v>
      </c>
      <c r="M513" s="15" t="n">
        <f aca="false">F513*G513</f>
        <v>505.62</v>
      </c>
      <c r="N513" s="15" t="n">
        <f aca="false">M513-L513</f>
        <v>65.73</v>
      </c>
      <c r="O513" s="1" t="n">
        <f aca="false">YEAR(B513)</f>
        <v>2023</v>
      </c>
      <c r="P513" s="1" t="n">
        <f aca="false">MONTH(B513)</f>
        <v>5</v>
      </c>
      <c r="Q513" s="1" t="str">
        <f aca="false">TEXT(B513,"mmm")</f>
        <v>May</v>
      </c>
      <c r="R513" s="1" t="str">
        <f aca="false">"Q"&amp;ROUNDUP(MONTH(B513)/3,0)</f>
        <v>Q2</v>
      </c>
    </row>
    <row r="514" customFormat="false" ht="15" hidden="false" customHeight="true" outlineLevel="0" collapsed="false">
      <c r="A514" s="1" t="n">
        <v>10513</v>
      </c>
      <c r="B514" s="14" t="n">
        <v>45074</v>
      </c>
      <c r="C514" s="1" t="n">
        <v>1489</v>
      </c>
      <c r="D514" s="1" t="s">
        <v>27</v>
      </c>
      <c r="E514" s="1" t="s">
        <v>28</v>
      </c>
      <c r="F514" s="1" t="n">
        <v>7</v>
      </c>
      <c r="G514" s="15" t="n">
        <v>207.23</v>
      </c>
      <c r="H514" s="16" t="n">
        <v>0.05</v>
      </c>
      <c r="I514" s="1" t="s">
        <v>31</v>
      </c>
      <c r="J514" s="1" t="n">
        <v>10</v>
      </c>
      <c r="K514" s="1" t="n">
        <v>3.2</v>
      </c>
      <c r="L514" s="15" t="n">
        <v>1378.08</v>
      </c>
      <c r="M514" s="15" t="n">
        <f aca="false">F514*G514</f>
        <v>1450.61</v>
      </c>
      <c r="N514" s="15" t="n">
        <f aca="false">M514-L514</f>
        <v>72.53</v>
      </c>
      <c r="O514" s="1" t="n">
        <f aca="false">YEAR(B514)</f>
        <v>2023</v>
      </c>
      <c r="P514" s="1" t="n">
        <f aca="false">MONTH(B514)</f>
        <v>5</v>
      </c>
      <c r="Q514" s="1" t="str">
        <f aca="false">TEXT(B514,"mmm")</f>
        <v>May</v>
      </c>
      <c r="R514" s="1" t="str">
        <f aca="false">"Q"&amp;ROUNDUP(MONTH(B514)/3,0)</f>
        <v>Q2</v>
      </c>
    </row>
    <row r="515" customFormat="false" ht="15" hidden="false" customHeight="true" outlineLevel="0" collapsed="false">
      <c r="A515" s="1" t="n">
        <v>10514</v>
      </c>
      <c r="B515" s="14" t="n">
        <v>45075</v>
      </c>
      <c r="C515" s="1" t="n">
        <v>1385</v>
      </c>
      <c r="D515" s="1" t="s">
        <v>34</v>
      </c>
      <c r="E515" s="1" t="s">
        <v>35</v>
      </c>
      <c r="F515" s="1" t="n">
        <v>3</v>
      </c>
      <c r="G515" s="15" t="n">
        <v>78.12</v>
      </c>
      <c r="H515" s="16" t="n">
        <v>0.33</v>
      </c>
      <c r="I515" s="1" t="s">
        <v>29</v>
      </c>
      <c r="J515" s="1" t="n">
        <v>7</v>
      </c>
      <c r="K515" s="1" t="n">
        <v>2.5</v>
      </c>
      <c r="L515" s="15" t="n">
        <v>157.02</v>
      </c>
      <c r="M515" s="15" t="n">
        <f aca="false">F515*G515</f>
        <v>234.36</v>
      </c>
      <c r="N515" s="15" t="n">
        <f aca="false">M515-L515</f>
        <v>77.34</v>
      </c>
      <c r="O515" s="1" t="n">
        <f aca="false">YEAR(B515)</f>
        <v>2023</v>
      </c>
      <c r="P515" s="1" t="n">
        <f aca="false">MONTH(B515)</f>
        <v>5</v>
      </c>
      <c r="Q515" s="1" t="str">
        <f aca="false">TEXT(B515,"mmm")</f>
        <v>May</v>
      </c>
      <c r="R515" s="1" t="str">
        <f aca="false">"Q"&amp;ROUNDUP(MONTH(B515)/3,0)</f>
        <v>Q2</v>
      </c>
    </row>
    <row r="516" customFormat="false" ht="15" hidden="false" customHeight="true" outlineLevel="0" collapsed="false">
      <c r="A516" s="1" t="n">
        <v>10515</v>
      </c>
      <c r="B516" s="14" t="n">
        <v>45076</v>
      </c>
      <c r="C516" s="1" t="n">
        <v>1985</v>
      </c>
      <c r="D516" s="1" t="s">
        <v>30</v>
      </c>
      <c r="E516" s="1" t="s">
        <v>32</v>
      </c>
      <c r="F516" s="1" t="n">
        <v>1</v>
      </c>
      <c r="G516" s="15" t="n">
        <v>562.02</v>
      </c>
      <c r="H516" s="16" t="n">
        <v>0.26</v>
      </c>
      <c r="I516" s="1" t="s">
        <v>33</v>
      </c>
      <c r="J516" s="1" t="n">
        <v>9</v>
      </c>
      <c r="K516" s="1" t="n">
        <v>4.3</v>
      </c>
      <c r="L516" s="15" t="n">
        <v>415.89</v>
      </c>
      <c r="M516" s="15" t="n">
        <f aca="false">F516*G516</f>
        <v>562.02</v>
      </c>
      <c r="N516" s="15" t="n">
        <f aca="false">M516-L516</f>
        <v>146.13</v>
      </c>
      <c r="O516" s="1" t="n">
        <f aca="false">YEAR(B516)</f>
        <v>2023</v>
      </c>
      <c r="P516" s="1" t="n">
        <f aca="false">MONTH(B516)</f>
        <v>5</v>
      </c>
      <c r="Q516" s="1" t="str">
        <f aca="false">TEXT(B516,"mmm")</f>
        <v>May</v>
      </c>
      <c r="R516" s="1" t="str">
        <f aca="false">"Q"&amp;ROUNDUP(MONTH(B516)/3,0)</f>
        <v>Q2</v>
      </c>
    </row>
    <row r="517" customFormat="false" ht="15" hidden="false" customHeight="true" outlineLevel="0" collapsed="false">
      <c r="A517" s="1" t="n">
        <v>10516</v>
      </c>
      <c r="B517" s="14" t="n">
        <v>45077</v>
      </c>
      <c r="C517" s="1" t="n">
        <v>1784</v>
      </c>
      <c r="D517" s="1" t="s">
        <v>37</v>
      </c>
      <c r="E517" s="1" t="s">
        <v>32</v>
      </c>
      <c r="F517" s="1" t="n">
        <v>1</v>
      </c>
      <c r="G517" s="15" t="n">
        <v>185.24</v>
      </c>
      <c r="H517" s="16" t="n">
        <v>0</v>
      </c>
      <c r="I517" s="1" t="s">
        <v>33</v>
      </c>
      <c r="J517" s="1" t="n">
        <v>2</v>
      </c>
      <c r="K517" s="1" t="n">
        <v>4.2</v>
      </c>
      <c r="L517" s="15" t="n">
        <v>185.24</v>
      </c>
      <c r="M517" s="15" t="n">
        <f aca="false">F517*G517</f>
        <v>185.24</v>
      </c>
      <c r="N517" s="15" t="n">
        <f aca="false">M517-L517</f>
        <v>0</v>
      </c>
      <c r="O517" s="1" t="n">
        <f aca="false">YEAR(B517)</f>
        <v>2023</v>
      </c>
      <c r="P517" s="1" t="n">
        <f aca="false">MONTH(B517)</f>
        <v>5</v>
      </c>
      <c r="Q517" s="1" t="str">
        <f aca="false">TEXT(B517,"mmm")</f>
        <v>May</v>
      </c>
      <c r="R517" s="1" t="str">
        <f aca="false">"Q"&amp;ROUNDUP(MONTH(B517)/3,0)</f>
        <v>Q2</v>
      </c>
    </row>
    <row r="518" customFormat="false" ht="15" hidden="false" customHeight="true" outlineLevel="0" collapsed="false">
      <c r="A518" s="1" t="n">
        <v>10517</v>
      </c>
      <c r="B518" s="14" t="n">
        <v>45078</v>
      </c>
      <c r="C518" s="1" t="n">
        <v>1103</v>
      </c>
      <c r="D518" s="1" t="s">
        <v>37</v>
      </c>
      <c r="E518" s="1" t="s">
        <v>36</v>
      </c>
      <c r="F518" s="1" t="n">
        <v>6</v>
      </c>
      <c r="G518" s="15" t="n">
        <v>319.56</v>
      </c>
      <c r="H518" s="16" t="n">
        <v>0.27</v>
      </c>
      <c r="I518" s="1" t="s">
        <v>31</v>
      </c>
      <c r="J518" s="1" t="n">
        <v>9</v>
      </c>
      <c r="K518" s="1" t="n">
        <v>2.7</v>
      </c>
      <c r="L518" s="15" t="n">
        <v>1399.67</v>
      </c>
      <c r="M518" s="15" t="n">
        <f aca="false">F518*G518</f>
        <v>1917.36</v>
      </c>
      <c r="N518" s="15" t="n">
        <f aca="false">M518-L518</f>
        <v>517.69</v>
      </c>
      <c r="O518" s="1" t="n">
        <f aca="false">YEAR(B518)</f>
        <v>2023</v>
      </c>
      <c r="P518" s="1" t="n">
        <f aca="false">MONTH(B518)</f>
        <v>6</v>
      </c>
      <c r="Q518" s="1" t="str">
        <f aca="false">TEXT(B518,"mmm")</f>
        <v>Jun</v>
      </c>
      <c r="R518" s="1" t="str">
        <f aca="false">"Q"&amp;ROUNDUP(MONTH(B518)/3,0)</f>
        <v>Q2</v>
      </c>
    </row>
    <row r="519" customFormat="false" ht="15" hidden="false" customHeight="true" outlineLevel="0" collapsed="false">
      <c r="A519" s="1" t="n">
        <v>10518</v>
      </c>
      <c r="B519" s="14" t="n">
        <v>45079</v>
      </c>
      <c r="C519" s="1" t="n">
        <v>1928</v>
      </c>
      <c r="D519" s="1" t="s">
        <v>30</v>
      </c>
      <c r="E519" s="1" t="s">
        <v>35</v>
      </c>
      <c r="F519" s="1" t="n">
        <v>6</v>
      </c>
      <c r="G519" s="15" t="n">
        <v>243.93</v>
      </c>
      <c r="H519" s="16" t="n">
        <v>0.26</v>
      </c>
      <c r="I519" s="1" t="s">
        <v>31</v>
      </c>
      <c r="J519" s="1" t="n">
        <v>7</v>
      </c>
      <c r="K519" s="1" t="n">
        <v>1.9</v>
      </c>
      <c r="L519" s="15" t="n">
        <v>1083.05</v>
      </c>
      <c r="M519" s="15" t="n">
        <f aca="false">F519*G519</f>
        <v>1463.58</v>
      </c>
      <c r="N519" s="15" t="n">
        <f aca="false">M519-L519</f>
        <v>380.53</v>
      </c>
      <c r="O519" s="1" t="n">
        <f aca="false">YEAR(B519)</f>
        <v>2023</v>
      </c>
      <c r="P519" s="1" t="n">
        <f aca="false">MONTH(B519)</f>
        <v>6</v>
      </c>
      <c r="Q519" s="1" t="str">
        <f aca="false">TEXT(B519,"mmm")</f>
        <v>Jun</v>
      </c>
      <c r="R519" s="1" t="str">
        <f aca="false">"Q"&amp;ROUNDUP(MONTH(B519)/3,0)</f>
        <v>Q2</v>
      </c>
    </row>
    <row r="520" customFormat="false" ht="15" hidden="false" customHeight="true" outlineLevel="0" collapsed="false">
      <c r="A520" s="1" t="n">
        <v>10519</v>
      </c>
      <c r="B520" s="14" t="n">
        <v>45080</v>
      </c>
      <c r="C520" s="1" t="n">
        <v>1392</v>
      </c>
      <c r="D520" s="1" t="s">
        <v>34</v>
      </c>
      <c r="E520" s="1" t="s">
        <v>36</v>
      </c>
      <c r="F520" s="1" t="n">
        <v>2</v>
      </c>
      <c r="G520" s="15" t="n">
        <v>576.56</v>
      </c>
      <c r="H520" s="16" t="n">
        <v>0</v>
      </c>
      <c r="I520" s="1" t="s">
        <v>33</v>
      </c>
      <c r="J520" s="1" t="n">
        <v>2</v>
      </c>
      <c r="K520" s="1" t="n">
        <v>2.7</v>
      </c>
      <c r="L520" s="15" t="n">
        <v>1153.12</v>
      </c>
      <c r="M520" s="15" t="n">
        <f aca="false">F520*G520</f>
        <v>1153.12</v>
      </c>
      <c r="N520" s="15" t="n">
        <f aca="false">M520-L520</f>
        <v>0</v>
      </c>
      <c r="O520" s="1" t="n">
        <f aca="false">YEAR(B520)</f>
        <v>2023</v>
      </c>
      <c r="P520" s="1" t="n">
        <f aca="false">MONTH(B520)</f>
        <v>6</v>
      </c>
      <c r="Q520" s="1" t="str">
        <f aca="false">TEXT(B520,"mmm")</f>
        <v>Jun</v>
      </c>
      <c r="R520" s="1" t="str">
        <f aca="false">"Q"&amp;ROUNDUP(MONTH(B520)/3,0)</f>
        <v>Q2</v>
      </c>
    </row>
    <row r="521" customFormat="false" ht="15" hidden="false" customHeight="true" outlineLevel="0" collapsed="false">
      <c r="A521" s="1" t="n">
        <v>10520</v>
      </c>
      <c r="B521" s="14" t="n">
        <v>45081</v>
      </c>
      <c r="C521" s="1" t="n">
        <v>1810</v>
      </c>
      <c r="D521" s="1" t="s">
        <v>30</v>
      </c>
      <c r="E521" s="1" t="s">
        <v>35</v>
      </c>
      <c r="F521" s="1" t="n">
        <v>1</v>
      </c>
      <c r="G521" s="15" t="n">
        <v>211</v>
      </c>
      <c r="H521" s="16" t="n">
        <v>0.13</v>
      </c>
      <c r="I521" s="1" t="s">
        <v>31</v>
      </c>
      <c r="J521" s="1" t="n">
        <v>10</v>
      </c>
      <c r="K521" s="1" t="n">
        <v>3.6</v>
      </c>
      <c r="L521" s="15" t="n">
        <v>183.57</v>
      </c>
      <c r="M521" s="15" t="n">
        <f aca="false">F521*G521</f>
        <v>211</v>
      </c>
      <c r="N521" s="15" t="n">
        <f aca="false">M521-L521</f>
        <v>27.43</v>
      </c>
      <c r="O521" s="1" t="n">
        <f aca="false">YEAR(B521)</f>
        <v>2023</v>
      </c>
      <c r="P521" s="1" t="n">
        <f aca="false">MONTH(B521)</f>
        <v>6</v>
      </c>
      <c r="Q521" s="1" t="str">
        <f aca="false">TEXT(B521,"mmm")</f>
        <v>Jun</v>
      </c>
      <c r="R521" s="1" t="str">
        <f aca="false">"Q"&amp;ROUNDUP(MONTH(B521)/3,0)</f>
        <v>Q2</v>
      </c>
    </row>
    <row r="522" customFormat="false" ht="15" hidden="false" customHeight="true" outlineLevel="0" collapsed="false">
      <c r="A522" s="1" t="n">
        <v>10521</v>
      </c>
      <c r="B522" s="14" t="n">
        <v>45082</v>
      </c>
      <c r="C522" s="1" t="n">
        <v>1245</v>
      </c>
      <c r="D522" s="1" t="s">
        <v>34</v>
      </c>
      <c r="E522" s="1" t="s">
        <v>36</v>
      </c>
      <c r="F522" s="1" t="n">
        <v>4</v>
      </c>
      <c r="G522" s="15" t="n">
        <v>470.45</v>
      </c>
      <c r="H522" s="16" t="n">
        <v>0.21</v>
      </c>
      <c r="I522" s="1" t="s">
        <v>31</v>
      </c>
      <c r="J522" s="1" t="n">
        <v>2</v>
      </c>
      <c r="K522" s="1" t="n">
        <v>1.8</v>
      </c>
      <c r="L522" s="15" t="n">
        <v>1486.62</v>
      </c>
      <c r="M522" s="15" t="n">
        <f aca="false">F522*G522</f>
        <v>1881.8</v>
      </c>
      <c r="N522" s="15" t="n">
        <f aca="false">M522-L522</f>
        <v>395.18</v>
      </c>
      <c r="O522" s="1" t="n">
        <f aca="false">YEAR(B522)</f>
        <v>2023</v>
      </c>
      <c r="P522" s="1" t="n">
        <f aca="false">MONTH(B522)</f>
        <v>6</v>
      </c>
      <c r="Q522" s="1" t="str">
        <f aca="false">TEXT(B522,"mmm")</f>
        <v>Jun</v>
      </c>
      <c r="R522" s="1" t="str">
        <f aca="false">"Q"&amp;ROUNDUP(MONTH(B522)/3,0)</f>
        <v>Q2</v>
      </c>
    </row>
    <row r="523" customFormat="false" ht="15" hidden="false" customHeight="true" outlineLevel="0" collapsed="false">
      <c r="A523" s="1" t="n">
        <v>10522</v>
      </c>
      <c r="B523" s="14" t="n">
        <v>45083</v>
      </c>
      <c r="C523" s="1" t="n">
        <v>1175</v>
      </c>
      <c r="D523" s="1" t="s">
        <v>30</v>
      </c>
      <c r="E523" s="1" t="s">
        <v>35</v>
      </c>
      <c r="F523" s="1" t="n">
        <v>6</v>
      </c>
      <c r="G523" s="15" t="n">
        <v>515.42</v>
      </c>
      <c r="H523" s="16" t="n">
        <v>0.16</v>
      </c>
      <c r="I523" s="1" t="s">
        <v>31</v>
      </c>
      <c r="J523" s="1" t="n">
        <v>4</v>
      </c>
      <c r="K523" s="1" t="n">
        <v>4.1</v>
      </c>
      <c r="L523" s="15" t="n">
        <v>2597.72</v>
      </c>
      <c r="M523" s="15" t="n">
        <f aca="false">F523*G523</f>
        <v>3092.52</v>
      </c>
      <c r="N523" s="15" t="n">
        <f aca="false">M523-L523</f>
        <v>494.8</v>
      </c>
      <c r="O523" s="1" t="n">
        <f aca="false">YEAR(B523)</f>
        <v>2023</v>
      </c>
      <c r="P523" s="1" t="n">
        <f aca="false">MONTH(B523)</f>
        <v>6</v>
      </c>
      <c r="Q523" s="1" t="str">
        <f aca="false">TEXT(B523,"mmm")</f>
        <v>Jun</v>
      </c>
      <c r="R523" s="1" t="str">
        <f aca="false">"Q"&amp;ROUNDUP(MONTH(B523)/3,0)</f>
        <v>Q2</v>
      </c>
    </row>
    <row r="524" customFormat="false" ht="15" hidden="false" customHeight="true" outlineLevel="0" collapsed="false">
      <c r="A524" s="1" t="n">
        <v>10523</v>
      </c>
      <c r="B524" s="14" t="n">
        <v>45084</v>
      </c>
      <c r="C524" s="1" t="n">
        <v>1038</v>
      </c>
      <c r="D524" s="1" t="s">
        <v>27</v>
      </c>
      <c r="E524" s="1" t="s">
        <v>35</v>
      </c>
      <c r="F524" s="1" t="n">
        <v>4</v>
      </c>
      <c r="G524" s="15" t="n">
        <v>269.83</v>
      </c>
      <c r="H524" s="16" t="n">
        <v>0.27</v>
      </c>
      <c r="I524" s="1" t="s">
        <v>33</v>
      </c>
      <c r="J524" s="1" t="n">
        <v>2</v>
      </c>
      <c r="K524" s="1" t="n">
        <v>2.3</v>
      </c>
      <c r="L524" s="15" t="n">
        <v>787.9</v>
      </c>
      <c r="M524" s="15" t="n">
        <f aca="false">F524*G524</f>
        <v>1079.32</v>
      </c>
      <c r="N524" s="15" t="n">
        <f aca="false">M524-L524</f>
        <v>291.42</v>
      </c>
      <c r="O524" s="1" t="n">
        <f aca="false">YEAR(B524)</f>
        <v>2023</v>
      </c>
      <c r="P524" s="1" t="n">
        <f aca="false">MONTH(B524)</f>
        <v>6</v>
      </c>
      <c r="Q524" s="1" t="str">
        <f aca="false">TEXT(B524,"mmm")</f>
        <v>Jun</v>
      </c>
      <c r="R524" s="1" t="str">
        <f aca="false">"Q"&amp;ROUNDUP(MONTH(B524)/3,0)</f>
        <v>Q2</v>
      </c>
    </row>
    <row r="525" customFormat="false" ht="15" hidden="false" customHeight="true" outlineLevel="0" collapsed="false">
      <c r="A525" s="1" t="n">
        <v>10524</v>
      </c>
      <c r="B525" s="14" t="n">
        <v>45085</v>
      </c>
      <c r="C525" s="1" t="n">
        <v>1476</v>
      </c>
      <c r="D525" s="1" t="s">
        <v>30</v>
      </c>
      <c r="E525" s="1" t="s">
        <v>35</v>
      </c>
      <c r="F525" s="1" t="n">
        <v>6</v>
      </c>
      <c r="G525" s="15" t="n">
        <v>236.23</v>
      </c>
      <c r="H525" s="16" t="n">
        <v>0.15</v>
      </c>
      <c r="I525" s="1" t="s">
        <v>29</v>
      </c>
      <c r="J525" s="1" t="n">
        <v>1</v>
      </c>
      <c r="K525" s="1" t="n">
        <v>4.7</v>
      </c>
      <c r="L525" s="15" t="n">
        <v>1204.77</v>
      </c>
      <c r="M525" s="15" t="n">
        <f aca="false">F525*G525</f>
        <v>1417.38</v>
      </c>
      <c r="N525" s="15" t="n">
        <f aca="false">M525-L525</f>
        <v>212.61</v>
      </c>
      <c r="O525" s="1" t="n">
        <f aca="false">YEAR(B525)</f>
        <v>2023</v>
      </c>
      <c r="P525" s="1" t="n">
        <f aca="false">MONTH(B525)</f>
        <v>6</v>
      </c>
      <c r="Q525" s="1" t="str">
        <f aca="false">TEXT(B525,"mmm")</f>
        <v>Jun</v>
      </c>
      <c r="R525" s="1" t="str">
        <f aca="false">"Q"&amp;ROUNDUP(MONTH(B525)/3,0)</f>
        <v>Q2</v>
      </c>
    </row>
    <row r="526" customFormat="false" ht="15" hidden="false" customHeight="true" outlineLevel="0" collapsed="false">
      <c r="A526" s="1" t="n">
        <v>10525</v>
      </c>
      <c r="B526" s="14" t="n">
        <v>45086</v>
      </c>
      <c r="C526" s="1" t="n">
        <v>1681</v>
      </c>
      <c r="D526" s="1" t="s">
        <v>37</v>
      </c>
      <c r="E526" s="1" t="s">
        <v>28</v>
      </c>
      <c r="F526" s="1" t="n">
        <v>4</v>
      </c>
      <c r="G526" s="15" t="n">
        <v>452.43</v>
      </c>
      <c r="H526" s="16" t="n">
        <v>0.05</v>
      </c>
      <c r="I526" s="1" t="s">
        <v>29</v>
      </c>
      <c r="J526" s="1" t="n">
        <v>6</v>
      </c>
      <c r="K526" s="1" t="n">
        <v>3</v>
      </c>
      <c r="L526" s="15" t="n">
        <v>1719.23</v>
      </c>
      <c r="M526" s="15" t="n">
        <f aca="false">F526*G526</f>
        <v>1809.72</v>
      </c>
      <c r="N526" s="15" t="n">
        <f aca="false">M526-L526</f>
        <v>90.49</v>
      </c>
      <c r="O526" s="1" t="n">
        <f aca="false">YEAR(B526)</f>
        <v>2023</v>
      </c>
      <c r="P526" s="1" t="n">
        <f aca="false">MONTH(B526)</f>
        <v>6</v>
      </c>
      <c r="Q526" s="1" t="str">
        <f aca="false">TEXT(B526,"mmm")</f>
        <v>Jun</v>
      </c>
      <c r="R526" s="1" t="str">
        <f aca="false">"Q"&amp;ROUNDUP(MONTH(B526)/3,0)</f>
        <v>Q2</v>
      </c>
    </row>
    <row r="527" customFormat="false" ht="15" hidden="false" customHeight="true" outlineLevel="0" collapsed="false">
      <c r="A527" s="1" t="n">
        <v>10526</v>
      </c>
      <c r="B527" s="14" t="n">
        <v>45087</v>
      </c>
      <c r="C527" s="1" t="n">
        <v>1758</v>
      </c>
      <c r="D527" s="1" t="s">
        <v>34</v>
      </c>
      <c r="E527" s="1" t="s">
        <v>32</v>
      </c>
      <c r="F527" s="1" t="n">
        <v>5</v>
      </c>
      <c r="G527" s="15" t="n">
        <v>549.04</v>
      </c>
      <c r="H527" s="16" t="n">
        <v>0.34</v>
      </c>
      <c r="I527" s="1" t="s">
        <v>29</v>
      </c>
      <c r="J527" s="1" t="n">
        <v>10</v>
      </c>
      <c r="K527" s="1" t="n">
        <v>4.4</v>
      </c>
      <c r="L527" s="15" t="n">
        <v>1811.83</v>
      </c>
      <c r="M527" s="15" t="n">
        <f aca="false">F527*G527</f>
        <v>2745.2</v>
      </c>
      <c r="N527" s="15" t="n">
        <f aca="false">M527-L527</f>
        <v>933.37</v>
      </c>
      <c r="O527" s="1" t="n">
        <f aca="false">YEAR(B527)</f>
        <v>2023</v>
      </c>
      <c r="P527" s="1" t="n">
        <f aca="false">MONTH(B527)</f>
        <v>6</v>
      </c>
      <c r="Q527" s="1" t="str">
        <f aca="false">TEXT(B527,"mmm")</f>
        <v>Jun</v>
      </c>
      <c r="R527" s="1" t="str">
        <f aca="false">"Q"&amp;ROUNDUP(MONTH(B527)/3,0)</f>
        <v>Q2</v>
      </c>
    </row>
    <row r="528" customFormat="false" ht="15" hidden="false" customHeight="true" outlineLevel="0" collapsed="false">
      <c r="A528" s="1" t="n">
        <v>10527</v>
      </c>
      <c r="B528" s="14" t="n">
        <v>45088</v>
      </c>
      <c r="C528" s="1" t="n">
        <v>1537</v>
      </c>
      <c r="D528" s="1" t="s">
        <v>37</v>
      </c>
      <c r="E528" s="1" t="s">
        <v>35</v>
      </c>
      <c r="F528" s="1" t="n">
        <v>4</v>
      </c>
      <c r="G528" s="15" t="n">
        <v>456.64</v>
      </c>
      <c r="H528" s="16" t="n">
        <v>0.08</v>
      </c>
      <c r="I528" s="1" t="s">
        <v>29</v>
      </c>
      <c r="J528" s="1" t="n">
        <v>11</v>
      </c>
      <c r="K528" s="1" t="n">
        <v>3.5</v>
      </c>
      <c r="L528" s="15" t="n">
        <v>1680.44</v>
      </c>
      <c r="M528" s="15" t="n">
        <f aca="false">F528*G528</f>
        <v>1826.56</v>
      </c>
      <c r="N528" s="15" t="n">
        <f aca="false">M528-L528</f>
        <v>146.12</v>
      </c>
      <c r="O528" s="1" t="n">
        <f aca="false">YEAR(B528)</f>
        <v>2023</v>
      </c>
      <c r="P528" s="1" t="n">
        <f aca="false">MONTH(B528)</f>
        <v>6</v>
      </c>
      <c r="Q528" s="1" t="str">
        <f aca="false">TEXT(B528,"mmm")</f>
        <v>Jun</v>
      </c>
      <c r="R528" s="1" t="str">
        <f aca="false">"Q"&amp;ROUNDUP(MONTH(B528)/3,0)</f>
        <v>Q2</v>
      </c>
    </row>
    <row r="529" customFormat="false" ht="15" hidden="false" customHeight="true" outlineLevel="0" collapsed="false">
      <c r="A529" s="1" t="n">
        <v>10528</v>
      </c>
      <c r="B529" s="14" t="n">
        <v>45089</v>
      </c>
      <c r="C529" s="1" t="n">
        <v>1866</v>
      </c>
      <c r="D529" s="1" t="s">
        <v>27</v>
      </c>
      <c r="E529" s="1" t="s">
        <v>28</v>
      </c>
      <c r="F529" s="1" t="n">
        <v>7</v>
      </c>
      <c r="G529" s="15" t="n">
        <v>147.87</v>
      </c>
      <c r="H529" s="16" t="n">
        <v>0.25</v>
      </c>
      <c r="I529" s="1" t="s">
        <v>29</v>
      </c>
      <c r="J529" s="1" t="n">
        <v>5</v>
      </c>
      <c r="K529" s="1" t="n">
        <v>3.2</v>
      </c>
      <c r="L529" s="15" t="n">
        <v>776.32</v>
      </c>
      <c r="M529" s="15" t="n">
        <f aca="false">F529*G529</f>
        <v>1035.09</v>
      </c>
      <c r="N529" s="15" t="n">
        <f aca="false">M529-L529</f>
        <v>258.77</v>
      </c>
      <c r="O529" s="1" t="n">
        <f aca="false">YEAR(B529)</f>
        <v>2023</v>
      </c>
      <c r="P529" s="1" t="n">
        <f aca="false">MONTH(B529)</f>
        <v>6</v>
      </c>
      <c r="Q529" s="1" t="str">
        <f aca="false">TEXT(B529,"mmm")</f>
        <v>Jun</v>
      </c>
      <c r="R529" s="1" t="str">
        <f aca="false">"Q"&amp;ROUNDUP(MONTH(B529)/3,0)</f>
        <v>Q2</v>
      </c>
    </row>
    <row r="530" customFormat="false" ht="15" hidden="false" customHeight="true" outlineLevel="0" collapsed="false">
      <c r="A530" s="1" t="n">
        <v>10529</v>
      </c>
      <c r="B530" s="14" t="n">
        <v>45090</v>
      </c>
      <c r="C530" s="1" t="n">
        <v>1817</v>
      </c>
      <c r="D530" s="1" t="s">
        <v>34</v>
      </c>
      <c r="E530" s="1" t="s">
        <v>28</v>
      </c>
      <c r="F530" s="1" t="n">
        <v>1</v>
      </c>
      <c r="G530" s="15" t="n">
        <v>534.66</v>
      </c>
      <c r="H530" s="16" t="n">
        <v>0.05</v>
      </c>
      <c r="I530" s="1" t="s">
        <v>33</v>
      </c>
      <c r="J530" s="1" t="n">
        <v>3</v>
      </c>
      <c r="K530" s="1" t="n">
        <v>3.7</v>
      </c>
      <c r="L530" s="15" t="n">
        <v>507.93</v>
      </c>
      <c r="M530" s="15" t="n">
        <f aca="false">F530*G530</f>
        <v>534.66</v>
      </c>
      <c r="N530" s="15" t="n">
        <f aca="false">M530-L530</f>
        <v>26.73</v>
      </c>
      <c r="O530" s="1" t="n">
        <f aca="false">YEAR(B530)</f>
        <v>2023</v>
      </c>
      <c r="P530" s="1" t="n">
        <f aca="false">MONTH(B530)</f>
        <v>6</v>
      </c>
      <c r="Q530" s="1" t="str">
        <f aca="false">TEXT(B530,"mmm")</f>
        <v>Jun</v>
      </c>
      <c r="R530" s="1" t="str">
        <f aca="false">"Q"&amp;ROUNDUP(MONTH(B530)/3,0)</f>
        <v>Q2</v>
      </c>
    </row>
    <row r="531" customFormat="false" ht="15" hidden="false" customHeight="true" outlineLevel="0" collapsed="false">
      <c r="A531" s="1" t="n">
        <v>10530</v>
      </c>
      <c r="B531" s="14" t="n">
        <v>45091</v>
      </c>
      <c r="C531" s="1" t="n">
        <v>1920</v>
      </c>
      <c r="D531" s="1" t="s">
        <v>34</v>
      </c>
      <c r="E531" s="1" t="s">
        <v>36</v>
      </c>
      <c r="F531" s="1" t="n">
        <v>6</v>
      </c>
      <c r="G531" s="15" t="n">
        <v>241.74</v>
      </c>
      <c r="H531" s="16" t="n">
        <v>0.12</v>
      </c>
      <c r="I531" s="1" t="s">
        <v>33</v>
      </c>
      <c r="J531" s="1" t="n">
        <v>11</v>
      </c>
      <c r="K531" s="1" t="n">
        <v>4.2</v>
      </c>
      <c r="L531" s="15" t="n">
        <v>1276.39</v>
      </c>
      <c r="M531" s="15" t="n">
        <f aca="false">F531*G531</f>
        <v>1450.44</v>
      </c>
      <c r="N531" s="15" t="n">
        <f aca="false">M531-L531</f>
        <v>174.05</v>
      </c>
      <c r="O531" s="1" t="n">
        <f aca="false">YEAR(B531)</f>
        <v>2023</v>
      </c>
      <c r="P531" s="1" t="n">
        <f aca="false">MONTH(B531)</f>
        <v>6</v>
      </c>
      <c r="Q531" s="1" t="str">
        <f aca="false">TEXT(B531,"mmm")</f>
        <v>Jun</v>
      </c>
      <c r="R531" s="1" t="str">
        <f aca="false">"Q"&amp;ROUNDUP(MONTH(B531)/3,0)</f>
        <v>Q2</v>
      </c>
    </row>
    <row r="532" customFormat="false" ht="15" hidden="false" customHeight="true" outlineLevel="0" collapsed="false">
      <c r="A532" s="1" t="n">
        <v>10531</v>
      </c>
      <c r="B532" s="14" t="n">
        <v>45092</v>
      </c>
      <c r="C532" s="1" t="n">
        <v>1407</v>
      </c>
      <c r="D532" s="1" t="s">
        <v>30</v>
      </c>
      <c r="E532" s="1" t="s">
        <v>32</v>
      </c>
      <c r="F532" s="1" t="n">
        <v>1</v>
      </c>
      <c r="G532" s="15" t="n">
        <v>352.09</v>
      </c>
      <c r="H532" s="16" t="n">
        <v>0.15</v>
      </c>
      <c r="I532" s="1" t="s">
        <v>31</v>
      </c>
      <c r="J532" s="1" t="n">
        <v>1</v>
      </c>
      <c r="K532" s="1" t="n">
        <v>3.6</v>
      </c>
      <c r="L532" s="15" t="n">
        <v>299.28</v>
      </c>
      <c r="M532" s="15" t="n">
        <f aca="false">F532*G532</f>
        <v>352.09</v>
      </c>
      <c r="N532" s="15" t="n">
        <f aca="false">M532-L532</f>
        <v>52.81</v>
      </c>
      <c r="O532" s="1" t="n">
        <f aca="false">YEAR(B532)</f>
        <v>2023</v>
      </c>
      <c r="P532" s="1" t="n">
        <f aca="false">MONTH(B532)</f>
        <v>6</v>
      </c>
      <c r="Q532" s="1" t="str">
        <f aca="false">TEXT(B532,"mmm")</f>
        <v>Jun</v>
      </c>
      <c r="R532" s="1" t="str">
        <f aca="false">"Q"&amp;ROUNDUP(MONTH(B532)/3,0)</f>
        <v>Q2</v>
      </c>
    </row>
    <row r="533" customFormat="false" ht="15" hidden="false" customHeight="true" outlineLevel="0" collapsed="false">
      <c r="A533" s="1" t="n">
        <v>10532</v>
      </c>
      <c r="B533" s="14" t="n">
        <v>45093</v>
      </c>
      <c r="C533" s="1" t="n">
        <v>1524</v>
      </c>
      <c r="D533" s="1" t="s">
        <v>34</v>
      </c>
      <c r="E533" s="1" t="s">
        <v>32</v>
      </c>
      <c r="F533" s="1" t="n">
        <v>7</v>
      </c>
      <c r="G533" s="15" t="n">
        <v>501.39</v>
      </c>
      <c r="H533" s="16" t="n">
        <v>0.07</v>
      </c>
      <c r="I533" s="1" t="s">
        <v>29</v>
      </c>
      <c r="J533" s="1" t="n">
        <v>9</v>
      </c>
      <c r="K533" s="1" t="n">
        <v>4.2</v>
      </c>
      <c r="L533" s="15" t="n">
        <v>3264.05</v>
      </c>
      <c r="M533" s="15" t="n">
        <f aca="false">F533*G533</f>
        <v>3509.73</v>
      </c>
      <c r="N533" s="15" t="n">
        <f aca="false">M533-L533</f>
        <v>245.68</v>
      </c>
      <c r="O533" s="1" t="n">
        <f aca="false">YEAR(B533)</f>
        <v>2023</v>
      </c>
      <c r="P533" s="1" t="n">
        <f aca="false">MONTH(B533)</f>
        <v>6</v>
      </c>
      <c r="Q533" s="1" t="str">
        <f aca="false">TEXT(B533,"mmm")</f>
        <v>Jun</v>
      </c>
      <c r="R533" s="1" t="str">
        <f aca="false">"Q"&amp;ROUNDUP(MONTH(B533)/3,0)</f>
        <v>Q2</v>
      </c>
    </row>
    <row r="534" customFormat="false" ht="15" hidden="false" customHeight="true" outlineLevel="0" collapsed="false">
      <c r="A534" s="1" t="n">
        <v>10533</v>
      </c>
      <c r="B534" s="14" t="n">
        <v>45094</v>
      </c>
      <c r="C534" s="1" t="n">
        <v>1827</v>
      </c>
      <c r="D534" s="1" t="s">
        <v>37</v>
      </c>
      <c r="E534" s="1" t="s">
        <v>36</v>
      </c>
      <c r="F534" s="1" t="n">
        <v>7</v>
      </c>
      <c r="G534" s="15" t="n">
        <v>125.21</v>
      </c>
      <c r="H534" s="16" t="n">
        <v>0.16</v>
      </c>
      <c r="I534" s="1" t="s">
        <v>31</v>
      </c>
      <c r="J534" s="1" t="n">
        <v>8</v>
      </c>
      <c r="K534" s="1" t="n">
        <v>1.8</v>
      </c>
      <c r="L534" s="15" t="n">
        <v>736.23</v>
      </c>
      <c r="M534" s="15" t="n">
        <f aca="false">F534*G534</f>
        <v>876.47</v>
      </c>
      <c r="N534" s="15" t="n">
        <f aca="false">M534-L534</f>
        <v>140.24</v>
      </c>
      <c r="O534" s="1" t="n">
        <f aca="false">YEAR(B534)</f>
        <v>2023</v>
      </c>
      <c r="P534" s="1" t="n">
        <f aca="false">MONTH(B534)</f>
        <v>6</v>
      </c>
      <c r="Q534" s="1" t="str">
        <f aca="false">TEXT(B534,"mmm")</f>
        <v>Jun</v>
      </c>
      <c r="R534" s="1" t="str">
        <f aca="false">"Q"&amp;ROUNDUP(MONTH(B534)/3,0)</f>
        <v>Q2</v>
      </c>
    </row>
    <row r="535" customFormat="false" ht="15" hidden="false" customHeight="true" outlineLevel="0" collapsed="false">
      <c r="A535" s="1" t="n">
        <v>10534</v>
      </c>
      <c r="B535" s="14" t="n">
        <v>45095</v>
      </c>
      <c r="C535" s="1" t="n">
        <v>1505</v>
      </c>
      <c r="D535" s="1" t="s">
        <v>27</v>
      </c>
      <c r="E535" s="1" t="s">
        <v>32</v>
      </c>
      <c r="F535" s="1" t="n">
        <v>4</v>
      </c>
      <c r="G535" s="15" t="n">
        <v>473.94</v>
      </c>
      <c r="H535" s="16" t="n">
        <v>0.06</v>
      </c>
      <c r="I535" s="1" t="s">
        <v>31</v>
      </c>
      <c r="J535" s="1" t="n">
        <v>6</v>
      </c>
      <c r="K535" s="1" t="n">
        <v>2.1</v>
      </c>
      <c r="L535" s="15" t="n">
        <v>1782.01</v>
      </c>
      <c r="M535" s="15" t="n">
        <f aca="false">F535*G535</f>
        <v>1895.76</v>
      </c>
      <c r="N535" s="15" t="n">
        <f aca="false">M535-L535</f>
        <v>113.75</v>
      </c>
      <c r="O535" s="1" t="n">
        <f aca="false">YEAR(B535)</f>
        <v>2023</v>
      </c>
      <c r="P535" s="1" t="n">
        <f aca="false">MONTH(B535)</f>
        <v>6</v>
      </c>
      <c r="Q535" s="1" t="str">
        <f aca="false">TEXT(B535,"mmm")</f>
        <v>Jun</v>
      </c>
      <c r="R535" s="1" t="str">
        <f aca="false">"Q"&amp;ROUNDUP(MONTH(B535)/3,0)</f>
        <v>Q2</v>
      </c>
    </row>
    <row r="536" customFormat="false" ht="15" hidden="false" customHeight="true" outlineLevel="0" collapsed="false">
      <c r="A536" s="1" t="n">
        <v>10535</v>
      </c>
      <c r="B536" s="14" t="n">
        <v>45096</v>
      </c>
      <c r="C536" s="1" t="n">
        <v>1902</v>
      </c>
      <c r="D536" s="1" t="s">
        <v>30</v>
      </c>
      <c r="E536" s="1" t="s">
        <v>36</v>
      </c>
      <c r="F536" s="1" t="n">
        <v>3</v>
      </c>
      <c r="G536" s="15" t="n">
        <v>363.76</v>
      </c>
      <c r="H536" s="16" t="n">
        <v>0.2</v>
      </c>
      <c r="I536" s="1" t="s">
        <v>29</v>
      </c>
      <c r="J536" s="1" t="n">
        <v>6</v>
      </c>
      <c r="K536" s="1" t="n">
        <v>1.9</v>
      </c>
      <c r="L536" s="15" t="n">
        <v>873.02</v>
      </c>
      <c r="M536" s="15" t="n">
        <f aca="false">F536*G536</f>
        <v>1091.28</v>
      </c>
      <c r="N536" s="15" t="n">
        <f aca="false">M536-L536</f>
        <v>218.26</v>
      </c>
      <c r="O536" s="1" t="n">
        <f aca="false">YEAR(B536)</f>
        <v>2023</v>
      </c>
      <c r="P536" s="1" t="n">
        <f aca="false">MONTH(B536)</f>
        <v>6</v>
      </c>
      <c r="Q536" s="1" t="str">
        <f aca="false">TEXT(B536,"mmm")</f>
        <v>Jun</v>
      </c>
      <c r="R536" s="1" t="str">
        <f aca="false">"Q"&amp;ROUNDUP(MONTH(B536)/3,0)</f>
        <v>Q2</v>
      </c>
    </row>
    <row r="537" customFormat="false" ht="15" hidden="false" customHeight="true" outlineLevel="0" collapsed="false">
      <c r="A537" s="1" t="n">
        <v>10536</v>
      </c>
      <c r="B537" s="14" t="n">
        <v>45097</v>
      </c>
      <c r="C537" s="1" t="n">
        <v>1824</v>
      </c>
      <c r="D537" s="1" t="s">
        <v>34</v>
      </c>
      <c r="E537" s="1" t="s">
        <v>28</v>
      </c>
      <c r="F537" s="1" t="n">
        <v>3</v>
      </c>
      <c r="G537" s="15" t="n">
        <v>537.6</v>
      </c>
      <c r="H537" s="16" t="n">
        <v>0.23</v>
      </c>
      <c r="I537" s="1" t="s">
        <v>31</v>
      </c>
      <c r="J537" s="1" t="n">
        <v>4</v>
      </c>
      <c r="K537" s="1" t="n">
        <v>4.2</v>
      </c>
      <c r="L537" s="15" t="n">
        <v>1241.86</v>
      </c>
      <c r="M537" s="15" t="n">
        <f aca="false">F537*G537</f>
        <v>1612.8</v>
      </c>
      <c r="N537" s="15" t="n">
        <f aca="false">M537-L537</f>
        <v>370.94</v>
      </c>
      <c r="O537" s="1" t="n">
        <f aca="false">YEAR(B537)</f>
        <v>2023</v>
      </c>
      <c r="P537" s="1" t="n">
        <f aca="false">MONTH(B537)</f>
        <v>6</v>
      </c>
      <c r="Q537" s="1" t="str">
        <f aca="false">TEXT(B537,"mmm")</f>
        <v>Jun</v>
      </c>
      <c r="R537" s="1" t="str">
        <f aca="false">"Q"&amp;ROUNDUP(MONTH(B537)/3,0)</f>
        <v>Q2</v>
      </c>
    </row>
    <row r="538" customFormat="false" ht="15" hidden="false" customHeight="true" outlineLevel="0" collapsed="false">
      <c r="A538" s="1" t="n">
        <v>10537</v>
      </c>
      <c r="B538" s="14" t="n">
        <v>45098</v>
      </c>
      <c r="C538" s="1" t="n">
        <v>1035</v>
      </c>
      <c r="D538" s="1" t="s">
        <v>30</v>
      </c>
      <c r="E538" s="1" t="s">
        <v>28</v>
      </c>
      <c r="F538" s="1" t="n">
        <v>7</v>
      </c>
      <c r="G538" s="15" t="n">
        <v>115.6</v>
      </c>
      <c r="H538" s="16" t="n">
        <v>0.02</v>
      </c>
      <c r="I538" s="1" t="s">
        <v>29</v>
      </c>
      <c r="J538" s="1" t="n">
        <v>2</v>
      </c>
      <c r="K538" s="1" t="n">
        <v>1.3</v>
      </c>
      <c r="L538" s="15" t="n">
        <v>793.02</v>
      </c>
      <c r="M538" s="15" t="n">
        <f aca="false">F538*G538</f>
        <v>809.2</v>
      </c>
      <c r="N538" s="15" t="n">
        <f aca="false">M538-L538</f>
        <v>16.18</v>
      </c>
      <c r="O538" s="1" t="n">
        <f aca="false">YEAR(B538)</f>
        <v>2023</v>
      </c>
      <c r="P538" s="1" t="n">
        <f aca="false">MONTH(B538)</f>
        <v>6</v>
      </c>
      <c r="Q538" s="1" t="str">
        <f aca="false">TEXT(B538,"mmm")</f>
        <v>Jun</v>
      </c>
      <c r="R538" s="1" t="str">
        <f aca="false">"Q"&amp;ROUNDUP(MONTH(B538)/3,0)</f>
        <v>Q2</v>
      </c>
    </row>
    <row r="539" customFormat="false" ht="15" hidden="false" customHeight="true" outlineLevel="0" collapsed="false">
      <c r="A539" s="1" t="n">
        <v>10538</v>
      </c>
      <c r="B539" s="14" t="n">
        <v>45099</v>
      </c>
      <c r="C539" s="1" t="n">
        <v>1684</v>
      </c>
      <c r="D539" s="1" t="s">
        <v>37</v>
      </c>
      <c r="E539" s="1" t="s">
        <v>35</v>
      </c>
      <c r="F539" s="1" t="n">
        <v>3</v>
      </c>
      <c r="G539" s="15" t="n">
        <v>261.1</v>
      </c>
      <c r="H539" s="16" t="n">
        <v>0.3</v>
      </c>
      <c r="I539" s="1" t="s">
        <v>33</v>
      </c>
      <c r="J539" s="1" t="n">
        <v>4</v>
      </c>
      <c r="K539" s="1" t="n">
        <v>4.2</v>
      </c>
      <c r="L539" s="15" t="n">
        <v>548.31</v>
      </c>
      <c r="M539" s="15" t="n">
        <f aca="false">F539*G539</f>
        <v>783.3</v>
      </c>
      <c r="N539" s="15" t="n">
        <f aca="false">M539-L539</f>
        <v>234.99</v>
      </c>
      <c r="O539" s="1" t="n">
        <f aca="false">YEAR(B539)</f>
        <v>2023</v>
      </c>
      <c r="P539" s="1" t="n">
        <f aca="false">MONTH(B539)</f>
        <v>6</v>
      </c>
      <c r="Q539" s="1" t="str">
        <f aca="false">TEXT(B539,"mmm")</f>
        <v>Jun</v>
      </c>
      <c r="R539" s="1" t="str">
        <f aca="false">"Q"&amp;ROUNDUP(MONTH(B539)/3,0)</f>
        <v>Q2</v>
      </c>
    </row>
    <row r="540" customFormat="false" ht="15" hidden="false" customHeight="true" outlineLevel="0" collapsed="false">
      <c r="A540" s="1" t="n">
        <v>10539</v>
      </c>
      <c r="B540" s="14" t="n">
        <v>45100</v>
      </c>
      <c r="C540" s="1" t="n">
        <v>1019</v>
      </c>
      <c r="D540" s="1" t="s">
        <v>34</v>
      </c>
      <c r="E540" s="1" t="s">
        <v>36</v>
      </c>
      <c r="F540" s="1" t="n">
        <v>6</v>
      </c>
      <c r="G540" s="15" t="n">
        <v>502.21</v>
      </c>
      <c r="H540" s="16" t="n">
        <v>0.06</v>
      </c>
      <c r="I540" s="1" t="s">
        <v>31</v>
      </c>
      <c r="J540" s="1" t="n">
        <v>2</v>
      </c>
      <c r="K540" s="1" t="n">
        <v>2.6</v>
      </c>
      <c r="L540" s="15" t="n">
        <v>2832.46</v>
      </c>
      <c r="M540" s="15" t="n">
        <f aca="false">F540*G540</f>
        <v>3013.26</v>
      </c>
      <c r="N540" s="15" t="n">
        <f aca="false">M540-L540</f>
        <v>180.8</v>
      </c>
      <c r="O540" s="1" t="n">
        <f aca="false">YEAR(B540)</f>
        <v>2023</v>
      </c>
      <c r="P540" s="1" t="n">
        <f aca="false">MONTH(B540)</f>
        <v>6</v>
      </c>
      <c r="Q540" s="1" t="str">
        <f aca="false">TEXT(B540,"mmm")</f>
        <v>Jun</v>
      </c>
      <c r="R540" s="1" t="str">
        <f aca="false">"Q"&amp;ROUNDUP(MONTH(B540)/3,0)</f>
        <v>Q2</v>
      </c>
    </row>
    <row r="541" customFormat="false" ht="15" hidden="false" customHeight="true" outlineLevel="0" collapsed="false">
      <c r="A541" s="1" t="n">
        <v>10540</v>
      </c>
      <c r="B541" s="14" t="n">
        <v>45101</v>
      </c>
      <c r="C541" s="1" t="n">
        <v>1320</v>
      </c>
      <c r="D541" s="1" t="s">
        <v>30</v>
      </c>
      <c r="E541" s="1" t="s">
        <v>28</v>
      </c>
      <c r="F541" s="1" t="n">
        <v>2</v>
      </c>
      <c r="G541" s="15" t="n">
        <v>26.25</v>
      </c>
      <c r="H541" s="16" t="n">
        <v>0.08</v>
      </c>
      <c r="I541" s="1" t="s">
        <v>33</v>
      </c>
      <c r="J541" s="1" t="n">
        <v>7</v>
      </c>
      <c r="K541" s="1" t="n">
        <v>1.3</v>
      </c>
      <c r="L541" s="15" t="n">
        <v>48.3</v>
      </c>
      <c r="M541" s="15" t="n">
        <f aca="false">F541*G541</f>
        <v>52.5</v>
      </c>
      <c r="N541" s="15" t="n">
        <f aca="false">M541-L541</f>
        <v>4.2</v>
      </c>
      <c r="O541" s="1" t="n">
        <f aca="false">YEAR(B541)</f>
        <v>2023</v>
      </c>
      <c r="P541" s="1" t="n">
        <f aca="false">MONTH(B541)</f>
        <v>6</v>
      </c>
      <c r="Q541" s="1" t="str">
        <f aca="false">TEXT(B541,"mmm")</f>
        <v>Jun</v>
      </c>
      <c r="R541" s="1" t="str">
        <f aca="false">"Q"&amp;ROUNDUP(MONTH(B541)/3,0)</f>
        <v>Q2</v>
      </c>
    </row>
    <row r="542" customFormat="false" ht="15" hidden="false" customHeight="true" outlineLevel="0" collapsed="false">
      <c r="A542" s="1" t="n">
        <v>10541</v>
      </c>
      <c r="B542" s="14" t="n">
        <v>45102</v>
      </c>
      <c r="C542" s="1" t="n">
        <v>1775</v>
      </c>
      <c r="D542" s="1" t="s">
        <v>30</v>
      </c>
      <c r="E542" s="1" t="s">
        <v>28</v>
      </c>
      <c r="F542" s="1" t="n">
        <v>5</v>
      </c>
      <c r="G542" s="15" t="n">
        <v>80.64</v>
      </c>
      <c r="H542" s="16" t="n">
        <v>0.23</v>
      </c>
      <c r="I542" s="1" t="s">
        <v>29</v>
      </c>
      <c r="J542" s="1" t="n">
        <v>9</v>
      </c>
      <c r="K542" s="1" t="n">
        <v>2.7</v>
      </c>
      <c r="L542" s="15" t="n">
        <v>310.46</v>
      </c>
      <c r="M542" s="15" t="n">
        <f aca="false">F542*G542</f>
        <v>403.2</v>
      </c>
      <c r="N542" s="15" t="n">
        <f aca="false">M542-L542</f>
        <v>92.74</v>
      </c>
      <c r="O542" s="1" t="n">
        <f aca="false">YEAR(B542)</f>
        <v>2023</v>
      </c>
      <c r="P542" s="1" t="n">
        <f aca="false">MONTH(B542)</f>
        <v>6</v>
      </c>
      <c r="Q542" s="1" t="str">
        <f aca="false">TEXT(B542,"mmm")</f>
        <v>Jun</v>
      </c>
      <c r="R542" s="1" t="str">
        <f aca="false">"Q"&amp;ROUNDUP(MONTH(B542)/3,0)</f>
        <v>Q2</v>
      </c>
    </row>
    <row r="543" customFormat="false" ht="15" hidden="false" customHeight="true" outlineLevel="0" collapsed="false">
      <c r="A543" s="1" t="n">
        <v>10542</v>
      </c>
      <c r="B543" s="14" t="n">
        <v>45103</v>
      </c>
      <c r="C543" s="1" t="n">
        <v>1511</v>
      </c>
      <c r="D543" s="1" t="s">
        <v>30</v>
      </c>
      <c r="E543" s="1" t="s">
        <v>36</v>
      </c>
      <c r="F543" s="1" t="n">
        <v>4</v>
      </c>
      <c r="G543" s="15" t="n">
        <v>594.48</v>
      </c>
      <c r="H543" s="16" t="n">
        <v>0.16</v>
      </c>
      <c r="I543" s="1" t="s">
        <v>31</v>
      </c>
      <c r="J543" s="1" t="n">
        <v>2</v>
      </c>
      <c r="K543" s="1" t="n">
        <v>2.2</v>
      </c>
      <c r="L543" s="15" t="n">
        <v>1997.45</v>
      </c>
      <c r="M543" s="15" t="n">
        <f aca="false">F543*G543</f>
        <v>2377.92</v>
      </c>
      <c r="N543" s="15" t="n">
        <f aca="false">M543-L543</f>
        <v>380.47</v>
      </c>
      <c r="O543" s="1" t="n">
        <f aca="false">YEAR(B543)</f>
        <v>2023</v>
      </c>
      <c r="P543" s="1" t="n">
        <f aca="false">MONTH(B543)</f>
        <v>6</v>
      </c>
      <c r="Q543" s="1" t="str">
        <f aca="false">TEXT(B543,"mmm")</f>
        <v>Jun</v>
      </c>
      <c r="R543" s="1" t="str">
        <f aca="false">"Q"&amp;ROUNDUP(MONTH(B543)/3,0)</f>
        <v>Q2</v>
      </c>
    </row>
    <row r="544" customFormat="false" ht="15" hidden="false" customHeight="true" outlineLevel="0" collapsed="false">
      <c r="A544" s="1" t="n">
        <v>10543</v>
      </c>
      <c r="B544" s="14" t="n">
        <v>45104</v>
      </c>
      <c r="C544" s="1" t="n">
        <v>1399</v>
      </c>
      <c r="D544" s="1" t="s">
        <v>34</v>
      </c>
      <c r="E544" s="1" t="s">
        <v>28</v>
      </c>
      <c r="F544" s="1" t="n">
        <v>2</v>
      </c>
      <c r="G544" s="15" t="n">
        <v>179.03</v>
      </c>
      <c r="H544" s="16" t="n">
        <v>0.17</v>
      </c>
      <c r="I544" s="1" t="s">
        <v>33</v>
      </c>
      <c r="J544" s="1" t="n">
        <v>9</v>
      </c>
      <c r="K544" s="1" t="n">
        <v>3.4</v>
      </c>
      <c r="L544" s="15" t="n">
        <v>297.19</v>
      </c>
      <c r="M544" s="15" t="n">
        <f aca="false">F544*G544</f>
        <v>358.06</v>
      </c>
      <c r="N544" s="15" t="n">
        <f aca="false">M544-L544</f>
        <v>60.87</v>
      </c>
      <c r="O544" s="1" t="n">
        <f aca="false">YEAR(B544)</f>
        <v>2023</v>
      </c>
      <c r="P544" s="1" t="n">
        <f aca="false">MONTH(B544)</f>
        <v>6</v>
      </c>
      <c r="Q544" s="1" t="str">
        <f aca="false">TEXT(B544,"mmm")</f>
        <v>Jun</v>
      </c>
      <c r="R544" s="1" t="str">
        <f aca="false">"Q"&amp;ROUNDUP(MONTH(B544)/3,0)</f>
        <v>Q2</v>
      </c>
    </row>
    <row r="545" customFormat="false" ht="15" hidden="false" customHeight="true" outlineLevel="0" collapsed="false">
      <c r="A545" s="1" t="n">
        <v>10544</v>
      </c>
      <c r="B545" s="14" t="n">
        <v>45105</v>
      </c>
      <c r="C545" s="1" t="n">
        <v>1653</v>
      </c>
      <c r="D545" s="1" t="s">
        <v>37</v>
      </c>
      <c r="E545" s="1" t="s">
        <v>32</v>
      </c>
      <c r="F545" s="1" t="n">
        <v>3</v>
      </c>
      <c r="G545" s="15" t="n">
        <v>585.69</v>
      </c>
      <c r="H545" s="16" t="n">
        <v>0.04</v>
      </c>
      <c r="I545" s="1" t="s">
        <v>29</v>
      </c>
      <c r="J545" s="1" t="n">
        <v>9</v>
      </c>
      <c r="K545" s="1" t="n">
        <v>2.9</v>
      </c>
      <c r="L545" s="15" t="n">
        <v>1686.79</v>
      </c>
      <c r="M545" s="15" t="n">
        <f aca="false">F545*G545</f>
        <v>1757.07</v>
      </c>
      <c r="N545" s="15" t="n">
        <f aca="false">M545-L545</f>
        <v>70.2800000000002</v>
      </c>
      <c r="O545" s="1" t="n">
        <f aca="false">YEAR(B545)</f>
        <v>2023</v>
      </c>
      <c r="P545" s="1" t="n">
        <f aca="false">MONTH(B545)</f>
        <v>6</v>
      </c>
      <c r="Q545" s="1" t="str">
        <f aca="false">TEXT(B545,"mmm")</f>
        <v>Jun</v>
      </c>
      <c r="R545" s="1" t="str">
        <f aca="false">"Q"&amp;ROUNDUP(MONTH(B545)/3,0)</f>
        <v>Q2</v>
      </c>
    </row>
    <row r="546" customFormat="false" ht="15" hidden="false" customHeight="true" outlineLevel="0" collapsed="false">
      <c r="A546" s="1" t="n">
        <v>10545</v>
      </c>
      <c r="B546" s="14" t="n">
        <v>45106</v>
      </c>
      <c r="C546" s="1" t="n">
        <v>1971</v>
      </c>
      <c r="D546" s="1" t="s">
        <v>34</v>
      </c>
      <c r="E546" s="1" t="s">
        <v>28</v>
      </c>
      <c r="F546" s="1" t="n">
        <v>4</v>
      </c>
      <c r="G546" s="15" t="n">
        <v>121.78</v>
      </c>
      <c r="H546" s="16" t="n">
        <v>0.28</v>
      </c>
      <c r="I546" s="1" t="s">
        <v>31</v>
      </c>
      <c r="J546" s="1" t="n">
        <v>8</v>
      </c>
      <c r="K546" s="1" t="n">
        <v>2.2</v>
      </c>
      <c r="L546" s="15" t="n">
        <v>350.73</v>
      </c>
      <c r="M546" s="15" t="n">
        <f aca="false">F546*G546</f>
        <v>487.12</v>
      </c>
      <c r="N546" s="15" t="n">
        <f aca="false">M546-L546</f>
        <v>136.39</v>
      </c>
      <c r="O546" s="1" t="n">
        <f aca="false">YEAR(B546)</f>
        <v>2023</v>
      </c>
      <c r="P546" s="1" t="n">
        <f aca="false">MONTH(B546)</f>
        <v>6</v>
      </c>
      <c r="Q546" s="1" t="str">
        <f aca="false">TEXT(B546,"mmm")</f>
        <v>Jun</v>
      </c>
      <c r="R546" s="1" t="str">
        <f aca="false">"Q"&amp;ROUNDUP(MONTH(B546)/3,0)</f>
        <v>Q2</v>
      </c>
    </row>
    <row r="547" customFormat="false" ht="15" hidden="false" customHeight="true" outlineLevel="0" collapsed="false">
      <c r="A547" s="1" t="n">
        <v>10546</v>
      </c>
      <c r="B547" s="14" t="n">
        <v>45107</v>
      </c>
      <c r="C547" s="1" t="n">
        <v>1882</v>
      </c>
      <c r="D547" s="1" t="s">
        <v>34</v>
      </c>
      <c r="E547" s="1" t="s">
        <v>36</v>
      </c>
      <c r="F547" s="1" t="n">
        <v>2</v>
      </c>
      <c r="G547" s="15" t="n">
        <v>226.24</v>
      </c>
      <c r="H547" s="16" t="n">
        <v>0.22</v>
      </c>
      <c r="I547" s="1" t="s">
        <v>31</v>
      </c>
      <c r="J547" s="1" t="n">
        <v>1</v>
      </c>
      <c r="K547" s="1" t="n">
        <v>4.4</v>
      </c>
      <c r="L547" s="15" t="n">
        <v>352.93</v>
      </c>
      <c r="M547" s="15" t="n">
        <f aca="false">F547*G547</f>
        <v>452.48</v>
      </c>
      <c r="N547" s="15" t="n">
        <f aca="false">M547-L547</f>
        <v>99.55</v>
      </c>
      <c r="O547" s="1" t="n">
        <f aca="false">YEAR(B547)</f>
        <v>2023</v>
      </c>
      <c r="P547" s="1" t="n">
        <f aca="false">MONTH(B547)</f>
        <v>6</v>
      </c>
      <c r="Q547" s="1" t="str">
        <f aca="false">TEXT(B547,"mmm")</f>
        <v>Jun</v>
      </c>
      <c r="R547" s="1" t="str">
        <f aca="false">"Q"&amp;ROUNDUP(MONTH(B547)/3,0)</f>
        <v>Q2</v>
      </c>
    </row>
    <row r="548" customFormat="false" ht="15" hidden="false" customHeight="true" outlineLevel="0" collapsed="false">
      <c r="A548" s="1" t="n">
        <v>10547</v>
      </c>
      <c r="B548" s="14" t="n">
        <v>45108</v>
      </c>
      <c r="C548" s="1" t="n">
        <v>1470</v>
      </c>
      <c r="D548" s="1" t="s">
        <v>27</v>
      </c>
      <c r="E548" s="1" t="s">
        <v>32</v>
      </c>
      <c r="F548" s="1" t="n">
        <v>1</v>
      </c>
      <c r="G548" s="15" t="n">
        <v>455.43</v>
      </c>
      <c r="H548" s="16" t="n">
        <v>0.05</v>
      </c>
      <c r="I548" s="1" t="s">
        <v>31</v>
      </c>
      <c r="J548" s="1" t="n">
        <v>5</v>
      </c>
      <c r="K548" s="1" t="n">
        <v>2.6</v>
      </c>
      <c r="L548" s="15" t="n">
        <v>432.66</v>
      </c>
      <c r="M548" s="15" t="n">
        <f aca="false">F548*G548</f>
        <v>455.43</v>
      </c>
      <c r="N548" s="15" t="n">
        <f aca="false">M548-L548</f>
        <v>22.77</v>
      </c>
      <c r="O548" s="1" t="n">
        <f aca="false">YEAR(B548)</f>
        <v>2023</v>
      </c>
      <c r="P548" s="1" t="n">
        <f aca="false">MONTH(B548)</f>
        <v>7</v>
      </c>
      <c r="Q548" s="1" t="str">
        <f aca="false">TEXT(B548,"mmm")</f>
        <v>Jul</v>
      </c>
      <c r="R548" s="1" t="str">
        <f aca="false">"Q"&amp;ROUNDUP(MONTH(B548)/3,0)</f>
        <v>Q3</v>
      </c>
    </row>
    <row r="549" customFormat="false" ht="15" hidden="false" customHeight="true" outlineLevel="0" collapsed="false">
      <c r="A549" s="1" t="n">
        <v>10548</v>
      </c>
      <c r="B549" s="14" t="n">
        <v>45109</v>
      </c>
      <c r="C549" s="1" t="n">
        <v>1142</v>
      </c>
      <c r="D549" s="1" t="s">
        <v>37</v>
      </c>
      <c r="E549" s="1" t="s">
        <v>32</v>
      </c>
      <c r="F549" s="1" t="n">
        <v>3</v>
      </c>
      <c r="G549" s="15" t="n">
        <v>399.8</v>
      </c>
      <c r="H549" s="16" t="n">
        <v>0.13</v>
      </c>
      <c r="I549" s="1" t="s">
        <v>31</v>
      </c>
      <c r="J549" s="1" t="n">
        <v>10</v>
      </c>
      <c r="K549" s="1" t="n">
        <v>2.9</v>
      </c>
      <c r="L549" s="15" t="n">
        <v>1043.48</v>
      </c>
      <c r="M549" s="15" t="n">
        <f aca="false">F549*G549</f>
        <v>1199.4</v>
      </c>
      <c r="N549" s="15" t="n">
        <f aca="false">M549-L549</f>
        <v>155.92</v>
      </c>
      <c r="O549" s="1" t="n">
        <f aca="false">YEAR(B549)</f>
        <v>2023</v>
      </c>
      <c r="P549" s="1" t="n">
        <f aca="false">MONTH(B549)</f>
        <v>7</v>
      </c>
      <c r="Q549" s="1" t="str">
        <f aca="false">TEXT(B549,"mmm")</f>
        <v>Jul</v>
      </c>
      <c r="R549" s="1" t="str">
        <f aca="false">"Q"&amp;ROUNDUP(MONTH(B549)/3,0)</f>
        <v>Q3</v>
      </c>
    </row>
    <row r="550" customFormat="false" ht="15" hidden="false" customHeight="true" outlineLevel="0" collapsed="false">
      <c r="A550" s="1" t="n">
        <v>10549</v>
      </c>
      <c r="B550" s="14" t="n">
        <v>45110</v>
      </c>
      <c r="C550" s="1" t="n">
        <v>1091</v>
      </c>
      <c r="D550" s="1" t="s">
        <v>34</v>
      </c>
      <c r="E550" s="1" t="s">
        <v>28</v>
      </c>
      <c r="F550" s="1" t="n">
        <v>2</v>
      </c>
      <c r="G550" s="15" t="n">
        <v>354.96</v>
      </c>
      <c r="H550" s="16" t="n">
        <v>0.28</v>
      </c>
      <c r="I550" s="1" t="s">
        <v>31</v>
      </c>
      <c r="J550" s="1" t="n">
        <v>11</v>
      </c>
      <c r="K550" s="1" t="n">
        <v>4.4</v>
      </c>
      <c r="L550" s="15" t="n">
        <v>511.14</v>
      </c>
      <c r="M550" s="15" t="n">
        <f aca="false">F550*G550</f>
        <v>709.92</v>
      </c>
      <c r="N550" s="15" t="n">
        <f aca="false">M550-L550</f>
        <v>198.78</v>
      </c>
      <c r="O550" s="1" t="n">
        <f aca="false">YEAR(B550)</f>
        <v>2023</v>
      </c>
      <c r="P550" s="1" t="n">
        <f aca="false">MONTH(B550)</f>
        <v>7</v>
      </c>
      <c r="Q550" s="1" t="str">
        <f aca="false">TEXT(B550,"mmm")</f>
        <v>Jul</v>
      </c>
      <c r="R550" s="1" t="str">
        <f aca="false">"Q"&amp;ROUNDUP(MONTH(B550)/3,0)</f>
        <v>Q3</v>
      </c>
    </row>
    <row r="551" customFormat="false" ht="15" hidden="false" customHeight="true" outlineLevel="0" collapsed="false">
      <c r="A551" s="1" t="n">
        <v>10550</v>
      </c>
      <c r="B551" s="14" t="n">
        <v>45111</v>
      </c>
      <c r="C551" s="1" t="n">
        <v>1353</v>
      </c>
      <c r="D551" s="1" t="s">
        <v>34</v>
      </c>
      <c r="E551" s="1" t="s">
        <v>35</v>
      </c>
      <c r="F551" s="1" t="n">
        <v>6</v>
      </c>
      <c r="G551" s="15" t="n">
        <v>324.99</v>
      </c>
      <c r="H551" s="16" t="n">
        <v>0.2</v>
      </c>
      <c r="I551" s="1" t="s">
        <v>33</v>
      </c>
      <c r="J551" s="1" t="n">
        <v>4</v>
      </c>
      <c r="K551" s="1" t="n">
        <v>1.4</v>
      </c>
      <c r="L551" s="15" t="n">
        <v>1559.95</v>
      </c>
      <c r="M551" s="15" t="n">
        <f aca="false">F551*G551</f>
        <v>1949.94</v>
      </c>
      <c r="N551" s="15" t="n">
        <f aca="false">M551-L551</f>
        <v>389.99</v>
      </c>
      <c r="O551" s="1" t="n">
        <f aca="false">YEAR(B551)</f>
        <v>2023</v>
      </c>
      <c r="P551" s="1" t="n">
        <f aca="false">MONTH(B551)</f>
        <v>7</v>
      </c>
      <c r="Q551" s="1" t="str">
        <f aca="false">TEXT(B551,"mmm")</f>
        <v>Jul</v>
      </c>
      <c r="R551" s="1" t="str">
        <f aca="false">"Q"&amp;ROUNDUP(MONTH(B551)/3,0)</f>
        <v>Q3</v>
      </c>
    </row>
    <row r="552" customFormat="false" ht="15" hidden="false" customHeight="true" outlineLevel="0" collapsed="false">
      <c r="A552" s="1" t="n">
        <v>10551</v>
      </c>
      <c r="B552" s="14" t="n">
        <v>45112</v>
      </c>
      <c r="C552" s="1" t="n">
        <v>1833</v>
      </c>
      <c r="D552" s="1" t="s">
        <v>34</v>
      </c>
      <c r="E552" s="1" t="s">
        <v>32</v>
      </c>
      <c r="F552" s="1" t="n">
        <v>1</v>
      </c>
      <c r="G552" s="15" t="n">
        <v>508.41</v>
      </c>
      <c r="H552" s="16" t="n">
        <v>0.04</v>
      </c>
      <c r="I552" s="1" t="s">
        <v>31</v>
      </c>
      <c r="J552" s="1" t="n">
        <v>7</v>
      </c>
      <c r="K552" s="1" t="n">
        <v>2.6</v>
      </c>
      <c r="L552" s="15" t="n">
        <v>488.07</v>
      </c>
      <c r="M552" s="15" t="n">
        <f aca="false">F552*G552</f>
        <v>508.41</v>
      </c>
      <c r="N552" s="15" t="n">
        <f aca="false">M552-L552</f>
        <v>20.34</v>
      </c>
      <c r="O552" s="1" t="n">
        <f aca="false">YEAR(B552)</f>
        <v>2023</v>
      </c>
      <c r="P552" s="1" t="n">
        <f aca="false">MONTH(B552)</f>
        <v>7</v>
      </c>
      <c r="Q552" s="1" t="str">
        <f aca="false">TEXT(B552,"mmm")</f>
        <v>Jul</v>
      </c>
      <c r="R552" s="1" t="str">
        <f aca="false">"Q"&amp;ROUNDUP(MONTH(B552)/3,0)</f>
        <v>Q3</v>
      </c>
    </row>
    <row r="553" customFormat="false" ht="15" hidden="false" customHeight="true" outlineLevel="0" collapsed="false">
      <c r="A553" s="1" t="n">
        <v>10552</v>
      </c>
      <c r="B553" s="14" t="n">
        <v>45113</v>
      </c>
      <c r="C553" s="1" t="n">
        <v>1799</v>
      </c>
      <c r="D553" s="1" t="s">
        <v>34</v>
      </c>
      <c r="E553" s="1" t="s">
        <v>36</v>
      </c>
      <c r="F553" s="1" t="n">
        <v>3</v>
      </c>
      <c r="G553" s="15" t="n">
        <v>152.44</v>
      </c>
      <c r="H553" s="16" t="n">
        <v>0.13</v>
      </c>
      <c r="I553" s="1" t="s">
        <v>29</v>
      </c>
      <c r="J553" s="1" t="n">
        <v>11</v>
      </c>
      <c r="K553" s="1" t="n">
        <v>2.6</v>
      </c>
      <c r="L553" s="15" t="n">
        <v>397.87</v>
      </c>
      <c r="M553" s="15" t="n">
        <f aca="false">F553*G553</f>
        <v>457.32</v>
      </c>
      <c r="N553" s="15" t="n">
        <f aca="false">M553-L553</f>
        <v>59.45</v>
      </c>
      <c r="O553" s="1" t="n">
        <f aca="false">YEAR(B553)</f>
        <v>2023</v>
      </c>
      <c r="P553" s="1" t="n">
        <f aca="false">MONTH(B553)</f>
        <v>7</v>
      </c>
      <c r="Q553" s="1" t="str">
        <f aca="false">TEXT(B553,"mmm")</f>
        <v>Jul</v>
      </c>
      <c r="R553" s="1" t="str">
        <f aca="false">"Q"&amp;ROUNDUP(MONTH(B553)/3,0)</f>
        <v>Q3</v>
      </c>
    </row>
    <row r="554" customFormat="false" ht="15" hidden="false" customHeight="true" outlineLevel="0" collapsed="false">
      <c r="A554" s="1" t="n">
        <v>10553</v>
      </c>
      <c r="B554" s="14" t="n">
        <v>45114</v>
      </c>
      <c r="C554" s="1" t="n">
        <v>1726</v>
      </c>
      <c r="D554" s="1" t="s">
        <v>34</v>
      </c>
      <c r="E554" s="1" t="s">
        <v>35</v>
      </c>
      <c r="F554" s="1" t="n">
        <v>5</v>
      </c>
      <c r="G554" s="15" t="n">
        <v>273.85</v>
      </c>
      <c r="H554" s="16" t="n">
        <v>0.08</v>
      </c>
      <c r="I554" s="1" t="s">
        <v>31</v>
      </c>
      <c r="J554" s="1" t="n">
        <v>8</v>
      </c>
      <c r="K554" s="1" t="n">
        <v>3</v>
      </c>
      <c r="L554" s="15" t="n">
        <v>1259.71</v>
      </c>
      <c r="M554" s="15" t="n">
        <f aca="false">F554*G554</f>
        <v>1369.25</v>
      </c>
      <c r="N554" s="15" t="n">
        <f aca="false">M554-L554</f>
        <v>109.54</v>
      </c>
      <c r="O554" s="1" t="n">
        <f aca="false">YEAR(B554)</f>
        <v>2023</v>
      </c>
      <c r="P554" s="1" t="n">
        <f aca="false">MONTH(B554)</f>
        <v>7</v>
      </c>
      <c r="Q554" s="1" t="str">
        <f aca="false">TEXT(B554,"mmm")</f>
        <v>Jul</v>
      </c>
      <c r="R554" s="1" t="str">
        <f aca="false">"Q"&amp;ROUNDUP(MONTH(B554)/3,0)</f>
        <v>Q3</v>
      </c>
    </row>
    <row r="555" customFormat="false" ht="15" hidden="false" customHeight="true" outlineLevel="0" collapsed="false">
      <c r="A555" s="1" t="n">
        <v>10554</v>
      </c>
      <c r="B555" s="14" t="n">
        <v>45115</v>
      </c>
      <c r="C555" s="1" t="n">
        <v>1958</v>
      </c>
      <c r="D555" s="1" t="s">
        <v>34</v>
      </c>
      <c r="E555" s="1" t="s">
        <v>35</v>
      </c>
      <c r="F555" s="1" t="n">
        <v>7</v>
      </c>
      <c r="G555" s="15" t="n">
        <v>105.94</v>
      </c>
      <c r="H555" s="16" t="n">
        <v>0.18</v>
      </c>
      <c r="I555" s="1" t="s">
        <v>33</v>
      </c>
      <c r="J555" s="1" t="n">
        <v>10</v>
      </c>
      <c r="K555" s="1" t="n">
        <v>1.4</v>
      </c>
      <c r="L555" s="15" t="n">
        <v>608.1</v>
      </c>
      <c r="M555" s="15" t="n">
        <f aca="false">F555*G555</f>
        <v>741.58</v>
      </c>
      <c r="N555" s="15" t="n">
        <f aca="false">M555-L555</f>
        <v>133.48</v>
      </c>
      <c r="O555" s="1" t="n">
        <f aca="false">YEAR(B555)</f>
        <v>2023</v>
      </c>
      <c r="P555" s="1" t="n">
        <f aca="false">MONTH(B555)</f>
        <v>7</v>
      </c>
      <c r="Q555" s="1" t="str">
        <f aca="false">TEXT(B555,"mmm")</f>
        <v>Jul</v>
      </c>
      <c r="R555" s="1" t="str">
        <f aca="false">"Q"&amp;ROUNDUP(MONTH(B555)/3,0)</f>
        <v>Q3</v>
      </c>
    </row>
    <row r="556" customFormat="false" ht="15" hidden="false" customHeight="true" outlineLevel="0" collapsed="false">
      <c r="A556" s="1" t="n">
        <v>10555</v>
      </c>
      <c r="B556" s="14" t="n">
        <v>45116</v>
      </c>
      <c r="C556" s="1" t="n">
        <v>1853</v>
      </c>
      <c r="D556" s="1" t="s">
        <v>30</v>
      </c>
      <c r="E556" s="1" t="s">
        <v>32</v>
      </c>
      <c r="F556" s="1" t="n">
        <v>3</v>
      </c>
      <c r="G556" s="15" t="n">
        <v>363.63</v>
      </c>
      <c r="H556" s="16" t="n">
        <v>0.3</v>
      </c>
      <c r="I556" s="1" t="s">
        <v>33</v>
      </c>
      <c r="J556" s="1" t="n">
        <v>11</v>
      </c>
      <c r="K556" s="1" t="n">
        <v>1.4</v>
      </c>
      <c r="L556" s="15" t="n">
        <v>763.62</v>
      </c>
      <c r="M556" s="15" t="n">
        <f aca="false">F556*G556</f>
        <v>1090.89</v>
      </c>
      <c r="N556" s="15" t="n">
        <f aca="false">M556-L556</f>
        <v>327.27</v>
      </c>
      <c r="O556" s="1" t="n">
        <f aca="false">YEAR(B556)</f>
        <v>2023</v>
      </c>
      <c r="P556" s="1" t="n">
        <f aca="false">MONTH(B556)</f>
        <v>7</v>
      </c>
      <c r="Q556" s="1" t="str">
        <f aca="false">TEXT(B556,"mmm")</f>
        <v>Jul</v>
      </c>
      <c r="R556" s="1" t="str">
        <f aca="false">"Q"&amp;ROUNDUP(MONTH(B556)/3,0)</f>
        <v>Q3</v>
      </c>
    </row>
    <row r="557" customFormat="false" ht="15" hidden="false" customHeight="true" outlineLevel="0" collapsed="false">
      <c r="A557" s="1" t="n">
        <v>10556</v>
      </c>
      <c r="B557" s="14" t="n">
        <v>45117</v>
      </c>
      <c r="C557" s="1" t="n">
        <v>1050</v>
      </c>
      <c r="D557" s="1" t="s">
        <v>37</v>
      </c>
      <c r="E557" s="1" t="s">
        <v>28</v>
      </c>
      <c r="F557" s="1" t="n">
        <v>6</v>
      </c>
      <c r="G557" s="15" t="n">
        <v>161.57</v>
      </c>
      <c r="H557" s="16" t="n">
        <v>0.15</v>
      </c>
      <c r="I557" s="1" t="s">
        <v>29</v>
      </c>
      <c r="J557" s="1" t="n">
        <v>8</v>
      </c>
      <c r="K557" s="1" t="n">
        <v>2.7</v>
      </c>
      <c r="L557" s="15" t="n">
        <v>824.01</v>
      </c>
      <c r="M557" s="15" t="n">
        <f aca="false">F557*G557</f>
        <v>969.42</v>
      </c>
      <c r="N557" s="15" t="n">
        <f aca="false">M557-L557</f>
        <v>145.41</v>
      </c>
      <c r="O557" s="1" t="n">
        <f aca="false">YEAR(B557)</f>
        <v>2023</v>
      </c>
      <c r="P557" s="1" t="n">
        <f aca="false">MONTH(B557)</f>
        <v>7</v>
      </c>
      <c r="Q557" s="1" t="str">
        <f aca="false">TEXT(B557,"mmm")</f>
        <v>Jul</v>
      </c>
      <c r="R557" s="1" t="str">
        <f aca="false">"Q"&amp;ROUNDUP(MONTH(B557)/3,0)</f>
        <v>Q3</v>
      </c>
    </row>
    <row r="558" customFormat="false" ht="15" hidden="false" customHeight="true" outlineLevel="0" collapsed="false">
      <c r="A558" s="1" t="n">
        <v>10557</v>
      </c>
      <c r="B558" s="14" t="n">
        <v>45118</v>
      </c>
      <c r="C558" s="1" t="n">
        <v>1664</v>
      </c>
      <c r="D558" s="1" t="s">
        <v>30</v>
      </c>
      <c r="E558" s="1" t="s">
        <v>35</v>
      </c>
      <c r="F558" s="1" t="n">
        <v>5</v>
      </c>
      <c r="G558" s="15" t="n">
        <v>210.3</v>
      </c>
      <c r="H558" s="16" t="n">
        <v>0.15</v>
      </c>
      <c r="I558" s="1" t="s">
        <v>33</v>
      </c>
      <c r="J558" s="1" t="n">
        <v>2</v>
      </c>
      <c r="K558" s="1" t="n">
        <v>1.1</v>
      </c>
      <c r="L558" s="15" t="n">
        <v>893.78</v>
      </c>
      <c r="M558" s="15" t="n">
        <f aca="false">F558*G558</f>
        <v>1051.5</v>
      </c>
      <c r="N558" s="15" t="n">
        <f aca="false">M558-L558</f>
        <v>157.72</v>
      </c>
      <c r="O558" s="1" t="n">
        <f aca="false">YEAR(B558)</f>
        <v>2023</v>
      </c>
      <c r="P558" s="1" t="n">
        <f aca="false">MONTH(B558)</f>
        <v>7</v>
      </c>
      <c r="Q558" s="1" t="str">
        <f aca="false">TEXT(B558,"mmm")</f>
        <v>Jul</v>
      </c>
      <c r="R558" s="1" t="str">
        <f aca="false">"Q"&amp;ROUNDUP(MONTH(B558)/3,0)</f>
        <v>Q3</v>
      </c>
    </row>
    <row r="559" customFormat="false" ht="15" hidden="false" customHeight="true" outlineLevel="0" collapsed="false">
      <c r="A559" s="1" t="n">
        <v>10558</v>
      </c>
      <c r="B559" s="14" t="n">
        <v>45119</v>
      </c>
      <c r="C559" s="1" t="n">
        <v>1697</v>
      </c>
      <c r="D559" s="1" t="s">
        <v>37</v>
      </c>
      <c r="E559" s="1" t="s">
        <v>28</v>
      </c>
      <c r="F559" s="1" t="n">
        <v>5</v>
      </c>
      <c r="G559" s="15" t="n">
        <v>290.68</v>
      </c>
      <c r="H559" s="16" t="n">
        <v>0.32</v>
      </c>
      <c r="I559" s="1" t="s">
        <v>31</v>
      </c>
      <c r="J559" s="1" t="n">
        <v>3</v>
      </c>
      <c r="K559" s="1" t="n">
        <v>2</v>
      </c>
      <c r="L559" s="15" t="n">
        <v>988.31</v>
      </c>
      <c r="M559" s="15" t="n">
        <f aca="false">F559*G559</f>
        <v>1453.4</v>
      </c>
      <c r="N559" s="15" t="n">
        <f aca="false">M559-L559</f>
        <v>465.09</v>
      </c>
      <c r="O559" s="1" t="n">
        <f aca="false">YEAR(B559)</f>
        <v>2023</v>
      </c>
      <c r="P559" s="1" t="n">
        <f aca="false">MONTH(B559)</f>
        <v>7</v>
      </c>
      <c r="Q559" s="1" t="str">
        <f aca="false">TEXT(B559,"mmm")</f>
        <v>Jul</v>
      </c>
      <c r="R559" s="1" t="str">
        <f aca="false">"Q"&amp;ROUNDUP(MONTH(B559)/3,0)</f>
        <v>Q3</v>
      </c>
    </row>
    <row r="560" customFormat="false" ht="15" hidden="false" customHeight="true" outlineLevel="0" collapsed="false">
      <c r="A560" s="1" t="n">
        <v>10559</v>
      </c>
      <c r="B560" s="14" t="n">
        <v>45120</v>
      </c>
      <c r="C560" s="1" t="n">
        <v>1574</v>
      </c>
      <c r="D560" s="1" t="s">
        <v>34</v>
      </c>
      <c r="E560" s="1" t="s">
        <v>32</v>
      </c>
      <c r="F560" s="1" t="n">
        <v>5</v>
      </c>
      <c r="G560" s="15" t="n">
        <v>30.66</v>
      </c>
      <c r="H560" s="16" t="n">
        <v>0.2</v>
      </c>
      <c r="I560" s="1" t="s">
        <v>29</v>
      </c>
      <c r="J560" s="1" t="n">
        <v>10</v>
      </c>
      <c r="K560" s="1" t="n">
        <v>1.8</v>
      </c>
      <c r="L560" s="15" t="n">
        <v>122.64</v>
      </c>
      <c r="M560" s="15" t="n">
        <f aca="false">F560*G560</f>
        <v>153.3</v>
      </c>
      <c r="N560" s="15" t="n">
        <f aca="false">M560-L560</f>
        <v>30.66</v>
      </c>
      <c r="O560" s="1" t="n">
        <f aca="false">YEAR(B560)</f>
        <v>2023</v>
      </c>
      <c r="P560" s="1" t="n">
        <f aca="false">MONTH(B560)</f>
        <v>7</v>
      </c>
      <c r="Q560" s="1" t="str">
        <f aca="false">TEXT(B560,"mmm")</f>
        <v>Jul</v>
      </c>
      <c r="R560" s="1" t="str">
        <f aca="false">"Q"&amp;ROUNDUP(MONTH(B560)/3,0)</f>
        <v>Q3</v>
      </c>
    </row>
    <row r="561" customFormat="false" ht="15" hidden="false" customHeight="true" outlineLevel="0" collapsed="false">
      <c r="A561" s="1" t="n">
        <v>10560</v>
      </c>
      <c r="B561" s="14" t="n">
        <v>45121</v>
      </c>
      <c r="C561" s="1" t="n">
        <v>1189</v>
      </c>
      <c r="D561" s="1" t="s">
        <v>27</v>
      </c>
      <c r="E561" s="1" t="s">
        <v>36</v>
      </c>
      <c r="F561" s="1" t="n">
        <v>4</v>
      </c>
      <c r="G561" s="15" t="n">
        <v>68.78</v>
      </c>
      <c r="H561" s="16" t="n">
        <v>0.2</v>
      </c>
      <c r="I561" s="1" t="s">
        <v>31</v>
      </c>
      <c r="J561" s="1" t="n">
        <v>10</v>
      </c>
      <c r="K561" s="1" t="n">
        <v>3</v>
      </c>
      <c r="L561" s="15" t="n">
        <v>220.1</v>
      </c>
      <c r="M561" s="15" t="n">
        <f aca="false">F561*G561</f>
        <v>275.12</v>
      </c>
      <c r="N561" s="15" t="n">
        <f aca="false">M561-L561</f>
        <v>55.02</v>
      </c>
      <c r="O561" s="1" t="n">
        <f aca="false">YEAR(B561)</f>
        <v>2023</v>
      </c>
      <c r="P561" s="1" t="n">
        <f aca="false">MONTH(B561)</f>
        <v>7</v>
      </c>
      <c r="Q561" s="1" t="str">
        <f aca="false">TEXT(B561,"mmm")</f>
        <v>Jul</v>
      </c>
      <c r="R561" s="1" t="str">
        <f aca="false">"Q"&amp;ROUNDUP(MONTH(B561)/3,0)</f>
        <v>Q3</v>
      </c>
    </row>
    <row r="562" customFormat="false" ht="15" hidden="false" customHeight="true" outlineLevel="0" collapsed="false">
      <c r="A562" s="1" t="n">
        <v>10561</v>
      </c>
      <c r="B562" s="14" t="n">
        <v>45122</v>
      </c>
      <c r="C562" s="1" t="n">
        <v>1124</v>
      </c>
      <c r="D562" s="1" t="s">
        <v>37</v>
      </c>
      <c r="E562" s="1" t="s">
        <v>35</v>
      </c>
      <c r="F562" s="1" t="n">
        <v>4</v>
      </c>
      <c r="G562" s="15" t="n">
        <v>416.27</v>
      </c>
      <c r="H562" s="16" t="n">
        <v>0.09</v>
      </c>
      <c r="I562" s="1" t="s">
        <v>31</v>
      </c>
      <c r="J562" s="1" t="n">
        <v>7</v>
      </c>
      <c r="K562" s="1" t="n">
        <v>1</v>
      </c>
      <c r="L562" s="15" t="n">
        <v>1515.22</v>
      </c>
      <c r="M562" s="15" t="n">
        <f aca="false">F562*G562</f>
        <v>1665.08</v>
      </c>
      <c r="N562" s="15" t="n">
        <f aca="false">M562-L562</f>
        <v>149.86</v>
      </c>
      <c r="O562" s="1" t="n">
        <f aca="false">YEAR(B562)</f>
        <v>2023</v>
      </c>
      <c r="P562" s="1" t="n">
        <f aca="false">MONTH(B562)</f>
        <v>7</v>
      </c>
      <c r="Q562" s="1" t="str">
        <f aca="false">TEXT(B562,"mmm")</f>
        <v>Jul</v>
      </c>
      <c r="R562" s="1" t="str">
        <f aca="false">"Q"&amp;ROUNDUP(MONTH(B562)/3,0)</f>
        <v>Q3</v>
      </c>
    </row>
    <row r="563" customFormat="false" ht="15" hidden="false" customHeight="true" outlineLevel="0" collapsed="false">
      <c r="A563" s="1" t="n">
        <v>10562</v>
      </c>
      <c r="B563" s="14" t="n">
        <v>45123</v>
      </c>
      <c r="C563" s="1" t="n">
        <v>1149</v>
      </c>
      <c r="D563" s="1" t="s">
        <v>37</v>
      </c>
      <c r="E563" s="1" t="s">
        <v>36</v>
      </c>
      <c r="F563" s="1" t="n">
        <v>7</v>
      </c>
      <c r="G563" s="15" t="n">
        <v>265.95</v>
      </c>
      <c r="H563" s="16" t="n">
        <v>0.21</v>
      </c>
      <c r="I563" s="1" t="s">
        <v>31</v>
      </c>
      <c r="J563" s="1" t="n">
        <v>4</v>
      </c>
      <c r="K563" s="1" t="n">
        <v>3.7</v>
      </c>
      <c r="L563" s="15" t="n">
        <v>1470.7</v>
      </c>
      <c r="M563" s="15" t="n">
        <f aca="false">F563*G563</f>
        <v>1861.65</v>
      </c>
      <c r="N563" s="15" t="n">
        <f aca="false">M563-L563</f>
        <v>390.95</v>
      </c>
      <c r="O563" s="1" t="n">
        <f aca="false">YEAR(B563)</f>
        <v>2023</v>
      </c>
      <c r="P563" s="1" t="n">
        <f aca="false">MONTH(B563)</f>
        <v>7</v>
      </c>
      <c r="Q563" s="1" t="str">
        <f aca="false">TEXT(B563,"mmm")</f>
        <v>Jul</v>
      </c>
      <c r="R563" s="1" t="str">
        <f aca="false">"Q"&amp;ROUNDUP(MONTH(B563)/3,0)</f>
        <v>Q3</v>
      </c>
    </row>
    <row r="564" customFormat="false" ht="15" hidden="false" customHeight="true" outlineLevel="0" collapsed="false">
      <c r="A564" s="1" t="n">
        <v>10563</v>
      </c>
      <c r="B564" s="14" t="n">
        <v>45124</v>
      </c>
      <c r="C564" s="1" t="n">
        <v>1313</v>
      </c>
      <c r="D564" s="1" t="s">
        <v>37</v>
      </c>
      <c r="E564" s="1" t="s">
        <v>28</v>
      </c>
      <c r="F564" s="1" t="n">
        <v>5</v>
      </c>
      <c r="G564" s="15" t="n">
        <v>520.9</v>
      </c>
      <c r="H564" s="16" t="n">
        <v>0.2</v>
      </c>
      <c r="I564" s="1" t="s">
        <v>33</v>
      </c>
      <c r="J564" s="1" t="n">
        <v>6</v>
      </c>
      <c r="K564" s="1" t="n">
        <v>4.4</v>
      </c>
      <c r="L564" s="15" t="n">
        <v>2083.6</v>
      </c>
      <c r="M564" s="15" t="n">
        <f aca="false">F564*G564</f>
        <v>2604.5</v>
      </c>
      <c r="N564" s="15" t="n">
        <f aca="false">M564-L564</f>
        <v>520.9</v>
      </c>
      <c r="O564" s="1" t="n">
        <f aca="false">YEAR(B564)</f>
        <v>2023</v>
      </c>
      <c r="P564" s="1" t="n">
        <f aca="false">MONTH(B564)</f>
        <v>7</v>
      </c>
      <c r="Q564" s="1" t="str">
        <f aca="false">TEXT(B564,"mmm")</f>
        <v>Jul</v>
      </c>
      <c r="R564" s="1" t="str">
        <f aca="false">"Q"&amp;ROUNDUP(MONTH(B564)/3,0)</f>
        <v>Q3</v>
      </c>
    </row>
    <row r="565" customFormat="false" ht="15" hidden="false" customHeight="true" outlineLevel="0" collapsed="false">
      <c r="A565" s="1" t="n">
        <v>10564</v>
      </c>
      <c r="B565" s="14" t="n">
        <v>45125</v>
      </c>
      <c r="C565" s="1" t="n">
        <v>1569</v>
      </c>
      <c r="D565" s="1" t="s">
        <v>27</v>
      </c>
      <c r="E565" s="1" t="s">
        <v>28</v>
      </c>
      <c r="F565" s="1" t="n">
        <v>7</v>
      </c>
      <c r="G565" s="15" t="n">
        <v>421.38</v>
      </c>
      <c r="H565" s="16" t="n">
        <v>0.14</v>
      </c>
      <c r="I565" s="1" t="s">
        <v>31</v>
      </c>
      <c r="J565" s="1" t="n">
        <v>8</v>
      </c>
      <c r="K565" s="1" t="n">
        <v>3.8</v>
      </c>
      <c r="L565" s="15" t="n">
        <v>2536.71</v>
      </c>
      <c r="M565" s="15" t="n">
        <f aca="false">F565*G565</f>
        <v>2949.66</v>
      </c>
      <c r="N565" s="15" t="n">
        <f aca="false">M565-L565</f>
        <v>412.95</v>
      </c>
      <c r="O565" s="1" t="n">
        <f aca="false">YEAR(B565)</f>
        <v>2023</v>
      </c>
      <c r="P565" s="1" t="n">
        <f aca="false">MONTH(B565)</f>
        <v>7</v>
      </c>
      <c r="Q565" s="1" t="str">
        <f aca="false">TEXT(B565,"mmm")</f>
        <v>Jul</v>
      </c>
      <c r="R565" s="1" t="str">
        <f aca="false">"Q"&amp;ROUNDUP(MONTH(B565)/3,0)</f>
        <v>Q3</v>
      </c>
    </row>
    <row r="566" customFormat="false" ht="15" hidden="false" customHeight="true" outlineLevel="0" collapsed="false">
      <c r="A566" s="1" t="n">
        <v>10565</v>
      </c>
      <c r="B566" s="14" t="n">
        <v>45126</v>
      </c>
      <c r="C566" s="1" t="n">
        <v>1341</v>
      </c>
      <c r="D566" s="1" t="s">
        <v>30</v>
      </c>
      <c r="E566" s="1" t="s">
        <v>36</v>
      </c>
      <c r="F566" s="1" t="n">
        <v>1</v>
      </c>
      <c r="G566" s="15" t="n">
        <v>19.74</v>
      </c>
      <c r="H566" s="16" t="n">
        <v>0.35</v>
      </c>
      <c r="I566" s="1" t="s">
        <v>33</v>
      </c>
      <c r="J566" s="1" t="n">
        <v>8</v>
      </c>
      <c r="K566" s="1" t="n">
        <v>4.3</v>
      </c>
      <c r="L566" s="15" t="n">
        <v>12.83</v>
      </c>
      <c r="M566" s="15" t="n">
        <f aca="false">F566*G566</f>
        <v>19.74</v>
      </c>
      <c r="N566" s="15" t="n">
        <f aca="false">M566-L566</f>
        <v>6.91</v>
      </c>
      <c r="O566" s="1" t="n">
        <f aca="false">YEAR(B566)</f>
        <v>2023</v>
      </c>
      <c r="P566" s="1" t="n">
        <f aca="false">MONTH(B566)</f>
        <v>7</v>
      </c>
      <c r="Q566" s="1" t="str">
        <f aca="false">TEXT(B566,"mmm")</f>
        <v>Jul</v>
      </c>
      <c r="R566" s="1" t="str">
        <f aca="false">"Q"&amp;ROUNDUP(MONTH(B566)/3,0)</f>
        <v>Q3</v>
      </c>
    </row>
    <row r="567" customFormat="false" ht="15" hidden="false" customHeight="true" outlineLevel="0" collapsed="false">
      <c r="A567" s="1" t="n">
        <v>10566</v>
      </c>
      <c r="B567" s="14" t="n">
        <v>45127</v>
      </c>
      <c r="C567" s="1" t="n">
        <v>1304</v>
      </c>
      <c r="D567" s="1" t="s">
        <v>34</v>
      </c>
      <c r="E567" s="1" t="s">
        <v>32</v>
      </c>
      <c r="F567" s="1" t="n">
        <v>5</v>
      </c>
      <c r="G567" s="15" t="n">
        <v>375.78</v>
      </c>
      <c r="H567" s="16" t="n">
        <v>0.31</v>
      </c>
      <c r="I567" s="1" t="s">
        <v>33</v>
      </c>
      <c r="J567" s="1" t="n">
        <v>7</v>
      </c>
      <c r="K567" s="1" t="n">
        <v>3.6</v>
      </c>
      <c r="L567" s="15" t="n">
        <v>1296.44</v>
      </c>
      <c r="M567" s="15" t="n">
        <f aca="false">F567*G567</f>
        <v>1878.9</v>
      </c>
      <c r="N567" s="15" t="n">
        <f aca="false">M567-L567</f>
        <v>582.46</v>
      </c>
      <c r="O567" s="1" t="n">
        <f aca="false">YEAR(B567)</f>
        <v>2023</v>
      </c>
      <c r="P567" s="1" t="n">
        <f aca="false">MONTH(B567)</f>
        <v>7</v>
      </c>
      <c r="Q567" s="1" t="str">
        <f aca="false">TEXT(B567,"mmm")</f>
        <v>Jul</v>
      </c>
      <c r="R567" s="1" t="str">
        <f aca="false">"Q"&amp;ROUNDUP(MONTH(B567)/3,0)</f>
        <v>Q3</v>
      </c>
    </row>
    <row r="568" customFormat="false" ht="15" hidden="false" customHeight="true" outlineLevel="0" collapsed="false">
      <c r="A568" s="1" t="n">
        <v>10567</v>
      </c>
      <c r="B568" s="14" t="n">
        <v>45128</v>
      </c>
      <c r="C568" s="1" t="n">
        <v>1691</v>
      </c>
      <c r="D568" s="1" t="s">
        <v>30</v>
      </c>
      <c r="E568" s="1" t="s">
        <v>32</v>
      </c>
      <c r="F568" s="1" t="n">
        <v>2</v>
      </c>
      <c r="G568" s="15" t="n">
        <v>69.83</v>
      </c>
      <c r="H568" s="16" t="n">
        <v>0.26</v>
      </c>
      <c r="I568" s="1" t="s">
        <v>29</v>
      </c>
      <c r="J568" s="1" t="n">
        <v>2</v>
      </c>
      <c r="K568" s="1" t="n">
        <v>3</v>
      </c>
      <c r="L568" s="15" t="n">
        <v>103.35</v>
      </c>
      <c r="M568" s="15" t="n">
        <f aca="false">F568*G568</f>
        <v>139.66</v>
      </c>
      <c r="N568" s="15" t="n">
        <f aca="false">M568-L568</f>
        <v>36.31</v>
      </c>
      <c r="O568" s="1" t="n">
        <f aca="false">YEAR(B568)</f>
        <v>2023</v>
      </c>
      <c r="P568" s="1" t="n">
        <f aca="false">MONTH(B568)</f>
        <v>7</v>
      </c>
      <c r="Q568" s="1" t="str">
        <f aca="false">TEXT(B568,"mmm")</f>
        <v>Jul</v>
      </c>
      <c r="R568" s="1" t="str">
        <f aca="false">"Q"&amp;ROUNDUP(MONTH(B568)/3,0)</f>
        <v>Q3</v>
      </c>
    </row>
    <row r="569" customFormat="false" ht="15" hidden="false" customHeight="true" outlineLevel="0" collapsed="false">
      <c r="A569" s="1" t="n">
        <v>10568</v>
      </c>
      <c r="B569" s="14" t="n">
        <v>45129</v>
      </c>
      <c r="C569" s="1" t="n">
        <v>1681</v>
      </c>
      <c r="D569" s="1" t="s">
        <v>37</v>
      </c>
      <c r="E569" s="1" t="s">
        <v>35</v>
      </c>
      <c r="F569" s="1" t="n">
        <v>5</v>
      </c>
      <c r="G569" s="15" t="n">
        <v>471.85</v>
      </c>
      <c r="H569" s="16" t="n">
        <v>0.19</v>
      </c>
      <c r="I569" s="1" t="s">
        <v>31</v>
      </c>
      <c r="J569" s="1" t="n">
        <v>2</v>
      </c>
      <c r="K569" s="1" t="n">
        <v>1.9</v>
      </c>
      <c r="L569" s="15" t="n">
        <v>1910.99</v>
      </c>
      <c r="M569" s="15" t="n">
        <f aca="false">F569*G569</f>
        <v>2359.25</v>
      </c>
      <c r="N569" s="15" t="n">
        <f aca="false">M569-L569</f>
        <v>448.26</v>
      </c>
      <c r="O569" s="1" t="n">
        <f aca="false">YEAR(B569)</f>
        <v>2023</v>
      </c>
      <c r="P569" s="1" t="n">
        <f aca="false">MONTH(B569)</f>
        <v>7</v>
      </c>
      <c r="Q569" s="1" t="str">
        <f aca="false">TEXT(B569,"mmm")</f>
        <v>Jul</v>
      </c>
      <c r="R569" s="1" t="str">
        <f aca="false">"Q"&amp;ROUNDUP(MONTH(B569)/3,0)</f>
        <v>Q3</v>
      </c>
    </row>
    <row r="570" customFormat="false" ht="15" hidden="false" customHeight="true" outlineLevel="0" collapsed="false">
      <c r="A570" s="1" t="n">
        <v>10569</v>
      </c>
      <c r="B570" s="14" t="n">
        <v>45130</v>
      </c>
      <c r="C570" s="1" t="n">
        <v>1837</v>
      </c>
      <c r="D570" s="1" t="s">
        <v>37</v>
      </c>
      <c r="E570" s="1" t="s">
        <v>35</v>
      </c>
      <c r="F570" s="1" t="n">
        <v>4</v>
      </c>
      <c r="G570" s="15" t="n">
        <v>595.03</v>
      </c>
      <c r="H570" s="16" t="n">
        <v>0.16</v>
      </c>
      <c r="I570" s="1" t="s">
        <v>31</v>
      </c>
      <c r="J570" s="1" t="n">
        <v>3</v>
      </c>
      <c r="K570" s="1" t="n">
        <v>2.1</v>
      </c>
      <c r="L570" s="15" t="n">
        <v>1999.3</v>
      </c>
      <c r="M570" s="15" t="n">
        <f aca="false">F570*G570</f>
        <v>2380.12</v>
      </c>
      <c r="N570" s="15" t="n">
        <f aca="false">M570-L570</f>
        <v>380.82</v>
      </c>
      <c r="O570" s="1" t="n">
        <f aca="false">YEAR(B570)</f>
        <v>2023</v>
      </c>
      <c r="P570" s="1" t="n">
        <f aca="false">MONTH(B570)</f>
        <v>7</v>
      </c>
      <c r="Q570" s="1" t="str">
        <f aca="false">TEXT(B570,"mmm")</f>
        <v>Jul</v>
      </c>
      <c r="R570" s="1" t="str">
        <f aca="false">"Q"&amp;ROUNDUP(MONTH(B570)/3,0)</f>
        <v>Q3</v>
      </c>
    </row>
    <row r="571" customFormat="false" ht="15" hidden="false" customHeight="true" outlineLevel="0" collapsed="false">
      <c r="A571" s="1" t="n">
        <v>10570</v>
      </c>
      <c r="B571" s="14" t="n">
        <v>45131</v>
      </c>
      <c r="C571" s="1" t="n">
        <v>1782</v>
      </c>
      <c r="D571" s="1" t="s">
        <v>30</v>
      </c>
      <c r="E571" s="1" t="s">
        <v>32</v>
      </c>
      <c r="F571" s="1" t="n">
        <v>4</v>
      </c>
      <c r="G571" s="15" t="n">
        <v>325.75</v>
      </c>
      <c r="H571" s="16" t="n">
        <v>0.06</v>
      </c>
      <c r="I571" s="1" t="s">
        <v>31</v>
      </c>
      <c r="J571" s="1" t="n">
        <v>4</v>
      </c>
      <c r="K571" s="1" t="n">
        <v>2.3</v>
      </c>
      <c r="L571" s="15" t="n">
        <v>1224.82</v>
      </c>
      <c r="M571" s="15" t="n">
        <f aca="false">F571*G571</f>
        <v>1303</v>
      </c>
      <c r="N571" s="15" t="n">
        <f aca="false">M571-L571</f>
        <v>78.1800000000001</v>
      </c>
      <c r="O571" s="1" t="n">
        <f aca="false">YEAR(B571)</f>
        <v>2023</v>
      </c>
      <c r="P571" s="1" t="n">
        <f aca="false">MONTH(B571)</f>
        <v>7</v>
      </c>
      <c r="Q571" s="1" t="str">
        <f aca="false">TEXT(B571,"mmm")</f>
        <v>Jul</v>
      </c>
      <c r="R571" s="1" t="str">
        <f aca="false">"Q"&amp;ROUNDUP(MONTH(B571)/3,0)</f>
        <v>Q3</v>
      </c>
    </row>
    <row r="572" customFormat="false" ht="15" hidden="false" customHeight="true" outlineLevel="0" collapsed="false">
      <c r="A572" s="1" t="n">
        <v>10571</v>
      </c>
      <c r="B572" s="14" t="n">
        <v>45132</v>
      </c>
      <c r="C572" s="1" t="n">
        <v>1053</v>
      </c>
      <c r="D572" s="1" t="s">
        <v>34</v>
      </c>
      <c r="E572" s="1" t="s">
        <v>32</v>
      </c>
      <c r="F572" s="1" t="n">
        <v>2</v>
      </c>
      <c r="G572" s="15" t="n">
        <v>414.43</v>
      </c>
      <c r="H572" s="16" t="n">
        <v>0.11</v>
      </c>
      <c r="I572" s="1" t="s">
        <v>31</v>
      </c>
      <c r="J572" s="1" t="n">
        <v>1</v>
      </c>
      <c r="K572" s="1" t="n">
        <v>1.2</v>
      </c>
      <c r="L572" s="15" t="n">
        <v>737.69</v>
      </c>
      <c r="M572" s="15" t="n">
        <f aca="false">F572*G572</f>
        <v>828.86</v>
      </c>
      <c r="N572" s="15" t="n">
        <f aca="false">M572-L572</f>
        <v>91.17</v>
      </c>
      <c r="O572" s="1" t="n">
        <f aca="false">YEAR(B572)</f>
        <v>2023</v>
      </c>
      <c r="P572" s="1" t="n">
        <f aca="false">MONTH(B572)</f>
        <v>7</v>
      </c>
      <c r="Q572" s="1" t="str">
        <f aca="false">TEXT(B572,"mmm")</f>
        <v>Jul</v>
      </c>
      <c r="R572" s="1" t="str">
        <f aca="false">"Q"&amp;ROUNDUP(MONTH(B572)/3,0)</f>
        <v>Q3</v>
      </c>
    </row>
    <row r="573" customFormat="false" ht="15" hidden="false" customHeight="true" outlineLevel="0" collapsed="false">
      <c r="A573" s="1" t="n">
        <v>10572</v>
      </c>
      <c r="B573" s="14" t="n">
        <v>45133</v>
      </c>
      <c r="C573" s="1" t="n">
        <v>1443</v>
      </c>
      <c r="D573" s="1" t="s">
        <v>30</v>
      </c>
      <c r="E573" s="1" t="s">
        <v>36</v>
      </c>
      <c r="F573" s="1" t="n">
        <v>2</v>
      </c>
      <c r="G573" s="15" t="n">
        <v>153.83</v>
      </c>
      <c r="H573" s="16" t="n">
        <v>0.27</v>
      </c>
      <c r="I573" s="1" t="s">
        <v>33</v>
      </c>
      <c r="J573" s="1" t="n">
        <v>5</v>
      </c>
      <c r="K573" s="1" t="n">
        <v>4.7</v>
      </c>
      <c r="L573" s="15" t="n">
        <v>224.59</v>
      </c>
      <c r="M573" s="15" t="n">
        <f aca="false">F573*G573</f>
        <v>307.66</v>
      </c>
      <c r="N573" s="15" t="n">
        <f aca="false">M573-L573</f>
        <v>83.07</v>
      </c>
      <c r="O573" s="1" t="n">
        <f aca="false">YEAR(B573)</f>
        <v>2023</v>
      </c>
      <c r="P573" s="1" t="n">
        <f aca="false">MONTH(B573)</f>
        <v>7</v>
      </c>
      <c r="Q573" s="1" t="str">
        <f aca="false">TEXT(B573,"mmm")</f>
        <v>Jul</v>
      </c>
      <c r="R573" s="1" t="str">
        <f aca="false">"Q"&amp;ROUNDUP(MONTH(B573)/3,0)</f>
        <v>Q3</v>
      </c>
    </row>
    <row r="574" customFormat="false" ht="15" hidden="false" customHeight="true" outlineLevel="0" collapsed="false">
      <c r="A574" s="1" t="n">
        <v>10573</v>
      </c>
      <c r="B574" s="14" t="n">
        <v>45134</v>
      </c>
      <c r="C574" s="1" t="n">
        <v>1612</v>
      </c>
      <c r="D574" s="1" t="s">
        <v>27</v>
      </c>
      <c r="E574" s="1" t="s">
        <v>28</v>
      </c>
      <c r="F574" s="1" t="n">
        <v>3</v>
      </c>
      <c r="G574" s="15" t="n">
        <v>270.99</v>
      </c>
      <c r="H574" s="16" t="n">
        <v>0.16</v>
      </c>
      <c r="I574" s="1" t="s">
        <v>33</v>
      </c>
      <c r="J574" s="1" t="n">
        <v>7</v>
      </c>
      <c r="K574" s="1" t="n">
        <v>4.6</v>
      </c>
      <c r="L574" s="15" t="n">
        <v>682.89</v>
      </c>
      <c r="M574" s="15" t="n">
        <f aca="false">F574*G574</f>
        <v>812.97</v>
      </c>
      <c r="N574" s="15" t="n">
        <f aca="false">M574-L574</f>
        <v>130.08</v>
      </c>
      <c r="O574" s="1" t="n">
        <f aca="false">YEAR(B574)</f>
        <v>2023</v>
      </c>
      <c r="P574" s="1" t="n">
        <f aca="false">MONTH(B574)</f>
        <v>7</v>
      </c>
      <c r="Q574" s="1" t="str">
        <f aca="false">TEXT(B574,"mmm")</f>
        <v>Jul</v>
      </c>
      <c r="R574" s="1" t="str">
        <f aca="false">"Q"&amp;ROUNDUP(MONTH(B574)/3,0)</f>
        <v>Q3</v>
      </c>
    </row>
    <row r="575" customFormat="false" ht="15" hidden="false" customHeight="true" outlineLevel="0" collapsed="false">
      <c r="A575" s="1" t="n">
        <v>10574</v>
      </c>
      <c r="B575" s="14" t="n">
        <v>45135</v>
      </c>
      <c r="C575" s="1" t="n">
        <v>1992</v>
      </c>
      <c r="D575" s="1" t="s">
        <v>30</v>
      </c>
      <c r="E575" s="1" t="s">
        <v>28</v>
      </c>
      <c r="F575" s="1" t="n">
        <v>1</v>
      </c>
      <c r="G575" s="15" t="n">
        <v>515.82</v>
      </c>
      <c r="H575" s="16" t="n">
        <v>0.31</v>
      </c>
      <c r="I575" s="1" t="s">
        <v>33</v>
      </c>
      <c r="J575" s="1" t="n">
        <v>10</v>
      </c>
      <c r="K575" s="1" t="n">
        <v>1.4</v>
      </c>
      <c r="L575" s="15" t="n">
        <v>355.92</v>
      </c>
      <c r="M575" s="15" t="n">
        <f aca="false">F575*G575</f>
        <v>515.82</v>
      </c>
      <c r="N575" s="15" t="n">
        <f aca="false">M575-L575</f>
        <v>159.9</v>
      </c>
      <c r="O575" s="1" t="n">
        <f aca="false">YEAR(B575)</f>
        <v>2023</v>
      </c>
      <c r="P575" s="1" t="n">
        <f aca="false">MONTH(B575)</f>
        <v>7</v>
      </c>
      <c r="Q575" s="1" t="str">
        <f aca="false">TEXT(B575,"mmm")</f>
        <v>Jul</v>
      </c>
      <c r="R575" s="1" t="str">
        <f aca="false">"Q"&amp;ROUNDUP(MONTH(B575)/3,0)</f>
        <v>Q3</v>
      </c>
    </row>
    <row r="576" customFormat="false" ht="15" hidden="false" customHeight="true" outlineLevel="0" collapsed="false">
      <c r="A576" s="1" t="n">
        <v>10575</v>
      </c>
      <c r="B576" s="14" t="n">
        <v>45136</v>
      </c>
      <c r="C576" s="1" t="n">
        <v>1263</v>
      </c>
      <c r="D576" s="1" t="s">
        <v>30</v>
      </c>
      <c r="E576" s="1" t="s">
        <v>35</v>
      </c>
      <c r="F576" s="1" t="n">
        <v>1</v>
      </c>
      <c r="G576" s="15" t="n">
        <v>112.94</v>
      </c>
      <c r="H576" s="16" t="n">
        <v>0.05</v>
      </c>
      <c r="I576" s="1" t="s">
        <v>29</v>
      </c>
      <c r="J576" s="1" t="n">
        <v>11</v>
      </c>
      <c r="K576" s="1" t="n">
        <v>3.2</v>
      </c>
      <c r="L576" s="15" t="n">
        <v>107.29</v>
      </c>
      <c r="M576" s="15" t="n">
        <f aca="false">F576*G576</f>
        <v>112.94</v>
      </c>
      <c r="N576" s="15" t="n">
        <f aca="false">M576-L576</f>
        <v>5.64999999999999</v>
      </c>
      <c r="O576" s="1" t="n">
        <f aca="false">YEAR(B576)</f>
        <v>2023</v>
      </c>
      <c r="P576" s="1" t="n">
        <f aca="false">MONTH(B576)</f>
        <v>7</v>
      </c>
      <c r="Q576" s="1" t="str">
        <f aca="false">TEXT(B576,"mmm")</f>
        <v>Jul</v>
      </c>
      <c r="R576" s="1" t="str">
        <f aca="false">"Q"&amp;ROUNDUP(MONTH(B576)/3,0)</f>
        <v>Q3</v>
      </c>
    </row>
    <row r="577" customFormat="false" ht="15" hidden="false" customHeight="true" outlineLevel="0" collapsed="false">
      <c r="A577" s="1" t="n">
        <v>10576</v>
      </c>
      <c r="B577" s="14" t="n">
        <v>45137</v>
      </c>
      <c r="C577" s="1" t="n">
        <v>1052</v>
      </c>
      <c r="D577" s="1" t="s">
        <v>34</v>
      </c>
      <c r="E577" s="1" t="s">
        <v>32</v>
      </c>
      <c r="F577" s="1" t="n">
        <v>1</v>
      </c>
      <c r="G577" s="15" t="n">
        <v>170.34</v>
      </c>
      <c r="H577" s="16" t="n">
        <v>0.18</v>
      </c>
      <c r="I577" s="1" t="s">
        <v>29</v>
      </c>
      <c r="J577" s="1" t="n">
        <v>5</v>
      </c>
      <c r="K577" s="1" t="n">
        <v>2.9</v>
      </c>
      <c r="L577" s="15" t="n">
        <v>139.68</v>
      </c>
      <c r="M577" s="15" t="n">
        <f aca="false">F577*G577</f>
        <v>170.34</v>
      </c>
      <c r="N577" s="15" t="n">
        <f aca="false">M577-L577</f>
        <v>30.66</v>
      </c>
      <c r="O577" s="1" t="n">
        <f aca="false">YEAR(B577)</f>
        <v>2023</v>
      </c>
      <c r="P577" s="1" t="n">
        <f aca="false">MONTH(B577)</f>
        <v>7</v>
      </c>
      <c r="Q577" s="1" t="str">
        <f aca="false">TEXT(B577,"mmm")</f>
        <v>Jul</v>
      </c>
      <c r="R577" s="1" t="str">
        <f aca="false">"Q"&amp;ROUNDUP(MONTH(B577)/3,0)</f>
        <v>Q3</v>
      </c>
    </row>
    <row r="578" customFormat="false" ht="15" hidden="false" customHeight="true" outlineLevel="0" collapsed="false">
      <c r="A578" s="1" t="n">
        <v>10577</v>
      </c>
      <c r="B578" s="14" t="n">
        <v>45138</v>
      </c>
      <c r="C578" s="1" t="n">
        <v>1571</v>
      </c>
      <c r="D578" s="1" t="s">
        <v>30</v>
      </c>
      <c r="E578" s="1" t="s">
        <v>36</v>
      </c>
      <c r="F578" s="1" t="n">
        <v>6</v>
      </c>
      <c r="G578" s="15" t="n">
        <v>275.58</v>
      </c>
      <c r="H578" s="16" t="n">
        <v>0.23</v>
      </c>
      <c r="I578" s="1" t="s">
        <v>31</v>
      </c>
      <c r="J578" s="1" t="n">
        <v>7</v>
      </c>
      <c r="K578" s="1" t="n">
        <v>3.7</v>
      </c>
      <c r="L578" s="15" t="n">
        <v>1273.18</v>
      </c>
      <c r="M578" s="15" t="n">
        <f aca="false">F578*G578</f>
        <v>1653.48</v>
      </c>
      <c r="N578" s="15" t="n">
        <f aca="false">M578-L578</f>
        <v>380.3</v>
      </c>
      <c r="O578" s="1" t="n">
        <f aca="false">YEAR(B578)</f>
        <v>2023</v>
      </c>
      <c r="P578" s="1" t="n">
        <f aca="false">MONTH(B578)</f>
        <v>7</v>
      </c>
      <c r="Q578" s="1" t="str">
        <f aca="false">TEXT(B578,"mmm")</f>
        <v>Jul</v>
      </c>
      <c r="R578" s="1" t="str">
        <f aca="false">"Q"&amp;ROUNDUP(MONTH(B578)/3,0)</f>
        <v>Q3</v>
      </c>
    </row>
    <row r="579" customFormat="false" ht="15" hidden="false" customHeight="true" outlineLevel="0" collapsed="false">
      <c r="A579" s="1" t="n">
        <v>10578</v>
      </c>
      <c r="B579" s="14" t="n">
        <v>45139</v>
      </c>
      <c r="C579" s="1" t="n">
        <v>1619</v>
      </c>
      <c r="D579" s="1" t="s">
        <v>27</v>
      </c>
      <c r="E579" s="1" t="s">
        <v>35</v>
      </c>
      <c r="F579" s="1" t="n">
        <v>4</v>
      </c>
      <c r="G579" s="15" t="n">
        <v>431.67</v>
      </c>
      <c r="H579" s="16" t="n">
        <v>0.18</v>
      </c>
      <c r="I579" s="1" t="s">
        <v>29</v>
      </c>
      <c r="J579" s="1" t="n">
        <v>5</v>
      </c>
      <c r="K579" s="1" t="n">
        <v>3.4</v>
      </c>
      <c r="L579" s="15" t="n">
        <v>1415.88</v>
      </c>
      <c r="M579" s="15" t="n">
        <f aca="false">F579*G579</f>
        <v>1726.68</v>
      </c>
      <c r="N579" s="15" t="n">
        <f aca="false">M579-L579</f>
        <v>310.8</v>
      </c>
      <c r="O579" s="1" t="n">
        <f aca="false">YEAR(B579)</f>
        <v>2023</v>
      </c>
      <c r="P579" s="1" t="n">
        <f aca="false">MONTH(B579)</f>
        <v>8</v>
      </c>
      <c r="Q579" s="1" t="str">
        <f aca="false">TEXT(B579,"mmm")</f>
        <v>Aug</v>
      </c>
      <c r="R579" s="1" t="str">
        <f aca="false">"Q"&amp;ROUNDUP(MONTH(B579)/3,0)</f>
        <v>Q3</v>
      </c>
    </row>
    <row r="580" customFormat="false" ht="15" hidden="false" customHeight="true" outlineLevel="0" collapsed="false">
      <c r="A580" s="1" t="n">
        <v>10579</v>
      </c>
      <c r="B580" s="14" t="n">
        <v>45140</v>
      </c>
      <c r="C580" s="1" t="n">
        <v>1004</v>
      </c>
      <c r="D580" s="1" t="s">
        <v>37</v>
      </c>
      <c r="E580" s="1" t="s">
        <v>36</v>
      </c>
      <c r="F580" s="1" t="n">
        <v>1</v>
      </c>
      <c r="G580" s="15" t="n">
        <v>234.89</v>
      </c>
      <c r="H580" s="16" t="n">
        <v>0.31</v>
      </c>
      <c r="I580" s="1" t="s">
        <v>31</v>
      </c>
      <c r="J580" s="1" t="n">
        <v>11</v>
      </c>
      <c r="K580" s="1" t="n">
        <v>1.5</v>
      </c>
      <c r="L580" s="15" t="n">
        <v>162.07</v>
      </c>
      <c r="M580" s="15" t="n">
        <f aca="false">F580*G580</f>
        <v>234.89</v>
      </c>
      <c r="N580" s="15" t="n">
        <f aca="false">M580-L580</f>
        <v>72.82</v>
      </c>
      <c r="O580" s="1" t="n">
        <f aca="false">YEAR(B580)</f>
        <v>2023</v>
      </c>
      <c r="P580" s="1" t="n">
        <f aca="false">MONTH(B580)</f>
        <v>8</v>
      </c>
      <c r="Q580" s="1" t="str">
        <f aca="false">TEXT(B580,"mmm")</f>
        <v>Aug</v>
      </c>
      <c r="R580" s="1" t="str">
        <f aca="false">"Q"&amp;ROUNDUP(MONTH(B580)/3,0)</f>
        <v>Q3</v>
      </c>
    </row>
    <row r="581" customFormat="false" ht="15" hidden="false" customHeight="true" outlineLevel="0" collapsed="false">
      <c r="A581" s="1" t="n">
        <v>10580</v>
      </c>
      <c r="B581" s="14" t="n">
        <v>45141</v>
      </c>
      <c r="C581" s="1" t="n">
        <v>1102</v>
      </c>
      <c r="D581" s="1" t="s">
        <v>37</v>
      </c>
      <c r="E581" s="1" t="s">
        <v>32</v>
      </c>
      <c r="F581" s="1" t="n">
        <v>3</v>
      </c>
      <c r="G581" s="15" t="n">
        <v>557.72</v>
      </c>
      <c r="H581" s="16" t="n">
        <v>0.35</v>
      </c>
      <c r="I581" s="1" t="s">
        <v>33</v>
      </c>
      <c r="J581" s="1" t="n">
        <v>10</v>
      </c>
      <c r="K581" s="1" t="n">
        <v>3.6</v>
      </c>
      <c r="L581" s="15" t="n">
        <v>1087.55</v>
      </c>
      <c r="M581" s="15" t="n">
        <f aca="false">F581*G581</f>
        <v>1673.16</v>
      </c>
      <c r="N581" s="15" t="n">
        <f aca="false">M581-L581</f>
        <v>585.61</v>
      </c>
      <c r="O581" s="1" t="n">
        <f aca="false">YEAR(B581)</f>
        <v>2023</v>
      </c>
      <c r="P581" s="1" t="n">
        <f aca="false">MONTH(B581)</f>
        <v>8</v>
      </c>
      <c r="Q581" s="1" t="str">
        <f aca="false">TEXT(B581,"mmm")</f>
        <v>Aug</v>
      </c>
      <c r="R581" s="1" t="str">
        <f aca="false">"Q"&amp;ROUNDUP(MONTH(B581)/3,0)</f>
        <v>Q3</v>
      </c>
    </row>
    <row r="582" customFormat="false" ht="15" hidden="false" customHeight="true" outlineLevel="0" collapsed="false">
      <c r="A582" s="1" t="n">
        <v>10581</v>
      </c>
      <c r="B582" s="14" t="n">
        <v>45142</v>
      </c>
      <c r="C582" s="1" t="n">
        <v>1195</v>
      </c>
      <c r="D582" s="1" t="s">
        <v>30</v>
      </c>
      <c r="E582" s="1" t="s">
        <v>32</v>
      </c>
      <c r="F582" s="1" t="n">
        <v>3</v>
      </c>
      <c r="G582" s="15" t="n">
        <v>70.26</v>
      </c>
      <c r="H582" s="16" t="n">
        <v>0.04</v>
      </c>
      <c r="I582" s="1" t="s">
        <v>33</v>
      </c>
      <c r="J582" s="1" t="n">
        <v>8</v>
      </c>
      <c r="K582" s="1" t="n">
        <v>3.4</v>
      </c>
      <c r="L582" s="15" t="n">
        <v>202.35</v>
      </c>
      <c r="M582" s="15" t="n">
        <f aca="false">F582*G582</f>
        <v>210.78</v>
      </c>
      <c r="N582" s="15" t="n">
        <f aca="false">M582-L582</f>
        <v>8.43000000000004</v>
      </c>
      <c r="O582" s="1" t="n">
        <f aca="false">YEAR(B582)</f>
        <v>2023</v>
      </c>
      <c r="P582" s="1" t="n">
        <f aca="false">MONTH(B582)</f>
        <v>8</v>
      </c>
      <c r="Q582" s="1" t="str">
        <f aca="false">TEXT(B582,"mmm")</f>
        <v>Aug</v>
      </c>
      <c r="R582" s="1" t="str">
        <f aca="false">"Q"&amp;ROUNDUP(MONTH(B582)/3,0)</f>
        <v>Q3</v>
      </c>
    </row>
    <row r="583" customFormat="false" ht="15" hidden="false" customHeight="true" outlineLevel="0" collapsed="false">
      <c r="A583" s="1" t="n">
        <v>10582</v>
      </c>
      <c r="B583" s="14" t="n">
        <v>45143</v>
      </c>
      <c r="C583" s="1" t="n">
        <v>1773</v>
      </c>
      <c r="D583" s="1" t="s">
        <v>30</v>
      </c>
      <c r="E583" s="1" t="s">
        <v>32</v>
      </c>
      <c r="F583" s="1" t="n">
        <v>1</v>
      </c>
      <c r="G583" s="15" t="n">
        <v>231.92</v>
      </c>
      <c r="H583" s="16" t="n">
        <v>0.05</v>
      </c>
      <c r="I583" s="1" t="s">
        <v>29</v>
      </c>
      <c r="J583" s="1" t="n">
        <v>7</v>
      </c>
      <c r="K583" s="1" t="n">
        <v>3.1</v>
      </c>
      <c r="L583" s="15" t="n">
        <v>220.32</v>
      </c>
      <c r="M583" s="15" t="n">
        <f aca="false">F583*G583</f>
        <v>231.92</v>
      </c>
      <c r="N583" s="15" t="n">
        <f aca="false">M583-L583</f>
        <v>11.6</v>
      </c>
      <c r="O583" s="1" t="n">
        <f aca="false">YEAR(B583)</f>
        <v>2023</v>
      </c>
      <c r="P583" s="1" t="n">
        <f aca="false">MONTH(B583)</f>
        <v>8</v>
      </c>
      <c r="Q583" s="1" t="str">
        <f aca="false">TEXT(B583,"mmm")</f>
        <v>Aug</v>
      </c>
      <c r="R583" s="1" t="str">
        <f aca="false">"Q"&amp;ROUNDUP(MONTH(B583)/3,0)</f>
        <v>Q3</v>
      </c>
    </row>
    <row r="584" customFormat="false" ht="15" hidden="false" customHeight="true" outlineLevel="0" collapsed="false">
      <c r="A584" s="1" t="n">
        <v>10583</v>
      </c>
      <c r="B584" s="14" t="n">
        <v>45144</v>
      </c>
      <c r="C584" s="1" t="n">
        <v>1876</v>
      </c>
      <c r="D584" s="1" t="s">
        <v>34</v>
      </c>
      <c r="E584" s="1" t="s">
        <v>28</v>
      </c>
      <c r="F584" s="1" t="n">
        <v>2</v>
      </c>
      <c r="G584" s="15" t="n">
        <v>429.74</v>
      </c>
      <c r="H584" s="16" t="n">
        <v>0.05</v>
      </c>
      <c r="I584" s="1" t="s">
        <v>33</v>
      </c>
      <c r="J584" s="1" t="n">
        <v>1</v>
      </c>
      <c r="K584" s="1" t="n">
        <v>2.6</v>
      </c>
      <c r="L584" s="15" t="n">
        <v>816.51</v>
      </c>
      <c r="M584" s="15" t="n">
        <f aca="false">F584*G584</f>
        <v>859.48</v>
      </c>
      <c r="N584" s="15" t="n">
        <f aca="false">M584-L584</f>
        <v>42.97</v>
      </c>
      <c r="O584" s="1" t="n">
        <f aca="false">YEAR(B584)</f>
        <v>2023</v>
      </c>
      <c r="P584" s="1" t="n">
        <f aca="false">MONTH(B584)</f>
        <v>8</v>
      </c>
      <c r="Q584" s="1" t="str">
        <f aca="false">TEXT(B584,"mmm")</f>
        <v>Aug</v>
      </c>
      <c r="R584" s="1" t="str">
        <f aca="false">"Q"&amp;ROUNDUP(MONTH(B584)/3,0)</f>
        <v>Q3</v>
      </c>
    </row>
    <row r="585" customFormat="false" ht="15" hidden="false" customHeight="true" outlineLevel="0" collapsed="false">
      <c r="A585" s="1" t="n">
        <v>10584</v>
      </c>
      <c r="B585" s="14" t="n">
        <v>45145</v>
      </c>
      <c r="C585" s="1" t="n">
        <v>1991</v>
      </c>
      <c r="D585" s="1" t="s">
        <v>37</v>
      </c>
      <c r="E585" s="1" t="s">
        <v>32</v>
      </c>
      <c r="F585" s="1" t="n">
        <v>3</v>
      </c>
      <c r="G585" s="15" t="n">
        <v>147.2</v>
      </c>
      <c r="H585" s="16" t="n">
        <v>0.24</v>
      </c>
      <c r="I585" s="1" t="s">
        <v>33</v>
      </c>
      <c r="J585" s="1" t="n">
        <v>11</v>
      </c>
      <c r="K585" s="1" t="n">
        <v>4.8</v>
      </c>
      <c r="L585" s="15" t="n">
        <v>335.62</v>
      </c>
      <c r="M585" s="15" t="n">
        <f aca="false">F585*G585</f>
        <v>441.6</v>
      </c>
      <c r="N585" s="15" t="n">
        <f aca="false">M585-L585</f>
        <v>105.98</v>
      </c>
      <c r="O585" s="1" t="n">
        <f aca="false">YEAR(B585)</f>
        <v>2023</v>
      </c>
      <c r="P585" s="1" t="n">
        <f aca="false">MONTH(B585)</f>
        <v>8</v>
      </c>
      <c r="Q585" s="1" t="str">
        <f aca="false">TEXT(B585,"mmm")</f>
        <v>Aug</v>
      </c>
      <c r="R585" s="1" t="str">
        <f aca="false">"Q"&amp;ROUNDUP(MONTH(B585)/3,0)</f>
        <v>Q3</v>
      </c>
    </row>
    <row r="586" customFormat="false" ht="15" hidden="false" customHeight="true" outlineLevel="0" collapsed="false">
      <c r="A586" s="1" t="n">
        <v>10585</v>
      </c>
      <c r="B586" s="14" t="n">
        <v>45146</v>
      </c>
      <c r="C586" s="1" t="n">
        <v>1883</v>
      </c>
      <c r="D586" s="1" t="s">
        <v>30</v>
      </c>
      <c r="E586" s="1" t="s">
        <v>35</v>
      </c>
      <c r="F586" s="1" t="n">
        <v>7</v>
      </c>
      <c r="G586" s="15" t="n">
        <v>399</v>
      </c>
      <c r="H586" s="16" t="n">
        <v>0.13</v>
      </c>
      <c r="I586" s="1" t="s">
        <v>29</v>
      </c>
      <c r="J586" s="1" t="n">
        <v>1</v>
      </c>
      <c r="K586" s="1" t="n">
        <v>4.4</v>
      </c>
      <c r="L586" s="15" t="n">
        <v>2429.91</v>
      </c>
      <c r="M586" s="15" t="n">
        <f aca="false">F586*G586</f>
        <v>2793</v>
      </c>
      <c r="N586" s="15" t="n">
        <f aca="false">M586-L586</f>
        <v>363.09</v>
      </c>
      <c r="O586" s="1" t="n">
        <f aca="false">YEAR(B586)</f>
        <v>2023</v>
      </c>
      <c r="P586" s="1" t="n">
        <f aca="false">MONTH(B586)</f>
        <v>8</v>
      </c>
      <c r="Q586" s="1" t="str">
        <f aca="false">TEXT(B586,"mmm")</f>
        <v>Aug</v>
      </c>
      <c r="R586" s="1" t="str">
        <f aca="false">"Q"&amp;ROUNDUP(MONTH(B586)/3,0)</f>
        <v>Q3</v>
      </c>
    </row>
    <row r="587" customFormat="false" ht="15" hidden="false" customHeight="true" outlineLevel="0" collapsed="false">
      <c r="A587" s="1" t="n">
        <v>10586</v>
      </c>
      <c r="B587" s="14" t="n">
        <v>45147</v>
      </c>
      <c r="C587" s="1" t="n">
        <v>1349</v>
      </c>
      <c r="D587" s="1" t="s">
        <v>30</v>
      </c>
      <c r="E587" s="1" t="s">
        <v>28</v>
      </c>
      <c r="F587" s="1" t="n">
        <v>2</v>
      </c>
      <c r="G587" s="15" t="n">
        <v>111.07</v>
      </c>
      <c r="H587" s="16" t="n">
        <v>0.26</v>
      </c>
      <c r="I587" s="1" t="s">
        <v>33</v>
      </c>
      <c r="J587" s="1" t="n">
        <v>5</v>
      </c>
      <c r="K587" s="1" t="n">
        <v>3.3</v>
      </c>
      <c r="L587" s="15" t="n">
        <v>164.38</v>
      </c>
      <c r="M587" s="15" t="n">
        <f aca="false">F587*G587</f>
        <v>222.14</v>
      </c>
      <c r="N587" s="15" t="n">
        <f aca="false">M587-L587</f>
        <v>57.76</v>
      </c>
      <c r="O587" s="1" t="n">
        <f aca="false">YEAR(B587)</f>
        <v>2023</v>
      </c>
      <c r="P587" s="1" t="n">
        <f aca="false">MONTH(B587)</f>
        <v>8</v>
      </c>
      <c r="Q587" s="1" t="str">
        <f aca="false">TEXT(B587,"mmm")</f>
        <v>Aug</v>
      </c>
      <c r="R587" s="1" t="str">
        <f aca="false">"Q"&amp;ROUNDUP(MONTH(B587)/3,0)</f>
        <v>Q3</v>
      </c>
    </row>
    <row r="588" customFormat="false" ht="15" hidden="false" customHeight="true" outlineLevel="0" collapsed="false">
      <c r="A588" s="1" t="n">
        <v>10587</v>
      </c>
      <c r="B588" s="14" t="n">
        <v>45148</v>
      </c>
      <c r="C588" s="1" t="n">
        <v>1046</v>
      </c>
      <c r="D588" s="1" t="s">
        <v>30</v>
      </c>
      <c r="E588" s="1" t="s">
        <v>36</v>
      </c>
      <c r="F588" s="1" t="n">
        <v>7</v>
      </c>
      <c r="G588" s="15" t="n">
        <v>47.75</v>
      </c>
      <c r="H588" s="16" t="n">
        <v>0.14</v>
      </c>
      <c r="I588" s="1" t="s">
        <v>33</v>
      </c>
      <c r="J588" s="1" t="n">
        <v>2</v>
      </c>
      <c r="K588" s="1" t="n">
        <v>1</v>
      </c>
      <c r="L588" s="15" t="n">
        <v>287.46</v>
      </c>
      <c r="M588" s="15" t="n">
        <f aca="false">F588*G588</f>
        <v>334.25</v>
      </c>
      <c r="N588" s="15" t="n">
        <f aca="false">M588-L588</f>
        <v>46.79</v>
      </c>
      <c r="O588" s="1" t="n">
        <f aca="false">YEAR(B588)</f>
        <v>2023</v>
      </c>
      <c r="P588" s="1" t="n">
        <f aca="false">MONTH(B588)</f>
        <v>8</v>
      </c>
      <c r="Q588" s="1" t="str">
        <f aca="false">TEXT(B588,"mmm")</f>
        <v>Aug</v>
      </c>
      <c r="R588" s="1" t="str">
        <f aca="false">"Q"&amp;ROUNDUP(MONTH(B588)/3,0)</f>
        <v>Q3</v>
      </c>
    </row>
    <row r="589" customFormat="false" ht="15" hidden="false" customHeight="true" outlineLevel="0" collapsed="false">
      <c r="A589" s="1" t="n">
        <v>10588</v>
      </c>
      <c r="B589" s="14" t="n">
        <v>45149</v>
      </c>
      <c r="C589" s="1" t="n">
        <v>1866</v>
      </c>
      <c r="D589" s="1" t="s">
        <v>27</v>
      </c>
      <c r="E589" s="1" t="s">
        <v>35</v>
      </c>
      <c r="F589" s="1" t="n">
        <v>4</v>
      </c>
      <c r="G589" s="15" t="n">
        <v>85.79</v>
      </c>
      <c r="H589" s="16" t="n">
        <v>0.22</v>
      </c>
      <c r="I589" s="1" t="s">
        <v>31</v>
      </c>
      <c r="J589" s="1" t="n">
        <v>9</v>
      </c>
      <c r="K589" s="1" t="n">
        <v>2.7</v>
      </c>
      <c r="L589" s="15" t="n">
        <v>267.66</v>
      </c>
      <c r="M589" s="15" t="n">
        <f aca="false">F589*G589</f>
        <v>343.16</v>
      </c>
      <c r="N589" s="15" t="n">
        <f aca="false">M589-L589</f>
        <v>75.5</v>
      </c>
      <c r="O589" s="1" t="n">
        <f aca="false">YEAR(B589)</f>
        <v>2023</v>
      </c>
      <c r="P589" s="1" t="n">
        <f aca="false">MONTH(B589)</f>
        <v>8</v>
      </c>
      <c r="Q589" s="1" t="str">
        <f aca="false">TEXT(B589,"mmm")</f>
        <v>Aug</v>
      </c>
      <c r="R589" s="1" t="str">
        <f aca="false">"Q"&amp;ROUNDUP(MONTH(B589)/3,0)</f>
        <v>Q3</v>
      </c>
    </row>
    <row r="590" customFormat="false" ht="15" hidden="false" customHeight="true" outlineLevel="0" collapsed="false">
      <c r="A590" s="1" t="n">
        <v>10589</v>
      </c>
      <c r="B590" s="14" t="n">
        <v>45150</v>
      </c>
      <c r="C590" s="1" t="n">
        <v>1822</v>
      </c>
      <c r="D590" s="1" t="s">
        <v>34</v>
      </c>
      <c r="E590" s="1" t="s">
        <v>35</v>
      </c>
      <c r="F590" s="1" t="n">
        <v>6</v>
      </c>
      <c r="G590" s="15" t="n">
        <v>559.04</v>
      </c>
      <c r="H590" s="16" t="n">
        <v>0.27</v>
      </c>
      <c r="I590" s="1" t="s">
        <v>31</v>
      </c>
      <c r="J590" s="1" t="n">
        <v>2</v>
      </c>
      <c r="K590" s="1" t="n">
        <v>3.8</v>
      </c>
      <c r="L590" s="15" t="n">
        <v>2448.6</v>
      </c>
      <c r="M590" s="15" t="n">
        <f aca="false">F590*G590</f>
        <v>3354.24</v>
      </c>
      <c r="N590" s="15" t="n">
        <f aca="false">M590-L590</f>
        <v>905.64</v>
      </c>
      <c r="O590" s="1" t="n">
        <f aca="false">YEAR(B590)</f>
        <v>2023</v>
      </c>
      <c r="P590" s="1" t="n">
        <f aca="false">MONTH(B590)</f>
        <v>8</v>
      </c>
      <c r="Q590" s="1" t="str">
        <f aca="false">TEXT(B590,"mmm")</f>
        <v>Aug</v>
      </c>
      <c r="R590" s="1" t="str">
        <f aca="false">"Q"&amp;ROUNDUP(MONTH(B590)/3,0)</f>
        <v>Q3</v>
      </c>
    </row>
    <row r="591" customFormat="false" ht="15" hidden="false" customHeight="true" outlineLevel="0" collapsed="false">
      <c r="A591" s="1" t="n">
        <v>10590</v>
      </c>
      <c r="B591" s="14" t="n">
        <v>45151</v>
      </c>
      <c r="C591" s="1" t="n">
        <v>1935</v>
      </c>
      <c r="D591" s="1" t="s">
        <v>37</v>
      </c>
      <c r="E591" s="1" t="s">
        <v>36</v>
      </c>
      <c r="F591" s="1" t="n">
        <v>3</v>
      </c>
      <c r="G591" s="15" t="n">
        <v>337.77</v>
      </c>
      <c r="H591" s="16" t="n">
        <v>0.19</v>
      </c>
      <c r="I591" s="1" t="s">
        <v>29</v>
      </c>
      <c r="J591" s="1" t="n">
        <v>9</v>
      </c>
      <c r="K591" s="1" t="n">
        <v>1.5</v>
      </c>
      <c r="L591" s="15" t="n">
        <v>820.78</v>
      </c>
      <c r="M591" s="15" t="n">
        <f aca="false">F591*G591</f>
        <v>1013.31</v>
      </c>
      <c r="N591" s="15" t="n">
        <f aca="false">M591-L591</f>
        <v>192.53</v>
      </c>
      <c r="O591" s="1" t="n">
        <f aca="false">YEAR(B591)</f>
        <v>2023</v>
      </c>
      <c r="P591" s="1" t="n">
        <f aca="false">MONTH(B591)</f>
        <v>8</v>
      </c>
      <c r="Q591" s="1" t="str">
        <f aca="false">TEXT(B591,"mmm")</f>
        <v>Aug</v>
      </c>
      <c r="R591" s="1" t="str">
        <f aca="false">"Q"&amp;ROUNDUP(MONTH(B591)/3,0)</f>
        <v>Q3</v>
      </c>
    </row>
    <row r="592" customFormat="false" ht="15" hidden="false" customHeight="true" outlineLevel="0" collapsed="false">
      <c r="A592" s="1" t="n">
        <v>10591</v>
      </c>
      <c r="B592" s="14" t="n">
        <v>45152</v>
      </c>
      <c r="C592" s="1" t="n">
        <v>1819</v>
      </c>
      <c r="D592" s="1" t="s">
        <v>34</v>
      </c>
      <c r="E592" s="1" t="s">
        <v>28</v>
      </c>
      <c r="F592" s="1" t="n">
        <v>2</v>
      </c>
      <c r="G592" s="15" t="n">
        <v>480.86</v>
      </c>
      <c r="H592" s="16" t="n">
        <v>0.19</v>
      </c>
      <c r="I592" s="1" t="s">
        <v>33</v>
      </c>
      <c r="J592" s="1" t="n">
        <v>10</v>
      </c>
      <c r="K592" s="1" t="n">
        <v>2.6</v>
      </c>
      <c r="L592" s="15" t="n">
        <v>778.99</v>
      </c>
      <c r="M592" s="15" t="n">
        <f aca="false">F592*G592</f>
        <v>961.72</v>
      </c>
      <c r="N592" s="15" t="n">
        <f aca="false">M592-L592</f>
        <v>182.73</v>
      </c>
      <c r="O592" s="1" t="n">
        <f aca="false">YEAR(B592)</f>
        <v>2023</v>
      </c>
      <c r="P592" s="1" t="n">
        <f aca="false">MONTH(B592)</f>
        <v>8</v>
      </c>
      <c r="Q592" s="1" t="str">
        <f aca="false">TEXT(B592,"mmm")</f>
        <v>Aug</v>
      </c>
      <c r="R592" s="1" t="str">
        <f aca="false">"Q"&amp;ROUNDUP(MONTH(B592)/3,0)</f>
        <v>Q3</v>
      </c>
    </row>
    <row r="593" customFormat="false" ht="15" hidden="false" customHeight="true" outlineLevel="0" collapsed="false">
      <c r="A593" s="1" t="n">
        <v>10592</v>
      </c>
      <c r="B593" s="14" t="n">
        <v>45153</v>
      </c>
      <c r="C593" s="1" t="n">
        <v>1655</v>
      </c>
      <c r="D593" s="1" t="s">
        <v>30</v>
      </c>
      <c r="E593" s="1" t="s">
        <v>35</v>
      </c>
      <c r="F593" s="1" t="n">
        <v>7</v>
      </c>
      <c r="G593" s="15" t="n">
        <v>209.6</v>
      </c>
      <c r="H593" s="16" t="n">
        <v>0.03</v>
      </c>
      <c r="I593" s="1" t="s">
        <v>33</v>
      </c>
      <c r="J593" s="1" t="n">
        <v>2</v>
      </c>
      <c r="K593" s="1" t="n">
        <v>1.8</v>
      </c>
      <c r="L593" s="15" t="n">
        <v>1423.18</v>
      </c>
      <c r="M593" s="15" t="n">
        <f aca="false">F593*G593</f>
        <v>1467.2</v>
      </c>
      <c r="N593" s="15" t="n">
        <f aca="false">M593-L593</f>
        <v>44.02</v>
      </c>
      <c r="O593" s="1" t="n">
        <f aca="false">YEAR(B593)</f>
        <v>2023</v>
      </c>
      <c r="P593" s="1" t="n">
        <f aca="false">MONTH(B593)</f>
        <v>8</v>
      </c>
      <c r="Q593" s="1" t="str">
        <f aca="false">TEXT(B593,"mmm")</f>
        <v>Aug</v>
      </c>
      <c r="R593" s="1" t="str">
        <f aca="false">"Q"&amp;ROUNDUP(MONTH(B593)/3,0)</f>
        <v>Q3</v>
      </c>
    </row>
    <row r="594" customFormat="false" ht="15" hidden="false" customHeight="true" outlineLevel="0" collapsed="false">
      <c r="A594" s="1" t="n">
        <v>10593</v>
      </c>
      <c r="B594" s="14" t="n">
        <v>45154</v>
      </c>
      <c r="C594" s="1" t="n">
        <v>1268</v>
      </c>
      <c r="D594" s="1" t="s">
        <v>34</v>
      </c>
      <c r="E594" s="1" t="s">
        <v>35</v>
      </c>
      <c r="F594" s="1" t="n">
        <v>1</v>
      </c>
      <c r="G594" s="15" t="n">
        <v>361.71</v>
      </c>
      <c r="H594" s="16" t="n">
        <v>0.14</v>
      </c>
      <c r="I594" s="1" t="s">
        <v>31</v>
      </c>
      <c r="J594" s="1" t="n">
        <v>4</v>
      </c>
      <c r="K594" s="1" t="n">
        <v>2.4</v>
      </c>
      <c r="L594" s="15" t="n">
        <v>311.07</v>
      </c>
      <c r="M594" s="15" t="n">
        <f aca="false">F594*G594</f>
        <v>361.71</v>
      </c>
      <c r="N594" s="15" t="n">
        <f aca="false">M594-L594</f>
        <v>50.64</v>
      </c>
      <c r="O594" s="1" t="n">
        <f aca="false">YEAR(B594)</f>
        <v>2023</v>
      </c>
      <c r="P594" s="1" t="n">
        <f aca="false">MONTH(B594)</f>
        <v>8</v>
      </c>
      <c r="Q594" s="1" t="str">
        <f aca="false">TEXT(B594,"mmm")</f>
        <v>Aug</v>
      </c>
      <c r="R594" s="1" t="str">
        <f aca="false">"Q"&amp;ROUNDUP(MONTH(B594)/3,0)</f>
        <v>Q3</v>
      </c>
    </row>
    <row r="595" customFormat="false" ht="15" hidden="false" customHeight="true" outlineLevel="0" collapsed="false">
      <c r="A595" s="1" t="n">
        <v>10594</v>
      </c>
      <c r="B595" s="14" t="n">
        <v>45155</v>
      </c>
      <c r="C595" s="1" t="n">
        <v>1369</v>
      </c>
      <c r="D595" s="1" t="s">
        <v>34</v>
      </c>
      <c r="E595" s="1" t="s">
        <v>35</v>
      </c>
      <c r="F595" s="1" t="n">
        <v>7</v>
      </c>
      <c r="G595" s="15" t="n">
        <v>304.55</v>
      </c>
      <c r="H595" s="16" t="n">
        <v>0.19</v>
      </c>
      <c r="I595" s="1" t="s">
        <v>31</v>
      </c>
      <c r="J595" s="1" t="n">
        <v>3</v>
      </c>
      <c r="K595" s="1" t="n">
        <v>1.1</v>
      </c>
      <c r="L595" s="15" t="n">
        <v>1726.8</v>
      </c>
      <c r="M595" s="15" t="n">
        <f aca="false">F595*G595</f>
        <v>2131.85</v>
      </c>
      <c r="N595" s="15" t="n">
        <f aca="false">M595-L595</f>
        <v>405.05</v>
      </c>
      <c r="O595" s="1" t="n">
        <f aca="false">YEAR(B595)</f>
        <v>2023</v>
      </c>
      <c r="P595" s="1" t="n">
        <f aca="false">MONTH(B595)</f>
        <v>8</v>
      </c>
      <c r="Q595" s="1" t="str">
        <f aca="false">TEXT(B595,"mmm")</f>
        <v>Aug</v>
      </c>
      <c r="R595" s="1" t="str">
        <f aca="false">"Q"&amp;ROUNDUP(MONTH(B595)/3,0)</f>
        <v>Q3</v>
      </c>
    </row>
    <row r="596" customFormat="false" ht="15" hidden="false" customHeight="true" outlineLevel="0" collapsed="false">
      <c r="A596" s="1" t="n">
        <v>10595</v>
      </c>
      <c r="B596" s="14" t="n">
        <v>45156</v>
      </c>
      <c r="C596" s="1" t="n">
        <v>1635</v>
      </c>
      <c r="D596" s="1" t="s">
        <v>30</v>
      </c>
      <c r="E596" s="1" t="s">
        <v>28</v>
      </c>
      <c r="F596" s="1" t="n">
        <v>7</v>
      </c>
      <c r="G596" s="15" t="n">
        <v>568.26</v>
      </c>
      <c r="H596" s="16" t="n">
        <v>0.16</v>
      </c>
      <c r="I596" s="1" t="s">
        <v>31</v>
      </c>
      <c r="J596" s="1" t="n">
        <v>6</v>
      </c>
      <c r="K596" s="1" t="n">
        <v>1.5</v>
      </c>
      <c r="L596" s="15" t="n">
        <v>3341.37</v>
      </c>
      <c r="M596" s="15" t="n">
        <f aca="false">F596*G596</f>
        <v>3977.82</v>
      </c>
      <c r="N596" s="15" t="n">
        <f aca="false">M596-L596</f>
        <v>636.45</v>
      </c>
      <c r="O596" s="1" t="n">
        <f aca="false">YEAR(B596)</f>
        <v>2023</v>
      </c>
      <c r="P596" s="1" t="n">
        <f aca="false">MONTH(B596)</f>
        <v>8</v>
      </c>
      <c r="Q596" s="1" t="str">
        <f aca="false">TEXT(B596,"mmm")</f>
        <v>Aug</v>
      </c>
      <c r="R596" s="1" t="str">
        <f aca="false">"Q"&amp;ROUNDUP(MONTH(B596)/3,0)</f>
        <v>Q3</v>
      </c>
    </row>
    <row r="597" customFormat="false" ht="15" hidden="false" customHeight="true" outlineLevel="0" collapsed="false">
      <c r="A597" s="1" t="n">
        <v>10596</v>
      </c>
      <c r="B597" s="14" t="n">
        <v>45157</v>
      </c>
      <c r="C597" s="1" t="n">
        <v>1105</v>
      </c>
      <c r="D597" s="1" t="s">
        <v>34</v>
      </c>
      <c r="E597" s="1" t="s">
        <v>28</v>
      </c>
      <c r="F597" s="1" t="n">
        <v>4</v>
      </c>
      <c r="G597" s="15" t="n">
        <v>452.33</v>
      </c>
      <c r="H597" s="16" t="n">
        <v>0.32</v>
      </c>
      <c r="I597" s="1" t="s">
        <v>33</v>
      </c>
      <c r="J597" s="1" t="n">
        <v>4</v>
      </c>
      <c r="K597" s="1" t="n">
        <v>2.8</v>
      </c>
      <c r="L597" s="15" t="n">
        <v>1230.34</v>
      </c>
      <c r="M597" s="15" t="n">
        <f aca="false">F597*G597</f>
        <v>1809.32</v>
      </c>
      <c r="N597" s="15" t="n">
        <f aca="false">M597-L597</f>
        <v>578.98</v>
      </c>
      <c r="O597" s="1" t="n">
        <f aca="false">YEAR(B597)</f>
        <v>2023</v>
      </c>
      <c r="P597" s="1" t="n">
        <f aca="false">MONTH(B597)</f>
        <v>8</v>
      </c>
      <c r="Q597" s="1" t="str">
        <f aca="false">TEXT(B597,"mmm")</f>
        <v>Aug</v>
      </c>
      <c r="R597" s="1" t="str">
        <f aca="false">"Q"&amp;ROUNDUP(MONTH(B597)/3,0)</f>
        <v>Q3</v>
      </c>
    </row>
    <row r="598" customFormat="false" ht="15" hidden="false" customHeight="true" outlineLevel="0" collapsed="false">
      <c r="A598" s="1" t="n">
        <v>10597</v>
      </c>
      <c r="B598" s="14" t="n">
        <v>45158</v>
      </c>
      <c r="C598" s="1" t="n">
        <v>1669</v>
      </c>
      <c r="D598" s="1" t="s">
        <v>30</v>
      </c>
      <c r="E598" s="1" t="s">
        <v>28</v>
      </c>
      <c r="F598" s="1" t="n">
        <v>5</v>
      </c>
      <c r="G598" s="15" t="n">
        <v>442.37</v>
      </c>
      <c r="H598" s="16" t="n">
        <v>0.32</v>
      </c>
      <c r="I598" s="1" t="s">
        <v>31</v>
      </c>
      <c r="J598" s="1" t="n">
        <v>9</v>
      </c>
      <c r="K598" s="1" t="n">
        <v>4.6</v>
      </c>
      <c r="L598" s="15" t="n">
        <v>1504.06</v>
      </c>
      <c r="M598" s="15" t="n">
        <f aca="false">F598*G598</f>
        <v>2211.85</v>
      </c>
      <c r="N598" s="15" t="n">
        <f aca="false">M598-L598</f>
        <v>707.79</v>
      </c>
      <c r="O598" s="1" t="n">
        <f aca="false">YEAR(B598)</f>
        <v>2023</v>
      </c>
      <c r="P598" s="1" t="n">
        <f aca="false">MONTH(B598)</f>
        <v>8</v>
      </c>
      <c r="Q598" s="1" t="str">
        <f aca="false">TEXT(B598,"mmm")</f>
        <v>Aug</v>
      </c>
      <c r="R598" s="1" t="str">
        <f aca="false">"Q"&amp;ROUNDUP(MONTH(B598)/3,0)</f>
        <v>Q3</v>
      </c>
    </row>
    <row r="599" customFormat="false" ht="15" hidden="false" customHeight="true" outlineLevel="0" collapsed="false">
      <c r="A599" s="1" t="n">
        <v>10598</v>
      </c>
      <c r="B599" s="14" t="n">
        <v>45159</v>
      </c>
      <c r="C599" s="1" t="n">
        <v>1658</v>
      </c>
      <c r="D599" s="1" t="s">
        <v>27</v>
      </c>
      <c r="E599" s="1" t="s">
        <v>35</v>
      </c>
      <c r="F599" s="1" t="n">
        <v>5</v>
      </c>
      <c r="G599" s="15" t="n">
        <v>42.12</v>
      </c>
      <c r="H599" s="16" t="n">
        <v>0.29</v>
      </c>
      <c r="I599" s="1" t="s">
        <v>31</v>
      </c>
      <c r="J599" s="1" t="n">
        <v>9</v>
      </c>
      <c r="K599" s="1" t="n">
        <v>3</v>
      </c>
      <c r="L599" s="15" t="n">
        <v>149.53</v>
      </c>
      <c r="M599" s="15" t="n">
        <f aca="false">F599*G599</f>
        <v>210.6</v>
      </c>
      <c r="N599" s="15" t="n">
        <f aca="false">M599-L599</f>
        <v>61.07</v>
      </c>
      <c r="O599" s="1" t="n">
        <f aca="false">YEAR(B599)</f>
        <v>2023</v>
      </c>
      <c r="P599" s="1" t="n">
        <f aca="false">MONTH(B599)</f>
        <v>8</v>
      </c>
      <c r="Q599" s="1" t="str">
        <f aca="false">TEXT(B599,"mmm")</f>
        <v>Aug</v>
      </c>
      <c r="R599" s="1" t="str">
        <f aca="false">"Q"&amp;ROUNDUP(MONTH(B599)/3,0)</f>
        <v>Q3</v>
      </c>
    </row>
    <row r="600" customFormat="false" ht="15" hidden="false" customHeight="true" outlineLevel="0" collapsed="false">
      <c r="A600" s="1" t="n">
        <v>10599</v>
      </c>
      <c r="B600" s="14" t="n">
        <v>45160</v>
      </c>
      <c r="C600" s="1" t="n">
        <v>1656</v>
      </c>
      <c r="D600" s="1" t="s">
        <v>34</v>
      </c>
      <c r="E600" s="1" t="s">
        <v>32</v>
      </c>
      <c r="F600" s="1" t="n">
        <v>1</v>
      </c>
      <c r="G600" s="15" t="n">
        <v>336.56</v>
      </c>
      <c r="H600" s="16" t="n">
        <v>0.13</v>
      </c>
      <c r="I600" s="1" t="s">
        <v>33</v>
      </c>
      <c r="J600" s="1" t="n">
        <v>10</v>
      </c>
      <c r="K600" s="1" t="n">
        <v>2.8</v>
      </c>
      <c r="L600" s="15" t="n">
        <v>292.81</v>
      </c>
      <c r="M600" s="15" t="n">
        <f aca="false">F600*G600</f>
        <v>336.56</v>
      </c>
      <c r="N600" s="15" t="n">
        <f aca="false">M600-L600</f>
        <v>43.75</v>
      </c>
      <c r="O600" s="1" t="n">
        <f aca="false">YEAR(B600)</f>
        <v>2023</v>
      </c>
      <c r="P600" s="1" t="n">
        <f aca="false">MONTH(B600)</f>
        <v>8</v>
      </c>
      <c r="Q600" s="1" t="str">
        <f aca="false">TEXT(B600,"mmm")</f>
        <v>Aug</v>
      </c>
      <c r="R600" s="1" t="str">
        <f aca="false">"Q"&amp;ROUNDUP(MONTH(B600)/3,0)</f>
        <v>Q3</v>
      </c>
    </row>
    <row r="601" customFormat="false" ht="15" hidden="false" customHeight="true" outlineLevel="0" collapsed="false">
      <c r="A601" s="1" t="n">
        <v>10600</v>
      </c>
      <c r="B601" s="14" t="n">
        <v>45161</v>
      </c>
      <c r="C601" s="1" t="n">
        <v>1119</v>
      </c>
      <c r="D601" s="1" t="s">
        <v>37</v>
      </c>
      <c r="E601" s="1" t="s">
        <v>36</v>
      </c>
      <c r="F601" s="1" t="n">
        <v>4</v>
      </c>
      <c r="G601" s="15" t="n">
        <v>288.19</v>
      </c>
      <c r="H601" s="16" t="n">
        <v>0.25</v>
      </c>
      <c r="I601" s="1" t="s">
        <v>33</v>
      </c>
      <c r="J601" s="1" t="n">
        <v>9</v>
      </c>
      <c r="K601" s="1" t="n">
        <v>4.2</v>
      </c>
      <c r="L601" s="15" t="n">
        <v>864.57</v>
      </c>
      <c r="M601" s="15" t="n">
        <f aca="false">F601*G601</f>
        <v>1152.76</v>
      </c>
      <c r="N601" s="15" t="n">
        <f aca="false">M601-L601</f>
        <v>288.19</v>
      </c>
      <c r="O601" s="1" t="n">
        <f aca="false">YEAR(B601)</f>
        <v>2023</v>
      </c>
      <c r="P601" s="1" t="n">
        <f aca="false">MONTH(B601)</f>
        <v>8</v>
      </c>
      <c r="Q601" s="1" t="str">
        <f aca="false">TEXT(B601,"mmm")</f>
        <v>Aug</v>
      </c>
      <c r="R601" s="1" t="str">
        <f aca="false">"Q"&amp;ROUNDUP(MONTH(B601)/3,0)</f>
        <v>Q3</v>
      </c>
    </row>
    <row r="602" customFormat="false" ht="15" hidden="false" customHeight="true" outlineLevel="0" collapsed="false">
      <c r="A602" s="1" t="n">
        <v>10601</v>
      </c>
      <c r="B602" s="14" t="n">
        <v>45162</v>
      </c>
      <c r="C602" s="1" t="n">
        <v>1830</v>
      </c>
      <c r="D602" s="1" t="s">
        <v>30</v>
      </c>
      <c r="E602" s="1" t="s">
        <v>32</v>
      </c>
      <c r="F602" s="1" t="n">
        <v>4</v>
      </c>
      <c r="G602" s="15" t="n">
        <v>557.79</v>
      </c>
      <c r="H602" s="16" t="n">
        <v>0.14</v>
      </c>
      <c r="I602" s="1" t="s">
        <v>31</v>
      </c>
      <c r="J602" s="1" t="n">
        <v>3</v>
      </c>
      <c r="K602" s="1" t="n">
        <v>2.1</v>
      </c>
      <c r="L602" s="15" t="n">
        <v>1918.8</v>
      </c>
      <c r="M602" s="15" t="n">
        <f aca="false">F602*G602</f>
        <v>2231.16</v>
      </c>
      <c r="N602" s="15" t="n">
        <f aca="false">M602-L602</f>
        <v>312.36</v>
      </c>
      <c r="O602" s="1" t="n">
        <f aca="false">YEAR(B602)</f>
        <v>2023</v>
      </c>
      <c r="P602" s="1" t="n">
        <f aca="false">MONTH(B602)</f>
        <v>8</v>
      </c>
      <c r="Q602" s="1" t="str">
        <f aca="false">TEXT(B602,"mmm")</f>
        <v>Aug</v>
      </c>
      <c r="R602" s="1" t="str">
        <f aca="false">"Q"&amp;ROUNDUP(MONTH(B602)/3,0)</f>
        <v>Q3</v>
      </c>
    </row>
    <row r="603" customFormat="false" ht="15" hidden="false" customHeight="true" outlineLevel="0" collapsed="false">
      <c r="A603" s="1" t="n">
        <v>10602</v>
      </c>
      <c r="B603" s="14" t="n">
        <v>45163</v>
      </c>
      <c r="C603" s="1" t="n">
        <v>1786</v>
      </c>
      <c r="D603" s="1" t="s">
        <v>37</v>
      </c>
      <c r="E603" s="1" t="s">
        <v>28</v>
      </c>
      <c r="F603" s="1" t="n">
        <v>4</v>
      </c>
      <c r="G603" s="15" t="n">
        <v>165.55</v>
      </c>
      <c r="H603" s="16" t="n">
        <v>0.08</v>
      </c>
      <c r="I603" s="1" t="s">
        <v>33</v>
      </c>
      <c r="J603" s="1" t="n">
        <v>3</v>
      </c>
      <c r="K603" s="1" t="n">
        <v>1.4</v>
      </c>
      <c r="L603" s="15" t="n">
        <v>609.22</v>
      </c>
      <c r="M603" s="15" t="n">
        <f aca="false">F603*G603</f>
        <v>662.2</v>
      </c>
      <c r="N603" s="15" t="n">
        <f aca="false">M603-L603</f>
        <v>52.98</v>
      </c>
      <c r="O603" s="1" t="n">
        <f aca="false">YEAR(B603)</f>
        <v>2023</v>
      </c>
      <c r="P603" s="1" t="n">
        <f aca="false">MONTH(B603)</f>
        <v>8</v>
      </c>
      <c r="Q603" s="1" t="str">
        <f aca="false">TEXT(B603,"mmm")</f>
        <v>Aug</v>
      </c>
      <c r="R603" s="1" t="str">
        <f aca="false">"Q"&amp;ROUNDUP(MONTH(B603)/3,0)</f>
        <v>Q3</v>
      </c>
    </row>
    <row r="604" customFormat="false" ht="15" hidden="false" customHeight="true" outlineLevel="0" collapsed="false">
      <c r="A604" s="1" t="n">
        <v>10603</v>
      </c>
      <c r="B604" s="14" t="n">
        <v>45164</v>
      </c>
      <c r="C604" s="1" t="n">
        <v>1603</v>
      </c>
      <c r="D604" s="1" t="s">
        <v>34</v>
      </c>
      <c r="E604" s="1" t="s">
        <v>35</v>
      </c>
      <c r="F604" s="1" t="n">
        <v>4</v>
      </c>
      <c r="G604" s="15" t="n">
        <v>172.85</v>
      </c>
      <c r="H604" s="16" t="n">
        <v>0.12</v>
      </c>
      <c r="I604" s="1" t="s">
        <v>29</v>
      </c>
      <c r="J604" s="1" t="n">
        <v>4</v>
      </c>
      <c r="K604" s="1" t="n">
        <v>1.8</v>
      </c>
      <c r="L604" s="15" t="n">
        <v>608.43</v>
      </c>
      <c r="M604" s="15" t="n">
        <f aca="false">F604*G604</f>
        <v>691.4</v>
      </c>
      <c r="N604" s="15" t="n">
        <f aca="false">M604-L604</f>
        <v>82.97</v>
      </c>
      <c r="O604" s="1" t="n">
        <f aca="false">YEAR(B604)</f>
        <v>2023</v>
      </c>
      <c r="P604" s="1" t="n">
        <f aca="false">MONTH(B604)</f>
        <v>8</v>
      </c>
      <c r="Q604" s="1" t="str">
        <f aca="false">TEXT(B604,"mmm")</f>
        <v>Aug</v>
      </c>
      <c r="R604" s="1" t="str">
        <f aca="false">"Q"&amp;ROUNDUP(MONTH(B604)/3,0)</f>
        <v>Q3</v>
      </c>
    </row>
    <row r="605" customFormat="false" ht="15" hidden="false" customHeight="true" outlineLevel="0" collapsed="false">
      <c r="A605" s="1" t="n">
        <v>10604</v>
      </c>
      <c r="B605" s="14" t="n">
        <v>45165</v>
      </c>
      <c r="C605" s="1" t="n">
        <v>1057</v>
      </c>
      <c r="D605" s="1" t="s">
        <v>34</v>
      </c>
      <c r="E605" s="1" t="s">
        <v>35</v>
      </c>
      <c r="F605" s="1" t="n">
        <v>5</v>
      </c>
      <c r="G605" s="15" t="n">
        <v>255.64</v>
      </c>
      <c r="H605" s="16" t="n">
        <v>0.02</v>
      </c>
      <c r="I605" s="1" t="s">
        <v>33</v>
      </c>
      <c r="J605" s="1" t="n">
        <v>9</v>
      </c>
      <c r="K605" s="1" t="n">
        <v>4.2</v>
      </c>
      <c r="L605" s="15" t="n">
        <v>1252.64</v>
      </c>
      <c r="M605" s="15" t="n">
        <f aca="false">F605*G605</f>
        <v>1278.2</v>
      </c>
      <c r="N605" s="15" t="n">
        <f aca="false">M605-L605</f>
        <v>25.5599999999997</v>
      </c>
      <c r="O605" s="1" t="n">
        <f aca="false">YEAR(B605)</f>
        <v>2023</v>
      </c>
      <c r="P605" s="1" t="n">
        <f aca="false">MONTH(B605)</f>
        <v>8</v>
      </c>
      <c r="Q605" s="1" t="str">
        <f aca="false">TEXT(B605,"mmm")</f>
        <v>Aug</v>
      </c>
      <c r="R605" s="1" t="str">
        <f aca="false">"Q"&amp;ROUNDUP(MONTH(B605)/3,0)</f>
        <v>Q3</v>
      </c>
    </row>
    <row r="606" customFormat="false" ht="15" hidden="false" customHeight="true" outlineLevel="0" collapsed="false">
      <c r="A606" s="1" t="n">
        <v>10605</v>
      </c>
      <c r="B606" s="14" t="n">
        <v>45166</v>
      </c>
      <c r="C606" s="1" t="n">
        <v>1950</v>
      </c>
      <c r="D606" s="1" t="s">
        <v>34</v>
      </c>
      <c r="E606" s="1" t="s">
        <v>32</v>
      </c>
      <c r="F606" s="1" t="n">
        <v>2</v>
      </c>
      <c r="G606" s="15" t="n">
        <v>157.37</v>
      </c>
      <c r="H606" s="16" t="n">
        <v>0.12</v>
      </c>
      <c r="I606" s="1" t="s">
        <v>29</v>
      </c>
      <c r="J606" s="1" t="n">
        <v>6</v>
      </c>
      <c r="K606" s="1" t="n">
        <v>3.7</v>
      </c>
      <c r="L606" s="15" t="n">
        <v>276.97</v>
      </c>
      <c r="M606" s="15" t="n">
        <f aca="false">F606*G606</f>
        <v>314.74</v>
      </c>
      <c r="N606" s="15" t="n">
        <f aca="false">M606-L606</f>
        <v>37.77</v>
      </c>
      <c r="O606" s="1" t="n">
        <f aca="false">YEAR(B606)</f>
        <v>2023</v>
      </c>
      <c r="P606" s="1" t="n">
        <f aca="false">MONTH(B606)</f>
        <v>8</v>
      </c>
      <c r="Q606" s="1" t="str">
        <f aca="false">TEXT(B606,"mmm")</f>
        <v>Aug</v>
      </c>
      <c r="R606" s="1" t="str">
        <f aca="false">"Q"&amp;ROUNDUP(MONTH(B606)/3,0)</f>
        <v>Q3</v>
      </c>
    </row>
    <row r="607" customFormat="false" ht="15" hidden="false" customHeight="true" outlineLevel="0" collapsed="false">
      <c r="A607" s="1" t="n">
        <v>10606</v>
      </c>
      <c r="B607" s="14" t="n">
        <v>45167</v>
      </c>
      <c r="C607" s="1" t="n">
        <v>1345</v>
      </c>
      <c r="D607" s="1" t="s">
        <v>34</v>
      </c>
      <c r="E607" s="1" t="s">
        <v>32</v>
      </c>
      <c r="F607" s="1" t="n">
        <v>4</v>
      </c>
      <c r="G607" s="15" t="n">
        <v>90.57</v>
      </c>
      <c r="H607" s="16" t="n">
        <v>0.16</v>
      </c>
      <c r="I607" s="1" t="s">
        <v>29</v>
      </c>
      <c r="J607" s="1" t="n">
        <v>9</v>
      </c>
      <c r="K607" s="1" t="n">
        <v>1.4</v>
      </c>
      <c r="L607" s="15" t="n">
        <v>304.32</v>
      </c>
      <c r="M607" s="15" t="n">
        <f aca="false">F607*G607</f>
        <v>362.28</v>
      </c>
      <c r="N607" s="15" t="n">
        <f aca="false">M607-L607</f>
        <v>57.96</v>
      </c>
      <c r="O607" s="1" t="n">
        <f aca="false">YEAR(B607)</f>
        <v>2023</v>
      </c>
      <c r="P607" s="1" t="n">
        <f aca="false">MONTH(B607)</f>
        <v>8</v>
      </c>
      <c r="Q607" s="1" t="str">
        <f aca="false">TEXT(B607,"mmm")</f>
        <v>Aug</v>
      </c>
      <c r="R607" s="1" t="str">
        <f aca="false">"Q"&amp;ROUNDUP(MONTH(B607)/3,0)</f>
        <v>Q3</v>
      </c>
    </row>
    <row r="608" customFormat="false" ht="15" hidden="false" customHeight="true" outlineLevel="0" collapsed="false">
      <c r="A608" s="1" t="n">
        <v>10607</v>
      </c>
      <c r="B608" s="14" t="n">
        <v>45168</v>
      </c>
      <c r="C608" s="1" t="n">
        <v>1740</v>
      </c>
      <c r="D608" s="1" t="s">
        <v>34</v>
      </c>
      <c r="E608" s="1" t="s">
        <v>36</v>
      </c>
      <c r="F608" s="1" t="n">
        <v>2</v>
      </c>
      <c r="G608" s="15" t="n">
        <v>516.59</v>
      </c>
      <c r="H608" s="16" t="n">
        <v>0.33</v>
      </c>
      <c r="I608" s="1" t="s">
        <v>31</v>
      </c>
      <c r="J608" s="1" t="n">
        <v>8</v>
      </c>
      <c r="K608" s="1" t="n">
        <v>3.7</v>
      </c>
      <c r="L608" s="15" t="n">
        <v>692.23</v>
      </c>
      <c r="M608" s="15" t="n">
        <f aca="false">F608*G608</f>
        <v>1033.18</v>
      </c>
      <c r="N608" s="15" t="n">
        <f aca="false">M608-L608</f>
        <v>340.95</v>
      </c>
      <c r="O608" s="1" t="n">
        <f aca="false">YEAR(B608)</f>
        <v>2023</v>
      </c>
      <c r="P608" s="1" t="n">
        <f aca="false">MONTH(B608)</f>
        <v>8</v>
      </c>
      <c r="Q608" s="1" t="str">
        <f aca="false">TEXT(B608,"mmm")</f>
        <v>Aug</v>
      </c>
      <c r="R608" s="1" t="str">
        <f aca="false">"Q"&amp;ROUNDUP(MONTH(B608)/3,0)</f>
        <v>Q3</v>
      </c>
    </row>
    <row r="609" customFormat="false" ht="15" hidden="false" customHeight="true" outlineLevel="0" collapsed="false">
      <c r="A609" s="1" t="n">
        <v>10608</v>
      </c>
      <c r="B609" s="14" t="n">
        <v>45169</v>
      </c>
      <c r="C609" s="1" t="n">
        <v>1473</v>
      </c>
      <c r="D609" s="1" t="s">
        <v>37</v>
      </c>
      <c r="E609" s="1" t="s">
        <v>35</v>
      </c>
      <c r="F609" s="1" t="n">
        <v>7</v>
      </c>
      <c r="G609" s="15" t="n">
        <v>341.59</v>
      </c>
      <c r="H609" s="16" t="n">
        <v>0.11</v>
      </c>
      <c r="I609" s="1" t="s">
        <v>31</v>
      </c>
      <c r="J609" s="1" t="n">
        <v>7</v>
      </c>
      <c r="K609" s="1" t="n">
        <v>4.7</v>
      </c>
      <c r="L609" s="15" t="n">
        <v>2128.11</v>
      </c>
      <c r="M609" s="15" t="n">
        <f aca="false">F609*G609</f>
        <v>2391.13</v>
      </c>
      <c r="N609" s="15" t="n">
        <f aca="false">M609-L609</f>
        <v>263.02</v>
      </c>
      <c r="O609" s="1" t="n">
        <f aca="false">YEAR(B609)</f>
        <v>2023</v>
      </c>
      <c r="P609" s="1" t="n">
        <f aca="false">MONTH(B609)</f>
        <v>8</v>
      </c>
      <c r="Q609" s="1" t="str">
        <f aca="false">TEXT(B609,"mmm")</f>
        <v>Aug</v>
      </c>
      <c r="R609" s="1" t="str">
        <f aca="false">"Q"&amp;ROUNDUP(MONTH(B609)/3,0)</f>
        <v>Q3</v>
      </c>
    </row>
    <row r="610" customFormat="false" ht="15" hidden="false" customHeight="true" outlineLevel="0" collapsed="false">
      <c r="A610" s="1" t="n">
        <v>10609</v>
      </c>
      <c r="B610" s="14" t="n">
        <v>45170</v>
      </c>
      <c r="C610" s="1" t="n">
        <v>1116</v>
      </c>
      <c r="D610" s="1" t="s">
        <v>27</v>
      </c>
      <c r="E610" s="1" t="s">
        <v>32</v>
      </c>
      <c r="F610" s="1" t="n">
        <v>7</v>
      </c>
      <c r="G610" s="15" t="n">
        <v>518.9</v>
      </c>
      <c r="H610" s="16" t="n">
        <v>0.32</v>
      </c>
      <c r="I610" s="1" t="s">
        <v>33</v>
      </c>
      <c r="J610" s="1" t="n">
        <v>5</v>
      </c>
      <c r="K610" s="1" t="n">
        <v>1.2</v>
      </c>
      <c r="L610" s="15" t="n">
        <v>2469.96</v>
      </c>
      <c r="M610" s="15" t="n">
        <f aca="false">F610*G610</f>
        <v>3632.3</v>
      </c>
      <c r="N610" s="15" t="n">
        <f aca="false">M610-L610</f>
        <v>1162.34</v>
      </c>
      <c r="O610" s="1" t="n">
        <f aca="false">YEAR(B610)</f>
        <v>2023</v>
      </c>
      <c r="P610" s="1" t="n">
        <f aca="false">MONTH(B610)</f>
        <v>9</v>
      </c>
      <c r="Q610" s="1" t="str">
        <f aca="false">TEXT(B610,"mmm")</f>
        <v>Sep</v>
      </c>
      <c r="R610" s="1" t="str">
        <f aca="false">"Q"&amp;ROUNDUP(MONTH(B610)/3,0)</f>
        <v>Q3</v>
      </c>
    </row>
    <row r="611" customFormat="false" ht="15" hidden="false" customHeight="true" outlineLevel="0" collapsed="false">
      <c r="A611" s="1" t="n">
        <v>10610</v>
      </c>
      <c r="B611" s="14" t="n">
        <v>45171</v>
      </c>
      <c r="C611" s="1" t="n">
        <v>1829</v>
      </c>
      <c r="D611" s="1" t="s">
        <v>37</v>
      </c>
      <c r="E611" s="1" t="s">
        <v>36</v>
      </c>
      <c r="F611" s="1" t="n">
        <v>4</v>
      </c>
      <c r="G611" s="15" t="n">
        <v>501.21</v>
      </c>
      <c r="H611" s="16" t="n">
        <v>0.08</v>
      </c>
      <c r="I611" s="1" t="s">
        <v>33</v>
      </c>
      <c r="J611" s="1" t="n">
        <v>9</v>
      </c>
      <c r="K611" s="1" t="n">
        <v>3.5</v>
      </c>
      <c r="L611" s="15" t="n">
        <v>1844.45</v>
      </c>
      <c r="M611" s="15" t="n">
        <f aca="false">F611*G611</f>
        <v>2004.84</v>
      </c>
      <c r="N611" s="15" t="n">
        <f aca="false">M611-L611</f>
        <v>160.39</v>
      </c>
      <c r="O611" s="1" t="n">
        <f aca="false">YEAR(B611)</f>
        <v>2023</v>
      </c>
      <c r="P611" s="1" t="n">
        <f aca="false">MONTH(B611)</f>
        <v>9</v>
      </c>
      <c r="Q611" s="1" t="str">
        <f aca="false">TEXT(B611,"mmm")</f>
        <v>Sep</v>
      </c>
      <c r="R611" s="1" t="str">
        <f aca="false">"Q"&amp;ROUNDUP(MONTH(B611)/3,0)</f>
        <v>Q3</v>
      </c>
    </row>
    <row r="612" customFormat="false" ht="15" hidden="false" customHeight="true" outlineLevel="0" collapsed="false">
      <c r="A612" s="1" t="n">
        <v>10611</v>
      </c>
      <c r="B612" s="14" t="n">
        <v>45172</v>
      </c>
      <c r="C612" s="1" t="n">
        <v>1790</v>
      </c>
      <c r="D612" s="1" t="s">
        <v>37</v>
      </c>
      <c r="E612" s="1" t="s">
        <v>28</v>
      </c>
      <c r="F612" s="1" t="n">
        <v>3</v>
      </c>
      <c r="G612" s="15" t="n">
        <v>179.99</v>
      </c>
      <c r="H612" s="16" t="n">
        <v>0.07</v>
      </c>
      <c r="I612" s="1" t="s">
        <v>31</v>
      </c>
      <c r="J612" s="1" t="n">
        <v>4</v>
      </c>
      <c r="K612" s="1" t="n">
        <v>2.5</v>
      </c>
      <c r="L612" s="15" t="n">
        <v>502.17</v>
      </c>
      <c r="M612" s="15" t="n">
        <f aca="false">F612*G612</f>
        <v>539.97</v>
      </c>
      <c r="N612" s="15" t="n">
        <f aca="false">M612-L612</f>
        <v>37.8</v>
      </c>
      <c r="O612" s="1" t="n">
        <f aca="false">YEAR(B612)</f>
        <v>2023</v>
      </c>
      <c r="P612" s="1" t="n">
        <f aca="false">MONTH(B612)</f>
        <v>9</v>
      </c>
      <c r="Q612" s="1" t="str">
        <f aca="false">TEXT(B612,"mmm")</f>
        <v>Sep</v>
      </c>
      <c r="R612" s="1" t="str">
        <f aca="false">"Q"&amp;ROUNDUP(MONTH(B612)/3,0)</f>
        <v>Q3</v>
      </c>
    </row>
    <row r="613" customFormat="false" ht="15" hidden="false" customHeight="true" outlineLevel="0" collapsed="false">
      <c r="A613" s="1" t="n">
        <v>10612</v>
      </c>
      <c r="B613" s="14" t="n">
        <v>45173</v>
      </c>
      <c r="C613" s="1" t="n">
        <v>1126</v>
      </c>
      <c r="D613" s="1" t="s">
        <v>34</v>
      </c>
      <c r="E613" s="1" t="s">
        <v>32</v>
      </c>
      <c r="F613" s="1" t="n">
        <v>6</v>
      </c>
      <c r="G613" s="15" t="n">
        <v>335.43</v>
      </c>
      <c r="H613" s="16" t="n">
        <v>0.18</v>
      </c>
      <c r="I613" s="1" t="s">
        <v>31</v>
      </c>
      <c r="J613" s="1" t="n">
        <v>4</v>
      </c>
      <c r="K613" s="1" t="n">
        <v>3</v>
      </c>
      <c r="L613" s="15" t="n">
        <v>1650.32</v>
      </c>
      <c r="M613" s="15" t="n">
        <f aca="false">F613*G613</f>
        <v>2012.58</v>
      </c>
      <c r="N613" s="15" t="n">
        <f aca="false">M613-L613</f>
        <v>362.26</v>
      </c>
      <c r="O613" s="1" t="n">
        <f aca="false">YEAR(B613)</f>
        <v>2023</v>
      </c>
      <c r="P613" s="1" t="n">
        <f aca="false">MONTH(B613)</f>
        <v>9</v>
      </c>
      <c r="Q613" s="1" t="str">
        <f aca="false">TEXT(B613,"mmm")</f>
        <v>Sep</v>
      </c>
      <c r="R613" s="1" t="str">
        <f aca="false">"Q"&amp;ROUNDUP(MONTH(B613)/3,0)</f>
        <v>Q3</v>
      </c>
    </row>
    <row r="614" customFormat="false" ht="15" hidden="false" customHeight="true" outlineLevel="0" collapsed="false">
      <c r="A614" s="1" t="n">
        <v>10613</v>
      </c>
      <c r="B614" s="14" t="n">
        <v>45174</v>
      </c>
      <c r="C614" s="1" t="n">
        <v>1392</v>
      </c>
      <c r="D614" s="1" t="s">
        <v>34</v>
      </c>
      <c r="E614" s="1" t="s">
        <v>28</v>
      </c>
      <c r="F614" s="1" t="n">
        <v>3</v>
      </c>
      <c r="G614" s="15" t="n">
        <v>63.68</v>
      </c>
      <c r="H614" s="16" t="n">
        <v>0.24</v>
      </c>
      <c r="I614" s="1" t="s">
        <v>33</v>
      </c>
      <c r="J614" s="1" t="n">
        <v>8</v>
      </c>
      <c r="K614" s="1" t="n">
        <v>3.1</v>
      </c>
      <c r="L614" s="15" t="n">
        <v>145.19</v>
      </c>
      <c r="M614" s="15" t="n">
        <f aca="false">F614*G614</f>
        <v>191.04</v>
      </c>
      <c r="N614" s="15" t="n">
        <f aca="false">M614-L614</f>
        <v>45.85</v>
      </c>
      <c r="O614" s="1" t="n">
        <f aca="false">YEAR(B614)</f>
        <v>2023</v>
      </c>
      <c r="P614" s="1" t="n">
        <f aca="false">MONTH(B614)</f>
        <v>9</v>
      </c>
      <c r="Q614" s="1" t="str">
        <f aca="false">TEXT(B614,"mmm")</f>
        <v>Sep</v>
      </c>
      <c r="R614" s="1" t="str">
        <f aca="false">"Q"&amp;ROUNDUP(MONTH(B614)/3,0)</f>
        <v>Q3</v>
      </c>
    </row>
    <row r="615" customFormat="false" ht="15" hidden="false" customHeight="true" outlineLevel="0" collapsed="false">
      <c r="A615" s="1" t="n">
        <v>10614</v>
      </c>
      <c r="B615" s="14" t="n">
        <v>45175</v>
      </c>
      <c r="C615" s="1" t="n">
        <v>1907</v>
      </c>
      <c r="D615" s="1" t="s">
        <v>34</v>
      </c>
      <c r="E615" s="1" t="s">
        <v>36</v>
      </c>
      <c r="F615" s="1" t="n">
        <v>7</v>
      </c>
      <c r="G615" s="15" t="n">
        <v>550.42</v>
      </c>
      <c r="H615" s="16" t="n">
        <v>0.02</v>
      </c>
      <c r="I615" s="1" t="s">
        <v>31</v>
      </c>
      <c r="J615" s="1" t="n">
        <v>4</v>
      </c>
      <c r="K615" s="1" t="n">
        <v>4.1</v>
      </c>
      <c r="L615" s="15" t="n">
        <v>3775.88</v>
      </c>
      <c r="M615" s="15" t="n">
        <f aca="false">F615*G615</f>
        <v>3852.94</v>
      </c>
      <c r="N615" s="15" t="n">
        <f aca="false">M615-L615</f>
        <v>77.0599999999995</v>
      </c>
      <c r="O615" s="1" t="n">
        <f aca="false">YEAR(B615)</f>
        <v>2023</v>
      </c>
      <c r="P615" s="1" t="n">
        <f aca="false">MONTH(B615)</f>
        <v>9</v>
      </c>
      <c r="Q615" s="1" t="str">
        <f aca="false">TEXT(B615,"mmm")</f>
        <v>Sep</v>
      </c>
      <c r="R615" s="1" t="str">
        <f aca="false">"Q"&amp;ROUNDUP(MONTH(B615)/3,0)</f>
        <v>Q3</v>
      </c>
    </row>
    <row r="616" customFormat="false" ht="15" hidden="false" customHeight="true" outlineLevel="0" collapsed="false">
      <c r="A616" s="1" t="n">
        <v>10615</v>
      </c>
      <c r="B616" s="14" t="n">
        <v>45176</v>
      </c>
      <c r="C616" s="1" t="n">
        <v>1640</v>
      </c>
      <c r="D616" s="1" t="s">
        <v>34</v>
      </c>
      <c r="E616" s="1" t="s">
        <v>28</v>
      </c>
      <c r="F616" s="1" t="n">
        <v>6</v>
      </c>
      <c r="G616" s="15" t="n">
        <v>251.49</v>
      </c>
      <c r="H616" s="16" t="n">
        <v>0.08</v>
      </c>
      <c r="I616" s="1" t="s">
        <v>29</v>
      </c>
      <c r="J616" s="1" t="n">
        <v>7</v>
      </c>
      <c r="K616" s="1" t="n">
        <v>3.2</v>
      </c>
      <c r="L616" s="15" t="n">
        <v>1388.22</v>
      </c>
      <c r="M616" s="15" t="n">
        <f aca="false">F616*G616</f>
        <v>1508.94</v>
      </c>
      <c r="N616" s="15" t="n">
        <f aca="false">M616-L616</f>
        <v>120.72</v>
      </c>
      <c r="O616" s="1" t="n">
        <f aca="false">YEAR(B616)</f>
        <v>2023</v>
      </c>
      <c r="P616" s="1" t="n">
        <f aca="false">MONTH(B616)</f>
        <v>9</v>
      </c>
      <c r="Q616" s="1" t="str">
        <f aca="false">TEXT(B616,"mmm")</f>
        <v>Sep</v>
      </c>
      <c r="R616" s="1" t="str">
        <f aca="false">"Q"&amp;ROUNDUP(MONTH(B616)/3,0)</f>
        <v>Q3</v>
      </c>
    </row>
    <row r="617" customFormat="false" ht="15" hidden="false" customHeight="true" outlineLevel="0" collapsed="false">
      <c r="A617" s="1" t="n">
        <v>10616</v>
      </c>
      <c r="B617" s="14" t="n">
        <v>45177</v>
      </c>
      <c r="C617" s="1" t="n">
        <v>1057</v>
      </c>
      <c r="D617" s="1" t="s">
        <v>30</v>
      </c>
      <c r="E617" s="1" t="s">
        <v>35</v>
      </c>
      <c r="F617" s="1" t="n">
        <v>3</v>
      </c>
      <c r="G617" s="15" t="n">
        <v>245.3</v>
      </c>
      <c r="H617" s="16" t="n">
        <v>0.16</v>
      </c>
      <c r="I617" s="1" t="s">
        <v>31</v>
      </c>
      <c r="J617" s="1" t="n">
        <v>4</v>
      </c>
      <c r="K617" s="1" t="n">
        <v>3.4</v>
      </c>
      <c r="L617" s="15" t="n">
        <v>618.16</v>
      </c>
      <c r="M617" s="15" t="n">
        <f aca="false">F617*G617</f>
        <v>735.9</v>
      </c>
      <c r="N617" s="15" t="n">
        <f aca="false">M617-L617</f>
        <v>117.74</v>
      </c>
      <c r="O617" s="1" t="n">
        <f aca="false">YEAR(B617)</f>
        <v>2023</v>
      </c>
      <c r="P617" s="1" t="n">
        <f aca="false">MONTH(B617)</f>
        <v>9</v>
      </c>
      <c r="Q617" s="1" t="str">
        <f aca="false">TEXT(B617,"mmm")</f>
        <v>Sep</v>
      </c>
      <c r="R617" s="1" t="str">
        <f aca="false">"Q"&amp;ROUNDUP(MONTH(B617)/3,0)</f>
        <v>Q3</v>
      </c>
    </row>
    <row r="618" customFormat="false" ht="15" hidden="false" customHeight="true" outlineLevel="0" collapsed="false">
      <c r="A618" s="1" t="n">
        <v>10617</v>
      </c>
      <c r="B618" s="14" t="n">
        <v>45178</v>
      </c>
      <c r="C618" s="1" t="n">
        <v>1633</v>
      </c>
      <c r="D618" s="1" t="s">
        <v>30</v>
      </c>
      <c r="E618" s="1" t="s">
        <v>35</v>
      </c>
      <c r="F618" s="1" t="n">
        <v>4</v>
      </c>
      <c r="G618" s="15" t="n">
        <v>192.11</v>
      </c>
      <c r="H618" s="16" t="n">
        <v>0.12</v>
      </c>
      <c r="I618" s="1" t="s">
        <v>29</v>
      </c>
      <c r="J618" s="1" t="n">
        <v>11</v>
      </c>
      <c r="K618" s="1" t="n">
        <v>2.3</v>
      </c>
      <c r="L618" s="15" t="n">
        <v>676.23</v>
      </c>
      <c r="M618" s="15" t="n">
        <f aca="false">F618*G618</f>
        <v>768.44</v>
      </c>
      <c r="N618" s="15" t="n">
        <f aca="false">M618-L618</f>
        <v>92.21</v>
      </c>
      <c r="O618" s="1" t="n">
        <f aca="false">YEAR(B618)</f>
        <v>2023</v>
      </c>
      <c r="P618" s="1" t="n">
        <f aca="false">MONTH(B618)</f>
        <v>9</v>
      </c>
      <c r="Q618" s="1" t="str">
        <f aca="false">TEXT(B618,"mmm")</f>
        <v>Sep</v>
      </c>
      <c r="R618" s="1" t="str">
        <f aca="false">"Q"&amp;ROUNDUP(MONTH(B618)/3,0)</f>
        <v>Q3</v>
      </c>
    </row>
    <row r="619" customFormat="false" ht="15" hidden="false" customHeight="true" outlineLevel="0" collapsed="false">
      <c r="A619" s="1" t="n">
        <v>10618</v>
      </c>
      <c r="B619" s="14" t="n">
        <v>45179</v>
      </c>
      <c r="C619" s="1" t="n">
        <v>1512</v>
      </c>
      <c r="D619" s="1" t="s">
        <v>30</v>
      </c>
      <c r="E619" s="1" t="s">
        <v>28</v>
      </c>
      <c r="F619" s="1" t="n">
        <v>2</v>
      </c>
      <c r="G619" s="15" t="n">
        <v>284.49</v>
      </c>
      <c r="H619" s="16" t="n">
        <v>0.25</v>
      </c>
      <c r="I619" s="1" t="s">
        <v>31</v>
      </c>
      <c r="J619" s="1" t="n">
        <v>1</v>
      </c>
      <c r="K619" s="1" t="n">
        <v>1.5</v>
      </c>
      <c r="L619" s="15" t="n">
        <v>426.74</v>
      </c>
      <c r="M619" s="15" t="n">
        <f aca="false">F619*G619</f>
        <v>568.98</v>
      </c>
      <c r="N619" s="15" t="n">
        <f aca="false">M619-L619</f>
        <v>142.24</v>
      </c>
      <c r="O619" s="1" t="n">
        <f aca="false">YEAR(B619)</f>
        <v>2023</v>
      </c>
      <c r="P619" s="1" t="n">
        <f aca="false">MONTH(B619)</f>
        <v>9</v>
      </c>
      <c r="Q619" s="1" t="str">
        <f aca="false">TEXT(B619,"mmm")</f>
        <v>Sep</v>
      </c>
      <c r="R619" s="1" t="str">
        <f aca="false">"Q"&amp;ROUNDUP(MONTH(B619)/3,0)</f>
        <v>Q3</v>
      </c>
    </row>
    <row r="620" customFormat="false" ht="15" hidden="false" customHeight="true" outlineLevel="0" collapsed="false">
      <c r="A620" s="1" t="n">
        <v>10619</v>
      </c>
      <c r="B620" s="14" t="n">
        <v>45180</v>
      </c>
      <c r="C620" s="1" t="n">
        <v>1750</v>
      </c>
      <c r="D620" s="1" t="s">
        <v>30</v>
      </c>
      <c r="E620" s="1" t="s">
        <v>35</v>
      </c>
      <c r="F620" s="1" t="n">
        <v>6</v>
      </c>
      <c r="G620" s="15" t="n">
        <v>162.28</v>
      </c>
      <c r="H620" s="16" t="n">
        <v>0.18</v>
      </c>
      <c r="I620" s="1" t="s">
        <v>31</v>
      </c>
      <c r="J620" s="1" t="n">
        <v>10</v>
      </c>
      <c r="K620" s="1" t="n">
        <v>3.7</v>
      </c>
      <c r="L620" s="15" t="n">
        <v>798.42</v>
      </c>
      <c r="M620" s="15" t="n">
        <f aca="false">F620*G620</f>
        <v>973.68</v>
      </c>
      <c r="N620" s="15" t="n">
        <f aca="false">M620-L620</f>
        <v>175.26</v>
      </c>
      <c r="O620" s="1" t="n">
        <f aca="false">YEAR(B620)</f>
        <v>2023</v>
      </c>
      <c r="P620" s="1" t="n">
        <f aca="false">MONTH(B620)</f>
        <v>9</v>
      </c>
      <c r="Q620" s="1" t="str">
        <f aca="false">TEXT(B620,"mmm")</f>
        <v>Sep</v>
      </c>
      <c r="R620" s="1" t="str">
        <f aca="false">"Q"&amp;ROUNDUP(MONTH(B620)/3,0)</f>
        <v>Q3</v>
      </c>
    </row>
    <row r="621" customFormat="false" ht="15" hidden="false" customHeight="true" outlineLevel="0" collapsed="false">
      <c r="A621" s="1" t="n">
        <v>10620</v>
      </c>
      <c r="B621" s="14" t="n">
        <v>45181</v>
      </c>
      <c r="C621" s="1" t="n">
        <v>1801</v>
      </c>
      <c r="D621" s="1" t="s">
        <v>37</v>
      </c>
      <c r="E621" s="1" t="s">
        <v>36</v>
      </c>
      <c r="F621" s="1" t="n">
        <v>5</v>
      </c>
      <c r="G621" s="15" t="n">
        <v>234.29</v>
      </c>
      <c r="H621" s="16" t="n">
        <v>0.06</v>
      </c>
      <c r="I621" s="1" t="s">
        <v>31</v>
      </c>
      <c r="J621" s="1" t="n">
        <v>9</v>
      </c>
      <c r="K621" s="1" t="n">
        <v>1</v>
      </c>
      <c r="L621" s="15" t="n">
        <v>1101.16</v>
      </c>
      <c r="M621" s="15" t="n">
        <f aca="false">F621*G621</f>
        <v>1171.45</v>
      </c>
      <c r="N621" s="15" t="n">
        <f aca="false">M621-L621</f>
        <v>70.29</v>
      </c>
      <c r="O621" s="1" t="n">
        <f aca="false">YEAR(B621)</f>
        <v>2023</v>
      </c>
      <c r="P621" s="1" t="n">
        <f aca="false">MONTH(B621)</f>
        <v>9</v>
      </c>
      <c r="Q621" s="1" t="str">
        <f aca="false">TEXT(B621,"mmm")</f>
        <v>Sep</v>
      </c>
      <c r="R621" s="1" t="str">
        <f aca="false">"Q"&amp;ROUNDUP(MONTH(B621)/3,0)</f>
        <v>Q3</v>
      </c>
    </row>
    <row r="622" customFormat="false" ht="15" hidden="false" customHeight="true" outlineLevel="0" collapsed="false">
      <c r="A622" s="1" t="n">
        <v>10621</v>
      </c>
      <c r="B622" s="14" t="n">
        <v>45182</v>
      </c>
      <c r="C622" s="1" t="n">
        <v>1095</v>
      </c>
      <c r="D622" s="1" t="s">
        <v>37</v>
      </c>
      <c r="E622" s="1" t="s">
        <v>35</v>
      </c>
      <c r="F622" s="1" t="n">
        <v>1</v>
      </c>
      <c r="G622" s="15" t="n">
        <v>482.97</v>
      </c>
      <c r="H622" s="16" t="n">
        <v>0.31</v>
      </c>
      <c r="I622" s="1" t="s">
        <v>29</v>
      </c>
      <c r="J622" s="1" t="n">
        <v>4</v>
      </c>
      <c r="K622" s="1" t="n">
        <v>2.3</v>
      </c>
      <c r="L622" s="15" t="n">
        <v>333.25</v>
      </c>
      <c r="M622" s="15" t="n">
        <f aca="false">F622*G622</f>
        <v>482.97</v>
      </c>
      <c r="N622" s="15" t="n">
        <f aca="false">M622-L622</f>
        <v>149.72</v>
      </c>
      <c r="O622" s="1" t="n">
        <f aca="false">YEAR(B622)</f>
        <v>2023</v>
      </c>
      <c r="P622" s="1" t="n">
        <f aca="false">MONTH(B622)</f>
        <v>9</v>
      </c>
      <c r="Q622" s="1" t="str">
        <f aca="false">TEXT(B622,"mmm")</f>
        <v>Sep</v>
      </c>
      <c r="R622" s="1" t="str">
        <f aca="false">"Q"&amp;ROUNDUP(MONTH(B622)/3,0)</f>
        <v>Q3</v>
      </c>
    </row>
    <row r="623" customFormat="false" ht="15" hidden="false" customHeight="true" outlineLevel="0" collapsed="false">
      <c r="A623" s="1" t="n">
        <v>10622</v>
      </c>
      <c r="B623" s="14" t="n">
        <v>45183</v>
      </c>
      <c r="C623" s="1" t="n">
        <v>1637</v>
      </c>
      <c r="D623" s="1" t="s">
        <v>34</v>
      </c>
      <c r="E623" s="1" t="s">
        <v>28</v>
      </c>
      <c r="F623" s="1" t="n">
        <v>6</v>
      </c>
      <c r="G623" s="15" t="n">
        <v>503.04</v>
      </c>
      <c r="H623" s="16" t="n">
        <v>0.1</v>
      </c>
      <c r="I623" s="1" t="s">
        <v>31</v>
      </c>
      <c r="J623" s="1" t="n">
        <v>3</v>
      </c>
      <c r="K623" s="1" t="n">
        <v>1.9</v>
      </c>
      <c r="L623" s="15" t="n">
        <v>2716.42</v>
      </c>
      <c r="M623" s="15" t="n">
        <f aca="false">F623*G623</f>
        <v>3018.24</v>
      </c>
      <c r="N623" s="15" t="n">
        <f aca="false">M623-L623</f>
        <v>301.82</v>
      </c>
      <c r="O623" s="1" t="n">
        <f aca="false">YEAR(B623)</f>
        <v>2023</v>
      </c>
      <c r="P623" s="1" t="n">
        <f aca="false">MONTH(B623)</f>
        <v>9</v>
      </c>
      <c r="Q623" s="1" t="str">
        <f aca="false">TEXT(B623,"mmm")</f>
        <v>Sep</v>
      </c>
      <c r="R623" s="1" t="str">
        <f aca="false">"Q"&amp;ROUNDUP(MONTH(B623)/3,0)</f>
        <v>Q3</v>
      </c>
    </row>
    <row r="624" customFormat="false" ht="15" hidden="false" customHeight="true" outlineLevel="0" collapsed="false">
      <c r="A624" s="1" t="n">
        <v>10623</v>
      </c>
      <c r="B624" s="14" t="n">
        <v>45184</v>
      </c>
      <c r="C624" s="1" t="n">
        <v>1117</v>
      </c>
      <c r="D624" s="1" t="s">
        <v>27</v>
      </c>
      <c r="E624" s="1" t="s">
        <v>28</v>
      </c>
      <c r="F624" s="1" t="n">
        <v>6</v>
      </c>
      <c r="G624" s="15" t="n">
        <v>192.95</v>
      </c>
      <c r="H624" s="16" t="n">
        <v>0.26</v>
      </c>
      <c r="I624" s="1" t="s">
        <v>33</v>
      </c>
      <c r="J624" s="1" t="n">
        <v>3</v>
      </c>
      <c r="K624" s="1" t="n">
        <v>2.6</v>
      </c>
      <c r="L624" s="15" t="n">
        <v>856.7</v>
      </c>
      <c r="M624" s="15" t="n">
        <f aca="false">F624*G624</f>
        <v>1157.7</v>
      </c>
      <c r="N624" s="15" t="n">
        <f aca="false">M624-L624</f>
        <v>301</v>
      </c>
      <c r="O624" s="1" t="n">
        <f aca="false">YEAR(B624)</f>
        <v>2023</v>
      </c>
      <c r="P624" s="1" t="n">
        <f aca="false">MONTH(B624)</f>
        <v>9</v>
      </c>
      <c r="Q624" s="1" t="str">
        <f aca="false">TEXT(B624,"mmm")</f>
        <v>Sep</v>
      </c>
      <c r="R624" s="1" t="str">
        <f aca="false">"Q"&amp;ROUNDUP(MONTH(B624)/3,0)</f>
        <v>Q3</v>
      </c>
    </row>
    <row r="625" customFormat="false" ht="15" hidden="false" customHeight="true" outlineLevel="0" collapsed="false">
      <c r="A625" s="1" t="n">
        <v>10624</v>
      </c>
      <c r="B625" s="14" t="n">
        <v>45185</v>
      </c>
      <c r="C625" s="1" t="n">
        <v>1559</v>
      </c>
      <c r="D625" s="1" t="s">
        <v>27</v>
      </c>
      <c r="E625" s="1" t="s">
        <v>28</v>
      </c>
      <c r="F625" s="1" t="n">
        <v>5</v>
      </c>
      <c r="G625" s="15" t="n">
        <v>289.37</v>
      </c>
      <c r="H625" s="16" t="n">
        <v>0.27</v>
      </c>
      <c r="I625" s="1" t="s">
        <v>29</v>
      </c>
      <c r="J625" s="1" t="n">
        <v>9</v>
      </c>
      <c r="K625" s="1" t="n">
        <v>2.2</v>
      </c>
      <c r="L625" s="15" t="n">
        <v>1056.2</v>
      </c>
      <c r="M625" s="15" t="n">
        <f aca="false">F625*G625</f>
        <v>1446.85</v>
      </c>
      <c r="N625" s="15" t="n">
        <f aca="false">M625-L625</f>
        <v>390.65</v>
      </c>
      <c r="O625" s="1" t="n">
        <f aca="false">YEAR(B625)</f>
        <v>2023</v>
      </c>
      <c r="P625" s="1" t="n">
        <f aca="false">MONTH(B625)</f>
        <v>9</v>
      </c>
      <c r="Q625" s="1" t="str">
        <f aca="false">TEXT(B625,"mmm")</f>
        <v>Sep</v>
      </c>
      <c r="R625" s="1" t="str">
        <f aca="false">"Q"&amp;ROUNDUP(MONTH(B625)/3,0)</f>
        <v>Q3</v>
      </c>
    </row>
    <row r="626" customFormat="false" ht="15" hidden="false" customHeight="true" outlineLevel="0" collapsed="false">
      <c r="A626" s="1" t="n">
        <v>10625</v>
      </c>
      <c r="B626" s="14" t="n">
        <v>45186</v>
      </c>
      <c r="C626" s="1" t="n">
        <v>1600</v>
      </c>
      <c r="D626" s="1" t="s">
        <v>34</v>
      </c>
      <c r="E626" s="1" t="s">
        <v>32</v>
      </c>
      <c r="F626" s="1" t="n">
        <v>4</v>
      </c>
      <c r="G626" s="15" t="n">
        <v>526.18</v>
      </c>
      <c r="H626" s="16" t="n">
        <v>0.34</v>
      </c>
      <c r="I626" s="1" t="s">
        <v>33</v>
      </c>
      <c r="J626" s="1" t="n">
        <v>8</v>
      </c>
      <c r="K626" s="1" t="n">
        <v>3.8</v>
      </c>
      <c r="L626" s="15" t="n">
        <v>1389.12</v>
      </c>
      <c r="M626" s="15" t="n">
        <f aca="false">F626*G626</f>
        <v>2104.72</v>
      </c>
      <c r="N626" s="15" t="n">
        <f aca="false">M626-L626</f>
        <v>715.6</v>
      </c>
      <c r="O626" s="1" t="n">
        <f aca="false">YEAR(B626)</f>
        <v>2023</v>
      </c>
      <c r="P626" s="1" t="n">
        <f aca="false">MONTH(B626)</f>
        <v>9</v>
      </c>
      <c r="Q626" s="1" t="str">
        <f aca="false">TEXT(B626,"mmm")</f>
        <v>Sep</v>
      </c>
      <c r="R626" s="1" t="str">
        <f aca="false">"Q"&amp;ROUNDUP(MONTH(B626)/3,0)</f>
        <v>Q3</v>
      </c>
    </row>
    <row r="627" customFormat="false" ht="15" hidden="false" customHeight="true" outlineLevel="0" collapsed="false">
      <c r="A627" s="1" t="n">
        <v>10626</v>
      </c>
      <c r="B627" s="14" t="n">
        <v>45187</v>
      </c>
      <c r="C627" s="1" t="n">
        <v>1487</v>
      </c>
      <c r="D627" s="1" t="s">
        <v>30</v>
      </c>
      <c r="E627" s="1" t="s">
        <v>28</v>
      </c>
      <c r="F627" s="1" t="n">
        <v>3</v>
      </c>
      <c r="G627" s="15" t="n">
        <v>45.81</v>
      </c>
      <c r="H627" s="16" t="n">
        <v>0.17</v>
      </c>
      <c r="I627" s="1" t="s">
        <v>31</v>
      </c>
      <c r="J627" s="1" t="n">
        <v>10</v>
      </c>
      <c r="K627" s="1" t="n">
        <v>2</v>
      </c>
      <c r="L627" s="15" t="n">
        <v>114.07</v>
      </c>
      <c r="M627" s="15" t="n">
        <f aca="false">F627*G627</f>
        <v>137.43</v>
      </c>
      <c r="N627" s="15" t="n">
        <f aca="false">M627-L627</f>
        <v>23.36</v>
      </c>
      <c r="O627" s="1" t="n">
        <f aca="false">YEAR(B627)</f>
        <v>2023</v>
      </c>
      <c r="P627" s="1" t="n">
        <f aca="false">MONTH(B627)</f>
        <v>9</v>
      </c>
      <c r="Q627" s="1" t="str">
        <f aca="false">TEXT(B627,"mmm")</f>
        <v>Sep</v>
      </c>
      <c r="R627" s="1" t="str">
        <f aca="false">"Q"&amp;ROUNDUP(MONTH(B627)/3,0)</f>
        <v>Q3</v>
      </c>
    </row>
    <row r="628" customFormat="false" ht="15" hidden="false" customHeight="true" outlineLevel="0" collapsed="false">
      <c r="A628" s="1" t="n">
        <v>10627</v>
      </c>
      <c r="B628" s="14" t="n">
        <v>45188</v>
      </c>
      <c r="C628" s="1" t="n">
        <v>1236</v>
      </c>
      <c r="D628" s="1" t="s">
        <v>30</v>
      </c>
      <c r="E628" s="1" t="s">
        <v>36</v>
      </c>
      <c r="F628" s="1" t="n">
        <v>3</v>
      </c>
      <c r="G628" s="15" t="n">
        <v>535.15</v>
      </c>
      <c r="H628" s="16" t="n">
        <v>0.22</v>
      </c>
      <c r="I628" s="1" t="s">
        <v>29</v>
      </c>
      <c r="J628" s="1" t="n">
        <v>7</v>
      </c>
      <c r="K628" s="1" t="n">
        <v>3.2</v>
      </c>
      <c r="L628" s="15" t="n">
        <v>1252.25</v>
      </c>
      <c r="M628" s="15" t="n">
        <f aca="false">F628*G628</f>
        <v>1605.45</v>
      </c>
      <c r="N628" s="15" t="n">
        <f aca="false">M628-L628</f>
        <v>353.2</v>
      </c>
      <c r="O628" s="1" t="n">
        <f aca="false">YEAR(B628)</f>
        <v>2023</v>
      </c>
      <c r="P628" s="1" t="n">
        <f aca="false">MONTH(B628)</f>
        <v>9</v>
      </c>
      <c r="Q628" s="1" t="str">
        <f aca="false">TEXT(B628,"mmm")</f>
        <v>Sep</v>
      </c>
      <c r="R628" s="1" t="str">
        <f aca="false">"Q"&amp;ROUNDUP(MONTH(B628)/3,0)</f>
        <v>Q3</v>
      </c>
    </row>
    <row r="629" customFormat="false" ht="15" hidden="false" customHeight="true" outlineLevel="0" collapsed="false">
      <c r="A629" s="1" t="n">
        <v>10628</v>
      </c>
      <c r="B629" s="14" t="n">
        <v>45189</v>
      </c>
      <c r="C629" s="1" t="n">
        <v>1884</v>
      </c>
      <c r="D629" s="1" t="s">
        <v>27</v>
      </c>
      <c r="E629" s="1" t="s">
        <v>35</v>
      </c>
      <c r="F629" s="1" t="n">
        <v>7</v>
      </c>
      <c r="G629" s="15" t="n">
        <v>143.22</v>
      </c>
      <c r="H629" s="16" t="n">
        <v>0.12</v>
      </c>
      <c r="I629" s="1" t="s">
        <v>29</v>
      </c>
      <c r="J629" s="1" t="n">
        <v>7</v>
      </c>
      <c r="K629" s="1" t="n">
        <v>2.8</v>
      </c>
      <c r="L629" s="15" t="n">
        <v>882.24</v>
      </c>
      <c r="M629" s="15" t="n">
        <f aca="false">F629*G629</f>
        <v>1002.54</v>
      </c>
      <c r="N629" s="15" t="n">
        <f aca="false">M629-L629</f>
        <v>120.3</v>
      </c>
      <c r="O629" s="1" t="n">
        <f aca="false">YEAR(B629)</f>
        <v>2023</v>
      </c>
      <c r="P629" s="1" t="n">
        <f aca="false">MONTH(B629)</f>
        <v>9</v>
      </c>
      <c r="Q629" s="1" t="str">
        <f aca="false">TEXT(B629,"mmm")</f>
        <v>Sep</v>
      </c>
      <c r="R629" s="1" t="str">
        <f aca="false">"Q"&amp;ROUNDUP(MONTH(B629)/3,0)</f>
        <v>Q3</v>
      </c>
    </row>
    <row r="630" customFormat="false" ht="15" hidden="false" customHeight="true" outlineLevel="0" collapsed="false">
      <c r="A630" s="1" t="n">
        <v>10629</v>
      </c>
      <c r="B630" s="14" t="n">
        <v>45190</v>
      </c>
      <c r="C630" s="1" t="n">
        <v>1896</v>
      </c>
      <c r="D630" s="1" t="s">
        <v>27</v>
      </c>
      <c r="E630" s="1" t="s">
        <v>35</v>
      </c>
      <c r="F630" s="1" t="n">
        <v>2</v>
      </c>
      <c r="G630" s="15" t="n">
        <v>411.95</v>
      </c>
      <c r="H630" s="16" t="n">
        <v>0.24</v>
      </c>
      <c r="I630" s="1" t="s">
        <v>31</v>
      </c>
      <c r="J630" s="1" t="n">
        <v>4</v>
      </c>
      <c r="K630" s="1" t="n">
        <v>4.2</v>
      </c>
      <c r="L630" s="15" t="n">
        <v>626.16</v>
      </c>
      <c r="M630" s="15" t="n">
        <f aca="false">F630*G630</f>
        <v>823.9</v>
      </c>
      <c r="N630" s="15" t="n">
        <f aca="false">M630-L630</f>
        <v>197.74</v>
      </c>
      <c r="O630" s="1" t="n">
        <f aca="false">YEAR(B630)</f>
        <v>2023</v>
      </c>
      <c r="P630" s="1" t="n">
        <f aca="false">MONTH(B630)</f>
        <v>9</v>
      </c>
      <c r="Q630" s="1" t="str">
        <f aca="false">TEXT(B630,"mmm")</f>
        <v>Sep</v>
      </c>
      <c r="R630" s="1" t="str">
        <f aca="false">"Q"&amp;ROUNDUP(MONTH(B630)/3,0)</f>
        <v>Q3</v>
      </c>
    </row>
    <row r="631" customFormat="false" ht="15" hidden="false" customHeight="true" outlineLevel="0" collapsed="false">
      <c r="A631" s="1" t="n">
        <v>10630</v>
      </c>
      <c r="B631" s="14" t="n">
        <v>45191</v>
      </c>
      <c r="C631" s="1" t="n">
        <v>1271</v>
      </c>
      <c r="D631" s="1" t="s">
        <v>34</v>
      </c>
      <c r="E631" s="1" t="s">
        <v>32</v>
      </c>
      <c r="F631" s="1" t="n">
        <v>4</v>
      </c>
      <c r="G631" s="15" t="n">
        <v>355.79</v>
      </c>
      <c r="H631" s="16" t="n">
        <v>0.16</v>
      </c>
      <c r="I631" s="1" t="s">
        <v>33</v>
      </c>
      <c r="J631" s="1" t="n">
        <v>3</v>
      </c>
      <c r="K631" s="1" t="n">
        <v>2.7</v>
      </c>
      <c r="L631" s="15" t="n">
        <v>1195.45</v>
      </c>
      <c r="M631" s="15" t="n">
        <f aca="false">F631*G631</f>
        <v>1423.16</v>
      </c>
      <c r="N631" s="15" t="n">
        <f aca="false">M631-L631</f>
        <v>227.71</v>
      </c>
      <c r="O631" s="1" t="n">
        <f aca="false">YEAR(B631)</f>
        <v>2023</v>
      </c>
      <c r="P631" s="1" t="n">
        <f aca="false">MONTH(B631)</f>
        <v>9</v>
      </c>
      <c r="Q631" s="1" t="str">
        <f aca="false">TEXT(B631,"mmm")</f>
        <v>Sep</v>
      </c>
      <c r="R631" s="1" t="str">
        <f aca="false">"Q"&amp;ROUNDUP(MONTH(B631)/3,0)</f>
        <v>Q3</v>
      </c>
    </row>
    <row r="632" customFormat="false" ht="15" hidden="false" customHeight="true" outlineLevel="0" collapsed="false">
      <c r="A632" s="1" t="n">
        <v>10631</v>
      </c>
      <c r="B632" s="14" t="n">
        <v>45192</v>
      </c>
      <c r="C632" s="1" t="n">
        <v>1188</v>
      </c>
      <c r="D632" s="1" t="s">
        <v>30</v>
      </c>
      <c r="E632" s="1" t="s">
        <v>32</v>
      </c>
      <c r="F632" s="1" t="n">
        <v>5</v>
      </c>
      <c r="G632" s="15" t="n">
        <v>338.47</v>
      </c>
      <c r="H632" s="16" t="n">
        <v>0.15</v>
      </c>
      <c r="I632" s="1" t="s">
        <v>29</v>
      </c>
      <c r="J632" s="1" t="n">
        <v>4</v>
      </c>
      <c r="K632" s="1" t="n">
        <v>4.5</v>
      </c>
      <c r="L632" s="15" t="n">
        <v>1438.5</v>
      </c>
      <c r="M632" s="15" t="n">
        <f aca="false">F632*G632</f>
        <v>1692.35</v>
      </c>
      <c r="N632" s="15" t="n">
        <f aca="false">M632-L632</f>
        <v>253.85</v>
      </c>
      <c r="O632" s="1" t="n">
        <f aca="false">YEAR(B632)</f>
        <v>2023</v>
      </c>
      <c r="P632" s="1" t="n">
        <f aca="false">MONTH(B632)</f>
        <v>9</v>
      </c>
      <c r="Q632" s="1" t="str">
        <f aca="false">TEXT(B632,"mmm")</f>
        <v>Sep</v>
      </c>
      <c r="R632" s="1" t="str">
        <f aca="false">"Q"&amp;ROUNDUP(MONTH(B632)/3,0)</f>
        <v>Q3</v>
      </c>
    </row>
    <row r="633" customFormat="false" ht="15" hidden="false" customHeight="true" outlineLevel="0" collapsed="false">
      <c r="A633" s="1" t="n">
        <v>10632</v>
      </c>
      <c r="B633" s="14" t="n">
        <v>45193</v>
      </c>
      <c r="C633" s="1" t="n">
        <v>1998</v>
      </c>
      <c r="D633" s="1" t="s">
        <v>30</v>
      </c>
      <c r="E633" s="1" t="s">
        <v>36</v>
      </c>
      <c r="F633" s="1" t="n">
        <v>4</v>
      </c>
      <c r="G633" s="15" t="n">
        <v>517.73</v>
      </c>
      <c r="H633" s="16" t="n">
        <v>0.3</v>
      </c>
      <c r="I633" s="1" t="s">
        <v>29</v>
      </c>
      <c r="J633" s="1" t="n">
        <v>6</v>
      </c>
      <c r="K633" s="1" t="n">
        <v>1</v>
      </c>
      <c r="L633" s="15" t="n">
        <v>1449.64</v>
      </c>
      <c r="M633" s="15" t="n">
        <f aca="false">F633*G633</f>
        <v>2070.92</v>
      </c>
      <c r="N633" s="15" t="n">
        <f aca="false">M633-L633</f>
        <v>621.28</v>
      </c>
      <c r="O633" s="1" t="n">
        <f aca="false">YEAR(B633)</f>
        <v>2023</v>
      </c>
      <c r="P633" s="1" t="n">
        <f aca="false">MONTH(B633)</f>
        <v>9</v>
      </c>
      <c r="Q633" s="1" t="str">
        <f aca="false">TEXT(B633,"mmm")</f>
        <v>Sep</v>
      </c>
      <c r="R633" s="1" t="str">
        <f aca="false">"Q"&amp;ROUNDUP(MONTH(B633)/3,0)</f>
        <v>Q3</v>
      </c>
    </row>
    <row r="634" customFormat="false" ht="15" hidden="false" customHeight="true" outlineLevel="0" collapsed="false">
      <c r="A634" s="1" t="n">
        <v>10633</v>
      </c>
      <c r="B634" s="14" t="n">
        <v>45194</v>
      </c>
      <c r="C634" s="1" t="n">
        <v>1703</v>
      </c>
      <c r="D634" s="1" t="s">
        <v>30</v>
      </c>
      <c r="E634" s="1" t="s">
        <v>28</v>
      </c>
      <c r="F634" s="1" t="n">
        <v>4</v>
      </c>
      <c r="G634" s="15" t="n">
        <v>74.42</v>
      </c>
      <c r="H634" s="16" t="n">
        <v>0.02</v>
      </c>
      <c r="I634" s="1" t="s">
        <v>31</v>
      </c>
      <c r="J634" s="1" t="n">
        <v>4</v>
      </c>
      <c r="K634" s="1" t="n">
        <v>3.4</v>
      </c>
      <c r="L634" s="15" t="n">
        <v>291.73</v>
      </c>
      <c r="M634" s="15" t="n">
        <f aca="false">F634*G634</f>
        <v>297.68</v>
      </c>
      <c r="N634" s="15" t="n">
        <f aca="false">M634-L634</f>
        <v>5.94999999999999</v>
      </c>
      <c r="O634" s="1" t="n">
        <f aca="false">YEAR(B634)</f>
        <v>2023</v>
      </c>
      <c r="P634" s="1" t="n">
        <f aca="false">MONTH(B634)</f>
        <v>9</v>
      </c>
      <c r="Q634" s="1" t="str">
        <f aca="false">TEXT(B634,"mmm")</f>
        <v>Sep</v>
      </c>
      <c r="R634" s="1" t="str">
        <f aca="false">"Q"&amp;ROUNDUP(MONTH(B634)/3,0)</f>
        <v>Q3</v>
      </c>
    </row>
    <row r="635" customFormat="false" ht="15" hidden="false" customHeight="true" outlineLevel="0" collapsed="false">
      <c r="A635" s="1" t="n">
        <v>10634</v>
      </c>
      <c r="B635" s="14" t="n">
        <v>45195</v>
      </c>
      <c r="C635" s="1" t="n">
        <v>1446</v>
      </c>
      <c r="D635" s="1" t="s">
        <v>34</v>
      </c>
      <c r="E635" s="1" t="s">
        <v>32</v>
      </c>
      <c r="F635" s="1" t="n">
        <v>3</v>
      </c>
      <c r="G635" s="15" t="n">
        <v>218.01</v>
      </c>
      <c r="H635" s="16" t="n">
        <v>0.31</v>
      </c>
      <c r="I635" s="1" t="s">
        <v>29</v>
      </c>
      <c r="J635" s="1" t="n">
        <v>4</v>
      </c>
      <c r="K635" s="1" t="n">
        <v>1</v>
      </c>
      <c r="L635" s="15" t="n">
        <v>451.28</v>
      </c>
      <c r="M635" s="15" t="n">
        <f aca="false">F635*G635</f>
        <v>654.03</v>
      </c>
      <c r="N635" s="15" t="n">
        <f aca="false">M635-L635</f>
        <v>202.75</v>
      </c>
      <c r="O635" s="1" t="n">
        <f aca="false">YEAR(B635)</f>
        <v>2023</v>
      </c>
      <c r="P635" s="1" t="n">
        <f aca="false">MONTH(B635)</f>
        <v>9</v>
      </c>
      <c r="Q635" s="1" t="str">
        <f aca="false">TEXT(B635,"mmm")</f>
        <v>Sep</v>
      </c>
      <c r="R635" s="1" t="str">
        <f aca="false">"Q"&amp;ROUNDUP(MONTH(B635)/3,0)</f>
        <v>Q3</v>
      </c>
    </row>
    <row r="636" customFormat="false" ht="15" hidden="false" customHeight="true" outlineLevel="0" collapsed="false">
      <c r="A636" s="1" t="n">
        <v>10635</v>
      </c>
      <c r="B636" s="14" t="n">
        <v>45196</v>
      </c>
      <c r="C636" s="1" t="n">
        <v>1580</v>
      </c>
      <c r="D636" s="1" t="s">
        <v>27</v>
      </c>
      <c r="E636" s="1" t="s">
        <v>35</v>
      </c>
      <c r="F636" s="1" t="n">
        <v>5</v>
      </c>
      <c r="G636" s="15" t="n">
        <v>329.88</v>
      </c>
      <c r="H636" s="16" t="n">
        <v>0.3</v>
      </c>
      <c r="I636" s="1" t="s">
        <v>31</v>
      </c>
      <c r="J636" s="1" t="n">
        <v>2</v>
      </c>
      <c r="K636" s="1" t="n">
        <v>3.9</v>
      </c>
      <c r="L636" s="15" t="n">
        <v>1154.58</v>
      </c>
      <c r="M636" s="15" t="n">
        <f aca="false">F636*G636</f>
        <v>1649.4</v>
      </c>
      <c r="N636" s="15" t="n">
        <f aca="false">M636-L636</f>
        <v>494.82</v>
      </c>
      <c r="O636" s="1" t="n">
        <f aca="false">YEAR(B636)</f>
        <v>2023</v>
      </c>
      <c r="P636" s="1" t="n">
        <f aca="false">MONTH(B636)</f>
        <v>9</v>
      </c>
      <c r="Q636" s="1" t="str">
        <f aca="false">TEXT(B636,"mmm")</f>
        <v>Sep</v>
      </c>
      <c r="R636" s="1" t="str">
        <f aca="false">"Q"&amp;ROUNDUP(MONTH(B636)/3,0)</f>
        <v>Q3</v>
      </c>
    </row>
    <row r="637" customFormat="false" ht="15" hidden="false" customHeight="true" outlineLevel="0" collapsed="false">
      <c r="A637" s="1" t="n">
        <v>10636</v>
      </c>
      <c r="B637" s="14" t="n">
        <v>45197</v>
      </c>
      <c r="C637" s="1" t="n">
        <v>1789</v>
      </c>
      <c r="D637" s="1" t="s">
        <v>37</v>
      </c>
      <c r="E637" s="1" t="s">
        <v>32</v>
      </c>
      <c r="F637" s="1" t="n">
        <v>1</v>
      </c>
      <c r="G637" s="15" t="n">
        <v>489.6</v>
      </c>
      <c r="H637" s="16" t="n">
        <v>0.18</v>
      </c>
      <c r="I637" s="1" t="s">
        <v>31</v>
      </c>
      <c r="J637" s="1" t="n">
        <v>7</v>
      </c>
      <c r="K637" s="1" t="n">
        <v>1.9</v>
      </c>
      <c r="L637" s="15" t="n">
        <v>401.47</v>
      </c>
      <c r="M637" s="15" t="n">
        <f aca="false">F637*G637</f>
        <v>489.6</v>
      </c>
      <c r="N637" s="15" t="n">
        <f aca="false">M637-L637</f>
        <v>88.13</v>
      </c>
      <c r="O637" s="1" t="n">
        <f aca="false">YEAR(B637)</f>
        <v>2023</v>
      </c>
      <c r="P637" s="1" t="n">
        <f aca="false">MONTH(B637)</f>
        <v>9</v>
      </c>
      <c r="Q637" s="1" t="str">
        <f aca="false">TEXT(B637,"mmm")</f>
        <v>Sep</v>
      </c>
      <c r="R637" s="1" t="str">
        <f aca="false">"Q"&amp;ROUNDUP(MONTH(B637)/3,0)</f>
        <v>Q3</v>
      </c>
    </row>
    <row r="638" customFormat="false" ht="15" hidden="false" customHeight="true" outlineLevel="0" collapsed="false">
      <c r="A638" s="1" t="n">
        <v>10637</v>
      </c>
      <c r="B638" s="14" t="n">
        <v>45198</v>
      </c>
      <c r="C638" s="1" t="n">
        <v>1860</v>
      </c>
      <c r="D638" s="1" t="s">
        <v>37</v>
      </c>
      <c r="E638" s="1" t="s">
        <v>32</v>
      </c>
      <c r="F638" s="1" t="n">
        <v>6</v>
      </c>
      <c r="G638" s="15" t="n">
        <v>141.62</v>
      </c>
      <c r="H638" s="16" t="n">
        <v>0.17</v>
      </c>
      <c r="I638" s="1" t="s">
        <v>31</v>
      </c>
      <c r="J638" s="1" t="n">
        <v>6</v>
      </c>
      <c r="K638" s="1" t="n">
        <v>2.5</v>
      </c>
      <c r="L638" s="15" t="n">
        <v>705.27</v>
      </c>
      <c r="M638" s="15" t="n">
        <f aca="false">F638*G638</f>
        <v>849.72</v>
      </c>
      <c r="N638" s="15" t="n">
        <f aca="false">M638-L638</f>
        <v>144.45</v>
      </c>
      <c r="O638" s="1" t="n">
        <f aca="false">YEAR(B638)</f>
        <v>2023</v>
      </c>
      <c r="P638" s="1" t="n">
        <f aca="false">MONTH(B638)</f>
        <v>9</v>
      </c>
      <c r="Q638" s="1" t="str">
        <f aca="false">TEXT(B638,"mmm")</f>
        <v>Sep</v>
      </c>
      <c r="R638" s="1" t="str">
        <f aca="false">"Q"&amp;ROUNDUP(MONTH(B638)/3,0)</f>
        <v>Q3</v>
      </c>
    </row>
    <row r="639" customFormat="false" ht="15" hidden="false" customHeight="true" outlineLevel="0" collapsed="false">
      <c r="A639" s="1" t="n">
        <v>10638</v>
      </c>
      <c r="B639" s="14" t="n">
        <v>45199</v>
      </c>
      <c r="C639" s="1" t="n">
        <v>1246</v>
      </c>
      <c r="D639" s="1" t="s">
        <v>27</v>
      </c>
      <c r="E639" s="1" t="s">
        <v>28</v>
      </c>
      <c r="F639" s="1" t="n">
        <v>3</v>
      </c>
      <c r="G639" s="15" t="n">
        <v>484.71</v>
      </c>
      <c r="H639" s="16" t="n">
        <v>0.13</v>
      </c>
      <c r="I639" s="1" t="s">
        <v>31</v>
      </c>
      <c r="J639" s="1" t="n">
        <v>2</v>
      </c>
      <c r="K639" s="1" t="n">
        <v>2.5</v>
      </c>
      <c r="L639" s="15" t="n">
        <v>1265.09</v>
      </c>
      <c r="M639" s="15" t="n">
        <f aca="false">F639*G639</f>
        <v>1454.13</v>
      </c>
      <c r="N639" s="15" t="n">
        <f aca="false">M639-L639</f>
        <v>189.04</v>
      </c>
      <c r="O639" s="1" t="n">
        <f aca="false">YEAR(B639)</f>
        <v>2023</v>
      </c>
      <c r="P639" s="1" t="n">
        <f aca="false">MONTH(B639)</f>
        <v>9</v>
      </c>
      <c r="Q639" s="1" t="str">
        <f aca="false">TEXT(B639,"mmm")</f>
        <v>Sep</v>
      </c>
      <c r="R639" s="1" t="str">
        <f aca="false">"Q"&amp;ROUNDUP(MONTH(B639)/3,0)</f>
        <v>Q3</v>
      </c>
    </row>
    <row r="640" customFormat="false" ht="15" hidden="false" customHeight="true" outlineLevel="0" collapsed="false">
      <c r="A640" s="1" t="n">
        <v>10639</v>
      </c>
      <c r="B640" s="14" t="n">
        <v>45200</v>
      </c>
      <c r="C640" s="1" t="n">
        <v>1962</v>
      </c>
      <c r="D640" s="1" t="s">
        <v>37</v>
      </c>
      <c r="E640" s="1" t="s">
        <v>32</v>
      </c>
      <c r="F640" s="1" t="n">
        <v>5</v>
      </c>
      <c r="G640" s="15" t="n">
        <v>248.79</v>
      </c>
      <c r="H640" s="16" t="n">
        <v>0.35</v>
      </c>
      <c r="I640" s="1" t="s">
        <v>33</v>
      </c>
      <c r="J640" s="1" t="n">
        <v>5</v>
      </c>
      <c r="K640" s="1" t="n">
        <v>4.4</v>
      </c>
      <c r="L640" s="15" t="n">
        <v>808.57</v>
      </c>
      <c r="M640" s="15" t="n">
        <f aca="false">F640*G640</f>
        <v>1243.95</v>
      </c>
      <c r="N640" s="15" t="n">
        <f aca="false">M640-L640</f>
        <v>435.38</v>
      </c>
      <c r="O640" s="1" t="n">
        <f aca="false">YEAR(B640)</f>
        <v>2023</v>
      </c>
      <c r="P640" s="1" t="n">
        <f aca="false">MONTH(B640)</f>
        <v>10</v>
      </c>
      <c r="Q640" s="1" t="str">
        <f aca="false">TEXT(B640,"mmm")</f>
        <v>Oct</v>
      </c>
      <c r="R640" s="1" t="str">
        <f aca="false">"Q"&amp;ROUNDUP(MONTH(B640)/3,0)</f>
        <v>Q4</v>
      </c>
    </row>
    <row r="641" customFormat="false" ht="15" hidden="false" customHeight="true" outlineLevel="0" collapsed="false">
      <c r="A641" s="1" t="n">
        <v>10640</v>
      </c>
      <c r="B641" s="14" t="n">
        <v>45201</v>
      </c>
      <c r="C641" s="1" t="n">
        <v>1075</v>
      </c>
      <c r="D641" s="1" t="s">
        <v>30</v>
      </c>
      <c r="E641" s="1" t="s">
        <v>36</v>
      </c>
      <c r="F641" s="1" t="n">
        <v>2</v>
      </c>
      <c r="G641" s="15" t="n">
        <v>125.51</v>
      </c>
      <c r="H641" s="16" t="n">
        <v>0.04</v>
      </c>
      <c r="I641" s="1" t="s">
        <v>33</v>
      </c>
      <c r="J641" s="1" t="n">
        <v>6</v>
      </c>
      <c r="K641" s="1" t="n">
        <v>1.4</v>
      </c>
      <c r="L641" s="15" t="n">
        <v>240.98</v>
      </c>
      <c r="M641" s="15" t="n">
        <f aca="false">F641*G641</f>
        <v>251.02</v>
      </c>
      <c r="N641" s="15" t="n">
        <f aca="false">M641-L641</f>
        <v>10.04</v>
      </c>
      <c r="O641" s="1" t="n">
        <f aca="false">YEAR(B641)</f>
        <v>2023</v>
      </c>
      <c r="P641" s="1" t="n">
        <f aca="false">MONTH(B641)</f>
        <v>10</v>
      </c>
      <c r="Q641" s="1" t="str">
        <f aca="false">TEXT(B641,"mmm")</f>
        <v>Oct</v>
      </c>
      <c r="R641" s="1" t="str">
        <f aca="false">"Q"&amp;ROUNDUP(MONTH(B641)/3,0)</f>
        <v>Q4</v>
      </c>
    </row>
    <row r="642" customFormat="false" ht="15" hidden="false" customHeight="true" outlineLevel="0" collapsed="false">
      <c r="A642" s="1" t="n">
        <v>10641</v>
      </c>
      <c r="B642" s="14" t="n">
        <v>45202</v>
      </c>
      <c r="C642" s="1" t="n">
        <v>1153</v>
      </c>
      <c r="D642" s="1" t="s">
        <v>30</v>
      </c>
      <c r="E642" s="1" t="s">
        <v>35</v>
      </c>
      <c r="F642" s="1" t="n">
        <v>6</v>
      </c>
      <c r="G642" s="15" t="n">
        <v>459.01</v>
      </c>
      <c r="H642" s="16" t="n">
        <v>0.21</v>
      </c>
      <c r="I642" s="1" t="s">
        <v>31</v>
      </c>
      <c r="J642" s="1" t="n">
        <v>5</v>
      </c>
      <c r="K642" s="1" t="n">
        <v>3.7</v>
      </c>
      <c r="L642" s="15" t="n">
        <v>2175.71</v>
      </c>
      <c r="M642" s="15" t="n">
        <f aca="false">F642*G642</f>
        <v>2754.06</v>
      </c>
      <c r="N642" s="15" t="n">
        <f aca="false">M642-L642</f>
        <v>578.35</v>
      </c>
      <c r="O642" s="1" t="n">
        <f aca="false">YEAR(B642)</f>
        <v>2023</v>
      </c>
      <c r="P642" s="1" t="n">
        <f aca="false">MONTH(B642)</f>
        <v>10</v>
      </c>
      <c r="Q642" s="1" t="str">
        <f aca="false">TEXT(B642,"mmm")</f>
        <v>Oct</v>
      </c>
      <c r="R642" s="1" t="str">
        <f aca="false">"Q"&amp;ROUNDUP(MONTH(B642)/3,0)</f>
        <v>Q4</v>
      </c>
    </row>
    <row r="643" customFormat="false" ht="15" hidden="false" customHeight="true" outlineLevel="0" collapsed="false">
      <c r="A643" s="1" t="n">
        <v>10642</v>
      </c>
      <c r="B643" s="14" t="n">
        <v>45203</v>
      </c>
      <c r="C643" s="1" t="n">
        <v>1655</v>
      </c>
      <c r="D643" s="1" t="s">
        <v>34</v>
      </c>
      <c r="E643" s="1" t="s">
        <v>28</v>
      </c>
      <c r="F643" s="1" t="n">
        <v>6</v>
      </c>
      <c r="G643" s="15" t="n">
        <v>68.18</v>
      </c>
      <c r="H643" s="16" t="n">
        <v>0.24</v>
      </c>
      <c r="I643" s="1" t="s">
        <v>31</v>
      </c>
      <c r="J643" s="1" t="n">
        <v>4</v>
      </c>
      <c r="K643" s="1" t="n">
        <v>4.9</v>
      </c>
      <c r="L643" s="15" t="n">
        <v>310.9</v>
      </c>
      <c r="M643" s="15" t="n">
        <f aca="false">F643*G643</f>
        <v>409.08</v>
      </c>
      <c r="N643" s="15" t="n">
        <f aca="false">M643-L643</f>
        <v>98.1800000000001</v>
      </c>
      <c r="O643" s="1" t="n">
        <f aca="false">YEAR(B643)</f>
        <v>2023</v>
      </c>
      <c r="P643" s="1" t="n">
        <f aca="false">MONTH(B643)</f>
        <v>10</v>
      </c>
      <c r="Q643" s="1" t="str">
        <f aca="false">TEXT(B643,"mmm")</f>
        <v>Oct</v>
      </c>
      <c r="R643" s="1" t="str">
        <f aca="false">"Q"&amp;ROUNDUP(MONTH(B643)/3,0)</f>
        <v>Q4</v>
      </c>
    </row>
    <row r="644" customFormat="false" ht="15" hidden="false" customHeight="true" outlineLevel="0" collapsed="false">
      <c r="A644" s="1" t="n">
        <v>10643</v>
      </c>
      <c r="B644" s="14" t="n">
        <v>45204</v>
      </c>
      <c r="C644" s="1" t="n">
        <v>1434</v>
      </c>
      <c r="D644" s="1" t="s">
        <v>37</v>
      </c>
      <c r="E644" s="1" t="s">
        <v>35</v>
      </c>
      <c r="F644" s="1" t="n">
        <v>3</v>
      </c>
      <c r="G644" s="15" t="n">
        <v>316.14</v>
      </c>
      <c r="H644" s="16" t="n">
        <v>0.33</v>
      </c>
      <c r="I644" s="1" t="s">
        <v>31</v>
      </c>
      <c r="J644" s="1" t="n">
        <v>11</v>
      </c>
      <c r="K644" s="1" t="n">
        <v>1.1</v>
      </c>
      <c r="L644" s="15" t="n">
        <v>635.44</v>
      </c>
      <c r="M644" s="15" t="n">
        <f aca="false">F644*G644</f>
        <v>948.42</v>
      </c>
      <c r="N644" s="15" t="n">
        <f aca="false">M644-L644</f>
        <v>312.98</v>
      </c>
      <c r="O644" s="1" t="n">
        <f aca="false">YEAR(B644)</f>
        <v>2023</v>
      </c>
      <c r="P644" s="1" t="n">
        <f aca="false">MONTH(B644)</f>
        <v>10</v>
      </c>
      <c r="Q644" s="1" t="str">
        <f aca="false">TEXT(B644,"mmm")</f>
        <v>Oct</v>
      </c>
      <c r="R644" s="1" t="str">
        <f aca="false">"Q"&amp;ROUNDUP(MONTH(B644)/3,0)</f>
        <v>Q4</v>
      </c>
    </row>
    <row r="645" customFormat="false" ht="15" hidden="false" customHeight="true" outlineLevel="0" collapsed="false">
      <c r="A645" s="1" t="n">
        <v>10644</v>
      </c>
      <c r="B645" s="14" t="n">
        <v>45205</v>
      </c>
      <c r="C645" s="1" t="n">
        <v>1996</v>
      </c>
      <c r="D645" s="1" t="s">
        <v>34</v>
      </c>
      <c r="E645" s="1" t="s">
        <v>36</v>
      </c>
      <c r="F645" s="1" t="n">
        <v>7</v>
      </c>
      <c r="G645" s="15" t="n">
        <v>52.37</v>
      </c>
      <c r="H645" s="16" t="n">
        <v>0.27</v>
      </c>
      <c r="I645" s="1" t="s">
        <v>29</v>
      </c>
      <c r="J645" s="1" t="n">
        <v>11</v>
      </c>
      <c r="K645" s="1" t="n">
        <v>4.9</v>
      </c>
      <c r="L645" s="15" t="n">
        <v>267.61</v>
      </c>
      <c r="M645" s="15" t="n">
        <f aca="false">F645*G645</f>
        <v>366.59</v>
      </c>
      <c r="N645" s="15" t="n">
        <f aca="false">M645-L645</f>
        <v>98.98</v>
      </c>
      <c r="O645" s="1" t="n">
        <f aca="false">YEAR(B645)</f>
        <v>2023</v>
      </c>
      <c r="P645" s="1" t="n">
        <f aca="false">MONTH(B645)</f>
        <v>10</v>
      </c>
      <c r="Q645" s="1" t="str">
        <f aca="false">TEXT(B645,"mmm")</f>
        <v>Oct</v>
      </c>
      <c r="R645" s="1" t="str">
        <f aca="false">"Q"&amp;ROUNDUP(MONTH(B645)/3,0)</f>
        <v>Q4</v>
      </c>
    </row>
    <row r="646" customFormat="false" ht="15" hidden="false" customHeight="true" outlineLevel="0" collapsed="false">
      <c r="A646" s="1" t="n">
        <v>10645</v>
      </c>
      <c r="B646" s="14" t="n">
        <v>45206</v>
      </c>
      <c r="C646" s="1" t="n">
        <v>1085</v>
      </c>
      <c r="D646" s="1" t="s">
        <v>37</v>
      </c>
      <c r="E646" s="1" t="s">
        <v>36</v>
      </c>
      <c r="F646" s="1" t="n">
        <v>2</v>
      </c>
      <c r="G646" s="15" t="n">
        <v>223.5</v>
      </c>
      <c r="H646" s="16" t="n">
        <v>0.23</v>
      </c>
      <c r="I646" s="1" t="s">
        <v>29</v>
      </c>
      <c r="J646" s="1" t="n">
        <v>9</v>
      </c>
      <c r="K646" s="1" t="n">
        <v>1.1</v>
      </c>
      <c r="L646" s="15" t="n">
        <v>344.19</v>
      </c>
      <c r="M646" s="15" t="n">
        <f aca="false">F646*G646</f>
        <v>447</v>
      </c>
      <c r="N646" s="15" t="n">
        <f aca="false">M646-L646</f>
        <v>102.81</v>
      </c>
      <c r="O646" s="1" t="n">
        <f aca="false">YEAR(B646)</f>
        <v>2023</v>
      </c>
      <c r="P646" s="1" t="n">
        <f aca="false">MONTH(B646)</f>
        <v>10</v>
      </c>
      <c r="Q646" s="1" t="str">
        <f aca="false">TEXT(B646,"mmm")</f>
        <v>Oct</v>
      </c>
      <c r="R646" s="1" t="str">
        <f aca="false">"Q"&amp;ROUNDUP(MONTH(B646)/3,0)</f>
        <v>Q4</v>
      </c>
    </row>
    <row r="647" customFormat="false" ht="15" hidden="false" customHeight="true" outlineLevel="0" collapsed="false">
      <c r="A647" s="1" t="n">
        <v>10646</v>
      </c>
      <c r="B647" s="14" t="n">
        <v>45207</v>
      </c>
      <c r="C647" s="1" t="n">
        <v>1696</v>
      </c>
      <c r="D647" s="1" t="s">
        <v>34</v>
      </c>
      <c r="E647" s="1" t="s">
        <v>32</v>
      </c>
      <c r="F647" s="1" t="n">
        <v>3</v>
      </c>
      <c r="G647" s="15" t="n">
        <v>366.63</v>
      </c>
      <c r="H647" s="16" t="n">
        <v>0.04</v>
      </c>
      <c r="I647" s="1" t="s">
        <v>31</v>
      </c>
      <c r="J647" s="1" t="n">
        <v>3</v>
      </c>
      <c r="K647" s="1" t="n">
        <v>4.4</v>
      </c>
      <c r="L647" s="15" t="n">
        <v>1055.89</v>
      </c>
      <c r="M647" s="15" t="n">
        <f aca="false">F647*G647</f>
        <v>1099.89</v>
      </c>
      <c r="N647" s="15" t="n">
        <f aca="false">M647-L647</f>
        <v>43.9999999999998</v>
      </c>
      <c r="O647" s="1" t="n">
        <f aca="false">YEAR(B647)</f>
        <v>2023</v>
      </c>
      <c r="P647" s="1" t="n">
        <f aca="false">MONTH(B647)</f>
        <v>10</v>
      </c>
      <c r="Q647" s="1" t="str">
        <f aca="false">TEXT(B647,"mmm")</f>
        <v>Oct</v>
      </c>
      <c r="R647" s="1" t="str">
        <f aca="false">"Q"&amp;ROUNDUP(MONTH(B647)/3,0)</f>
        <v>Q4</v>
      </c>
    </row>
    <row r="648" customFormat="false" ht="15" hidden="false" customHeight="true" outlineLevel="0" collapsed="false">
      <c r="A648" s="1" t="n">
        <v>10647</v>
      </c>
      <c r="B648" s="14" t="n">
        <v>45208</v>
      </c>
      <c r="C648" s="1" t="n">
        <v>1284</v>
      </c>
      <c r="D648" s="1" t="s">
        <v>34</v>
      </c>
      <c r="E648" s="1" t="s">
        <v>32</v>
      </c>
      <c r="F648" s="1" t="n">
        <v>4</v>
      </c>
      <c r="G648" s="15" t="n">
        <v>340.33</v>
      </c>
      <c r="H648" s="16" t="n">
        <v>0.13</v>
      </c>
      <c r="I648" s="1" t="s">
        <v>29</v>
      </c>
      <c r="J648" s="1" t="n">
        <v>11</v>
      </c>
      <c r="K648" s="1" t="n">
        <v>4.8</v>
      </c>
      <c r="L648" s="15" t="n">
        <v>1184.35</v>
      </c>
      <c r="M648" s="15" t="n">
        <f aca="false">F648*G648</f>
        <v>1361.32</v>
      </c>
      <c r="N648" s="15" t="n">
        <f aca="false">M648-L648</f>
        <v>176.97</v>
      </c>
      <c r="O648" s="1" t="n">
        <f aca="false">YEAR(B648)</f>
        <v>2023</v>
      </c>
      <c r="P648" s="1" t="n">
        <f aca="false">MONTH(B648)</f>
        <v>10</v>
      </c>
      <c r="Q648" s="1" t="str">
        <f aca="false">TEXT(B648,"mmm")</f>
        <v>Oct</v>
      </c>
      <c r="R648" s="1" t="str">
        <f aca="false">"Q"&amp;ROUNDUP(MONTH(B648)/3,0)</f>
        <v>Q4</v>
      </c>
    </row>
    <row r="649" customFormat="false" ht="15" hidden="false" customHeight="true" outlineLevel="0" collapsed="false">
      <c r="A649" s="1" t="n">
        <v>10648</v>
      </c>
      <c r="B649" s="14" t="n">
        <v>45209</v>
      </c>
      <c r="C649" s="1" t="n">
        <v>1973</v>
      </c>
      <c r="D649" s="1" t="s">
        <v>34</v>
      </c>
      <c r="E649" s="1" t="s">
        <v>32</v>
      </c>
      <c r="F649" s="1" t="n">
        <v>7</v>
      </c>
      <c r="G649" s="15" t="n">
        <v>251.72</v>
      </c>
      <c r="H649" s="16" t="n">
        <v>0.05</v>
      </c>
      <c r="I649" s="1" t="s">
        <v>31</v>
      </c>
      <c r="J649" s="1" t="n">
        <v>2</v>
      </c>
      <c r="K649" s="1" t="n">
        <v>5</v>
      </c>
      <c r="L649" s="15" t="n">
        <v>1673.94</v>
      </c>
      <c r="M649" s="15" t="n">
        <f aca="false">F649*G649</f>
        <v>1762.04</v>
      </c>
      <c r="N649" s="15" t="n">
        <f aca="false">M649-L649</f>
        <v>88.0999999999999</v>
      </c>
      <c r="O649" s="1" t="n">
        <f aca="false">YEAR(B649)</f>
        <v>2023</v>
      </c>
      <c r="P649" s="1" t="n">
        <f aca="false">MONTH(B649)</f>
        <v>10</v>
      </c>
      <c r="Q649" s="1" t="str">
        <f aca="false">TEXT(B649,"mmm")</f>
        <v>Oct</v>
      </c>
      <c r="R649" s="1" t="str">
        <f aca="false">"Q"&amp;ROUNDUP(MONTH(B649)/3,0)</f>
        <v>Q4</v>
      </c>
    </row>
    <row r="650" customFormat="false" ht="15" hidden="false" customHeight="true" outlineLevel="0" collapsed="false">
      <c r="A650" s="1" t="n">
        <v>10649</v>
      </c>
      <c r="B650" s="14" t="n">
        <v>45210</v>
      </c>
      <c r="C650" s="1" t="n">
        <v>1219</v>
      </c>
      <c r="D650" s="1" t="s">
        <v>34</v>
      </c>
      <c r="E650" s="1" t="s">
        <v>35</v>
      </c>
      <c r="F650" s="1" t="n">
        <v>5</v>
      </c>
      <c r="G650" s="15" t="n">
        <v>265.99</v>
      </c>
      <c r="H650" s="16" t="n">
        <v>0.31</v>
      </c>
      <c r="I650" s="1" t="s">
        <v>33</v>
      </c>
      <c r="J650" s="1" t="n">
        <v>9</v>
      </c>
      <c r="K650" s="1" t="n">
        <v>2.8</v>
      </c>
      <c r="L650" s="15" t="n">
        <v>917.67</v>
      </c>
      <c r="M650" s="15" t="n">
        <f aca="false">F650*G650</f>
        <v>1329.95</v>
      </c>
      <c r="N650" s="15" t="n">
        <f aca="false">M650-L650</f>
        <v>412.28</v>
      </c>
      <c r="O650" s="1" t="n">
        <f aca="false">YEAR(B650)</f>
        <v>2023</v>
      </c>
      <c r="P650" s="1" t="n">
        <f aca="false">MONTH(B650)</f>
        <v>10</v>
      </c>
      <c r="Q650" s="1" t="str">
        <f aca="false">TEXT(B650,"mmm")</f>
        <v>Oct</v>
      </c>
      <c r="R650" s="1" t="str">
        <f aca="false">"Q"&amp;ROUNDUP(MONTH(B650)/3,0)</f>
        <v>Q4</v>
      </c>
    </row>
    <row r="651" customFormat="false" ht="15" hidden="false" customHeight="true" outlineLevel="0" collapsed="false">
      <c r="A651" s="1" t="n">
        <v>10650</v>
      </c>
      <c r="B651" s="14" t="n">
        <v>45211</v>
      </c>
      <c r="C651" s="1" t="n">
        <v>1068</v>
      </c>
      <c r="D651" s="1" t="s">
        <v>37</v>
      </c>
      <c r="E651" s="1" t="s">
        <v>36</v>
      </c>
      <c r="F651" s="1" t="n">
        <v>2</v>
      </c>
      <c r="G651" s="15" t="n">
        <v>147.66</v>
      </c>
      <c r="H651" s="16" t="n">
        <v>0.26</v>
      </c>
      <c r="I651" s="1" t="s">
        <v>29</v>
      </c>
      <c r="J651" s="1" t="n">
        <v>8</v>
      </c>
      <c r="K651" s="1" t="n">
        <v>4.5</v>
      </c>
      <c r="L651" s="15" t="n">
        <v>218.54</v>
      </c>
      <c r="M651" s="15" t="n">
        <f aca="false">F651*G651</f>
        <v>295.32</v>
      </c>
      <c r="N651" s="15" t="n">
        <f aca="false">M651-L651</f>
        <v>76.78</v>
      </c>
      <c r="O651" s="1" t="n">
        <f aca="false">YEAR(B651)</f>
        <v>2023</v>
      </c>
      <c r="P651" s="1" t="n">
        <f aca="false">MONTH(B651)</f>
        <v>10</v>
      </c>
      <c r="Q651" s="1" t="str">
        <f aca="false">TEXT(B651,"mmm")</f>
        <v>Oct</v>
      </c>
      <c r="R651" s="1" t="str">
        <f aca="false">"Q"&amp;ROUNDUP(MONTH(B651)/3,0)</f>
        <v>Q4</v>
      </c>
    </row>
    <row r="652" customFormat="false" ht="15" hidden="false" customHeight="true" outlineLevel="0" collapsed="false">
      <c r="A652" s="1" t="n">
        <v>10651</v>
      </c>
      <c r="B652" s="14" t="n">
        <v>45212</v>
      </c>
      <c r="C652" s="1" t="n">
        <v>1046</v>
      </c>
      <c r="D652" s="1" t="s">
        <v>37</v>
      </c>
      <c r="E652" s="1" t="s">
        <v>28</v>
      </c>
      <c r="F652" s="1" t="n">
        <v>6</v>
      </c>
      <c r="G652" s="15" t="n">
        <v>281.69</v>
      </c>
      <c r="H652" s="16" t="n">
        <v>0.27</v>
      </c>
      <c r="I652" s="1" t="s">
        <v>31</v>
      </c>
      <c r="J652" s="1" t="n">
        <v>9</v>
      </c>
      <c r="K652" s="1" t="n">
        <v>1.5</v>
      </c>
      <c r="L652" s="15" t="n">
        <v>1233.8</v>
      </c>
      <c r="M652" s="15" t="n">
        <f aca="false">F652*G652</f>
        <v>1690.14</v>
      </c>
      <c r="N652" s="15" t="n">
        <f aca="false">M652-L652</f>
        <v>456.34</v>
      </c>
      <c r="O652" s="1" t="n">
        <f aca="false">YEAR(B652)</f>
        <v>2023</v>
      </c>
      <c r="P652" s="1" t="n">
        <f aca="false">MONTH(B652)</f>
        <v>10</v>
      </c>
      <c r="Q652" s="1" t="str">
        <f aca="false">TEXT(B652,"mmm")</f>
        <v>Oct</v>
      </c>
      <c r="R652" s="1" t="str">
        <f aca="false">"Q"&amp;ROUNDUP(MONTH(B652)/3,0)</f>
        <v>Q4</v>
      </c>
    </row>
    <row r="653" customFormat="false" ht="15" hidden="false" customHeight="true" outlineLevel="0" collapsed="false">
      <c r="A653" s="1" t="n">
        <v>10652</v>
      </c>
      <c r="B653" s="14" t="n">
        <v>45213</v>
      </c>
      <c r="C653" s="1" t="n">
        <v>1093</v>
      </c>
      <c r="D653" s="1" t="s">
        <v>30</v>
      </c>
      <c r="E653" s="1" t="s">
        <v>32</v>
      </c>
      <c r="F653" s="1" t="n">
        <v>3</v>
      </c>
      <c r="G653" s="15" t="n">
        <v>572.65</v>
      </c>
      <c r="H653" s="16" t="n">
        <v>0.23</v>
      </c>
      <c r="I653" s="1" t="s">
        <v>33</v>
      </c>
      <c r="J653" s="1" t="n">
        <v>10</v>
      </c>
      <c r="K653" s="1" t="n">
        <v>2.7</v>
      </c>
      <c r="L653" s="15" t="n">
        <v>1322.82</v>
      </c>
      <c r="M653" s="15" t="n">
        <f aca="false">F653*G653</f>
        <v>1717.95</v>
      </c>
      <c r="N653" s="15" t="n">
        <f aca="false">M653-L653</f>
        <v>395.13</v>
      </c>
      <c r="O653" s="1" t="n">
        <f aca="false">YEAR(B653)</f>
        <v>2023</v>
      </c>
      <c r="P653" s="1" t="n">
        <f aca="false">MONTH(B653)</f>
        <v>10</v>
      </c>
      <c r="Q653" s="1" t="str">
        <f aca="false">TEXT(B653,"mmm")</f>
        <v>Oct</v>
      </c>
      <c r="R653" s="1" t="str">
        <f aca="false">"Q"&amp;ROUNDUP(MONTH(B653)/3,0)</f>
        <v>Q4</v>
      </c>
    </row>
    <row r="654" customFormat="false" ht="15" hidden="false" customHeight="true" outlineLevel="0" collapsed="false">
      <c r="A654" s="1" t="n">
        <v>10653</v>
      </c>
      <c r="B654" s="14" t="n">
        <v>45214</v>
      </c>
      <c r="C654" s="1" t="n">
        <v>1749</v>
      </c>
      <c r="D654" s="1" t="s">
        <v>34</v>
      </c>
      <c r="E654" s="1" t="s">
        <v>35</v>
      </c>
      <c r="F654" s="1" t="n">
        <v>6</v>
      </c>
      <c r="G654" s="15" t="n">
        <v>512.51</v>
      </c>
      <c r="H654" s="16" t="n">
        <v>0.18</v>
      </c>
      <c r="I654" s="1" t="s">
        <v>31</v>
      </c>
      <c r="J654" s="1" t="n">
        <v>11</v>
      </c>
      <c r="K654" s="1" t="n">
        <v>2.2</v>
      </c>
      <c r="L654" s="15" t="n">
        <v>2521.55</v>
      </c>
      <c r="M654" s="15" t="n">
        <f aca="false">F654*G654</f>
        <v>3075.06</v>
      </c>
      <c r="N654" s="15" t="n">
        <f aca="false">M654-L654</f>
        <v>553.51</v>
      </c>
      <c r="O654" s="1" t="n">
        <f aca="false">YEAR(B654)</f>
        <v>2023</v>
      </c>
      <c r="P654" s="1" t="n">
        <f aca="false">MONTH(B654)</f>
        <v>10</v>
      </c>
      <c r="Q654" s="1" t="str">
        <f aca="false">TEXT(B654,"mmm")</f>
        <v>Oct</v>
      </c>
      <c r="R654" s="1" t="str">
        <f aca="false">"Q"&amp;ROUNDUP(MONTH(B654)/3,0)</f>
        <v>Q4</v>
      </c>
    </row>
    <row r="655" customFormat="false" ht="15" hidden="false" customHeight="true" outlineLevel="0" collapsed="false">
      <c r="A655" s="1" t="n">
        <v>10654</v>
      </c>
      <c r="B655" s="14" t="n">
        <v>45215</v>
      </c>
      <c r="C655" s="1" t="n">
        <v>1957</v>
      </c>
      <c r="D655" s="1" t="s">
        <v>34</v>
      </c>
      <c r="E655" s="1" t="s">
        <v>32</v>
      </c>
      <c r="F655" s="1" t="n">
        <v>2</v>
      </c>
      <c r="G655" s="15" t="n">
        <v>99.96</v>
      </c>
      <c r="H655" s="16" t="n">
        <v>0.05</v>
      </c>
      <c r="I655" s="1" t="s">
        <v>31</v>
      </c>
      <c r="J655" s="1" t="n">
        <v>3</v>
      </c>
      <c r="K655" s="1" t="n">
        <v>2.6</v>
      </c>
      <c r="L655" s="15" t="n">
        <v>189.92</v>
      </c>
      <c r="M655" s="15" t="n">
        <f aca="false">F655*G655</f>
        <v>199.92</v>
      </c>
      <c r="N655" s="15" t="n">
        <f aca="false">M655-L655</f>
        <v>10</v>
      </c>
      <c r="O655" s="1" t="n">
        <f aca="false">YEAR(B655)</f>
        <v>2023</v>
      </c>
      <c r="P655" s="1" t="n">
        <f aca="false">MONTH(B655)</f>
        <v>10</v>
      </c>
      <c r="Q655" s="1" t="str">
        <f aca="false">TEXT(B655,"mmm")</f>
        <v>Oct</v>
      </c>
      <c r="R655" s="1" t="str">
        <f aca="false">"Q"&amp;ROUNDUP(MONTH(B655)/3,0)</f>
        <v>Q4</v>
      </c>
    </row>
    <row r="656" customFormat="false" ht="15" hidden="false" customHeight="true" outlineLevel="0" collapsed="false">
      <c r="A656" s="1" t="n">
        <v>10655</v>
      </c>
      <c r="B656" s="14" t="n">
        <v>45216</v>
      </c>
      <c r="C656" s="1" t="n">
        <v>1452</v>
      </c>
      <c r="D656" s="1" t="s">
        <v>34</v>
      </c>
      <c r="E656" s="1" t="s">
        <v>36</v>
      </c>
      <c r="F656" s="1" t="n">
        <v>6</v>
      </c>
      <c r="G656" s="15" t="n">
        <v>32.42</v>
      </c>
      <c r="H656" s="16" t="n">
        <v>0.12</v>
      </c>
      <c r="I656" s="1" t="s">
        <v>33</v>
      </c>
      <c r="J656" s="1" t="n">
        <v>1</v>
      </c>
      <c r="K656" s="1" t="n">
        <v>3.8</v>
      </c>
      <c r="L656" s="15" t="n">
        <v>171.18</v>
      </c>
      <c r="M656" s="15" t="n">
        <f aca="false">F656*G656</f>
        <v>194.52</v>
      </c>
      <c r="N656" s="15" t="n">
        <f aca="false">M656-L656</f>
        <v>23.34</v>
      </c>
      <c r="O656" s="1" t="n">
        <f aca="false">YEAR(B656)</f>
        <v>2023</v>
      </c>
      <c r="P656" s="1" t="n">
        <f aca="false">MONTH(B656)</f>
        <v>10</v>
      </c>
      <c r="Q656" s="1" t="str">
        <f aca="false">TEXT(B656,"mmm")</f>
        <v>Oct</v>
      </c>
      <c r="R656" s="1" t="str">
        <f aca="false">"Q"&amp;ROUNDUP(MONTH(B656)/3,0)</f>
        <v>Q4</v>
      </c>
    </row>
    <row r="657" customFormat="false" ht="15" hidden="false" customHeight="true" outlineLevel="0" collapsed="false">
      <c r="A657" s="1" t="n">
        <v>10656</v>
      </c>
      <c r="B657" s="14" t="n">
        <v>45217</v>
      </c>
      <c r="C657" s="1" t="n">
        <v>1203</v>
      </c>
      <c r="D657" s="1" t="s">
        <v>34</v>
      </c>
      <c r="E657" s="1" t="s">
        <v>28</v>
      </c>
      <c r="F657" s="1" t="n">
        <v>3</v>
      </c>
      <c r="G657" s="15" t="n">
        <v>561.11</v>
      </c>
      <c r="H657" s="16" t="n">
        <v>0.05</v>
      </c>
      <c r="I657" s="1" t="s">
        <v>29</v>
      </c>
      <c r="J657" s="1" t="n">
        <v>11</v>
      </c>
      <c r="K657" s="1" t="n">
        <v>1.3</v>
      </c>
      <c r="L657" s="15" t="n">
        <v>1599.16</v>
      </c>
      <c r="M657" s="15" t="n">
        <f aca="false">F657*G657</f>
        <v>1683.33</v>
      </c>
      <c r="N657" s="15" t="n">
        <f aca="false">M657-L657</f>
        <v>84.1699999999999</v>
      </c>
      <c r="O657" s="1" t="n">
        <f aca="false">YEAR(B657)</f>
        <v>2023</v>
      </c>
      <c r="P657" s="1" t="n">
        <f aca="false">MONTH(B657)</f>
        <v>10</v>
      </c>
      <c r="Q657" s="1" t="str">
        <f aca="false">TEXT(B657,"mmm")</f>
        <v>Oct</v>
      </c>
      <c r="R657" s="1" t="str">
        <f aca="false">"Q"&amp;ROUNDUP(MONTH(B657)/3,0)</f>
        <v>Q4</v>
      </c>
    </row>
    <row r="658" customFormat="false" ht="15" hidden="false" customHeight="true" outlineLevel="0" collapsed="false">
      <c r="A658" s="1" t="n">
        <v>10657</v>
      </c>
      <c r="B658" s="14" t="n">
        <v>45218</v>
      </c>
      <c r="C658" s="1" t="n">
        <v>1911</v>
      </c>
      <c r="D658" s="1" t="s">
        <v>27</v>
      </c>
      <c r="E658" s="1" t="s">
        <v>36</v>
      </c>
      <c r="F658" s="1" t="n">
        <v>7</v>
      </c>
      <c r="G658" s="15" t="n">
        <v>323.15</v>
      </c>
      <c r="H658" s="16" t="n">
        <v>0.25</v>
      </c>
      <c r="I658" s="1" t="s">
        <v>33</v>
      </c>
      <c r="J658" s="1" t="n">
        <v>1</v>
      </c>
      <c r="K658" s="1" t="n">
        <v>5</v>
      </c>
      <c r="L658" s="15" t="n">
        <v>1696.54</v>
      </c>
      <c r="M658" s="15" t="n">
        <f aca="false">F658*G658</f>
        <v>2262.05</v>
      </c>
      <c r="N658" s="15" t="n">
        <f aca="false">M658-L658</f>
        <v>565.51</v>
      </c>
      <c r="O658" s="1" t="n">
        <f aca="false">YEAR(B658)</f>
        <v>2023</v>
      </c>
      <c r="P658" s="1" t="n">
        <f aca="false">MONTH(B658)</f>
        <v>10</v>
      </c>
      <c r="Q658" s="1" t="str">
        <f aca="false">TEXT(B658,"mmm")</f>
        <v>Oct</v>
      </c>
      <c r="R658" s="1" t="str">
        <f aca="false">"Q"&amp;ROUNDUP(MONTH(B658)/3,0)</f>
        <v>Q4</v>
      </c>
    </row>
    <row r="659" customFormat="false" ht="15" hidden="false" customHeight="true" outlineLevel="0" collapsed="false">
      <c r="A659" s="1" t="n">
        <v>10658</v>
      </c>
      <c r="B659" s="14" t="n">
        <v>45219</v>
      </c>
      <c r="C659" s="1" t="n">
        <v>1217</v>
      </c>
      <c r="D659" s="1" t="s">
        <v>34</v>
      </c>
      <c r="E659" s="1" t="s">
        <v>35</v>
      </c>
      <c r="F659" s="1" t="n">
        <v>3</v>
      </c>
      <c r="G659" s="15" t="n">
        <v>329.64</v>
      </c>
      <c r="H659" s="16" t="n">
        <v>0.06</v>
      </c>
      <c r="I659" s="1" t="s">
        <v>29</v>
      </c>
      <c r="J659" s="1" t="n">
        <v>3</v>
      </c>
      <c r="K659" s="1" t="n">
        <v>3.5</v>
      </c>
      <c r="L659" s="15" t="n">
        <v>929.58</v>
      </c>
      <c r="M659" s="15" t="n">
        <f aca="false">F659*G659</f>
        <v>988.92</v>
      </c>
      <c r="N659" s="15" t="n">
        <f aca="false">M659-L659</f>
        <v>59.3399999999999</v>
      </c>
      <c r="O659" s="1" t="n">
        <f aca="false">YEAR(B659)</f>
        <v>2023</v>
      </c>
      <c r="P659" s="1" t="n">
        <f aca="false">MONTH(B659)</f>
        <v>10</v>
      </c>
      <c r="Q659" s="1" t="str">
        <f aca="false">TEXT(B659,"mmm")</f>
        <v>Oct</v>
      </c>
      <c r="R659" s="1" t="str">
        <f aca="false">"Q"&amp;ROUNDUP(MONTH(B659)/3,0)</f>
        <v>Q4</v>
      </c>
    </row>
    <row r="660" customFormat="false" ht="15" hidden="false" customHeight="true" outlineLevel="0" collapsed="false">
      <c r="A660" s="1" t="n">
        <v>10659</v>
      </c>
      <c r="B660" s="14" t="n">
        <v>45220</v>
      </c>
      <c r="C660" s="1" t="n">
        <v>1473</v>
      </c>
      <c r="D660" s="1" t="s">
        <v>30</v>
      </c>
      <c r="E660" s="1" t="s">
        <v>32</v>
      </c>
      <c r="F660" s="1" t="n">
        <v>1</v>
      </c>
      <c r="G660" s="15" t="n">
        <v>471.72</v>
      </c>
      <c r="H660" s="16" t="n">
        <v>0.25</v>
      </c>
      <c r="I660" s="1" t="s">
        <v>29</v>
      </c>
      <c r="J660" s="1" t="n">
        <v>4</v>
      </c>
      <c r="K660" s="1" t="n">
        <v>4.5</v>
      </c>
      <c r="L660" s="15" t="n">
        <v>353.79</v>
      </c>
      <c r="M660" s="15" t="n">
        <f aca="false">F660*G660</f>
        <v>471.72</v>
      </c>
      <c r="N660" s="15" t="n">
        <f aca="false">M660-L660</f>
        <v>117.93</v>
      </c>
      <c r="O660" s="1" t="n">
        <f aca="false">YEAR(B660)</f>
        <v>2023</v>
      </c>
      <c r="P660" s="1" t="n">
        <f aca="false">MONTH(B660)</f>
        <v>10</v>
      </c>
      <c r="Q660" s="1" t="str">
        <f aca="false">TEXT(B660,"mmm")</f>
        <v>Oct</v>
      </c>
      <c r="R660" s="1" t="str">
        <f aca="false">"Q"&amp;ROUNDUP(MONTH(B660)/3,0)</f>
        <v>Q4</v>
      </c>
    </row>
    <row r="661" customFormat="false" ht="15" hidden="false" customHeight="true" outlineLevel="0" collapsed="false">
      <c r="A661" s="1" t="n">
        <v>10660</v>
      </c>
      <c r="B661" s="14" t="n">
        <v>45221</v>
      </c>
      <c r="C661" s="1" t="n">
        <v>1431</v>
      </c>
      <c r="D661" s="1" t="s">
        <v>34</v>
      </c>
      <c r="E661" s="1" t="s">
        <v>36</v>
      </c>
      <c r="F661" s="1" t="n">
        <v>6</v>
      </c>
      <c r="G661" s="15" t="n">
        <v>199.09</v>
      </c>
      <c r="H661" s="16" t="n">
        <v>0.24</v>
      </c>
      <c r="I661" s="1" t="s">
        <v>31</v>
      </c>
      <c r="J661" s="1" t="n">
        <v>2</v>
      </c>
      <c r="K661" s="1" t="n">
        <v>4.3</v>
      </c>
      <c r="L661" s="15" t="n">
        <v>907.85</v>
      </c>
      <c r="M661" s="15" t="n">
        <f aca="false">F661*G661</f>
        <v>1194.54</v>
      </c>
      <c r="N661" s="15" t="n">
        <f aca="false">M661-L661</f>
        <v>286.69</v>
      </c>
      <c r="O661" s="1" t="n">
        <f aca="false">YEAR(B661)</f>
        <v>2023</v>
      </c>
      <c r="P661" s="1" t="n">
        <f aca="false">MONTH(B661)</f>
        <v>10</v>
      </c>
      <c r="Q661" s="1" t="str">
        <f aca="false">TEXT(B661,"mmm")</f>
        <v>Oct</v>
      </c>
      <c r="R661" s="1" t="str">
        <f aca="false">"Q"&amp;ROUNDUP(MONTH(B661)/3,0)</f>
        <v>Q4</v>
      </c>
    </row>
    <row r="662" customFormat="false" ht="15" hidden="false" customHeight="true" outlineLevel="0" collapsed="false">
      <c r="A662" s="1" t="n">
        <v>10661</v>
      </c>
      <c r="B662" s="14" t="n">
        <v>45222</v>
      </c>
      <c r="C662" s="1" t="n">
        <v>1340</v>
      </c>
      <c r="D662" s="1" t="s">
        <v>34</v>
      </c>
      <c r="E662" s="1" t="s">
        <v>35</v>
      </c>
      <c r="F662" s="1" t="n">
        <v>1</v>
      </c>
      <c r="G662" s="15" t="n">
        <v>296.92</v>
      </c>
      <c r="H662" s="16" t="n">
        <v>0.16</v>
      </c>
      <c r="I662" s="1" t="s">
        <v>31</v>
      </c>
      <c r="J662" s="1" t="n">
        <v>8</v>
      </c>
      <c r="K662" s="1" t="n">
        <v>4.1</v>
      </c>
      <c r="L662" s="15" t="n">
        <v>249.41</v>
      </c>
      <c r="M662" s="15" t="n">
        <f aca="false">F662*G662</f>
        <v>296.92</v>
      </c>
      <c r="N662" s="15" t="n">
        <f aca="false">M662-L662</f>
        <v>47.51</v>
      </c>
      <c r="O662" s="1" t="n">
        <f aca="false">YEAR(B662)</f>
        <v>2023</v>
      </c>
      <c r="P662" s="1" t="n">
        <f aca="false">MONTH(B662)</f>
        <v>10</v>
      </c>
      <c r="Q662" s="1" t="str">
        <f aca="false">TEXT(B662,"mmm")</f>
        <v>Oct</v>
      </c>
      <c r="R662" s="1" t="str">
        <f aca="false">"Q"&amp;ROUNDUP(MONTH(B662)/3,0)</f>
        <v>Q4</v>
      </c>
    </row>
    <row r="663" customFormat="false" ht="15" hidden="false" customHeight="true" outlineLevel="0" collapsed="false">
      <c r="A663" s="1" t="n">
        <v>10662</v>
      </c>
      <c r="B663" s="14" t="n">
        <v>45223</v>
      </c>
      <c r="C663" s="1" t="n">
        <v>1550</v>
      </c>
      <c r="D663" s="1" t="s">
        <v>30</v>
      </c>
      <c r="E663" s="1" t="s">
        <v>32</v>
      </c>
      <c r="F663" s="1" t="n">
        <v>7</v>
      </c>
      <c r="G663" s="15" t="n">
        <v>581.67</v>
      </c>
      <c r="H663" s="16" t="n">
        <v>0.05</v>
      </c>
      <c r="I663" s="1" t="s">
        <v>33</v>
      </c>
      <c r="J663" s="1" t="n">
        <v>3</v>
      </c>
      <c r="K663" s="1" t="n">
        <v>1.2</v>
      </c>
      <c r="L663" s="15" t="n">
        <v>3868.11</v>
      </c>
      <c r="M663" s="15" t="n">
        <f aca="false">F663*G663</f>
        <v>4071.69</v>
      </c>
      <c r="N663" s="15" t="n">
        <f aca="false">M663-L663</f>
        <v>203.579999999999</v>
      </c>
      <c r="O663" s="1" t="n">
        <f aca="false">YEAR(B663)</f>
        <v>2023</v>
      </c>
      <c r="P663" s="1" t="n">
        <f aca="false">MONTH(B663)</f>
        <v>10</v>
      </c>
      <c r="Q663" s="1" t="str">
        <f aca="false">TEXT(B663,"mmm")</f>
        <v>Oct</v>
      </c>
      <c r="R663" s="1" t="str">
        <f aca="false">"Q"&amp;ROUNDUP(MONTH(B663)/3,0)</f>
        <v>Q4</v>
      </c>
    </row>
    <row r="664" customFormat="false" ht="15" hidden="false" customHeight="true" outlineLevel="0" collapsed="false">
      <c r="A664" s="1" t="n">
        <v>10663</v>
      </c>
      <c r="B664" s="14" t="n">
        <v>45224</v>
      </c>
      <c r="C664" s="1" t="n">
        <v>1611</v>
      </c>
      <c r="D664" s="1" t="s">
        <v>30</v>
      </c>
      <c r="E664" s="1" t="s">
        <v>28</v>
      </c>
      <c r="F664" s="1" t="n">
        <v>1</v>
      </c>
      <c r="G664" s="15" t="n">
        <v>408.21</v>
      </c>
      <c r="H664" s="16" t="n">
        <v>0.11</v>
      </c>
      <c r="I664" s="1" t="s">
        <v>33</v>
      </c>
      <c r="J664" s="1" t="n">
        <v>4</v>
      </c>
      <c r="K664" s="1" t="n">
        <v>3.1</v>
      </c>
      <c r="L664" s="15" t="n">
        <v>363.31</v>
      </c>
      <c r="M664" s="15" t="n">
        <f aca="false">F664*G664</f>
        <v>408.21</v>
      </c>
      <c r="N664" s="15" t="n">
        <f aca="false">M664-L664</f>
        <v>44.9</v>
      </c>
      <c r="O664" s="1" t="n">
        <f aca="false">YEAR(B664)</f>
        <v>2023</v>
      </c>
      <c r="P664" s="1" t="n">
        <f aca="false">MONTH(B664)</f>
        <v>10</v>
      </c>
      <c r="Q664" s="1" t="str">
        <f aca="false">TEXT(B664,"mmm")</f>
        <v>Oct</v>
      </c>
      <c r="R664" s="1" t="str">
        <f aca="false">"Q"&amp;ROUNDUP(MONTH(B664)/3,0)</f>
        <v>Q4</v>
      </c>
    </row>
    <row r="665" customFormat="false" ht="15" hidden="false" customHeight="true" outlineLevel="0" collapsed="false">
      <c r="A665" s="1" t="n">
        <v>10664</v>
      </c>
      <c r="B665" s="14" t="n">
        <v>45225</v>
      </c>
      <c r="C665" s="1" t="n">
        <v>1288</v>
      </c>
      <c r="D665" s="1" t="s">
        <v>34</v>
      </c>
      <c r="E665" s="1" t="s">
        <v>36</v>
      </c>
      <c r="F665" s="1" t="n">
        <v>6</v>
      </c>
      <c r="G665" s="15" t="n">
        <v>104.94</v>
      </c>
      <c r="H665" s="16" t="n">
        <v>0.11</v>
      </c>
      <c r="I665" s="1" t="s">
        <v>31</v>
      </c>
      <c r="J665" s="1" t="n">
        <v>6</v>
      </c>
      <c r="K665" s="1" t="n">
        <v>2.3</v>
      </c>
      <c r="L665" s="15" t="n">
        <v>560.38</v>
      </c>
      <c r="M665" s="15" t="n">
        <f aca="false">F665*G665</f>
        <v>629.64</v>
      </c>
      <c r="N665" s="15" t="n">
        <f aca="false">M665-L665</f>
        <v>69.26</v>
      </c>
      <c r="O665" s="1" t="n">
        <f aca="false">YEAR(B665)</f>
        <v>2023</v>
      </c>
      <c r="P665" s="1" t="n">
        <f aca="false">MONTH(B665)</f>
        <v>10</v>
      </c>
      <c r="Q665" s="1" t="str">
        <f aca="false">TEXT(B665,"mmm")</f>
        <v>Oct</v>
      </c>
      <c r="R665" s="1" t="str">
        <f aca="false">"Q"&amp;ROUNDUP(MONTH(B665)/3,0)</f>
        <v>Q4</v>
      </c>
    </row>
    <row r="666" customFormat="false" ht="15" hidden="false" customHeight="true" outlineLevel="0" collapsed="false">
      <c r="A666" s="1" t="n">
        <v>10665</v>
      </c>
      <c r="B666" s="14" t="n">
        <v>45226</v>
      </c>
      <c r="C666" s="1" t="n">
        <v>1253</v>
      </c>
      <c r="D666" s="1" t="s">
        <v>34</v>
      </c>
      <c r="E666" s="1" t="s">
        <v>32</v>
      </c>
      <c r="F666" s="1" t="n">
        <v>2</v>
      </c>
      <c r="G666" s="15" t="n">
        <v>92.94</v>
      </c>
      <c r="H666" s="16" t="n">
        <v>0.25</v>
      </c>
      <c r="I666" s="1" t="s">
        <v>29</v>
      </c>
      <c r="J666" s="1" t="n">
        <v>10</v>
      </c>
      <c r="K666" s="1" t="n">
        <v>1.5</v>
      </c>
      <c r="L666" s="15" t="n">
        <v>139.41</v>
      </c>
      <c r="M666" s="15" t="n">
        <f aca="false">F666*G666</f>
        <v>185.88</v>
      </c>
      <c r="N666" s="15" t="n">
        <f aca="false">M666-L666</f>
        <v>46.47</v>
      </c>
      <c r="O666" s="1" t="n">
        <f aca="false">YEAR(B666)</f>
        <v>2023</v>
      </c>
      <c r="P666" s="1" t="n">
        <f aca="false">MONTH(B666)</f>
        <v>10</v>
      </c>
      <c r="Q666" s="1" t="str">
        <f aca="false">TEXT(B666,"mmm")</f>
        <v>Oct</v>
      </c>
      <c r="R666" s="1" t="str">
        <f aca="false">"Q"&amp;ROUNDUP(MONTH(B666)/3,0)</f>
        <v>Q4</v>
      </c>
    </row>
    <row r="667" customFormat="false" ht="15" hidden="false" customHeight="true" outlineLevel="0" collapsed="false">
      <c r="A667" s="1" t="n">
        <v>10666</v>
      </c>
      <c r="B667" s="14" t="n">
        <v>45227</v>
      </c>
      <c r="C667" s="1" t="n">
        <v>1733</v>
      </c>
      <c r="D667" s="1" t="s">
        <v>30</v>
      </c>
      <c r="E667" s="1" t="s">
        <v>32</v>
      </c>
      <c r="F667" s="1" t="n">
        <v>4</v>
      </c>
      <c r="G667" s="15" t="n">
        <v>134.49</v>
      </c>
      <c r="H667" s="16" t="n">
        <v>0.04</v>
      </c>
      <c r="I667" s="1" t="s">
        <v>33</v>
      </c>
      <c r="J667" s="1" t="n">
        <v>6</v>
      </c>
      <c r="K667" s="1" t="n">
        <v>2.4</v>
      </c>
      <c r="L667" s="15" t="n">
        <v>516.44</v>
      </c>
      <c r="M667" s="15" t="n">
        <f aca="false">F667*G667</f>
        <v>537.96</v>
      </c>
      <c r="N667" s="15" t="n">
        <f aca="false">M667-L667</f>
        <v>21.52</v>
      </c>
      <c r="O667" s="1" t="n">
        <f aca="false">YEAR(B667)</f>
        <v>2023</v>
      </c>
      <c r="P667" s="1" t="n">
        <f aca="false">MONTH(B667)</f>
        <v>10</v>
      </c>
      <c r="Q667" s="1" t="str">
        <f aca="false">TEXT(B667,"mmm")</f>
        <v>Oct</v>
      </c>
      <c r="R667" s="1" t="str">
        <f aca="false">"Q"&amp;ROUNDUP(MONTH(B667)/3,0)</f>
        <v>Q4</v>
      </c>
    </row>
    <row r="668" customFormat="false" ht="15" hidden="false" customHeight="true" outlineLevel="0" collapsed="false">
      <c r="A668" s="1" t="n">
        <v>10667</v>
      </c>
      <c r="B668" s="14" t="n">
        <v>45228</v>
      </c>
      <c r="C668" s="1" t="n">
        <v>1356</v>
      </c>
      <c r="D668" s="1" t="s">
        <v>34</v>
      </c>
      <c r="E668" s="1" t="s">
        <v>32</v>
      </c>
      <c r="F668" s="1" t="n">
        <v>7</v>
      </c>
      <c r="G668" s="15" t="n">
        <v>463.53</v>
      </c>
      <c r="H668" s="16" t="n">
        <v>0.29</v>
      </c>
      <c r="I668" s="1" t="s">
        <v>31</v>
      </c>
      <c r="J668" s="1" t="n">
        <v>2</v>
      </c>
      <c r="K668" s="1" t="n">
        <v>3.6</v>
      </c>
      <c r="L668" s="15" t="n">
        <v>2303.74</v>
      </c>
      <c r="M668" s="15" t="n">
        <f aca="false">F668*G668</f>
        <v>3244.71</v>
      </c>
      <c r="N668" s="15" t="n">
        <f aca="false">M668-L668</f>
        <v>940.97</v>
      </c>
      <c r="O668" s="1" t="n">
        <f aca="false">YEAR(B668)</f>
        <v>2023</v>
      </c>
      <c r="P668" s="1" t="n">
        <f aca="false">MONTH(B668)</f>
        <v>10</v>
      </c>
      <c r="Q668" s="1" t="str">
        <f aca="false">TEXT(B668,"mmm")</f>
        <v>Oct</v>
      </c>
      <c r="R668" s="1" t="str">
        <f aca="false">"Q"&amp;ROUNDUP(MONTH(B668)/3,0)</f>
        <v>Q4</v>
      </c>
    </row>
    <row r="669" customFormat="false" ht="15" hidden="false" customHeight="true" outlineLevel="0" collapsed="false">
      <c r="A669" s="1" t="n">
        <v>10668</v>
      </c>
      <c r="B669" s="14" t="n">
        <v>45229</v>
      </c>
      <c r="C669" s="1" t="n">
        <v>1022</v>
      </c>
      <c r="D669" s="1" t="s">
        <v>34</v>
      </c>
      <c r="E669" s="1" t="s">
        <v>32</v>
      </c>
      <c r="F669" s="1" t="n">
        <v>3</v>
      </c>
      <c r="G669" s="15" t="n">
        <v>187.8</v>
      </c>
      <c r="H669" s="16" t="n">
        <v>0.27</v>
      </c>
      <c r="I669" s="1" t="s">
        <v>33</v>
      </c>
      <c r="J669" s="1" t="n">
        <v>6</v>
      </c>
      <c r="K669" s="1" t="n">
        <v>1.9</v>
      </c>
      <c r="L669" s="15" t="n">
        <v>411.28</v>
      </c>
      <c r="M669" s="15" t="n">
        <f aca="false">F669*G669</f>
        <v>563.4</v>
      </c>
      <c r="N669" s="15" t="n">
        <f aca="false">M669-L669</f>
        <v>152.12</v>
      </c>
      <c r="O669" s="1" t="n">
        <f aca="false">YEAR(B669)</f>
        <v>2023</v>
      </c>
      <c r="P669" s="1" t="n">
        <f aca="false">MONTH(B669)</f>
        <v>10</v>
      </c>
      <c r="Q669" s="1" t="str">
        <f aca="false">TEXT(B669,"mmm")</f>
        <v>Oct</v>
      </c>
      <c r="R669" s="1" t="str">
        <f aca="false">"Q"&amp;ROUNDUP(MONTH(B669)/3,0)</f>
        <v>Q4</v>
      </c>
    </row>
    <row r="670" customFormat="false" ht="15" hidden="false" customHeight="true" outlineLevel="0" collapsed="false">
      <c r="A670" s="1" t="n">
        <v>10669</v>
      </c>
      <c r="B670" s="14" t="n">
        <v>45230</v>
      </c>
      <c r="C670" s="1" t="n">
        <v>1761</v>
      </c>
      <c r="D670" s="1" t="s">
        <v>27</v>
      </c>
      <c r="E670" s="1" t="s">
        <v>36</v>
      </c>
      <c r="F670" s="1" t="n">
        <v>5</v>
      </c>
      <c r="G670" s="15" t="n">
        <v>27.51</v>
      </c>
      <c r="H670" s="16" t="n">
        <v>0.07</v>
      </c>
      <c r="I670" s="1" t="s">
        <v>31</v>
      </c>
      <c r="J670" s="1" t="n">
        <v>4</v>
      </c>
      <c r="K670" s="1" t="n">
        <v>2.8</v>
      </c>
      <c r="L670" s="15" t="n">
        <v>127.92</v>
      </c>
      <c r="M670" s="15" t="n">
        <f aca="false">F670*G670</f>
        <v>137.55</v>
      </c>
      <c r="N670" s="15" t="n">
        <f aca="false">M670-L670</f>
        <v>9.63000000000001</v>
      </c>
      <c r="O670" s="1" t="n">
        <f aca="false">YEAR(B670)</f>
        <v>2023</v>
      </c>
      <c r="P670" s="1" t="n">
        <f aca="false">MONTH(B670)</f>
        <v>10</v>
      </c>
      <c r="Q670" s="1" t="str">
        <f aca="false">TEXT(B670,"mmm")</f>
        <v>Oct</v>
      </c>
      <c r="R670" s="1" t="str">
        <f aca="false">"Q"&amp;ROUNDUP(MONTH(B670)/3,0)</f>
        <v>Q4</v>
      </c>
    </row>
    <row r="671" customFormat="false" ht="15" hidden="false" customHeight="true" outlineLevel="0" collapsed="false">
      <c r="A671" s="1" t="n">
        <v>10670</v>
      </c>
      <c r="B671" s="14" t="n">
        <v>45231</v>
      </c>
      <c r="C671" s="1" t="n">
        <v>1521</v>
      </c>
      <c r="D671" s="1" t="s">
        <v>30</v>
      </c>
      <c r="E671" s="1" t="s">
        <v>32</v>
      </c>
      <c r="F671" s="1" t="n">
        <v>7</v>
      </c>
      <c r="G671" s="15" t="n">
        <v>567.34</v>
      </c>
      <c r="H671" s="16" t="n">
        <v>0.25</v>
      </c>
      <c r="I671" s="1" t="s">
        <v>33</v>
      </c>
      <c r="J671" s="1" t="n">
        <v>5</v>
      </c>
      <c r="K671" s="1" t="n">
        <v>2.6</v>
      </c>
      <c r="L671" s="15" t="n">
        <v>2978.54</v>
      </c>
      <c r="M671" s="15" t="n">
        <f aca="false">F671*G671</f>
        <v>3971.38</v>
      </c>
      <c r="N671" s="15" t="n">
        <f aca="false">M671-L671</f>
        <v>992.84</v>
      </c>
      <c r="O671" s="1" t="n">
        <f aca="false">YEAR(B671)</f>
        <v>2023</v>
      </c>
      <c r="P671" s="1" t="n">
        <f aca="false">MONTH(B671)</f>
        <v>11</v>
      </c>
      <c r="Q671" s="1" t="str">
        <f aca="false">TEXT(B671,"mmm")</f>
        <v>Nov</v>
      </c>
      <c r="R671" s="1" t="str">
        <f aca="false">"Q"&amp;ROUNDUP(MONTH(B671)/3,0)</f>
        <v>Q4</v>
      </c>
    </row>
    <row r="672" customFormat="false" ht="15" hidden="false" customHeight="true" outlineLevel="0" collapsed="false">
      <c r="A672" s="1" t="n">
        <v>10671</v>
      </c>
      <c r="B672" s="14" t="n">
        <v>45232</v>
      </c>
      <c r="C672" s="1" t="n">
        <v>1757</v>
      </c>
      <c r="D672" s="1" t="s">
        <v>30</v>
      </c>
      <c r="E672" s="1" t="s">
        <v>35</v>
      </c>
      <c r="F672" s="1" t="n">
        <v>1</v>
      </c>
      <c r="G672" s="15" t="n">
        <v>114.28</v>
      </c>
      <c r="H672" s="16" t="n">
        <v>0.23</v>
      </c>
      <c r="I672" s="1" t="s">
        <v>29</v>
      </c>
      <c r="J672" s="1" t="n">
        <v>7</v>
      </c>
      <c r="K672" s="1" t="n">
        <v>1.2</v>
      </c>
      <c r="L672" s="15" t="n">
        <v>88</v>
      </c>
      <c r="M672" s="15" t="n">
        <f aca="false">F672*G672</f>
        <v>114.28</v>
      </c>
      <c r="N672" s="15" t="n">
        <f aca="false">M672-L672</f>
        <v>26.28</v>
      </c>
      <c r="O672" s="1" t="n">
        <f aca="false">YEAR(B672)</f>
        <v>2023</v>
      </c>
      <c r="P672" s="1" t="n">
        <f aca="false">MONTH(B672)</f>
        <v>11</v>
      </c>
      <c r="Q672" s="1" t="str">
        <f aca="false">TEXT(B672,"mmm")</f>
        <v>Nov</v>
      </c>
      <c r="R672" s="1" t="str">
        <f aca="false">"Q"&amp;ROUNDUP(MONTH(B672)/3,0)</f>
        <v>Q4</v>
      </c>
    </row>
    <row r="673" customFormat="false" ht="15" hidden="false" customHeight="true" outlineLevel="0" collapsed="false">
      <c r="A673" s="1" t="n">
        <v>10672</v>
      </c>
      <c r="B673" s="14" t="n">
        <v>45233</v>
      </c>
      <c r="C673" s="1" t="n">
        <v>1836</v>
      </c>
      <c r="D673" s="1" t="s">
        <v>30</v>
      </c>
      <c r="E673" s="1" t="s">
        <v>36</v>
      </c>
      <c r="F673" s="1" t="n">
        <v>2</v>
      </c>
      <c r="G673" s="15" t="n">
        <v>20.59</v>
      </c>
      <c r="H673" s="16" t="n">
        <v>0.26</v>
      </c>
      <c r="I673" s="1" t="s">
        <v>29</v>
      </c>
      <c r="J673" s="1" t="n">
        <v>7</v>
      </c>
      <c r="K673" s="1" t="n">
        <v>3.5</v>
      </c>
      <c r="L673" s="15" t="n">
        <v>30.47</v>
      </c>
      <c r="M673" s="15" t="n">
        <f aca="false">F673*G673</f>
        <v>41.18</v>
      </c>
      <c r="N673" s="15" t="n">
        <f aca="false">M673-L673</f>
        <v>10.71</v>
      </c>
      <c r="O673" s="1" t="n">
        <f aca="false">YEAR(B673)</f>
        <v>2023</v>
      </c>
      <c r="P673" s="1" t="n">
        <f aca="false">MONTH(B673)</f>
        <v>11</v>
      </c>
      <c r="Q673" s="1" t="str">
        <f aca="false">TEXT(B673,"mmm")</f>
        <v>Nov</v>
      </c>
      <c r="R673" s="1" t="str">
        <f aca="false">"Q"&amp;ROUNDUP(MONTH(B673)/3,0)</f>
        <v>Q4</v>
      </c>
    </row>
    <row r="674" customFormat="false" ht="15" hidden="false" customHeight="true" outlineLevel="0" collapsed="false">
      <c r="A674" s="1" t="n">
        <v>10673</v>
      </c>
      <c r="B674" s="14" t="n">
        <v>45234</v>
      </c>
      <c r="C674" s="1" t="n">
        <v>1099</v>
      </c>
      <c r="D674" s="1" t="s">
        <v>30</v>
      </c>
      <c r="E674" s="1" t="s">
        <v>32</v>
      </c>
      <c r="F674" s="1" t="n">
        <v>6</v>
      </c>
      <c r="G674" s="15" t="n">
        <v>153.72</v>
      </c>
      <c r="H674" s="16" t="n">
        <v>0.07</v>
      </c>
      <c r="I674" s="1" t="s">
        <v>31</v>
      </c>
      <c r="J674" s="1" t="n">
        <v>6</v>
      </c>
      <c r="K674" s="1" t="n">
        <v>3.5</v>
      </c>
      <c r="L674" s="15" t="n">
        <v>857.76</v>
      </c>
      <c r="M674" s="15" t="n">
        <f aca="false">F674*G674</f>
        <v>922.32</v>
      </c>
      <c r="N674" s="15" t="n">
        <f aca="false">M674-L674</f>
        <v>64.56</v>
      </c>
      <c r="O674" s="1" t="n">
        <f aca="false">YEAR(B674)</f>
        <v>2023</v>
      </c>
      <c r="P674" s="1" t="n">
        <f aca="false">MONTH(B674)</f>
        <v>11</v>
      </c>
      <c r="Q674" s="1" t="str">
        <f aca="false">TEXT(B674,"mmm")</f>
        <v>Nov</v>
      </c>
      <c r="R674" s="1" t="str">
        <f aca="false">"Q"&amp;ROUNDUP(MONTH(B674)/3,0)</f>
        <v>Q4</v>
      </c>
    </row>
    <row r="675" customFormat="false" ht="15" hidden="false" customHeight="true" outlineLevel="0" collapsed="false">
      <c r="A675" s="1" t="n">
        <v>10674</v>
      </c>
      <c r="B675" s="14" t="n">
        <v>45235</v>
      </c>
      <c r="C675" s="1" t="n">
        <v>1801</v>
      </c>
      <c r="D675" s="1" t="s">
        <v>30</v>
      </c>
      <c r="E675" s="1" t="s">
        <v>36</v>
      </c>
      <c r="F675" s="1" t="n">
        <v>2</v>
      </c>
      <c r="G675" s="15" t="n">
        <v>152.49</v>
      </c>
      <c r="H675" s="16" t="n">
        <v>0.06</v>
      </c>
      <c r="I675" s="1" t="s">
        <v>33</v>
      </c>
      <c r="J675" s="1" t="n">
        <v>10</v>
      </c>
      <c r="K675" s="1" t="n">
        <v>4.9</v>
      </c>
      <c r="L675" s="15" t="n">
        <v>286.68</v>
      </c>
      <c r="M675" s="15" t="n">
        <f aca="false">F675*G675</f>
        <v>304.98</v>
      </c>
      <c r="N675" s="15" t="n">
        <f aca="false">M675-L675</f>
        <v>18.3</v>
      </c>
      <c r="O675" s="1" t="n">
        <f aca="false">YEAR(B675)</f>
        <v>2023</v>
      </c>
      <c r="P675" s="1" t="n">
        <f aca="false">MONTH(B675)</f>
        <v>11</v>
      </c>
      <c r="Q675" s="1" t="str">
        <f aca="false">TEXT(B675,"mmm")</f>
        <v>Nov</v>
      </c>
      <c r="R675" s="1" t="str">
        <f aca="false">"Q"&amp;ROUNDUP(MONTH(B675)/3,0)</f>
        <v>Q4</v>
      </c>
    </row>
    <row r="676" customFormat="false" ht="15" hidden="false" customHeight="true" outlineLevel="0" collapsed="false">
      <c r="A676" s="1" t="n">
        <v>10675</v>
      </c>
      <c r="B676" s="14" t="n">
        <v>45236</v>
      </c>
      <c r="C676" s="1" t="n">
        <v>1179</v>
      </c>
      <c r="D676" s="1" t="s">
        <v>37</v>
      </c>
      <c r="E676" s="1" t="s">
        <v>35</v>
      </c>
      <c r="F676" s="1" t="n">
        <v>2</v>
      </c>
      <c r="G676" s="15" t="n">
        <v>261.87</v>
      </c>
      <c r="H676" s="16" t="n">
        <v>0.08</v>
      </c>
      <c r="I676" s="1" t="s">
        <v>33</v>
      </c>
      <c r="J676" s="1" t="n">
        <v>6</v>
      </c>
      <c r="K676" s="1" t="n">
        <v>2.2</v>
      </c>
      <c r="L676" s="15" t="n">
        <v>481.84</v>
      </c>
      <c r="M676" s="15" t="n">
        <f aca="false">F676*G676</f>
        <v>523.74</v>
      </c>
      <c r="N676" s="15" t="n">
        <f aca="false">M676-L676</f>
        <v>41.9</v>
      </c>
      <c r="O676" s="1" t="n">
        <f aca="false">YEAR(B676)</f>
        <v>2023</v>
      </c>
      <c r="P676" s="1" t="n">
        <f aca="false">MONTH(B676)</f>
        <v>11</v>
      </c>
      <c r="Q676" s="1" t="str">
        <f aca="false">TEXT(B676,"mmm")</f>
        <v>Nov</v>
      </c>
      <c r="R676" s="1" t="str">
        <f aca="false">"Q"&amp;ROUNDUP(MONTH(B676)/3,0)</f>
        <v>Q4</v>
      </c>
    </row>
    <row r="677" customFormat="false" ht="15" hidden="false" customHeight="true" outlineLevel="0" collapsed="false">
      <c r="A677" s="1" t="n">
        <v>10676</v>
      </c>
      <c r="B677" s="14" t="n">
        <v>45237</v>
      </c>
      <c r="C677" s="1" t="n">
        <v>1222</v>
      </c>
      <c r="D677" s="1" t="s">
        <v>37</v>
      </c>
      <c r="E677" s="1" t="s">
        <v>35</v>
      </c>
      <c r="F677" s="1" t="n">
        <v>6</v>
      </c>
      <c r="G677" s="15" t="n">
        <v>553.43</v>
      </c>
      <c r="H677" s="16" t="n">
        <v>0.13</v>
      </c>
      <c r="I677" s="1" t="s">
        <v>31</v>
      </c>
      <c r="J677" s="1" t="n">
        <v>6</v>
      </c>
      <c r="K677" s="1" t="n">
        <v>2.7</v>
      </c>
      <c r="L677" s="15" t="n">
        <v>2888.9</v>
      </c>
      <c r="M677" s="15" t="n">
        <f aca="false">F677*G677</f>
        <v>3320.58</v>
      </c>
      <c r="N677" s="15" t="n">
        <f aca="false">M677-L677</f>
        <v>431.68</v>
      </c>
      <c r="O677" s="1" t="n">
        <f aca="false">YEAR(B677)</f>
        <v>2023</v>
      </c>
      <c r="P677" s="1" t="n">
        <f aca="false">MONTH(B677)</f>
        <v>11</v>
      </c>
      <c r="Q677" s="1" t="str">
        <f aca="false">TEXT(B677,"mmm")</f>
        <v>Nov</v>
      </c>
      <c r="R677" s="1" t="str">
        <f aca="false">"Q"&amp;ROUNDUP(MONTH(B677)/3,0)</f>
        <v>Q4</v>
      </c>
    </row>
    <row r="678" customFormat="false" ht="15" hidden="false" customHeight="true" outlineLevel="0" collapsed="false">
      <c r="A678" s="1" t="n">
        <v>10677</v>
      </c>
      <c r="B678" s="14" t="n">
        <v>45238</v>
      </c>
      <c r="C678" s="1" t="n">
        <v>1905</v>
      </c>
      <c r="D678" s="1" t="s">
        <v>34</v>
      </c>
      <c r="E678" s="1" t="s">
        <v>36</v>
      </c>
      <c r="F678" s="1" t="n">
        <v>5</v>
      </c>
      <c r="G678" s="15" t="n">
        <v>529.32</v>
      </c>
      <c r="H678" s="16" t="n">
        <v>0.28</v>
      </c>
      <c r="I678" s="1" t="s">
        <v>31</v>
      </c>
      <c r="J678" s="1" t="n">
        <v>4</v>
      </c>
      <c r="K678" s="1" t="n">
        <v>2.6</v>
      </c>
      <c r="L678" s="15" t="n">
        <v>1905.55</v>
      </c>
      <c r="M678" s="15" t="n">
        <f aca="false">F678*G678</f>
        <v>2646.6</v>
      </c>
      <c r="N678" s="15" t="n">
        <f aca="false">M678-L678</f>
        <v>741.05</v>
      </c>
      <c r="O678" s="1" t="n">
        <f aca="false">YEAR(B678)</f>
        <v>2023</v>
      </c>
      <c r="P678" s="1" t="n">
        <f aca="false">MONTH(B678)</f>
        <v>11</v>
      </c>
      <c r="Q678" s="1" t="str">
        <f aca="false">TEXT(B678,"mmm")</f>
        <v>Nov</v>
      </c>
      <c r="R678" s="1" t="str">
        <f aca="false">"Q"&amp;ROUNDUP(MONTH(B678)/3,0)</f>
        <v>Q4</v>
      </c>
    </row>
    <row r="679" customFormat="false" ht="15" hidden="false" customHeight="true" outlineLevel="0" collapsed="false">
      <c r="A679" s="1" t="n">
        <v>10678</v>
      </c>
      <c r="B679" s="14" t="n">
        <v>45239</v>
      </c>
      <c r="C679" s="1" t="n">
        <v>1761</v>
      </c>
      <c r="D679" s="1" t="s">
        <v>30</v>
      </c>
      <c r="E679" s="1" t="s">
        <v>32</v>
      </c>
      <c r="F679" s="1" t="n">
        <v>6</v>
      </c>
      <c r="G679" s="15" t="n">
        <v>282.28</v>
      </c>
      <c r="H679" s="16" t="n">
        <v>0.26</v>
      </c>
      <c r="I679" s="1" t="s">
        <v>33</v>
      </c>
      <c r="J679" s="1" t="n">
        <v>3</v>
      </c>
      <c r="K679" s="1" t="n">
        <v>4.7</v>
      </c>
      <c r="L679" s="15" t="n">
        <v>1253.32</v>
      </c>
      <c r="M679" s="15" t="n">
        <f aca="false">F679*G679</f>
        <v>1693.68</v>
      </c>
      <c r="N679" s="15" t="n">
        <f aca="false">M679-L679</f>
        <v>440.36</v>
      </c>
      <c r="O679" s="1" t="n">
        <f aca="false">YEAR(B679)</f>
        <v>2023</v>
      </c>
      <c r="P679" s="1" t="n">
        <f aca="false">MONTH(B679)</f>
        <v>11</v>
      </c>
      <c r="Q679" s="1" t="str">
        <f aca="false">TEXT(B679,"mmm")</f>
        <v>Nov</v>
      </c>
      <c r="R679" s="1" t="str">
        <f aca="false">"Q"&amp;ROUNDUP(MONTH(B679)/3,0)</f>
        <v>Q4</v>
      </c>
    </row>
    <row r="680" customFormat="false" ht="15" hidden="false" customHeight="true" outlineLevel="0" collapsed="false">
      <c r="A680" s="1" t="n">
        <v>10679</v>
      </c>
      <c r="B680" s="14" t="n">
        <v>45240</v>
      </c>
      <c r="C680" s="1" t="n">
        <v>1658</v>
      </c>
      <c r="D680" s="1" t="s">
        <v>30</v>
      </c>
      <c r="E680" s="1" t="s">
        <v>32</v>
      </c>
      <c r="F680" s="1" t="n">
        <v>5</v>
      </c>
      <c r="G680" s="15" t="n">
        <v>255.38</v>
      </c>
      <c r="H680" s="16" t="n">
        <v>0.32</v>
      </c>
      <c r="I680" s="1" t="s">
        <v>33</v>
      </c>
      <c r="J680" s="1" t="n">
        <v>1</v>
      </c>
      <c r="K680" s="1" t="n">
        <v>2.6</v>
      </c>
      <c r="L680" s="15" t="n">
        <v>868.29</v>
      </c>
      <c r="M680" s="15" t="n">
        <f aca="false">F680*G680</f>
        <v>1276.9</v>
      </c>
      <c r="N680" s="15" t="n">
        <f aca="false">M680-L680</f>
        <v>408.61</v>
      </c>
      <c r="O680" s="1" t="n">
        <f aca="false">YEAR(B680)</f>
        <v>2023</v>
      </c>
      <c r="P680" s="1" t="n">
        <f aca="false">MONTH(B680)</f>
        <v>11</v>
      </c>
      <c r="Q680" s="1" t="str">
        <f aca="false">TEXT(B680,"mmm")</f>
        <v>Nov</v>
      </c>
      <c r="R680" s="1" t="str">
        <f aca="false">"Q"&amp;ROUNDUP(MONTH(B680)/3,0)</f>
        <v>Q4</v>
      </c>
    </row>
    <row r="681" customFormat="false" ht="15" hidden="false" customHeight="true" outlineLevel="0" collapsed="false">
      <c r="A681" s="1" t="n">
        <v>10680</v>
      </c>
      <c r="B681" s="14" t="n">
        <v>45241</v>
      </c>
      <c r="C681" s="1" t="n">
        <v>1441</v>
      </c>
      <c r="D681" s="1" t="s">
        <v>27</v>
      </c>
      <c r="E681" s="1" t="s">
        <v>35</v>
      </c>
      <c r="F681" s="1" t="n">
        <v>6</v>
      </c>
      <c r="G681" s="15" t="n">
        <v>339.68</v>
      </c>
      <c r="H681" s="16" t="n">
        <v>0.02</v>
      </c>
      <c r="I681" s="1" t="s">
        <v>31</v>
      </c>
      <c r="J681" s="1" t="n">
        <v>3</v>
      </c>
      <c r="K681" s="1" t="n">
        <v>2.8</v>
      </c>
      <c r="L681" s="15" t="n">
        <v>1997.32</v>
      </c>
      <c r="M681" s="15" t="n">
        <f aca="false">F681*G681</f>
        <v>2038.08</v>
      </c>
      <c r="N681" s="15" t="n">
        <f aca="false">M681-L681</f>
        <v>40.76</v>
      </c>
      <c r="O681" s="1" t="n">
        <f aca="false">YEAR(B681)</f>
        <v>2023</v>
      </c>
      <c r="P681" s="1" t="n">
        <f aca="false">MONTH(B681)</f>
        <v>11</v>
      </c>
      <c r="Q681" s="1" t="str">
        <f aca="false">TEXT(B681,"mmm")</f>
        <v>Nov</v>
      </c>
      <c r="R681" s="1" t="str">
        <f aca="false">"Q"&amp;ROUNDUP(MONTH(B681)/3,0)</f>
        <v>Q4</v>
      </c>
    </row>
    <row r="682" customFormat="false" ht="15" hidden="false" customHeight="true" outlineLevel="0" collapsed="false">
      <c r="A682" s="1" t="n">
        <v>10681</v>
      </c>
      <c r="B682" s="14" t="n">
        <v>45242</v>
      </c>
      <c r="C682" s="1" t="n">
        <v>1607</v>
      </c>
      <c r="D682" s="1" t="s">
        <v>30</v>
      </c>
      <c r="E682" s="1" t="s">
        <v>32</v>
      </c>
      <c r="F682" s="1" t="n">
        <v>1</v>
      </c>
      <c r="G682" s="15" t="n">
        <v>157.42</v>
      </c>
      <c r="H682" s="16" t="n">
        <v>0</v>
      </c>
      <c r="I682" s="1" t="s">
        <v>31</v>
      </c>
      <c r="J682" s="1" t="n">
        <v>3</v>
      </c>
      <c r="K682" s="1" t="n">
        <v>2</v>
      </c>
      <c r="L682" s="15" t="n">
        <v>157.42</v>
      </c>
      <c r="M682" s="15" t="n">
        <f aca="false">F682*G682</f>
        <v>157.42</v>
      </c>
      <c r="N682" s="15" t="n">
        <f aca="false">M682-L682</f>
        <v>0</v>
      </c>
      <c r="O682" s="1" t="n">
        <f aca="false">YEAR(B682)</f>
        <v>2023</v>
      </c>
      <c r="P682" s="1" t="n">
        <f aca="false">MONTH(B682)</f>
        <v>11</v>
      </c>
      <c r="Q682" s="1" t="str">
        <f aca="false">TEXT(B682,"mmm")</f>
        <v>Nov</v>
      </c>
      <c r="R682" s="1" t="str">
        <f aca="false">"Q"&amp;ROUNDUP(MONTH(B682)/3,0)</f>
        <v>Q4</v>
      </c>
    </row>
    <row r="683" customFormat="false" ht="15" hidden="false" customHeight="true" outlineLevel="0" collapsed="false">
      <c r="A683" s="1" t="n">
        <v>10682</v>
      </c>
      <c r="B683" s="14" t="n">
        <v>45243</v>
      </c>
      <c r="C683" s="1" t="n">
        <v>1768</v>
      </c>
      <c r="D683" s="1" t="s">
        <v>30</v>
      </c>
      <c r="E683" s="1" t="s">
        <v>35</v>
      </c>
      <c r="F683" s="1" t="n">
        <v>5</v>
      </c>
      <c r="G683" s="15" t="n">
        <v>45.53</v>
      </c>
      <c r="H683" s="16" t="n">
        <v>0.24</v>
      </c>
      <c r="I683" s="1" t="s">
        <v>31</v>
      </c>
      <c r="J683" s="1" t="n">
        <v>9</v>
      </c>
      <c r="K683" s="1" t="n">
        <v>1</v>
      </c>
      <c r="L683" s="15" t="n">
        <v>173.01</v>
      </c>
      <c r="M683" s="15" t="n">
        <f aca="false">F683*G683</f>
        <v>227.65</v>
      </c>
      <c r="N683" s="15" t="n">
        <f aca="false">M683-L683</f>
        <v>54.64</v>
      </c>
      <c r="O683" s="1" t="n">
        <f aca="false">YEAR(B683)</f>
        <v>2023</v>
      </c>
      <c r="P683" s="1" t="n">
        <f aca="false">MONTH(B683)</f>
        <v>11</v>
      </c>
      <c r="Q683" s="1" t="str">
        <f aca="false">TEXT(B683,"mmm")</f>
        <v>Nov</v>
      </c>
      <c r="R683" s="1" t="str">
        <f aca="false">"Q"&amp;ROUNDUP(MONTH(B683)/3,0)</f>
        <v>Q4</v>
      </c>
    </row>
    <row r="684" customFormat="false" ht="15" hidden="false" customHeight="true" outlineLevel="0" collapsed="false">
      <c r="A684" s="1" t="n">
        <v>10683</v>
      </c>
      <c r="B684" s="14" t="n">
        <v>45244</v>
      </c>
      <c r="C684" s="1" t="n">
        <v>1324</v>
      </c>
      <c r="D684" s="1" t="s">
        <v>34</v>
      </c>
      <c r="E684" s="1" t="s">
        <v>32</v>
      </c>
      <c r="F684" s="1" t="n">
        <v>1</v>
      </c>
      <c r="G684" s="15" t="n">
        <v>564.45</v>
      </c>
      <c r="H684" s="16" t="n">
        <v>0.1</v>
      </c>
      <c r="I684" s="1" t="s">
        <v>31</v>
      </c>
      <c r="J684" s="1" t="n">
        <v>3</v>
      </c>
      <c r="K684" s="1" t="n">
        <v>1.4</v>
      </c>
      <c r="L684" s="15" t="n">
        <v>508.01</v>
      </c>
      <c r="M684" s="15" t="n">
        <f aca="false">F684*G684</f>
        <v>564.45</v>
      </c>
      <c r="N684" s="15" t="n">
        <f aca="false">M684-L684</f>
        <v>56.4400000000001</v>
      </c>
      <c r="O684" s="1" t="n">
        <f aca="false">YEAR(B684)</f>
        <v>2023</v>
      </c>
      <c r="P684" s="1" t="n">
        <f aca="false">MONTH(B684)</f>
        <v>11</v>
      </c>
      <c r="Q684" s="1" t="str">
        <f aca="false">TEXT(B684,"mmm")</f>
        <v>Nov</v>
      </c>
      <c r="R684" s="1" t="str">
        <f aca="false">"Q"&amp;ROUNDUP(MONTH(B684)/3,0)</f>
        <v>Q4</v>
      </c>
    </row>
    <row r="685" customFormat="false" ht="15" hidden="false" customHeight="true" outlineLevel="0" collapsed="false">
      <c r="A685" s="1" t="n">
        <v>10684</v>
      </c>
      <c r="B685" s="14" t="n">
        <v>45245</v>
      </c>
      <c r="C685" s="1" t="n">
        <v>1515</v>
      </c>
      <c r="D685" s="1" t="s">
        <v>30</v>
      </c>
      <c r="E685" s="1" t="s">
        <v>35</v>
      </c>
      <c r="F685" s="1" t="n">
        <v>7</v>
      </c>
      <c r="G685" s="15" t="n">
        <v>124.22</v>
      </c>
      <c r="H685" s="16" t="n">
        <v>0.12</v>
      </c>
      <c r="I685" s="1" t="s">
        <v>33</v>
      </c>
      <c r="J685" s="1" t="n">
        <v>8</v>
      </c>
      <c r="K685" s="1" t="n">
        <v>3.8</v>
      </c>
      <c r="L685" s="15" t="n">
        <v>765.2</v>
      </c>
      <c r="M685" s="15" t="n">
        <f aca="false">F685*G685</f>
        <v>869.54</v>
      </c>
      <c r="N685" s="15" t="n">
        <f aca="false">M685-L685</f>
        <v>104.34</v>
      </c>
      <c r="O685" s="1" t="n">
        <f aca="false">YEAR(B685)</f>
        <v>2023</v>
      </c>
      <c r="P685" s="1" t="n">
        <f aca="false">MONTH(B685)</f>
        <v>11</v>
      </c>
      <c r="Q685" s="1" t="str">
        <f aca="false">TEXT(B685,"mmm")</f>
        <v>Nov</v>
      </c>
      <c r="R685" s="1" t="str">
        <f aca="false">"Q"&amp;ROUNDUP(MONTH(B685)/3,0)</f>
        <v>Q4</v>
      </c>
    </row>
    <row r="686" customFormat="false" ht="15" hidden="false" customHeight="true" outlineLevel="0" collapsed="false">
      <c r="A686" s="1" t="n">
        <v>10685</v>
      </c>
      <c r="B686" s="14" t="n">
        <v>45246</v>
      </c>
      <c r="C686" s="1" t="n">
        <v>1015</v>
      </c>
      <c r="D686" s="1" t="s">
        <v>34</v>
      </c>
      <c r="E686" s="1" t="s">
        <v>28</v>
      </c>
      <c r="F686" s="1" t="n">
        <v>5</v>
      </c>
      <c r="G686" s="15" t="n">
        <v>131.06</v>
      </c>
      <c r="H686" s="16" t="n">
        <v>0.19</v>
      </c>
      <c r="I686" s="1" t="s">
        <v>31</v>
      </c>
      <c r="J686" s="1" t="n">
        <v>8</v>
      </c>
      <c r="K686" s="1" t="n">
        <v>3.7</v>
      </c>
      <c r="L686" s="15" t="n">
        <v>530.79</v>
      </c>
      <c r="M686" s="15" t="n">
        <f aca="false">F686*G686</f>
        <v>655.3</v>
      </c>
      <c r="N686" s="15" t="n">
        <f aca="false">M686-L686</f>
        <v>124.51</v>
      </c>
      <c r="O686" s="1" t="n">
        <f aca="false">YEAR(B686)</f>
        <v>2023</v>
      </c>
      <c r="P686" s="1" t="n">
        <f aca="false">MONTH(B686)</f>
        <v>11</v>
      </c>
      <c r="Q686" s="1" t="str">
        <f aca="false">TEXT(B686,"mmm")</f>
        <v>Nov</v>
      </c>
      <c r="R686" s="1" t="str">
        <f aca="false">"Q"&amp;ROUNDUP(MONTH(B686)/3,0)</f>
        <v>Q4</v>
      </c>
    </row>
    <row r="687" customFormat="false" ht="15" hidden="false" customHeight="true" outlineLevel="0" collapsed="false">
      <c r="A687" s="1" t="n">
        <v>10686</v>
      </c>
      <c r="B687" s="14" t="n">
        <v>45247</v>
      </c>
      <c r="C687" s="1" t="n">
        <v>1791</v>
      </c>
      <c r="D687" s="1" t="s">
        <v>34</v>
      </c>
      <c r="E687" s="1" t="s">
        <v>32</v>
      </c>
      <c r="F687" s="1" t="n">
        <v>5</v>
      </c>
      <c r="G687" s="15" t="n">
        <v>291.39</v>
      </c>
      <c r="H687" s="16" t="n">
        <v>0.04</v>
      </c>
      <c r="I687" s="1" t="s">
        <v>31</v>
      </c>
      <c r="J687" s="1" t="n">
        <v>3</v>
      </c>
      <c r="K687" s="1" t="n">
        <v>2.3</v>
      </c>
      <c r="L687" s="15" t="n">
        <v>1398.67</v>
      </c>
      <c r="M687" s="15" t="n">
        <f aca="false">F687*G687</f>
        <v>1456.95</v>
      </c>
      <c r="N687" s="15" t="n">
        <f aca="false">M687-L687</f>
        <v>58.2799999999997</v>
      </c>
      <c r="O687" s="1" t="n">
        <f aca="false">YEAR(B687)</f>
        <v>2023</v>
      </c>
      <c r="P687" s="1" t="n">
        <f aca="false">MONTH(B687)</f>
        <v>11</v>
      </c>
      <c r="Q687" s="1" t="str">
        <f aca="false">TEXT(B687,"mmm")</f>
        <v>Nov</v>
      </c>
      <c r="R687" s="1" t="str">
        <f aca="false">"Q"&amp;ROUNDUP(MONTH(B687)/3,0)</f>
        <v>Q4</v>
      </c>
    </row>
    <row r="688" customFormat="false" ht="15" hidden="false" customHeight="true" outlineLevel="0" collapsed="false">
      <c r="A688" s="1" t="n">
        <v>10687</v>
      </c>
      <c r="B688" s="14" t="n">
        <v>45248</v>
      </c>
      <c r="C688" s="1" t="n">
        <v>1335</v>
      </c>
      <c r="D688" s="1" t="s">
        <v>34</v>
      </c>
      <c r="E688" s="1" t="s">
        <v>32</v>
      </c>
      <c r="F688" s="1" t="n">
        <v>6</v>
      </c>
      <c r="G688" s="15" t="n">
        <v>302.59</v>
      </c>
      <c r="H688" s="16" t="n">
        <v>0.22</v>
      </c>
      <c r="I688" s="1" t="s">
        <v>29</v>
      </c>
      <c r="J688" s="1" t="n">
        <v>10</v>
      </c>
      <c r="K688" s="1" t="n">
        <v>2.9</v>
      </c>
      <c r="L688" s="15" t="n">
        <v>1416.12</v>
      </c>
      <c r="M688" s="15" t="n">
        <f aca="false">F688*G688</f>
        <v>1815.54</v>
      </c>
      <c r="N688" s="15" t="n">
        <f aca="false">M688-L688</f>
        <v>399.42</v>
      </c>
      <c r="O688" s="1" t="n">
        <f aca="false">YEAR(B688)</f>
        <v>2023</v>
      </c>
      <c r="P688" s="1" t="n">
        <f aca="false">MONTH(B688)</f>
        <v>11</v>
      </c>
      <c r="Q688" s="1" t="str">
        <f aca="false">TEXT(B688,"mmm")</f>
        <v>Nov</v>
      </c>
      <c r="R688" s="1" t="str">
        <f aca="false">"Q"&amp;ROUNDUP(MONTH(B688)/3,0)</f>
        <v>Q4</v>
      </c>
    </row>
    <row r="689" customFormat="false" ht="15" hidden="false" customHeight="true" outlineLevel="0" collapsed="false">
      <c r="A689" s="1" t="n">
        <v>10688</v>
      </c>
      <c r="B689" s="14" t="n">
        <v>45249</v>
      </c>
      <c r="C689" s="1" t="n">
        <v>1758</v>
      </c>
      <c r="D689" s="1" t="s">
        <v>37</v>
      </c>
      <c r="E689" s="1" t="s">
        <v>32</v>
      </c>
      <c r="F689" s="1" t="n">
        <v>5</v>
      </c>
      <c r="G689" s="15" t="n">
        <v>25.78</v>
      </c>
      <c r="H689" s="16" t="n">
        <v>0.11</v>
      </c>
      <c r="I689" s="1" t="s">
        <v>31</v>
      </c>
      <c r="J689" s="1" t="n">
        <v>10</v>
      </c>
      <c r="K689" s="1" t="n">
        <v>2.2</v>
      </c>
      <c r="L689" s="15" t="n">
        <v>114.72</v>
      </c>
      <c r="M689" s="15" t="n">
        <f aca="false">F689*G689</f>
        <v>128.9</v>
      </c>
      <c r="N689" s="15" t="n">
        <f aca="false">M689-L689</f>
        <v>14.18</v>
      </c>
      <c r="O689" s="1" t="n">
        <f aca="false">YEAR(B689)</f>
        <v>2023</v>
      </c>
      <c r="P689" s="1" t="n">
        <f aca="false">MONTH(B689)</f>
        <v>11</v>
      </c>
      <c r="Q689" s="1" t="str">
        <f aca="false">TEXT(B689,"mmm")</f>
        <v>Nov</v>
      </c>
      <c r="R689" s="1" t="str">
        <f aca="false">"Q"&amp;ROUNDUP(MONTH(B689)/3,0)</f>
        <v>Q4</v>
      </c>
    </row>
    <row r="690" customFormat="false" ht="15" hidden="false" customHeight="true" outlineLevel="0" collapsed="false">
      <c r="A690" s="1" t="n">
        <v>10689</v>
      </c>
      <c r="B690" s="14" t="n">
        <v>45250</v>
      </c>
      <c r="C690" s="1" t="n">
        <v>1257</v>
      </c>
      <c r="D690" s="1" t="s">
        <v>34</v>
      </c>
      <c r="E690" s="1" t="s">
        <v>36</v>
      </c>
      <c r="F690" s="1" t="n">
        <v>1</v>
      </c>
      <c r="G690" s="15" t="n">
        <v>101.55</v>
      </c>
      <c r="H690" s="16" t="n">
        <v>0.22</v>
      </c>
      <c r="I690" s="1" t="s">
        <v>33</v>
      </c>
      <c r="J690" s="1" t="n">
        <v>6</v>
      </c>
      <c r="K690" s="1" t="n">
        <v>3.9</v>
      </c>
      <c r="L690" s="15" t="n">
        <v>79.21</v>
      </c>
      <c r="M690" s="15" t="n">
        <f aca="false">F690*G690</f>
        <v>101.55</v>
      </c>
      <c r="N690" s="15" t="n">
        <f aca="false">M690-L690</f>
        <v>22.34</v>
      </c>
      <c r="O690" s="1" t="n">
        <f aca="false">YEAR(B690)</f>
        <v>2023</v>
      </c>
      <c r="P690" s="1" t="n">
        <f aca="false">MONTH(B690)</f>
        <v>11</v>
      </c>
      <c r="Q690" s="1" t="str">
        <f aca="false">TEXT(B690,"mmm")</f>
        <v>Nov</v>
      </c>
      <c r="R690" s="1" t="str">
        <f aca="false">"Q"&amp;ROUNDUP(MONTH(B690)/3,0)</f>
        <v>Q4</v>
      </c>
    </row>
    <row r="691" customFormat="false" ht="15" hidden="false" customHeight="true" outlineLevel="0" collapsed="false">
      <c r="A691" s="1" t="n">
        <v>10690</v>
      </c>
      <c r="B691" s="14" t="n">
        <v>45251</v>
      </c>
      <c r="C691" s="1" t="n">
        <v>1496</v>
      </c>
      <c r="D691" s="1" t="s">
        <v>30</v>
      </c>
      <c r="E691" s="1" t="s">
        <v>32</v>
      </c>
      <c r="F691" s="1" t="n">
        <v>7</v>
      </c>
      <c r="G691" s="15" t="n">
        <v>236.22</v>
      </c>
      <c r="H691" s="16" t="n">
        <v>0.29</v>
      </c>
      <c r="I691" s="1" t="s">
        <v>29</v>
      </c>
      <c r="J691" s="1" t="n">
        <v>8</v>
      </c>
      <c r="K691" s="1" t="n">
        <v>4.4</v>
      </c>
      <c r="L691" s="15" t="n">
        <v>1174.01</v>
      </c>
      <c r="M691" s="15" t="n">
        <f aca="false">F691*G691</f>
        <v>1653.54</v>
      </c>
      <c r="N691" s="15" t="n">
        <f aca="false">M691-L691</f>
        <v>479.53</v>
      </c>
      <c r="O691" s="1" t="n">
        <f aca="false">YEAR(B691)</f>
        <v>2023</v>
      </c>
      <c r="P691" s="1" t="n">
        <f aca="false">MONTH(B691)</f>
        <v>11</v>
      </c>
      <c r="Q691" s="1" t="str">
        <f aca="false">TEXT(B691,"mmm")</f>
        <v>Nov</v>
      </c>
      <c r="R691" s="1" t="str">
        <f aca="false">"Q"&amp;ROUNDUP(MONTH(B691)/3,0)</f>
        <v>Q4</v>
      </c>
    </row>
    <row r="692" customFormat="false" ht="15" hidden="false" customHeight="true" outlineLevel="0" collapsed="false">
      <c r="A692" s="1" t="n">
        <v>10691</v>
      </c>
      <c r="B692" s="14" t="n">
        <v>45252</v>
      </c>
      <c r="C692" s="1" t="n">
        <v>1987</v>
      </c>
      <c r="D692" s="1" t="s">
        <v>27</v>
      </c>
      <c r="E692" s="1" t="s">
        <v>36</v>
      </c>
      <c r="F692" s="1" t="n">
        <v>6</v>
      </c>
      <c r="G692" s="15" t="n">
        <v>414.98</v>
      </c>
      <c r="H692" s="16" t="n">
        <v>0.06</v>
      </c>
      <c r="I692" s="1" t="s">
        <v>33</v>
      </c>
      <c r="J692" s="1" t="n">
        <v>8</v>
      </c>
      <c r="K692" s="1" t="n">
        <v>4.6</v>
      </c>
      <c r="L692" s="15" t="n">
        <v>2340.49</v>
      </c>
      <c r="M692" s="15" t="n">
        <f aca="false">F692*G692</f>
        <v>2489.88</v>
      </c>
      <c r="N692" s="15" t="n">
        <f aca="false">M692-L692</f>
        <v>149.39</v>
      </c>
      <c r="O692" s="1" t="n">
        <f aca="false">YEAR(B692)</f>
        <v>2023</v>
      </c>
      <c r="P692" s="1" t="n">
        <f aca="false">MONTH(B692)</f>
        <v>11</v>
      </c>
      <c r="Q692" s="1" t="str">
        <f aca="false">TEXT(B692,"mmm")</f>
        <v>Nov</v>
      </c>
      <c r="R692" s="1" t="str">
        <f aca="false">"Q"&amp;ROUNDUP(MONTH(B692)/3,0)</f>
        <v>Q4</v>
      </c>
    </row>
    <row r="693" customFormat="false" ht="15" hidden="false" customHeight="true" outlineLevel="0" collapsed="false">
      <c r="A693" s="1" t="n">
        <v>10692</v>
      </c>
      <c r="B693" s="14" t="n">
        <v>45253</v>
      </c>
      <c r="C693" s="1" t="n">
        <v>1895</v>
      </c>
      <c r="D693" s="1" t="s">
        <v>34</v>
      </c>
      <c r="E693" s="1" t="s">
        <v>36</v>
      </c>
      <c r="F693" s="1" t="n">
        <v>3</v>
      </c>
      <c r="G693" s="15" t="n">
        <v>148.62</v>
      </c>
      <c r="H693" s="16" t="n">
        <v>0.33</v>
      </c>
      <c r="I693" s="1" t="s">
        <v>33</v>
      </c>
      <c r="J693" s="1" t="n">
        <v>10</v>
      </c>
      <c r="K693" s="1" t="n">
        <v>1.7</v>
      </c>
      <c r="L693" s="15" t="n">
        <v>298.73</v>
      </c>
      <c r="M693" s="15" t="n">
        <f aca="false">F693*G693</f>
        <v>445.86</v>
      </c>
      <c r="N693" s="15" t="n">
        <f aca="false">M693-L693</f>
        <v>147.13</v>
      </c>
      <c r="O693" s="1" t="n">
        <f aca="false">YEAR(B693)</f>
        <v>2023</v>
      </c>
      <c r="P693" s="1" t="n">
        <f aca="false">MONTH(B693)</f>
        <v>11</v>
      </c>
      <c r="Q693" s="1" t="str">
        <f aca="false">TEXT(B693,"mmm")</f>
        <v>Nov</v>
      </c>
      <c r="R693" s="1" t="str">
        <f aca="false">"Q"&amp;ROUNDUP(MONTH(B693)/3,0)</f>
        <v>Q4</v>
      </c>
    </row>
    <row r="694" customFormat="false" ht="15" hidden="false" customHeight="true" outlineLevel="0" collapsed="false">
      <c r="A694" s="1" t="n">
        <v>10693</v>
      </c>
      <c r="B694" s="14" t="n">
        <v>45254</v>
      </c>
      <c r="C694" s="1" t="n">
        <v>1159</v>
      </c>
      <c r="D694" s="1" t="s">
        <v>30</v>
      </c>
      <c r="E694" s="1" t="s">
        <v>35</v>
      </c>
      <c r="F694" s="1" t="n">
        <v>7</v>
      </c>
      <c r="G694" s="15" t="n">
        <v>262.46</v>
      </c>
      <c r="H694" s="16" t="n">
        <v>0.19</v>
      </c>
      <c r="I694" s="1" t="s">
        <v>31</v>
      </c>
      <c r="J694" s="1" t="n">
        <v>10</v>
      </c>
      <c r="K694" s="1" t="n">
        <v>3.8</v>
      </c>
      <c r="L694" s="15" t="n">
        <v>1488.15</v>
      </c>
      <c r="M694" s="15" t="n">
        <f aca="false">F694*G694</f>
        <v>1837.22</v>
      </c>
      <c r="N694" s="15" t="n">
        <f aca="false">M694-L694</f>
        <v>349.07</v>
      </c>
      <c r="O694" s="1" t="n">
        <f aca="false">YEAR(B694)</f>
        <v>2023</v>
      </c>
      <c r="P694" s="1" t="n">
        <f aca="false">MONTH(B694)</f>
        <v>11</v>
      </c>
      <c r="Q694" s="1" t="str">
        <f aca="false">TEXT(B694,"mmm")</f>
        <v>Nov</v>
      </c>
      <c r="R694" s="1" t="str">
        <f aca="false">"Q"&amp;ROUNDUP(MONTH(B694)/3,0)</f>
        <v>Q4</v>
      </c>
    </row>
    <row r="695" customFormat="false" ht="15" hidden="false" customHeight="true" outlineLevel="0" collapsed="false">
      <c r="A695" s="1" t="n">
        <v>10694</v>
      </c>
      <c r="B695" s="14" t="n">
        <v>45255</v>
      </c>
      <c r="C695" s="1" t="n">
        <v>1474</v>
      </c>
      <c r="D695" s="1" t="s">
        <v>30</v>
      </c>
      <c r="E695" s="1" t="s">
        <v>36</v>
      </c>
      <c r="F695" s="1" t="n">
        <v>7</v>
      </c>
      <c r="G695" s="15" t="n">
        <v>341.05</v>
      </c>
      <c r="H695" s="16" t="n">
        <v>0.32</v>
      </c>
      <c r="I695" s="1" t="s">
        <v>31</v>
      </c>
      <c r="J695" s="1" t="n">
        <v>9</v>
      </c>
      <c r="K695" s="1" t="n">
        <v>4.9</v>
      </c>
      <c r="L695" s="15" t="n">
        <v>1623.4</v>
      </c>
      <c r="M695" s="15" t="n">
        <f aca="false">F695*G695</f>
        <v>2387.35</v>
      </c>
      <c r="N695" s="15" t="n">
        <f aca="false">M695-L695</f>
        <v>763.95</v>
      </c>
      <c r="O695" s="1" t="n">
        <f aca="false">YEAR(B695)</f>
        <v>2023</v>
      </c>
      <c r="P695" s="1" t="n">
        <f aca="false">MONTH(B695)</f>
        <v>11</v>
      </c>
      <c r="Q695" s="1" t="str">
        <f aca="false">TEXT(B695,"mmm")</f>
        <v>Nov</v>
      </c>
      <c r="R695" s="1" t="str">
        <f aca="false">"Q"&amp;ROUNDUP(MONTH(B695)/3,0)</f>
        <v>Q4</v>
      </c>
    </row>
    <row r="696" customFormat="false" ht="15" hidden="false" customHeight="true" outlineLevel="0" collapsed="false">
      <c r="A696" s="1" t="n">
        <v>10695</v>
      </c>
      <c r="B696" s="14" t="n">
        <v>45256</v>
      </c>
      <c r="C696" s="1" t="n">
        <v>1851</v>
      </c>
      <c r="D696" s="1" t="s">
        <v>34</v>
      </c>
      <c r="E696" s="1" t="s">
        <v>36</v>
      </c>
      <c r="F696" s="1" t="n">
        <v>1</v>
      </c>
      <c r="G696" s="15" t="n">
        <v>534.83</v>
      </c>
      <c r="H696" s="16" t="n">
        <v>0.07</v>
      </c>
      <c r="I696" s="1" t="s">
        <v>33</v>
      </c>
      <c r="J696" s="1" t="n">
        <v>9</v>
      </c>
      <c r="K696" s="1" t="n">
        <v>3.6</v>
      </c>
      <c r="L696" s="15" t="n">
        <v>497.39</v>
      </c>
      <c r="M696" s="15" t="n">
        <f aca="false">F696*G696</f>
        <v>534.83</v>
      </c>
      <c r="N696" s="15" t="n">
        <f aca="false">M696-L696</f>
        <v>37.4400000000001</v>
      </c>
      <c r="O696" s="1" t="n">
        <f aca="false">YEAR(B696)</f>
        <v>2023</v>
      </c>
      <c r="P696" s="1" t="n">
        <f aca="false">MONTH(B696)</f>
        <v>11</v>
      </c>
      <c r="Q696" s="1" t="str">
        <f aca="false">TEXT(B696,"mmm")</f>
        <v>Nov</v>
      </c>
      <c r="R696" s="1" t="str">
        <f aca="false">"Q"&amp;ROUNDUP(MONTH(B696)/3,0)</f>
        <v>Q4</v>
      </c>
    </row>
    <row r="697" customFormat="false" ht="15" hidden="false" customHeight="true" outlineLevel="0" collapsed="false">
      <c r="A697" s="1" t="n">
        <v>10696</v>
      </c>
      <c r="B697" s="14" t="n">
        <v>45257</v>
      </c>
      <c r="C697" s="1" t="n">
        <v>1663</v>
      </c>
      <c r="D697" s="1" t="s">
        <v>37</v>
      </c>
      <c r="E697" s="1" t="s">
        <v>28</v>
      </c>
      <c r="F697" s="1" t="n">
        <v>7</v>
      </c>
      <c r="G697" s="15" t="n">
        <v>205.75</v>
      </c>
      <c r="H697" s="16" t="n">
        <v>0.21</v>
      </c>
      <c r="I697" s="1" t="s">
        <v>33</v>
      </c>
      <c r="J697" s="1" t="n">
        <v>8</v>
      </c>
      <c r="K697" s="1" t="n">
        <v>2.4</v>
      </c>
      <c r="L697" s="15" t="n">
        <v>1137.8</v>
      </c>
      <c r="M697" s="15" t="n">
        <f aca="false">F697*G697</f>
        <v>1440.25</v>
      </c>
      <c r="N697" s="15" t="n">
        <f aca="false">M697-L697</f>
        <v>302.45</v>
      </c>
      <c r="O697" s="1" t="n">
        <f aca="false">YEAR(B697)</f>
        <v>2023</v>
      </c>
      <c r="P697" s="1" t="n">
        <f aca="false">MONTH(B697)</f>
        <v>11</v>
      </c>
      <c r="Q697" s="1" t="str">
        <f aca="false">TEXT(B697,"mmm")</f>
        <v>Nov</v>
      </c>
      <c r="R697" s="1" t="str">
        <f aca="false">"Q"&amp;ROUNDUP(MONTH(B697)/3,0)</f>
        <v>Q4</v>
      </c>
    </row>
    <row r="698" customFormat="false" ht="15" hidden="false" customHeight="true" outlineLevel="0" collapsed="false">
      <c r="A698" s="1" t="n">
        <v>10697</v>
      </c>
      <c r="B698" s="14" t="n">
        <v>45258</v>
      </c>
      <c r="C698" s="1" t="n">
        <v>1907</v>
      </c>
      <c r="D698" s="1" t="s">
        <v>34</v>
      </c>
      <c r="E698" s="1" t="s">
        <v>32</v>
      </c>
      <c r="F698" s="1" t="n">
        <v>3</v>
      </c>
      <c r="G698" s="15" t="n">
        <v>93.13</v>
      </c>
      <c r="H698" s="16" t="n">
        <v>0.14</v>
      </c>
      <c r="I698" s="1" t="s">
        <v>31</v>
      </c>
      <c r="J698" s="1" t="n">
        <v>7</v>
      </c>
      <c r="K698" s="1" t="n">
        <v>3.5</v>
      </c>
      <c r="L698" s="15" t="n">
        <v>240.28</v>
      </c>
      <c r="M698" s="15" t="n">
        <f aca="false">F698*G698</f>
        <v>279.39</v>
      </c>
      <c r="N698" s="15" t="n">
        <f aca="false">M698-L698</f>
        <v>39.11</v>
      </c>
      <c r="O698" s="1" t="n">
        <f aca="false">YEAR(B698)</f>
        <v>2023</v>
      </c>
      <c r="P698" s="1" t="n">
        <f aca="false">MONTH(B698)</f>
        <v>11</v>
      </c>
      <c r="Q698" s="1" t="str">
        <f aca="false">TEXT(B698,"mmm")</f>
        <v>Nov</v>
      </c>
      <c r="R698" s="1" t="str">
        <f aca="false">"Q"&amp;ROUNDUP(MONTH(B698)/3,0)</f>
        <v>Q4</v>
      </c>
    </row>
    <row r="699" customFormat="false" ht="15" hidden="false" customHeight="true" outlineLevel="0" collapsed="false">
      <c r="A699" s="1" t="n">
        <v>10698</v>
      </c>
      <c r="B699" s="14" t="n">
        <v>45259</v>
      </c>
      <c r="C699" s="1" t="n">
        <v>1689</v>
      </c>
      <c r="D699" s="1" t="s">
        <v>30</v>
      </c>
      <c r="E699" s="1" t="s">
        <v>36</v>
      </c>
      <c r="F699" s="1" t="n">
        <v>2</v>
      </c>
      <c r="G699" s="15" t="n">
        <v>301.22</v>
      </c>
      <c r="H699" s="16" t="n">
        <v>0.27</v>
      </c>
      <c r="I699" s="1" t="s">
        <v>33</v>
      </c>
      <c r="J699" s="1" t="n">
        <v>10</v>
      </c>
      <c r="K699" s="1" t="n">
        <v>3.8</v>
      </c>
      <c r="L699" s="15" t="n">
        <v>439.78</v>
      </c>
      <c r="M699" s="15" t="n">
        <f aca="false">F699*G699</f>
        <v>602.44</v>
      </c>
      <c r="N699" s="15" t="n">
        <f aca="false">M699-L699</f>
        <v>162.66</v>
      </c>
      <c r="O699" s="1" t="n">
        <f aca="false">YEAR(B699)</f>
        <v>2023</v>
      </c>
      <c r="P699" s="1" t="n">
        <f aca="false">MONTH(B699)</f>
        <v>11</v>
      </c>
      <c r="Q699" s="1" t="str">
        <f aca="false">TEXT(B699,"mmm")</f>
        <v>Nov</v>
      </c>
      <c r="R699" s="1" t="str">
        <f aca="false">"Q"&amp;ROUNDUP(MONTH(B699)/3,0)</f>
        <v>Q4</v>
      </c>
    </row>
    <row r="700" customFormat="false" ht="15" hidden="false" customHeight="true" outlineLevel="0" collapsed="false">
      <c r="A700" s="1" t="n">
        <v>10699</v>
      </c>
      <c r="B700" s="14" t="n">
        <v>45260</v>
      </c>
      <c r="C700" s="1" t="n">
        <v>1674</v>
      </c>
      <c r="D700" s="1" t="s">
        <v>30</v>
      </c>
      <c r="E700" s="1" t="s">
        <v>32</v>
      </c>
      <c r="F700" s="1" t="n">
        <v>6</v>
      </c>
      <c r="G700" s="15" t="n">
        <v>451.83</v>
      </c>
      <c r="H700" s="16" t="n">
        <v>0.21</v>
      </c>
      <c r="I700" s="1" t="s">
        <v>29</v>
      </c>
      <c r="J700" s="1" t="n">
        <v>3</v>
      </c>
      <c r="K700" s="1" t="n">
        <v>2.6</v>
      </c>
      <c r="L700" s="15" t="n">
        <v>2141.67</v>
      </c>
      <c r="M700" s="15" t="n">
        <f aca="false">F700*G700</f>
        <v>2710.98</v>
      </c>
      <c r="N700" s="15" t="n">
        <f aca="false">M700-L700</f>
        <v>569.31</v>
      </c>
      <c r="O700" s="1" t="n">
        <f aca="false">YEAR(B700)</f>
        <v>2023</v>
      </c>
      <c r="P700" s="1" t="n">
        <f aca="false">MONTH(B700)</f>
        <v>11</v>
      </c>
      <c r="Q700" s="1" t="str">
        <f aca="false">TEXT(B700,"mmm")</f>
        <v>Nov</v>
      </c>
      <c r="R700" s="1" t="str">
        <f aca="false">"Q"&amp;ROUNDUP(MONTH(B700)/3,0)</f>
        <v>Q4</v>
      </c>
    </row>
    <row r="701" customFormat="false" ht="15" hidden="false" customHeight="true" outlineLevel="0" collapsed="false">
      <c r="A701" s="1" t="n">
        <v>10700</v>
      </c>
      <c r="B701" s="14" t="n">
        <v>45261</v>
      </c>
      <c r="C701" s="1" t="n">
        <v>1379</v>
      </c>
      <c r="D701" s="1" t="s">
        <v>30</v>
      </c>
      <c r="E701" s="1" t="s">
        <v>36</v>
      </c>
      <c r="F701" s="1" t="n">
        <v>2</v>
      </c>
      <c r="G701" s="15" t="n">
        <v>79.27</v>
      </c>
      <c r="H701" s="16" t="n">
        <v>0.17</v>
      </c>
      <c r="I701" s="1" t="s">
        <v>31</v>
      </c>
      <c r="J701" s="1" t="n">
        <v>7</v>
      </c>
      <c r="K701" s="1" t="n">
        <v>1.4</v>
      </c>
      <c r="L701" s="15" t="n">
        <v>131.59</v>
      </c>
      <c r="M701" s="15" t="n">
        <f aca="false">F701*G701</f>
        <v>158.54</v>
      </c>
      <c r="N701" s="15" t="n">
        <f aca="false">M701-L701</f>
        <v>26.95</v>
      </c>
      <c r="O701" s="1" t="n">
        <f aca="false">YEAR(B701)</f>
        <v>2023</v>
      </c>
      <c r="P701" s="1" t="n">
        <f aca="false">MONTH(B701)</f>
        <v>12</v>
      </c>
      <c r="Q701" s="1" t="str">
        <f aca="false">TEXT(B701,"mmm")</f>
        <v>Dec</v>
      </c>
      <c r="R701" s="1" t="str">
        <f aca="false">"Q"&amp;ROUNDUP(MONTH(B701)/3,0)</f>
        <v>Q4</v>
      </c>
    </row>
    <row r="702" customFormat="false" ht="15" hidden="false" customHeight="true" outlineLevel="0" collapsed="false">
      <c r="A702" s="1" t="n">
        <v>10701</v>
      </c>
      <c r="B702" s="14" t="n">
        <v>45262</v>
      </c>
      <c r="C702" s="1" t="n">
        <v>1544</v>
      </c>
      <c r="D702" s="1" t="s">
        <v>37</v>
      </c>
      <c r="E702" s="1" t="s">
        <v>35</v>
      </c>
      <c r="F702" s="1" t="n">
        <v>6</v>
      </c>
      <c r="G702" s="15" t="n">
        <v>263.44</v>
      </c>
      <c r="H702" s="16" t="n">
        <v>0.32</v>
      </c>
      <c r="I702" s="1" t="s">
        <v>33</v>
      </c>
      <c r="J702" s="1" t="n">
        <v>4</v>
      </c>
      <c r="K702" s="1" t="n">
        <v>3.4</v>
      </c>
      <c r="L702" s="15" t="n">
        <v>1074.84</v>
      </c>
      <c r="M702" s="15" t="n">
        <f aca="false">F702*G702</f>
        <v>1580.64</v>
      </c>
      <c r="N702" s="15" t="n">
        <f aca="false">M702-L702</f>
        <v>505.8</v>
      </c>
      <c r="O702" s="1" t="n">
        <f aca="false">YEAR(B702)</f>
        <v>2023</v>
      </c>
      <c r="P702" s="1" t="n">
        <f aca="false">MONTH(B702)</f>
        <v>12</v>
      </c>
      <c r="Q702" s="1" t="str">
        <f aca="false">TEXT(B702,"mmm")</f>
        <v>Dec</v>
      </c>
      <c r="R702" s="1" t="str">
        <f aca="false">"Q"&amp;ROUNDUP(MONTH(B702)/3,0)</f>
        <v>Q4</v>
      </c>
    </row>
    <row r="703" customFormat="false" ht="15" hidden="false" customHeight="true" outlineLevel="0" collapsed="false">
      <c r="A703" s="1" t="n">
        <v>10702</v>
      </c>
      <c r="B703" s="14" t="n">
        <v>45263</v>
      </c>
      <c r="C703" s="1" t="n">
        <v>1928</v>
      </c>
      <c r="D703" s="1" t="s">
        <v>34</v>
      </c>
      <c r="E703" s="1" t="s">
        <v>28</v>
      </c>
      <c r="F703" s="1" t="n">
        <v>7</v>
      </c>
      <c r="G703" s="15" t="n">
        <v>25.4</v>
      </c>
      <c r="H703" s="16" t="n">
        <v>0.13</v>
      </c>
      <c r="I703" s="1" t="s">
        <v>33</v>
      </c>
      <c r="J703" s="1" t="n">
        <v>2</v>
      </c>
      <c r="K703" s="1" t="n">
        <v>4.2</v>
      </c>
      <c r="L703" s="15" t="n">
        <v>154.69</v>
      </c>
      <c r="M703" s="15" t="n">
        <f aca="false">F703*G703</f>
        <v>177.8</v>
      </c>
      <c r="N703" s="15" t="n">
        <f aca="false">M703-L703</f>
        <v>23.11</v>
      </c>
      <c r="O703" s="1" t="n">
        <f aca="false">YEAR(B703)</f>
        <v>2023</v>
      </c>
      <c r="P703" s="1" t="n">
        <f aca="false">MONTH(B703)</f>
        <v>12</v>
      </c>
      <c r="Q703" s="1" t="str">
        <f aca="false">TEXT(B703,"mmm")</f>
        <v>Dec</v>
      </c>
      <c r="R703" s="1" t="str">
        <f aca="false">"Q"&amp;ROUNDUP(MONTH(B703)/3,0)</f>
        <v>Q4</v>
      </c>
    </row>
    <row r="704" customFormat="false" ht="15" hidden="false" customHeight="true" outlineLevel="0" collapsed="false">
      <c r="A704" s="1" t="n">
        <v>10703</v>
      </c>
      <c r="B704" s="14" t="n">
        <v>45264</v>
      </c>
      <c r="C704" s="1" t="n">
        <v>1956</v>
      </c>
      <c r="D704" s="1" t="s">
        <v>34</v>
      </c>
      <c r="E704" s="1" t="s">
        <v>36</v>
      </c>
      <c r="F704" s="1" t="n">
        <v>6</v>
      </c>
      <c r="G704" s="15" t="n">
        <v>34.63</v>
      </c>
      <c r="H704" s="16" t="n">
        <v>0.08</v>
      </c>
      <c r="I704" s="1" t="s">
        <v>29</v>
      </c>
      <c r="J704" s="1" t="n">
        <v>8</v>
      </c>
      <c r="K704" s="1" t="n">
        <v>5</v>
      </c>
      <c r="L704" s="15" t="n">
        <v>191.16</v>
      </c>
      <c r="M704" s="15" t="n">
        <f aca="false">F704*G704</f>
        <v>207.78</v>
      </c>
      <c r="N704" s="15" t="n">
        <f aca="false">M704-L704</f>
        <v>16.62</v>
      </c>
      <c r="O704" s="1" t="n">
        <f aca="false">YEAR(B704)</f>
        <v>2023</v>
      </c>
      <c r="P704" s="1" t="n">
        <f aca="false">MONTH(B704)</f>
        <v>12</v>
      </c>
      <c r="Q704" s="1" t="str">
        <f aca="false">TEXT(B704,"mmm")</f>
        <v>Dec</v>
      </c>
      <c r="R704" s="1" t="str">
        <f aca="false">"Q"&amp;ROUNDUP(MONTH(B704)/3,0)</f>
        <v>Q4</v>
      </c>
    </row>
    <row r="705" customFormat="false" ht="15" hidden="false" customHeight="true" outlineLevel="0" collapsed="false">
      <c r="A705" s="1" t="n">
        <v>10704</v>
      </c>
      <c r="B705" s="14" t="n">
        <v>45265</v>
      </c>
      <c r="C705" s="1" t="n">
        <v>1690</v>
      </c>
      <c r="D705" s="1" t="s">
        <v>37</v>
      </c>
      <c r="E705" s="1" t="s">
        <v>32</v>
      </c>
      <c r="F705" s="1" t="n">
        <v>1</v>
      </c>
      <c r="G705" s="15" t="n">
        <v>297.53</v>
      </c>
      <c r="H705" s="16" t="n">
        <v>0.21</v>
      </c>
      <c r="I705" s="1" t="s">
        <v>29</v>
      </c>
      <c r="J705" s="1" t="n">
        <v>2</v>
      </c>
      <c r="K705" s="1" t="n">
        <v>1.9</v>
      </c>
      <c r="L705" s="15" t="n">
        <v>235.05</v>
      </c>
      <c r="M705" s="15" t="n">
        <f aca="false">F705*G705</f>
        <v>297.53</v>
      </c>
      <c r="N705" s="15" t="n">
        <f aca="false">M705-L705</f>
        <v>62.48</v>
      </c>
      <c r="O705" s="1" t="n">
        <f aca="false">YEAR(B705)</f>
        <v>2023</v>
      </c>
      <c r="P705" s="1" t="n">
        <f aca="false">MONTH(B705)</f>
        <v>12</v>
      </c>
      <c r="Q705" s="1" t="str">
        <f aca="false">TEXT(B705,"mmm")</f>
        <v>Dec</v>
      </c>
      <c r="R705" s="1" t="str">
        <f aca="false">"Q"&amp;ROUNDUP(MONTH(B705)/3,0)</f>
        <v>Q4</v>
      </c>
    </row>
    <row r="706" customFormat="false" ht="15" hidden="false" customHeight="true" outlineLevel="0" collapsed="false">
      <c r="A706" s="1" t="n">
        <v>10705</v>
      </c>
      <c r="B706" s="14" t="n">
        <v>45266</v>
      </c>
      <c r="C706" s="1" t="n">
        <v>1426</v>
      </c>
      <c r="D706" s="1" t="s">
        <v>30</v>
      </c>
      <c r="E706" s="1" t="s">
        <v>35</v>
      </c>
      <c r="F706" s="1" t="n">
        <v>3</v>
      </c>
      <c r="G706" s="15" t="n">
        <v>189.45</v>
      </c>
      <c r="H706" s="16" t="n">
        <v>0.22</v>
      </c>
      <c r="I706" s="1" t="s">
        <v>33</v>
      </c>
      <c r="J706" s="1" t="n">
        <v>1</v>
      </c>
      <c r="K706" s="1" t="n">
        <v>3.8</v>
      </c>
      <c r="L706" s="15" t="n">
        <v>443.31</v>
      </c>
      <c r="M706" s="15" t="n">
        <f aca="false">F706*G706</f>
        <v>568.35</v>
      </c>
      <c r="N706" s="15" t="n">
        <f aca="false">M706-L706</f>
        <v>125.04</v>
      </c>
      <c r="O706" s="1" t="n">
        <f aca="false">YEAR(B706)</f>
        <v>2023</v>
      </c>
      <c r="P706" s="1" t="n">
        <f aca="false">MONTH(B706)</f>
        <v>12</v>
      </c>
      <c r="Q706" s="1" t="str">
        <f aca="false">TEXT(B706,"mmm")</f>
        <v>Dec</v>
      </c>
      <c r="R706" s="1" t="str">
        <f aca="false">"Q"&amp;ROUNDUP(MONTH(B706)/3,0)</f>
        <v>Q4</v>
      </c>
    </row>
    <row r="707" customFormat="false" ht="15" hidden="false" customHeight="true" outlineLevel="0" collapsed="false">
      <c r="A707" s="1" t="n">
        <v>10706</v>
      </c>
      <c r="B707" s="14" t="n">
        <v>45267</v>
      </c>
      <c r="C707" s="1" t="n">
        <v>1612</v>
      </c>
      <c r="D707" s="1" t="s">
        <v>37</v>
      </c>
      <c r="E707" s="1" t="s">
        <v>32</v>
      </c>
      <c r="F707" s="1" t="n">
        <v>6</v>
      </c>
      <c r="G707" s="15" t="n">
        <v>509.39</v>
      </c>
      <c r="H707" s="16" t="n">
        <v>0.15</v>
      </c>
      <c r="I707" s="1" t="s">
        <v>31</v>
      </c>
      <c r="J707" s="1" t="n">
        <v>5</v>
      </c>
      <c r="K707" s="1" t="n">
        <v>1.1</v>
      </c>
      <c r="L707" s="15" t="n">
        <v>2597.89</v>
      </c>
      <c r="M707" s="15" t="n">
        <f aca="false">F707*G707</f>
        <v>3056.34</v>
      </c>
      <c r="N707" s="15" t="n">
        <f aca="false">M707-L707</f>
        <v>458.45</v>
      </c>
      <c r="O707" s="1" t="n">
        <f aca="false">YEAR(B707)</f>
        <v>2023</v>
      </c>
      <c r="P707" s="1" t="n">
        <f aca="false">MONTH(B707)</f>
        <v>12</v>
      </c>
      <c r="Q707" s="1" t="str">
        <f aca="false">TEXT(B707,"mmm")</f>
        <v>Dec</v>
      </c>
      <c r="R707" s="1" t="str">
        <f aca="false">"Q"&amp;ROUNDUP(MONTH(B707)/3,0)</f>
        <v>Q4</v>
      </c>
    </row>
    <row r="708" customFormat="false" ht="15" hidden="false" customHeight="true" outlineLevel="0" collapsed="false">
      <c r="A708" s="1" t="n">
        <v>10707</v>
      </c>
      <c r="B708" s="14" t="n">
        <v>45268</v>
      </c>
      <c r="C708" s="1" t="n">
        <v>1267</v>
      </c>
      <c r="D708" s="1" t="s">
        <v>37</v>
      </c>
      <c r="E708" s="1" t="s">
        <v>35</v>
      </c>
      <c r="F708" s="1" t="n">
        <v>3</v>
      </c>
      <c r="G708" s="15" t="n">
        <v>367.26</v>
      </c>
      <c r="H708" s="16" t="n">
        <v>0.17</v>
      </c>
      <c r="I708" s="1" t="s">
        <v>31</v>
      </c>
      <c r="J708" s="1" t="n">
        <v>10</v>
      </c>
      <c r="K708" s="1" t="n">
        <v>4.9</v>
      </c>
      <c r="L708" s="15" t="n">
        <v>914.48</v>
      </c>
      <c r="M708" s="15" t="n">
        <f aca="false">F708*G708</f>
        <v>1101.78</v>
      </c>
      <c r="N708" s="15" t="n">
        <f aca="false">M708-L708</f>
        <v>187.3</v>
      </c>
      <c r="O708" s="1" t="n">
        <f aca="false">YEAR(B708)</f>
        <v>2023</v>
      </c>
      <c r="P708" s="1" t="n">
        <f aca="false">MONTH(B708)</f>
        <v>12</v>
      </c>
      <c r="Q708" s="1" t="str">
        <f aca="false">TEXT(B708,"mmm")</f>
        <v>Dec</v>
      </c>
      <c r="R708" s="1" t="str">
        <f aca="false">"Q"&amp;ROUNDUP(MONTH(B708)/3,0)</f>
        <v>Q4</v>
      </c>
    </row>
    <row r="709" customFormat="false" ht="15" hidden="false" customHeight="true" outlineLevel="0" collapsed="false">
      <c r="A709" s="1" t="n">
        <v>10708</v>
      </c>
      <c r="B709" s="14" t="n">
        <v>45269</v>
      </c>
      <c r="C709" s="1" t="n">
        <v>1834</v>
      </c>
      <c r="D709" s="1" t="s">
        <v>37</v>
      </c>
      <c r="E709" s="1" t="s">
        <v>28</v>
      </c>
      <c r="F709" s="1" t="n">
        <v>6</v>
      </c>
      <c r="G709" s="15" t="n">
        <v>280.55</v>
      </c>
      <c r="H709" s="16" t="n">
        <v>0.34</v>
      </c>
      <c r="I709" s="1" t="s">
        <v>31</v>
      </c>
      <c r="J709" s="1" t="n">
        <v>9</v>
      </c>
      <c r="K709" s="1" t="n">
        <v>1.1</v>
      </c>
      <c r="L709" s="15" t="n">
        <v>1110.98</v>
      </c>
      <c r="M709" s="15" t="n">
        <f aca="false">F709*G709</f>
        <v>1683.3</v>
      </c>
      <c r="N709" s="15" t="n">
        <f aca="false">M709-L709</f>
        <v>572.32</v>
      </c>
      <c r="O709" s="1" t="n">
        <f aca="false">YEAR(B709)</f>
        <v>2023</v>
      </c>
      <c r="P709" s="1" t="n">
        <f aca="false">MONTH(B709)</f>
        <v>12</v>
      </c>
      <c r="Q709" s="1" t="str">
        <f aca="false">TEXT(B709,"mmm")</f>
        <v>Dec</v>
      </c>
      <c r="R709" s="1" t="str">
        <f aca="false">"Q"&amp;ROUNDUP(MONTH(B709)/3,0)</f>
        <v>Q4</v>
      </c>
    </row>
    <row r="710" customFormat="false" ht="15" hidden="false" customHeight="true" outlineLevel="0" collapsed="false">
      <c r="A710" s="1" t="n">
        <v>10709</v>
      </c>
      <c r="B710" s="14" t="n">
        <v>45270</v>
      </c>
      <c r="C710" s="1" t="n">
        <v>1576</v>
      </c>
      <c r="D710" s="1" t="s">
        <v>30</v>
      </c>
      <c r="E710" s="1" t="s">
        <v>35</v>
      </c>
      <c r="F710" s="1" t="n">
        <v>3</v>
      </c>
      <c r="G710" s="15" t="n">
        <v>253.64</v>
      </c>
      <c r="H710" s="16" t="n">
        <v>0.26</v>
      </c>
      <c r="I710" s="1" t="s">
        <v>33</v>
      </c>
      <c r="J710" s="1" t="n">
        <v>5</v>
      </c>
      <c r="K710" s="1" t="n">
        <v>2.4</v>
      </c>
      <c r="L710" s="15" t="n">
        <v>563.08</v>
      </c>
      <c r="M710" s="15" t="n">
        <f aca="false">F710*G710</f>
        <v>760.92</v>
      </c>
      <c r="N710" s="15" t="n">
        <f aca="false">M710-L710</f>
        <v>197.84</v>
      </c>
      <c r="O710" s="1" t="n">
        <f aca="false">YEAR(B710)</f>
        <v>2023</v>
      </c>
      <c r="P710" s="1" t="n">
        <f aca="false">MONTH(B710)</f>
        <v>12</v>
      </c>
      <c r="Q710" s="1" t="str">
        <f aca="false">TEXT(B710,"mmm")</f>
        <v>Dec</v>
      </c>
      <c r="R710" s="1" t="str">
        <f aca="false">"Q"&amp;ROUNDUP(MONTH(B710)/3,0)</f>
        <v>Q4</v>
      </c>
    </row>
    <row r="711" customFormat="false" ht="15" hidden="false" customHeight="true" outlineLevel="0" collapsed="false">
      <c r="A711" s="1" t="n">
        <v>10710</v>
      </c>
      <c r="B711" s="14" t="n">
        <v>45271</v>
      </c>
      <c r="C711" s="1" t="n">
        <v>1416</v>
      </c>
      <c r="D711" s="1" t="s">
        <v>34</v>
      </c>
      <c r="E711" s="1" t="s">
        <v>32</v>
      </c>
      <c r="F711" s="1" t="n">
        <v>2</v>
      </c>
      <c r="G711" s="15" t="n">
        <v>305.89</v>
      </c>
      <c r="H711" s="16" t="n">
        <v>0.04</v>
      </c>
      <c r="I711" s="1" t="s">
        <v>33</v>
      </c>
      <c r="J711" s="1" t="n">
        <v>11</v>
      </c>
      <c r="K711" s="1" t="n">
        <v>1.3</v>
      </c>
      <c r="L711" s="15" t="n">
        <v>587.31</v>
      </c>
      <c r="M711" s="15" t="n">
        <f aca="false">F711*G711</f>
        <v>611.78</v>
      </c>
      <c r="N711" s="15" t="n">
        <f aca="false">M711-L711</f>
        <v>24.47</v>
      </c>
      <c r="O711" s="1" t="n">
        <f aca="false">YEAR(B711)</f>
        <v>2023</v>
      </c>
      <c r="P711" s="1" t="n">
        <f aca="false">MONTH(B711)</f>
        <v>12</v>
      </c>
      <c r="Q711" s="1" t="str">
        <f aca="false">TEXT(B711,"mmm")</f>
        <v>Dec</v>
      </c>
      <c r="R711" s="1" t="str">
        <f aca="false">"Q"&amp;ROUNDUP(MONTH(B711)/3,0)</f>
        <v>Q4</v>
      </c>
    </row>
    <row r="712" customFormat="false" ht="15" hidden="false" customHeight="true" outlineLevel="0" collapsed="false">
      <c r="A712" s="1" t="n">
        <v>10711</v>
      </c>
      <c r="B712" s="14" t="n">
        <v>45272</v>
      </c>
      <c r="C712" s="1" t="n">
        <v>1167</v>
      </c>
      <c r="D712" s="1" t="s">
        <v>37</v>
      </c>
      <c r="E712" s="1" t="s">
        <v>32</v>
      </c>
      <c r="F712" s="1" t="n">
        <v>1</v>
      </c>
      <c r="G712" s="15" t="n">
        <v>38.66</v>
      </c>
      <c r="H712" s="16" t="n">
        <v>0.07</v>
      </c>
      <c r="I712" s="1" t="s">
        <v>29</v>
      </c>
      <c r="J712" s="1" t="n">
        <v>2</v>
      </c>
      <c r="K712" s="1" t="n">
        <v>3.5</v>
      </c>
      <c r="L712" s="15" t="n">
        <v>35.95</v>
      </c>
      <c r="M712" s="15" t="n">
        <f aca="false">F712*G712</f>
        <v>38.66</v>
      </c>
      <c r="N712" s="15" t="n">
        <f aca="false">M712-L712</f>
        <v>2.70999999999999</v>
      </c>
      <c r="O712" s="1" t="n">
        <f aca="false">YEAR(B712)</f>
        <v>2023</v>
      </c>
      <c r="P712" s="1" t="n">
        <f aca="false">MONTH(B712)</f>
        <v>12</v>
      </c>
      <c r="Q712" s="1" t="str">
        <f aca="false">TEXT(B712,"mmm")</f>
        <v>Dec</v>
      </c>
      <c r="R712" s="1" t="str">
        <f aca="false">"Q"&amp;ROUNDUP(MONTH(B712)/3,0)</f>
        <v>Q4</v>
      </c>
    </row>
    <row r="713" customFormat="false" ht="15" hidden="false" customHeight="true" outlineLevel="0" collapsed="false">
      <c r="A713" s="1" t="n">
        <v>10712</v>
      </c>
      <c r="B713" s="14" t="n">
        <v>45273</v>
      </c>
      <c r="C713" s="1" t="n">
        <v>1841</v>
      </c>
      <c r="D713" s="1" t="s">
        <v>30</v>
      </c>
      <c r="E713" s="1" t="s">
        <v>36</v>
      </c>
      <c r="F713" s="1" t="n">
        <v>6</v>
      </c>
      <c r="G713" s="15" t="n">
        <v>537.28</v>
      </c>
      <c r="H713" s="16" t="n">
        <v>0.34</v>
      </c>
      <c r="I713" s="1" t="s">
        <v>33</v>
      </c>
      <c r="J713" s="1" t="n">
        <v>10</v>
      </c>
      <c r="K713" s="1" t="n">
        <v>2.4</v>
      </c>
      <c r="L713" s="15" t="n">
        <v>2127.63</v>
      </c>
      <c r="M713" s="15" t="n">
        <f aca="false">F713*G713</f>
        <v>3223.68</v>
      </c>
      <c r="N713" s="15" t="n">
        <f aca="false">M713-L713</f>
        <v>1096.05</v>
      </c>
      <c r="O713" s="1" t="n">
        <f aca="false">YEAR(B713)</f>
        <v>2023</v>
      </c>
      <c r="P713" s="1" t="n">
        <f aca="false">MONTH(B713)</f>
        <v>12</v>
      </c>
      <c r="Q713" s="1" t="str">
        <f aca="false">TEXT(B713,"mmm")</f>
        <v>Dec</v>
      </c>
      <c r="R713" s="1" t="str">
        <f aca="false">"Q"&amp;ROUNDUP(MONTH(B713)/3,0)</f>
        <v>Q4</v>
      </c>
    </row>
    <row r="714" customFormat="false" ht="15" hidden="false" customHeight="true" outlineLevel="0" collapsed="false">
      <c r="A714" s="1" t="n">
        <v>10713</v>
      </c>
      <c r="B714" s="14" t="n">
        <v>45274</v>
      </c>
      <c r="C714" s="1" t="n">
        <v>1042</v>
      </c>
      <c r="D714" s="1" t="s">
        <v>34</v>
      </c>
      <c r="E714" s="1" t="s">
        <v>35</v>
      </c>
      <c r="F714" s="1" t="n">
        <v>4</v>
      </c>
      <c r="G714" s="15" t="n">
        <v>599.01</v>
      </c>
      <c r="H714" s="16" t="n">
        <v>0.25</v>
      </c>
      <c r="I714" s="1" t="s">
        <v>33</v>
      </c>
      <c r="J714" s="1" t="n">
        <v>4</v>
      </c>
      <c r="K714" s="1" t="n">
        <v>3.9</v>
      </c>
      <c r="L714" s="15" t="n">
        <v>1797.03</v>
      </c>
      <c r="M714" s="15" t="n">
        <f aca="false">F714*G714</f>
        <v>2396.04</v>
      </c>
      <c r="N714" s="15" t="n">
        <f aca="false">M714-L714</f>
        <v>599.01</v>
      </c>
      <c r="O714" s="1" t="n">
        <f aca="false">YEAR(B714)</f>
        <v>2023</v>
      </c>
      <c r="P714" s="1" t="n">
        <f aca="false">MONTH(B714)</f>
        <v>12</v>
      </c>
      <c r="Q714" s="1" t="str">
        <f aca="false">TEXT(B714,"mmm")</f>
        <v>Dec</v>
      </c>
      <c r="R714" s="1" t="str">
        <f aca="false">"Q"&amp;ROUNDUP(MONTH(B714)/3,0)</f>
        <v>Q4</v>
      </c>
    </row>
    <row r="715" customFormat="false" ht="15" hidden="false" customHeight="true" outlineLevel="0" collapsed="false">
      <c r="A715" s="1" t="n">
        <v>10714</v>
      </c>
      <c r="B715" s="14" t="n">
        <v>45275</v>
      </c>
      <c r="C715" s="1" t="n">
        <v>1555</v>
      </c>
      <c r="D715" s="1" t="s">
        <v>27</v>
      </c>
      <c r="E715" s="1" t="s">
        <v>32</v>
      </c>
      <c r="F715" s="1" t="n">
        <v>3</v>
      </c>
      <c r="G715" s="15" t="n">
        <v>121.17</v>
      </c>
      <c r="H715" s="16" t="n">
        <v>0.32</v>
      </c>
      <c r="I715" s="1" t="s">
        <v>33</v>
      </c>
      <c r="J715" s="1" t="n">
        <v>8</v>
      </c>
      <c r="K715" s="1" t="n">
        <v>2.9</v>
      </c>
      <c r="L715" s="15" t="n">
        <v>247.19</v>
      </c>
      <c r="M715" s="15" t="n">
        <f aca="false">F715*G715</f>
        <v>363.51</v>
      </c>
      <c r="N715" s="15" t="n">
        <f aca="false">M715-L715</f>
        <v>116.32</v>
      </c>
      <c r="O715" s="1" t="n">
        <f aca="false">YEAR(B715)</f>
        <v>2023</v>
      </c>
      <c r="P715" s="1" t="n">
        <f aca="false">MONTH(B715)</f>
        <v>12</v>
      </c>
      <c r="Q715" s="1" t="str">
        <f aca="false">TEXT(B715,"mmm")</f>
        <v>Dec</v>
      </c>
      <c r="R715" s="1" t="str">
        <f aca="false">"Q"&amp;ROUNDUP(MONTH(B715)/3,0)</f>
        <v>Q4</v>
      </c>
    </row>
    <row r="716" customFormat="false" ht="15" hidden="false" customHeight="true" outlineLevel="0" collapsed="false">
      <c r="A716" s="1" t="n">
        <v>10715</v>
      </c>
      <c r="B716" s="14" t="n">
        <v>45276</v>
      </c>
      <c r="C716" s="1" t="n">
        <v>1284</v>
      </c>
      <c r="D716" s="1" t="s">
        <v>27</v>
      </c>
      <c r="E716" s="1" t="s">
        <v>36</v>
      </c>
      <c r="F716" s="1" t="n">
        <v>3</v>
      </c>
      <c r="G716" s="15" t="n">
        <v>85.42</v>
      </c>
      <c r="H716" s="16" t="n">
        <v>0.11</v>
      </c>
      <c r="I716" s="1" t="s">
        <v>31</v>
      </c>
      <c r="J716" s="1" t="n">
        <v>7</v>
      </c>
      <c r="K716" s="1" t="n">
        <v>2.7</v>
      </c>
      <c r="L716" s="15" t="n">
        <v>228.07</v>
      </c>
      <c r="M716" s="15" t="n">
        <f aca="false">F716*G716</f>
        <v>256.26</v>
      </c>
      <c r="N716" s="15" t="n">
        <f aca="false">M716-L716</f>
        <v>28.19</v>
      </c>
      <c r="O716" s="1" t="n">
        <f aca="false">YEAR(B716)</f>
        <v>2023</v>
      </c>
      <c r="P716" s="1" t="n">
        <f aca="false">MONTH(B716)</f>
        <v>12</v>
      </c>
      <c r="Q716" s="1" t="str">
        <f aca="false">TEXT(B716,"mmm")</f>
        <v>Dec</v>
      </c>
      <c r="R716" s="1" t="str">
        <f aca="false">"Q"&amp;ROUNDUP(MONTH(B716)/3,0)</f>
        <v>Q4</v>
      </c>
    </row>
    <row r="717" customFormat="false" ht="15" hidden="false" customHeight="true" outlineLevel="0" collapsed="false">
      <c r="A717" s="1" t="n">
        <v>10716</v>
      </c>
      <c r="B717" s="14" t="n">
        <v>45277</v>
      </c>
      <c r="C717" s="1" t="n">
        <v>1396</v>
      </c>
      <c r="D717" s="1" t="s">
        <v>30</v>
      </c>
      <c r="E717" s="1" t="s">
        <v>28</v>
      </c>
      <c r="F717" s="1" t="n">
        <v>4</v>
      </c>
      <c r="G717" s="15" t="n">
        <v>98.99</v>
      </c>
      <c r="H717" s="16" t="n">
        <v>0.26</v>
      </c>
      <c r="I717" s="1" t="s">
        <v>33</v>
      </c>
      <c r="J717" s="1" t="n">
        <v>5</v>
      </c>
      <c r="K717" s="1" t="n">
        <v>2.4</v>
      </c>
      <c r="L717" s="15" t="n">
        <v>293.01</v>
      </c>
      <c r="M717" s="15" t="n">
        <f aca="false">F717*G717</f>
        <v>395.96</v>
      </c>
      <c r="N717" s="15" t="n">
        <f aca="false">M717-L717</f>
        <v>102.95</v>
      </c>
      <c r="O717" s="1" t="n">
        <f aca="false">YEAR(B717)</f>
        <v>2023</v>
      </c>
      <c r="P717" s="1" t="n">
        <f aca="false">MONTH(B717)</f>
        <v>12</v>
      </c>
      <c r="Q717" s="1" t="str">
        <f aca="false">TEXT(B717,"mmm")</f>
        <v>Dec</v>
      </c>
      <c r="R717" s="1" t="str">
        <f aca="false">"Q"&amp;ROUNDUP(MONTH(B717)/3,0)</f>
        <v>Q4</v>
      </c>
    </row>
    <row r="718" customFormat="false" ht="15" hidden="false" customHeight="true" outlineLevel="0" collapsed="false">
      <c r="A718" s="1" t="n">
        <v>10717</v>
      </c>
      <c r="B718" s="14" t="n">
        <v>45278</v>
      </c>
      <c r="C718" s="1" t="n">
        <v>1011</v>
      </c>
      <c r="D718" s="1" t="s">
        <v>34</v>
      </c>
      <c r="E718" s="1" t="s">
        <v>32</v>
      </c>
      <c r="F718" s="1" t="n">
        <v>1</v>
      </c>
      <c r="G718" s="15" t="n">
        <v>401.7</v>
      </c>
      <c r="H718" s="16" t="n">
        <v>0.25</v>
      </c>
      <c r="I718" s="1" t="s">
        <v>33</v>
      </c>
      <c r="J718" s="1" t="n">
        <v>4</v>
      </c>
      <c r="K718" s="1" t="n">
        <v>1.3</v>
      </c>
      <c r="L718" s="15" t="n">
        <v>301.27</v>
      </c>
      <c r="M718" s="15" t="n">
        <f aca="false">F718*G718</f>
        <v>401.7</v>
      </c>
      <c r="N718" s="15" t="n">
        <f aca="false">M718-L718</f>
        <v>100.43</v>
      </c>
      <c r="O718" s="1" t="n">
        <f aca="false">YEAR(B718)</f>
        <v>2023</v>
      </c>
      <c r="P718" s="1" t="n">
        <f aca="false">MONTH(B718)</f>
        <v>12</v>
      </c>
      <c r="Q718" s="1" t="str">
        <f aca="false">TEXT(B718,"mmm")</f>
        <v>Dec</v>
      </c>
      <c r="R718" s="1" t="str">
        <f aca="false">"Q"&amp;ROUNDUP(MONTH(B718)/3,0)</f>
        <v>Q4</v>
      </c>
    </row>
    <row r="719" customFormat="false" ht="15" hidden="false" customHeight="true" outlineLevel="0" collapsed="false">
      <c r="A719" s="1" t="n">
        <v>10718</v>
      </c>
      <c r="B719" s="14" t="n">
        <v>45279</v>
      </c>
      <c r="C719" s="1" t="n">
        <v>1606</v>
      </c>
      <c r="D719" s="1" t="s">
        <v>30</v>
      </c>
      <c r="E719" s="1" t="s">
        <v>36</v>
      </c>
      <c r="F719" s="1" t="n">
        <v>3</v>
      </c>
      <c r="G719" s="15" t="n">
        <v>401.94</v>
      </c>
      <c r="H719" s="16" t="n">
        <v>0.1</v>
      </c>
      <c r="I719" s="1" t="s">
        <v>29</v>
      </c>
      <c r="J719" s="1" t="n">
        <v>5</v>
      </c>
      <c r="K719" s="1" t="n">
        <v>1.8</v>
      </c>
      <c r="L719" s="15" t="n">
        <v>1085.24</v>
      </c>
      <c r="M719" s="15" t="n">
        <f aca="false">F719*G719</f>
        <v>1205.82</v>
      </c>
      <c r="N719" s="15" t="n">
        <f aca="false">M719-L719</f>
        <v>120.58</v>
      </c>
      <c r="O719" s="1" t="n">
        <f aca="false">YEAR(B719)</f>
        <v>2023</v>
      </c>
      <c r="P719" s="1" t="n">
        <f aca="false">MONTH(B719)</f>
        <v>12</v>
      </c>
      <c r="Q719" s="1" t="str">
        <f aca="false">TEXT(B719,"mmm")</f>
        <v>Dec</v>
      </c>
      <c r="R719" s="1" t="str">
        <f aca="false">"Q"&amp;ROUNDUP(MONTH(B719)/3,0)</f>
        <v>Q4</v>
      </c>
    </row>
    <row r="720" customFormat="false" ht="15" hidden="false" customHeight="true" outlineLevel="0" collapsed="false">
      <c r="A720" s="1" t="n">
        <v>10719</v>
      </c>
      <c r="B720" s="14" t="n">
        <v>45280</v>
      </c>
      <c r="C720" s="1" t="n">
        <v>1301</v>
      </c>
      <c r="D720" s="1" t="s">
        <v>37</v>
      </c>
      <c r="E720" s="1" t="s">
        <v>32</v>
      </c>
      <c r="F720" s="1" t="n">
        <v>1</v>
      </c>
      <c r="G720" s="15" t="n">
        <v>511.04</v>
      </c>
      <c r="H720" s="16" t="n">
        <v>0.19</v>
      </c>
      <c r="I720" s="1" t="s">
        <v>31</v>
      </c>
      <c r="J720" s="1" t="n">
        <v>7</v>
      </c>
      <c r="K720" s="1" t="n">
        <v>3.6</v>
      </c>
      <c r="L720" s="15" t="n">
        <v>413.94</v>
      </c>
      <c r="M720" s="15" t="n">
        <f aca="false">F720*G720</f>
        <v>511.04</v>
      </c>
      <c r="N720" s="15" t="n">
        <f aca="false">M720-L720</f>
        <v>97.1</v>
      </c>
      <c r="O720" s="1" t="n">
        <f aca="false">YEAR(B720)</f>
        <v>2023</v>
      </c>
      <c r="P720" s="1" t="n">
        <f aca="false">MONTH(B720)</f>
        <v>12</v>
      </c>
      <c r="Q720" s="1" t="str">
        <f aca="false">TEXT(B720,"mmm")</f>
        <v>Dec</v>
      </c>
      <c r="R720" s="1" t="str">
        <f aca="false">"Q"&amp;ROUNDUP(MONTH(B720)/3,0)</f>
        <v>Q4</v>
      </c>
    </row>
    <row r="721" customFormat="false" ht="15" hidden="false" customHeight="true" outlineLevel="0" collapsed="false">
      <c r="A721" s="1" t="n">
        <v>10720</v>
      </c>
      <c r="B721" s="14" t="n">
        <v>45281</v>
      </c>
      <c r="C721" s="1" t="n">
        <v>1897</v>
      </c>
      <c r="D721" s="1" t="s">
        <v>27</v>
      </c>
      <c r="E721" s="1" t="s">
        <v>35</v>
      </c>
      <c r="F721" s="1" t="n">
        <v>3</v>
      </c>
      <c r="G721" s="15" t="n">
        <v>454.82</v>
      </c>
      <c r="H721" s="16" t="n">
        <v>0.22</v>
      </c>
      <c r="I721" s="1" t="s">
        <v>29</v>
      </c>
      <c r="J721" s="1" t="n">
        <v>5</v>
      </c>
      <c r="K721" s="1" t="n">
        <v>3</v>
      </c>
      <c r="L721" s="15" t="n">
        <v>1064.28</v>
      </c>
      <c r="M721" s="15" t="n">
        <f aca="false">F721*G721</f>
        <v>1364.46</v>
      </c>
      <c r="N721" s="15" t="n">
        <f aca="false">M721-L721</f>
        <v>300.18</v>
      </c>
      <c r="O721" s="1" t="n">
        <f aca="false">YEAR(B721)</f>
        <v>2023</v>
      </c>
      <c r="P721" s="1" t="n">
        <f aca="false">MONTH(B721)</f>
        <v>12</v>
      </c>
      <c r="Q721" s="1" t="str">
        <f aca="false">TEXT(B721,"mmm")</f>
        <v>Dec</v>
      </c>
      <c r="R721" s="1" t="str">
        <f aca="false">"Q"&amp;ROUNDUP(MONTH(B721)/3,0)</f>
        <v>Q4</v>
      </c>
    </row>
    <row r="722" customFormat="false" ht="15" hidden="false" customHeight="true" outlineLevel="0" collapsed="false">
      <c r="A722" s="1" t="n">
        <v>10721</v>
      </c>
      <c r="B722" s="14" t="n">
        <v>45282</v>
      </c>
      <c r="C722" s="1" t="n">
        <v>1252</v>
      </c>
      <c r="D722" s="1" t="s">
        <v>34</v>
      </c>
      <c r="E722" s="1" t="s">
        <v>36</v>
      </c>
      <c r="F722" s="1" t="n">
        <v>7</v>
      </c>
      <c r="G722" s="15" t="n">
        <v>278.07</v>
      </c>
      <c r="H722" s="16" t="n">
        <v>0.17</v>
      </c>
      <c r="I722" s="1" t="s">
        <v>33</v>
      </c>
      <c r="J722" s="1" t="n">
        <v>8</v>
      </c>
      <c r="K722" s="1" t="n">
        <v>1.3</v>
      </c>
      <c r="L722" s="15" t="n">
        <v>1615.59</v>
      </c>
      <c r="M722" s="15" t="n">
        <f aca="false">F722*G722</f>
        <v>1946.49</v>
      </c>
      <c r="N722" s="15" t="n">
        <f aca="false">M722-L722</f>
        <v>330.9</v>
      </c>
      <c r="O722" s="1" t="n">
        <f aca="false">YEAR(B722)</f>
        <v>2023</v>
      </c>
      <c r="P722" s="1" t="n">
        <f aca="false">MONTH(B722)</f>
        <v>12</v>
      </c>
      <c r="Q722" s="1" t="str">
        <f aca="false">TEXT(B722,"mmm")</f>
        <v>Dec</v>
      </c>
      <c r="R722" s="1" t="str">
        <f aca="false">"Q"&amp;ROUNDUP(MONTH(B722)/3,0)</f>
        <v>Q4</v>
      </c>
    </row>
    <row r="723" customFormat="false" ht="15" hidden="false" customHeight="true" outlineLevel="0" collapsed="false">
      <c r="A723" s="1" t="n">
        <v>10722</v>
      </c>
      <c r="B723" s="14" t="n">
        <v>45283</v>
      </c>
      <c r="C723" s="1" t="n">
        <v>1498</v>
      </c>
      <c r="D723" s="1" t="s">
        <v>34</v>
      </c>
      <c r="E723" s="1" t="s">
        <v>35</v>
      </c>
      <c r="F723" s="1" t="n">
        <v>5</v>
      </c>
      <c r="G723" s="15" t="n">
        <v>373.52</v>
      </c>
      <c r="H723" s="16" t="n">
        <v>0.29</v>
      </c>
      <c r="I723" s="1" t="s">
        <v>31</v>
      </c>
      <c r="J723" s="1" t="n">
        <v>7</v>
      </c>
      <c r="K723" s="1" t="n">
        <v>3.2</v>
      </c>
      <c r="L723" s="15" t="n">
        <v>1326</v>
      </c>
      <c r="M723" s="15" t="n">
        <f aca="false">F723*G723</f>
        <v>1867.6</v>
      </c>
      <c r="N723" s="15" t="n">
        <f aca="false">M723-L723</f>
        <v>541.6</v>
      </c>
      <c r="O723" s="1" t="n">
        <f aca="false">YEAR(B723)</f>
        <v>2023</v>
      </c>
      <c r="P723" s="1" t="n">
        <f aca="false">MONTH(B723)</f>
        <v>12</v>
      </c>
      <c r="Q723" s="1" t="str">
        <f aca="false">TEXT(B723,"mmm")</f>
        <v>Dec</v>
      </c>
      <c r="R723" s="1" t="str">
        <f aca="false">"Q"&amp;ROUNDUP(MONTH(B723)/3,0)</f>
        <v>Q4</v>
      </c>
    </row>
    <row r="724" customFormat="false" ht="15" hidden="false" customHeight="true" outlineLevel="0" collapsed="false">
      <c r="A724" s="1" t="n">
        <v>10723</v>
      </c>
      <c r="B724" s="14" t="n">
        <v>45284</v>
      </c>
      <c r="C724" s="1" t="n">
        <v>1753</v>
      </c>
      <c r="D724" s="1" t="s">
        <v>27</v>
      </c>
      <c r="E724" s="1" t="s">
        <v>28</v>
      </c>
      <c r="F724" s="1" t="n">
        <v>7</v>
      </c>
      <c r="G724" s="15" t="n">
        <v>417.65</v>
      </c>
      <c r="H724" s="16" t="n">
        <v>0.29</v>
      </c>
      <c r="I724" s="1" t="s">
        <v>31</v>
      </c>
      <c r="J724" s="1" t="n">
        <v>7</v>
      </c>
      <c r="K724" s="1" t="n">
        <v>1.2</v>
      </c>
      <c r="L724" s="15" t="n">
        <v>2075.72</v>
      </c>
      <c r="M724" s="15" t="n">
        <f aca="false">F724*G724</f>
        <v>2923.55</v>
      </c>
      <c r="N724" s="15" t="n">
        <f aca="false">M724-L724</f>
        <v>847.83</v>
      </c>
      <c r="O724" s="1" t="n">
        <f aca="false">YEAR(B724)</f>
        <v>2023</v>
      </c>
      <c r="P724" s="1" t="n">
        <f aca="false">MONTH(B724)</f>
        <v>12</v>
      </c>
      <c r="Q724" s="1" t="str">
        <f aca="false">TEXT(B724,"mmm")</f>
        <v>Dec</v>
      </c>
      <c r="R724" s="1" t="str">
        <f aca="false">"Q"&amp;ROUNDUP(MONTH(B724)/3,0)</f>
        <v>Q4</v>
      </c>
    </row>
    <row r="725" customFormat="false" ht="15" hidden="false" customHeight="true" outlineLevel="0" collapsed="false">
      <c r="A725" s="1" t="n">
        <v>10724</v>
      </c>
      <c r="B725" s="14" t="n">
        <v>45285</v>
      </c>
      <c r="C725" s="1" t="n">
        <v>1034</v>
      </c>
      <c r="D725" s="1" t="s">
        <v>30</v>
      </c>
      <c r="E725" s="1" t="s">
        <v>35</v>
      </c>
      <c r="F725" s="1" t="n">
        <v>3</v>
      </c>
      <c r="G725" s="15" t="n">
        <v>314.95</v>
      </c>
      <c r="H725" s="16" t="n">
        <v>0.3</v>
      </c>
      <c r="I725" s="1" t="s">
        <v>31</v>
      </c>
      <c r="J725" s="1" t="n">
        <v>9</v>
      </c>
      <c r="K725" s="1" t="n">
        <v>3</v>
      </c>
      <c r="L725" s="15" t="n">
        <v>661.39</v>
      </c>
      <c r="M725" s="15" t="n">
        <f aca="false">F725*G725</f>
        <v>944.85</v>
      </c>
      <c r="N725" s="15" t="n">
        <f aca="false">M725-L725</f>
        <v>283.46</v>
      </c>
      <c r="O725" s="1" t="n">
        <f aca="false">YEAR(B725)</f>
        <v>2023</v>
      </c>
      <c r="P725" s="1" t="n">
        <f aca="false">MONTH(B725)</f>
        <v>12</v>
      </c>
      <c r="Q725" s="1" t="str">
        <f aca="false">TEXT(B725,"mmm")</f>
        <v>Dec</v>
      </c>
      <c r="R725" s="1" t="str">
        <f aca="false">"Q"&amp;ROUNDUP(MONTH(B725)/3,0)</f>
        <v>Q4</v>
      </c>
    </row>
    <row r="726" customFormat="false" ht="15" hidden="false" customHeight="true" outlineLevel="0" collapsed="false">
      <c r="A726" s="1" t="n">
        <v>10725</v>
      </c>
      <c r="B726" s="14" t="n">
        <v>45286</v>
      </c>
      <c r="C726" s="1" t="n">
        <v>1726</v>
      </c>
      <c r="D726" s="1" t="s">
        <v>30</v>
      </c>
      <c r="E726" s="1" t="s">
        <v>36</v>
      </c>
      <c r="F726" s="1" t="n">
        <v>5</v>
      </c>
      <c r="G726" s="15" t="n">
        <v>293.26</v>
      </c>
      <c r="H726" s="16" t="n">
        <v>0.28</v>
      </c>
      <c r="I726" s="1" t="s">
        <v>33</v>
      </c>
      <c r="J726" s="1" t="n">
        <v>8</v>
      </c>
      <c r="K726" s="1" t="n">
        <v>4.9</v>
      </c>
      <c r="L726" s="15" t="n">
        <v>1055.74</v>
      </c>
      <c r="M726" s="15" t="n">
        <f aca="false">F726*G726</f>
        <v>1466.3</v>
      </c>
      <c r="N726" s="15" t="n">
        <f aca="false">M726-L726</f>
        <v>410.56</v>
      </c>
      <c r="O726" s="1" t="n">
        <f aca="false">YEAR(B726)</f>
        <v>2023</v>
      </c>
      <c r="P726" s="1" t="n">
        <f aca="false">MONTH(B726)</f>
        <v>12</v>
      </c>
      <c r="Q726" s="1" t="str">
        <f aca="false">TEXT(B726,"mmm")</f>
        <v>Dec</v>
      </c>
      <c r="R726" s="1" t="str">
        <f aca="false">"Q"&amp;ROUNDUP(MONTH(B726)/3,0)</f>
        <v>Q4</v>
      </c>
    </row>
    <row r="727" customFormat="false" ht="15" hidden="false" customHeight="true" outlineLevel="0" collapsed="false">
      <c r="A727" s="1" t="n">
        <v>10726</v>
      </c>
      <c r="B727" s="14" t="n">
        <v>45287</v>
      </c>
      <c r="C727" s="1" t="n">
        <v>1848</v>
      </c>
      <c r="D727" s="1" t="s">
        <v>27</v>
      </c>
      <c r="E727" s="1" t="s">
        <v>32</v>
      </c>
      <c r="F727" s="1" t="n">
        <v>6</v>
      </c>
      <c r="G727" s="15" t="n">
        <v>392.38</v>
      </c>
      <c r="H727" s="16" t="n">
        <v>0.17</v>
      </c>
      <c r="I727" s="1" t="s">
        <v>31</v>
      </c>
      <c r="J727" s="1" t="n">
        <v>8</v>
      </c>
      <c r="K727" s="1" t="n">
        <v>2.2</v>
      </c>
      <c r="L727" s="15" t="n">
        <v>1954.05</v>
      </c>
      <c r="M727" s="15" t="n">
        <f aca="false">F727*G727</f>
        <v>2354.28</v>
      </c>
      <c r="N727" s="15" t="n">
        <f aca="false">M727-L727</f>
        <v>400.23</v>
      </c>
      <c r="O727" s="1" t="n">
        <f aca="false">YEAR(B727)</f>
        <v>2023</v>
      </c>
      <c r="P727" s="1" t="n">
        <f aca="false">MONTH(B727)</f>
        <v>12</v>
      </c>
      <c r="Q727" s="1" t="str">
        <f aca="false">TEXT(B727,"mmm")</f>
        <v>Dec</v>
      </c>
      <c r="R727" s="1" t="str">
        <f aca="false">"Q"&amp;ROUNDUP(MONTH(B727)/3,0)</f>
        <v>Q4</v>
      </c>
    </row>
    <row r="728" customFormat="false" ht="15" hidden="false" customHeight="true" outlineLevel="0" collapsed="false">
      <c r="A728" s="1" t="n">
        <v>10727</v>
      </c>
      <c r="B728" s="14" t="n">
        <v>45288</v>
      </c>
      <c r="C728" s="1" t="n">
        <v>1089</v>
      </c>
      <c r="D728" s="1" t="s">
        <v>34</v>
      </c>
      <c r="E728" s="1" t="s">
        <v>36</v>
      </c>
      <c r="F728" s="1" t="n">
        <v>1</v>
      </c>
      <c r="G728" s="15" t="n">
        <v>341.12</v>
      </c>
      <c r="H728" s="16" t="n">
        <v>0.13</v>
      </c>
      <c r="I728" s="1" t="s">
        <v>31</v>
      </c>
      <c r="J728" s="1" t="n">
        <v>6</v>
      </c>
      <c r="K728" s="1" t="n">
        <v>3.9</v>
      </c>
      <c r="L728" s="15" t="n">
        <v>296.77</v>
      </c>
      <c r="M728" s="15" t="n">
        <f aca="false">F728*G728</f>
        <v>341.12</v>
      </c>
      <c r="N728" s="15" t="n">
        <f aca="false">M728-L728</f>
        <v>44.35</v>
      </c>
      <c r="O728" s="1" t="n">
        <f aca="false">YEAR(B728)</f>
        <v>2023</v>
      </c>
      <c r="P728" s="1" t="n">
        <f aca="false">MONTH(B728)</f>
        <v>12</v>
      </c>
      <c r="Q728" s="1" t="str">
        <f aca="false">TEXT(B728,"mmm")</f>
        <v>Dec</v>
      </c>
      <c r="R728" s="1" t="str">
        <f aca="false">"Q"&amp;ROUNDUP(MONTH(B728)/3,0)</f>
        <v>Q4</v>
      </c>
    </row>
    <row r="729" customFormat="false" ht="15" hidden="false" customHeight="true" outlineLevel="0" collapsed="false">
      <c r="A729" s="1" t="n">
        <v>10728</v>
      </c>
      <c r="B729" s="14" t="n">
        <v>45289</v>
      </c>
      <c r="C729" s="1" t="n">
        <v>1775</v>
      </c>
      <c r="D729" s="1" t="s">
        <v>30</v>
      </c>
      <c r="E729" s="1" t="s">
        <v>35</v>
      </c>
      <c r="F729" s="1" t="n">
        <v>3</v>
      </c>
      <c r="G729" s="15" t="n">
        <v>391.71</v>
      </c>
      <c r="H729" s="16" t="n">
        <v>0.29</v>
      </c>
      <c r="I729" s="1" t="s">
        <v>29</v>
      </c>
      <c r="J729" s="1" t="n">
        <v>7</v>
      </c>
      <c r="K729" s="1" t="n">
        <v>4</v>
      </c>
      <c r="L729" s="15" t="n">
        <v>834.34</v>
      </c>
      <c r="M729" s="15" t="n">
        <f aca="false">F729*G729</f>
        <v>1175.13</v>
      </c>
      <c r="N729" s="15" t="n">
        <f aca="false">M729-L729</f>
        <v>340.79</v>
      </c>
      <c r="O729" s="1" t="n">
        <f aca="false">YEAR(B729)</f>
        <v>2023</v>
      </c>
      <c r="P729" s="1" t="n">
        <f aca="false">MONTH(B729)</f>
        <v>12</v>
      </c>
      <c r="Q729" s="1" t="str">
        <f aca="false">TEXT(B729,"mmm")</f>
        <v>Dec</v>
      </c>
      <c r="R729" s="1" t="str">
        <f aca="false">"Q"&amp;ROUNDUP(MONTH(B729)/3,0)</f>
        <v>Q4</v>
      </c>
    </row>
    <row r="730" customFormat="false" ht="15" hidden="false" customHeight="true" outlineLevel="0" collapsed="false">
      <c r="A730" s="1" t="n">
        <v>10729</v>
      </c>
      <c r="B730" s="14" t="n">
        <v>45290</v>
      </c>
      <c r="C730" s="1" t="n">
        <v>1604</v>
      </c>
      <c r="D730" s="1" t="s">
        <v>34</v>
      </c>
      <c r="E730" s="1" t="s">
        <v>35</v>
      </c>
      <c r="F730" s="1" t="n">
        <v>2</v>
      </c>
      <c r="G730" s="15" t="n">
        <v>373.52</v>
      </c>
      <c r="H730" s="16" t="n">
        <v>0.17</v>
      </c>
      <c r="I730" s="1" t="s">
        <v>33</v>
      </c>
      <c r="J730" s="1" t="n">
        <v>8</v>
      </c>
      <c r="K730" s="1" t="n">
        <v>2.6</v>
      </c>
      <c r="L730" s="15" t="n">
        <v>620.04</v>
      </c>
      <c r="M730" s="15" t="n">
        <f aca="false">F730*G730</f>
        <v>747.04</v>
      </c>
      <c r="N730" s="15" t="n">
        <f aca="false">M730-L730</f>
        <v>127</v>
      </c>
      <c r="O730" s="1" t="n">
        <f aca="false">YEAR(B730)</f>
        <v>2023</v>
      </c>
      <c r="P730" s="1" t="n">
        <f aca="false">MONTH(B730)</f>
        <v>12</v>
      </c>
      <c r="Q730" s="1" t="str">
        <f aca="false">TEXT(B730,"mmm")</f>
        <v>Dec</v>
      </c>
      <c r="R730" s="1" t="str">
        <f aca="false">"Q"&amp;ROUNDUP(MONTH(B730)/3,0)</f>
        <v>Q4</v>
      </c>
    </row>
    <row r="731" customFormat="false" ht="15" hidden="false" customHeight="true" outlineLevel="0" collapsed="false">
      <c r="A731" s="1" t="n">
        <v>10730</v>
      </c>
      <c r="B731" s="14" t="n">
        <v>45291</v>
      </c>
      <c r="C731" s="1" t="n">
        <v>1921</v>
      </c>
      <c r="D731" s="1" t="s">
        <v>30</v>
      </c>
      <c r="E731" s="1" t="s">
        <v>32</v>
      </c>
      <c r="F731" s="1" t="n">
        <v>2</v>
      </c>
      <c r="G731" s="15" t="n">
        <v>435.73</v>
      </c>
      <c r="H731" s="16" t="n">
        <v>0.09</v>
      </c>
      <c r="I731" s="1" t="s">
        <v>33</v>
      </c>
      <c r="J731" s="1" t="n">
        <v>5</v>
      </c>
      <c r="K731" s="1" t="n">
        <v>3.4</v>
      </c>
      <c r="L731" s="15" t="n">
        <v>793.03</v>
      </c>
      <c r="M731" s="15" t="n">
        <f aca="false">F731*G731</f>
        <v>871.46</v>
      </c>
      <c r="N731" s="15" t="n">
        <f aca="false">M731-L731</f>
        <v>78.4300000000001</v>
      </c>
      <c r="O731" s="1" t="n">
        <f aca="false">YEAR(B731)</f>
        <v>2023</v>
      </c>
      <c r="P731" s="1" t="n">
        <f aca="false">MONTH(B731)</f>
        <v>12</v>
      </c>
      <c r="Q731" s="1" t="str">
        <f aca="false">TEXT(B731,"mmm")</f>
        <v>Dec</v>
      </c>
      <c r="R731" s="1" t="str">
        <f aca="false">"Q"&amp;ROUNDUP(MONTH(B731)/3,0)</f>
        <v>Q4</v>
      </c>
    </row>
    <row r="732" customFormat="false" ht="15" hidden="false" customHeight="true" outlineLevel="0" collapsed="false">
      <c r="A732" s="1" t="n">
        <v>10731</v>
      </c>
      <c r="B732" s="14" t="n">
        <v>45292</v>
      </c>
      <c r="C732" s="1" t="n">
        <v>1969</v>
      </c>
      <c r="D732" s="1" t="s">
        <v>37</v>
      </c>
      <c r="E732" s="1" t="s">
        <v>28</v>
      </c>
      <c r="F732" s="1" t="n">
        <v>4</v>
      </c>
      <c r="G732" s="15" t="n">
        <v>391.04</v>
      </c>
      <c r="H732" s="16" t="n">
        <v>0.18</v>
      </c>
      <c r="I732" s="1" t="s">
        <v>31</v>
      </c>
      <c r="J732" s="1" t="n">
        <v>10</v>
      </c>
      <c r="K732" s="1" t="n">
        <v>2.9</v>
      </c>
      <c r="L732" s="15" t="n">
        <v>1282.61</v>
      </c>
      <c r="M732" s="15" t="n">
        <f aca="false">F732*G732</f>
        <v>1564.16</v>
      </c>
      <c r="N732" s="15" t="n">
        <f aca="false">M732-L732</f>
        <v>281.55</v>
      </c>
      <c r="O732" s="1" t="n">
        <f aca="false">YEAR(B732)</f>
        <v>2024</v>
      </c>
      <c r="P732" s="1" t="n">
        <f aca="false">MONTH(B732)</f>
        <v>1</v>
      </c>
      <c r="Q732" s="1" t="str">
        <f aca="false">TEXT(B732,"mmm")</f>
        <v>Jan</v>
      </c>
      <c r="R732" s="1" t="str">
        <f aca="false">"Q"&amp;ROUNDUP(MONTH(B732)/3,0)</f>
        <v>Q1</v>
      </c>
    </row>
    <row r="733" customFormat="false" ht="15" hidden="false" customHeight="true" outlineLevel="0" collapsed="false">
      <c r="A733" s="1" t="n">
        <v>10732</v>
      </c>
      <c r="B733" s="14" t="n">
        <v>45293</v>
      </c>
      <c r="C733" s="1" t="n">
        <v>1601</v>
      </c>
      <c r="D733" s="1" t="s">
        <v>30</v>
      </c>
      <c r="E733" s="1" t="s">
        <v>36</v>
      </c>
      <c r="F733" s="1" t="n">
        <v>2</v>
      </c>
      <c r="G733" s="15" t="n">
        <v>319.05</v>
      </c>
      <c r="H733" s="16" t="n">
        <v>0.05</v>
      </c>
      <c r="I733" s="1" t="s">
        <v>33</v>
      </c>
      <c r="J733" s="1" t="n">
        <v>2</v>
      </c>
      <c r="K733" s="1" t="n">
        <v>2.1</v>
      </c>
      <c r="L733" s="15" t="n">
        <v>606.2</v>
      </c>
      <c r="M733" s="15" t="n">
        <f aca="false">F733*G733</f>
        <v>638.1</v>
      </c>
      <c r="N733" s="15" t="n">
        <f aca="false">M733-L733</f>
        <v>31.9</v>
      </c>
      <c r="O733" s="1" t="n">
        <f aca="false">YEAR(B733)</f>
        <v>2024</v>
      </c>
      <c r="P733" s="1" t="n">
        <f aca="false">MONTH(B733)</f>
        <v>1</v>
      </c>
      <c r="Q733" s="1" t="str">
        <f aca="false">TEXT(B733,"mmm")</f>
        <v>Jan</v>
      </c>
      <c r="R733" s="1" t="str">
        <f aca="false">"Q"&amp;ROUNDUP(MONTH(B733)/3,0)</f>
        <v>Q1</v>
      </c>
    </row>
    <row r="734" customFormat="false" ht="15" hidden="false" customHeight="true" outlineLevel="0" collapsed="false">
      <c r="A734" s="1" t="n">
        <v>10733</v>
      </c>
      <c r="B734" s="14" t="n">
        <v>45294</v>
      </c>
      <c r="C734" s="1" t="n">
        <v>1417</v>
      </c>
      <c r="D734" s="1" t="s">
        <v>27</v>
      </c>
      <c r="E734" s="1" t="s">
        <v>32</v>
      </c>
      <c r="F734" s="1" t="n">
        <v>5</v>
      </c>
      <c r="G734" s="15" t="n">
        <v>413.85</v>
      </c>
      <c r="H734" s="16" t="n">
        <v>0.24</v>
      </c>
      <c r="I734" s="1" t="s">
        <v>31</v>
      </c>
      <c r="J734" s="1" t="n">
        <v>7</v>
      </c>
      <c r="K734" s="1" t="n">
        <v>4</v>
      </c>
      <c r="L734" s="15" t="n">
        <v>1572.63</v>
      </c>
      <c r="M734" s="15" t="n">
        <f aca="false">F734*G734</f>
        <v>2069.25</v>
      </c>
      <c r="N734" s="15" t="n">
        <f aca="false">M734-L734</f>
        <v>496.62</v>
      </c>
      <c r="O734" s="1" t="n">
        <f aca="false">YEAR(B734)</f>
        <v>2024</v>
      </c>
      <c r="P734" s="1" t="n">
        <f aca="false">MONTH(B734)</f>
        <v>1</v>
      </c>
      <c r="Q734" s="1" t="str">
        <f aca="false">TEXT(B734,"mmm")</f>
        <v>Jan</v>
      </c>
      <c r="R734" s="1" t="str">
        <f aca="false">"Q"&amp;ROUNDUP(MONTH(B734)/3,0)</f>
        <v>Q1</v>
      </c>
    </row>
    <row r="735" customFormat="false" ht="15" hidden="false" customHeight="true" outlineLevel="0" collapsed="false">
      <c r="A735" s="1" t="n">
        <v>10734</v>
      </c>
      <c r="B735" s="14" t="n">
        <v>45295</v>
      </c>
      <c r="C735" s="1" t="n">
        <v>1114</v>
      </c>
      <c r="D735" s="1" t="s">
        <v>30</v>
      </c>
      <c r="E735" s="1" t="s">
        <v>32</v>
      </c>
      <c r="F735" s="1" t="n">
        <v>2</v>
      </c>
      <c r="G735" s="15" t="n">
        <v>277.95</v>
      </c>
      <c r="H735" s="16" t="n">
        <v>0.12</v>
      </c>
      <c r="I735" s="1" t="s">
        <v>29</v>
      </c>
      <c r="J735" s="1" t="n">
        <v>10</v>
      </c>
      <c r="K735" s="1" t="n">
        <v>3.8</v>
      </c>
      <c r="L735" s="15" t="n">
        <v>489.19</v>
      </c>
      <c r="M735" s="15" t="n">
        <f aca="false">F735*G735</f>
        <v>555.9</v>
      </c>
      <c r="N735" s="15" t="n">
        <f aca="false">M735-L735</f>
        <v>66.71</v>
      </c>
      <c r="O735" s="1" t="n">
        <f aca="false">YEAR(B735)</f>
        <v>2024</v>
      </c>
      <c r="P735" s="1" t="n">
        <f aca="false">MONTH(B735)</f>
        <v>1</v>
      </c>
      <c r="Q735" s="1" t="str">
        <f aca="false">TEXT(B735,"mmm")</f>
        <v>Jan</v>
      </c>
      <c r="R735" s="1" t="str">
        <f aca="false">"Q"&amp;ROUNDUP(MONTH(B735)/3,0)</f>
        <v>Q1</v>
      </c>
    </row>
    <row r="736" customFormat="false" ht="15" hidden="false" customHeight="true" outlineLevel="0" collapsed="false">
      <c r="A736" s="1" t="n">
        <v>10735</v>
      </c>
      <c r="B736" s="14" t="n">
        <v>45296</v>
      </c>
      <c r="C736" s="1" t="n">
        <v>1616</v>
      </c>
      <c r="D736" s="1" t="s">
        <v>34</v>
      </c>
      <c r="E736" s="1" t="s">
        <v>32</v>
      </c>
      <c r="F736" s="1" t="n">
        <v>2</v>
      </c>
      <c r="G736" s="15" t="n">
        <v>156.38</v>
      </c>
      <c r="H736" s="16" t="n">
        <v>0.09</v>
      </c>
      <c r="I736" s="1" t="s">
        <v>31</v>
      </c>
      <c r="J736" s="1" t="n">
        <v>3</v>
      </c>
      <c r="K736" s="1" t="n">
        <v>4.6</v>
      </c>
      <c r="L736" s="15" t="n">
        <v>284.61</v>
      </c>
      <c r="M736" s="15" t="n">
        <f aca="false">F736*G736</f>
        <v>312.76</v>
      </c>
      <c r="N736" s="15" t="n">
        <f aca="false">M736-L736</f>
        <v>28.15</v>
      </c>
      <c r="O736" s="1" t="n">
        <f aca="false">YEAR(B736)</f>
        <v>2024</v>
      </c>
      <c r="P736" s="1" t="n">
        <f aca="false">MONTH(B736)</f>
        <v>1</v>
      </c>
      <c r="Q736" s="1" t="str">
        <f aca="false">TEXT(B736,"mmm")</f>
        <v>Jan</v>
      </c>
      <c r="R736" s="1" t="str">
        <f aca="false">"Q"&amp;ROUNDUP(MONTH(B736)/3,0)</f>
        <v>Q1</v>
      </c>
    </row>
    <row r="737" customFormat="false" ht="15" hidden="false" customHeight="true" outlineLevel="0" collapsed="false">
      <c r="A737" s="1" t="n">
        <v>10736</v>
      </c>
      <c r="B737" s="14" t="n">
        <v>45297</v>
      </c>
      <c r="C737" s="1" t="n">
        <v>1902</v>
      </c>
      <c r="D737" s="1" t="s">
        <v>34</v>
      </c>
      <c r="E737" s="1" t="s">
        <v>36</v>
      </c>
      <c r="F737" s="1" t="n">
        <v>2</v>
      </c>
      <c r="G737" s="15" t="n">
        <v>15.83</v>
      </c>
      <c r="H737" s="16" t="n">
        <v>0.33</v>
      </c>
      <c r="I737" s="1" t="s">
        <v>33</v>
      </c>
      <c r="J737" s="1" t="n">
        <v>10</v>
      </c>
      <c r="K737" s="1" t="n">
        <v>3.5</v>
      </c>
      <c r="L737" s="15" t="n">
        <v>21.21</v>
      </c>
      <c r="M737" s="15" t="n">
        <f aca="false">F737*G737</f>
        <v>31.66</v>
      </c>
      <c r="N737" s="15" t="n">
        <f aca="false">M737-L737</f>
        <v>10.45</v>
      </c>
      <c r="O737" s="1" t="n">
        <f aca="false">YEAR(B737)</f>
        <v>2024</v>
      </c>
      <c r="P737" s="1" t="n">
        <f aca="false">MONTH(B737)</f>
        <v>1</v>
      </c>
      <c r="Q737" s="1" t="str">
        <f aca="false">TEXT(B737,"mmm")</f>
        <v>Jan</v>
      </c>
      <c r="R737" s="1" t="str">
        <f aca="false">"Q"&amp;ROUNDUP(MONTH(B737)/3,0)</f>
        <v>Q1</v>
      </c>
    </row>
    <row r="738" customFormat="false" ht="15" hidden="false" customHeight="true" outlineLevel="0" collapsed="false">
      <c r="A738" s="1" t="n">
        <v>10737</v>
      </c>
      <c r="B738" s="14" t="n">
        <v>45298</v>
      </c>
      <c r="C738" s="1" t="n">
        <v>1195</v>
      </c>
      <c r="D738" s="1" t="s">
        <v>30</v>
      </c>
      <c r="E738" s="1" t="s">
        <v>36</v>
      </c>
      <c r="F738" s="1" t="n">
        <v>3</v>
      </c>
      <c r="G738" s="15" t="n">
        <v>342.58</v>
      </c>
      <c r="H738" s="16" t="n">
        <v>0.27</v>
      </c>
      <c r="I738" s="1" t="s">
        <v>33</v>
      </c>
      <c r="J738" s="1" t="n">
        <v>11</v>
      </c>
      <c r="K738" s="1" t="n">
        <v>2.6</v>
      </c>
      <c r="L738" s="15" t="n">
        <v>750.25</v>
      </c>
      <c r="M738" s="15" t="n">
        <f aca="false">F738*G738</f>
        <v>1027.74</v>
      </c>
      <c r="N738" s="15" t="n">
        <f aca="false">M738-L738</f>
        <v>277.49</v>
      </c>
      <c r="O738" s="1" t="n">
        <f aca="false">YEAR(B738)</f>
        <v>2024</v>
      </c>
      <c r="P738" s="1" t="n">
        <f aca="false">MONTH(B738)</f>
        <v>1</v>
      </c>
      <c r="Q738" s="1" t="str">
        <f aca="false">TEXT(B738,"mmm")</f>
        <v>Jan</v>
      </c>
      <c r="R738" s="1" t="str">
        <f aca="false">"Q"&amp;ROUNDUP(MONTH(B738)/3,0)</f>
        <v>Q1</v>
      </c>
    </row>
    <row r="739" customFormat="false" ht="15" hidden="false" customHeight="true" outlineLevel="0" collapsed="false">
      <c r="A739" s="1" t="n">
        <v>10738</v>
      </c>
      <c r="B739" s="14" t="n">
        <v>45299</v>
      </c>
      <c r="C739" s="1" t="n">
        <v>1825</v>
      </c>
      <c r="D739" s="1" t="s">
        <v>30</v>
      </c>
      <c r="E739" s="1" t="s">
        <v>36</v>
      </c>
      <c r="F739" s="1" t="n">
        <v>4</v>
      </c>
      <c r="G739" s="15" t="n">
        <v>360.53</v>
      </c>
      <c r="H739" s="16" t="n">
        <v>0.28</v>
      </c>
      <c r="I739" s="1" t="s">
        <v>33</v>
      </c>
      <c r="J739" s="1" t="n">
        <v>8</v>
      </c>
      <c r="K739" s="1" t="n">
        <v>3.9</v>
      </c>
      <c r="L739" s="15" t="n">
        <v>1038.33</v>
      </c>
      <c r="M739" s="15" t="n">
        <f aca="false">F739*G739</f>
        <v>1442.12</v>
      </c>
      <c r="N739" s="15" t="n">
        <f aca="false">M739-L739</f>
        <v>403.79</v>
      </c>
      <c r="O739" s="1" t="n">
        <f aca="false">YEAR(B739)</f>
        <v>2024</v>
      </c>
      <c r="P739" s="1" t="n">
        <f aca="false">MONTH(B739)</f>
        <v>1</v>
      </c>
      <c r="Q739" s="1" t="str">
        <f aca="false">TEXT(B739,"mmm")</f>
        <v>Jan</v>
      </c>
      <c r="R739" s="1" t="str">
        <f aca="false">"Q"&amp;ROUNDUP(MONTH(B739)/3,0)</f>
        <v>Q1</v>
      </c>
    </row>
    <row r="740" customFormat="false" ht="15" hidden="false" customHeight="true" outlineLevel="0" collapsed="false">
      <c r="A740" s="1" t="n">
        <v>10739</v>
      </c>
      <c r="B740" s="14" t="n">
        <v>45300</v>
      </c>
      <c r="C740" s="1" t="n">
        <v>1500</v>
      </c>
      <c r="D740" s="1" t="s">
        <v>34</v>
      </c>
      <c r="E740" s="1" t="s">
        <v>28</v>
      </c>
      <c r="F740" s="1" t="n">
        <v>1</v>
      </c>
      <c r="G740" s="15" t="n">
        <v>583.65</v>
      </c>
      <c r="H740" s="16" t="n">
        <v>0.22</v>
      </c>
      <c r="I740" s="1" t="s">
        <v>29</v>
      </c>
      <c r="J740" s="1" t="n">
        <v>6</v>
      </c>
      <c r="K740" s="1" t="n">
        <v>3.5</v>
      </c>
      <c r="L740" s="15" t="n">
        <v>455.25</v>
      </c>
      <c r="M740" s="15" t="n">
        <f aca="false">F740*G740</f>
        <v>583.65</v>
      </c>
      <c r="N740" s="15" t="n">
        <f aca="false">M740-L740</f>
        <v>128.4</v>
      </c>
      <c r="O740" s="1" t="n">
        <f aca="false">YEAR(B740)</f>
        <v>2024</v>
      </c>
      <c r="P740" s="1" t="n">
        <f aca="false">MONTH(B740)</f>
        <v>1</v>
      </c>
      <c r="Q740" s="1" t="str">
        <f aca="false">TEXT(B740,"mmm")</f>
        <v>Jan</v>
      </c>
      <c r="R740" s="1" t="str">
        <f aca="false">"Q"&amp;ROUNDUP(MONTH(B740)/3,0)</f>
        <v>Q1</v>
      </c>
    </row>
    <row r="741" customFormat="false" ht="15" hidden="false" customHeight="true" outlineLevel="0" collapsed="false">
      <c r="A741" s="1" t="n">
        <v>10740</v>
      </c>
      <c r="B741" s="14" t="n">
        <v>45301</v>
      </c>
      <c r="C741" s="1" t="n">
        <v>1625</v>
      </c>
      <c r="D741" s="1" t="s">
        <v>30</v>
      </c>
      <c r="E741" s="1" t="s">
        <v>32</v>
      </c>
      <c r="F741" s="1" t="n">
        <v>4</v>
      </c>
      <c r="G741" s="15" t="n">
        <v>226.46</v>
      </c>
      <c r="H741" s="16" t="n">
        <v>0.29</v>
      </c>
      <c r="I741" s="1" t="s">
        <v>31</v>
      </c>
      <c r="J741" s="1" t="n">
        <v>11</v>
      </c>
      <c r="K741" s="1" t="n">
        <v>3.5</v>
      </c>
      <c r="L741" s="15" t="n">
        <v>643.15</v>
      </c>
      <c r="M741" s="15" t="n">
        <f aca="false">F741*G741</f>
        <v>905.84</v>
      </c>
      <c r="N741" s="15" t="n">
        <f aca="false">M741-L741</f>
        <v>262.69</v>
      </c>
      <c r="O741" s="1" t="n">
        <f aca="false">YEAR(B741)</f>
        <v>2024</v>
      </c>
      <c r="P741" s="1" t="n">
        <f aca="false">MONTH(B741)</f>
        <v>1</v>
      </c>
      <c r="Q741" s="1" t="str">
        <f aca="false">TEXT(B741,"mmm")</f>
        <v>Jan</v>
      </c>
      <c r="R741" s="1" t="str">
        <f aca="false">"Q"&amp;ROUNDUP(MONTH(B741)/3,0)</f>
        <v>Q1</v>
      </c>
    </row>
    <row r="742" customFormat="false" ht="15" hidden="false" customHeight="true" outlineLevel="0" collapsed="false">
      <c r="A742" s="1" t="n">
        <v>10741</v>
      </c>
      <c r="B742" s="14" t="n">
        <v>45302</v>
      </c>
      <c r="C742" s="1" t="n">
        <v>1492</v>
      </c>
      <c r="D742" s="1" t="s">
        <v>30</v>
      </c>
      <c r="E742" s="1" t="s">
        <v>35</v>
      </c>
      <c r="F742" s="1" t="n">
        <v>5</v>
      </c>
      <c r="G742" s="15" t="n">
        <v>245.57</v>
      </c>
      <c r="H742" s="16" t="n">
        <v>0.27</v>
      </c>
      <c r="I742" s="1" t="s">
        <v>31</v>
      </c>
      <c r="J742" s="1" t="n">
        <v>4</v>
      </c>
      <c r="K742" s="1" t="n">
        <v>4.4</v>
      </c>
      <c r="L742" s="15" t="n">
        <v>896.33</v>
      </c>
      <c r="M742" s="15" t="n">
        <f aca="false">F742*G742</f>
        <v>1227.85</v>
      </c>
      <c r="N742" s="15" t="n">
        <f aca="false">M742-L742</f>
        <v>331.52</v>
      </c>
      <c r="O742" s="1" t="n">
        <f aca="false">YEAR(B742)</f>
        <v>2024</v>
      </c>
      <c r="P742" s="1" t="n">
        <f aca="false">MONTH(B742)</f>
        <v>1</v>
      </c>
      <c r="Q742" s="1" t="str">
        <f aca="false">TEXT(B742,"mmm")</f>
        <v>Jan</v>
      </c>
      <c r="R742" s="1" t="str">
        <f aca="false">"Q"&amp;ROUNDUP(MONTH(B742)/3,0)</f>
        <v>Q1</v>
      </c>
    </row>
    <row r="743" customFormat="false" ht="15" hidden="false" customHeight="true" outlineLevel="0" collapsed="false">
      <c r="A743" s="1" t="n">
        <v>10742</v>
      </c>
      <c r="B743" s="14" t="n">
        <v>45303</v>
      </c>
      <c r="C743" s="1" t="n">
        <v>1074</v>
      </c>
      <c r="D743" s="1" t="s">
        <v>37</v>
      </c>
      <c r="E743" s="1" t="s">
        <v>35</v>
      </c>
      <c r="F743" s="1" t="n">
        <v>3</v>
      </c>
      <c r="G743" s="15" t="n">
        <v>133.05</v>
      </c>
      <c r="H743" s="16" t="n">
        <v>0.21</v>
      </c>
      <c r="I743" s="1" t="s">
        <v>33</v>
      </c>
      <c r="J743" s="1" t="n">
        <v>2</v>
      </c>
      <c r="K743" s="1" t="n">
        <v>4.6</v>
      </c>
      <c r="L743" s="15" t="n">
        <v>315.33</v>
      </c>
      <c r="M743" s="15" t="n">
        <f aca="false">F743*G743</f>
        <v>399.15</v>
      </c>
      <c r="N743" s="15" t="n">
        <f aca="false">M743-L743</f>
        <v>83.8200000000001</v>
      </c>
      <c r="O743" s="1" t="n">
        <f aca="false">YEAR(B743)</f>
        <v>2024</v>
      </c>
      <c r="P743" s="1" t="n">
        <f aca="false">MONTH(B743)</f>
        <v>1</v>
      </c>
      <c r="Q743" s="1" t="str">
        <f aca="false">TEXT(B743,"mmm")</f>
        <v>Jan</v>
      </c>
      <c r="R743" s="1" t="str">
        <f aca="false">"Q"&amp;ROUNDUP(MONTH(B743)/3,0)</f>
        <v>Q1</v>
      </c>
    </row>
    <row r="744" customFormat="false" ht="15" hidden="false" customHeight="true" outlineLevel="0" collapsed="false">
      <c r="A744" s="1" t="n">
        <v>10743</v>
      </c>
      <c r="B744" s="14" t="n">
        <v>45304</v>
      </c>
      <c r="C744" s="1" t="n">
        <v>1412</v>
      </c>
      <c r="D744" s="1" t="s">
        <v>37</v>
      </c>
      <c r="E744" s="1" t="s">
        <v>32</v>
      </c>
      <c r="F744" s="1" t="n">
        <v>6</v>
      </c>
      <c r="G744" s="15" t="n">
        <v>56.26</v>
      </c>
      <c r="H744" s="16" t="n">
        <v>0.34</v>
      </c>
      <c r="I744" s="1" t="s">
        <v>33</v>
      </c>
      <c r="J744" s="1" t="n">
        <v>7</v>
      </c>
      <c r="K744" s="1" t="n">
        <v>1.7</v>
      </c>
      <c r="L744" s="15" t="n">
        <v>222.79</v>
      </c>
      <c r="M744" s="15" t="n">
        <f aca="false">F744*G744</f>
        <v>337.56</v>
      </c>
      <c r="N744" s="15" t="n">
        <f aca="false">M744-L744</f>
        <v>114.77</v>
      </c>
      <c r="O744" s="1" t="n">
        <f aca="false">YEAR(B744)</f>
        <v>2024</v>
      </c>
      <c r="P744" s="1" t="n">
        <f aca="false">MONTH(B744)</f>
        <v>1</v>
      </c>
      <c r="Q744" s="1" t="str">
        <f aca="false">TEXT(B744,"mmm")</f>
        <v>Jan</v>
      </c>
      <c r="R744" s="1" t="str">
        <f aca="false">"Q"&amp;ROUNDUP(MONTH(B744)/3,0)</f>
        <v>Q1</v>
      </c>
    </row>
    <row r="745" customFormat="false" ht="15" hidden="false" customHeight="true" outlineLevel="0" collapsed="false">
      <c r="A745" s="1" t="n">
        <v>10744</v>
      </c>
      <c r="B745" s="14" t="n">
        <v>45305</v>
      </c>
      <c r="C745" s="1" t="n">
        <v>1375</v>
      </c>
      <c r="D745" s="1" t="s">
        <v>37</v>
      </c>
      <c r="E745" s="1" t="s">
        <v>35</v>
      </c>
      <c r="F745" s="1" t="n">
        <v>3</v>
      </c>
      <c r="G745" s="15" t="n">
        <v>467.09</v>
      </c>
      <c r="H745" s="16" t="n">
        <v>0.07</v>
      </c>
      <c r="I745" s="1" t="s">
        <v>31</v>
      </c>
      <c r="J745" s="1" t="n">
        <v>1</v>
      </c>
      <c r="K745" s="1" t="n">
        <v>2.3</v>
      </c>
      <c r="L745" s="15" t="n">
        <v>1303.18</v>
      </c>
      <c r="M745" s="15" t="n">
        <f aca="false">F745*G745</f>
        <v>1401.27</v>
      </c>
      <c r="N745" s="15" t="n">
        <f aca="false">M745-L745</f>
        <v>98.0899999999999</v>
      </c>
      <c r="O745" s="1" t="n">
        <f aca="false">YEAR(B745)</f>
        <v>2024</v>
      </c>
      <c r="P745" s="1" t="n">
        <f aca="false">MONTH(B745)</f>
        <v>1</v>
      </c>
      <c r="Q745" s="1" t="str">
        <f aca="false">TEXT(B745,"mmm")</f>
        <v>Jan</v>
      </c>
      <c r="R745" s="1" t="str">
        <f aca="false">"Q"&amp;ROUNDUP(MONTH(B745)/3,0)</f>
        <v>Q1</v>
      </c>
    </row>
    <row r="746" customFormat="false" ht="15" hidden="false" customHeight="true" outlineLevel="0" collapsed="false">
      <c r="A746" s="1" t="n">
        <v>10745</v>
      </c>
      <c r="B746" s="14" t="n">
        <v>45306</v>
      </c>
      <c r="C746" s="1" t="n">
        <v>1419</v>
      </c>
      <c r="D746" s="1" t="s">
        <v>34</v>
      </c>
      <c r="E746" s="1" t="s">
        <v>28</v>
      </c>
      <c r="F746" s="1" t="n">
        <v>7</v>
      </c>
      <c r="G746" s="15" t="n">
        <v>161.06</v>
      </c>
      <c r="H746" s="16" t="n">
        <v>0.33</v>
      </c>
      <c r="I746" s="1" t="s">
        <v>31</v>
      </c>
      <c r="J746" s="1" t="n">
        <v>7</v>
      </c>
      <c r="K746" s="1" t="n">
        <v>3.6</v>
      </c>
      <c r="L746" s="15" t="n">
        <v>755.37</v>
      </c>
      <c r="M746" s="15" t="n">
        <f aca="false">F746*G746</f>
        <v>1127.42</v>
      </c>
      <c r="N746" s="15" t="n">
        <f aca="false">M746-L746</f>
        <v>372.05</v>
      </c>
      <c r="O746" s="1" t="n">
        <f aca="false">YEAR(B746)</f>
        <v>2024</v>
      </c>
      <c r="P746" s="1" t="n">
        <f aca="false">MONTH(B746)</f>
        <v>1</v>
      </c>
      <c r="Q746" s="1" t="str">
        <f aca="false">TEXT(B746,"mmm")</f>
        <v>Jan</v>
      </c>
      <c r="R746" s="1" t="str">
        <f aca="false">"Q"&amp;ROUNDUP(MONTH(B746)/3,0)</f>
        <v>Q1</v>
      </c>
    </row>
    <row r="747" customFormat="false" ht="15" hidden="false" customHeight="true" outlineLevel="0" collapsed="false">
      <c r="A747" s="1" t="n">
        <v>10746</v>
      </c>
      <c r="B747" s="14" t="n">
        <v>45307</v>
      </c>
      <c r="C747" s="1" t="n">
        <v>1728</v>
      </c>
      <c r="D747" s="1" t="s">
        <v>34</v>
      </c>
      <c r="E747" s="1" t="s">
        <v>28</v>
      </c>
      <c r="F747" s="1" t="n">
        <v>2</v>
      </c>
      <c r="G747" s="15" t="n">
        <v>371.21</v>
      </c>
      <c r="H747" s="16" t="n">
        <v>0.14</v>
      </c>
      <c r="I747" s="1" t="s">
        <v>33</v>
      </c>
      <c r="J747" s="1" t="n">
        <v>10</v>
      </c>
      <c r="K747" s="1" t="n">
        <v>3.2</v>
      </c>
      <c r="L747" s="15" t="n">
        <v>638.48</v>
      </c>
      <c r="M747" s="15" t="n">
        <f aca="false">F747*G747</f>
        <v>742.42</v>
      </c>
      <c r="N747" s="15" t="n">
        <f aca="false">M747-L747</f>
        <v>103.94</v>
      </c>
      <c r="O747" s="1" t="n">
        <f aca="false">YEAR(B747)</f>
        <v>2024</v>
      </c>
      <c r="P747" s="1" t="n">
        <f aca="false">MONTH(B747)</f>
        <v>1</v>
      </c>
      <c r="Q747" s="1" t="str">
        <f aca="false">TEXT(B747,"mmm")</f>
        <v>Jan</v>
      </c>
      <c r="R747" s="1" t="str">
        <f aca="false">"Q"&amp;ROUNDUP(MONTH(B747)/3,0)</f>
        <v>Q1</v>
      </c>
    </row>
    <row r="748" customFormat="false" ht="15" hidden="false" customHeight="true" outlineLevel="0" collapsed="false">
      <c r="A748" s="1" t="n">
        <v>10747</v>
      </c>
      <c r="B748" s="14" t="n">
        <v>45308</v>
      </c>
      <c r="C748" s="1" t="n">
        <v>1276</v>
      </c>
      <c r="D748" s="1" t="s">
        <v>37</v>
      </c>
      <c r="E748" s="1" t="s">
        <v>36</v>
      </c>
      <c r="F748" s="1" t="n">
        <v>2</v>
      </c>
      <c r="G748" s="15" t="n">
        <v>417.35</v>
      </c>
      <c r="H748" s="16" t="n">
        <v>0.18</v>
      </c>
      <c r="I748" s="1" t="s">
        <v>29</v>
      </c>
      <c r="J748" s="1" t="n">
        <v>10</v>
      </c>
      <c r="K748" s="1" t="n">
        <v>3.6</v>
      </c>
      <c r="L748" s="15" t="n">
        <v>684.45</v>
      </c>
      <c r="M748" s="15" t="n">
        <f aca="false">F748*G748</f>
        <v>834.7</v>
      </c>
      <c r="N748" s="15" t="n">
        <f aca="false">M748-L748</f>
        <v>150.25</v>
      </c>
      <c r="O748" s="1" t="n">
        <f aca="false">YEAR(B748)</f>
        <v>2024</v>
      </c>
      <c r="P748" s="1" t="n">
        <f aca="false">MONTH(B748)</f>
        <v>1</v>
      </c>
      <c r="Q748" s="1" t="str">
        <f aca="false">TEXT(B748,"mmm")</f>
        <v>Jan</v>
      </c>
      <c r="R748" s="1" t="str">
        <f aca="false">"Q"&amp;ROUNDUP(MONTH(B748)/3,0)</f>
        <v>Q1</v>
      </c>
    </row>
    <row r="749" customFormat="false" ht="15" hidden="false" customHeight="true" outlineLevel="0" collapsed="false">
      <c r="A749" s="1" t="n">
        <v>10748</v>
      </c>
      <c r="B749" s="14" t="n">
        <v>45309</v>
      </c>
      <c r="C749" s="1" t="n">
        <v>1760</v>
      </c>
      <c r="D749" s="1" t="s">
        <v>30</v>
      </c>
      <c r="E749" s="1" t="s">
        <v>36</v>
      </c>
      <c r="F749" s="1" t="n">
        <v>5</v>
      </c>
      <c r="G749" s="15" t="n">
        <v>290.67</v>
      </c>
      <c r="H749" s="16" t="n">
        <v>0.04</v>
      </c>
      <c r="I749" s="1" t="s">
        <v>33</v>
      </c>
      <c r="J749" s="1" t="n">
        <v>7</v>
      </c>
      <c r="K749" s="1" t="n">
        <v>2.7</v>
      </c>
      <c r="L749" s="15" t="n">
        <v>1395.22</v>
      </c>
      <c r="M749" s="15" t="n">
        <f aca="false">F749*G749</f>
        <v>1453.35</v>
      </c>
      <c r="N749" s="15" t="n">
        <f aca="false">M749-L749</f>
        <v>58.1300000000001</v>
      </c>
      <c r="O749" s="1" t="n">
        <f aca="false">YEAR(B749)</f>
        <v>2024</v>
      </c>
      <c r="P749" s="1" t="n">
        <f aca="false">MONTH(B749)</f>
        <v>1</v>
      </c>
      <c r="Q749" s="1" t="str">
        <f aca="false">TEXT(B749,"mmm")</f>
        <v>Jan</v>
      </c>
      <c r="R749" s="1" t="str">
        <f aca="false">"Q"&amp;ROUNDUP(MONTH(B749)/3,0)</f>
        <v>Q1</v>
      </c>
    </row>
    <row r="750" customFormat="false" ht="15" hidden="false" customHeight="true" outlineLevel="0" collapsed="false">
      <c r="A750" s="1" t="n">
        <v>10749</v>
      </c>
      <c r="B750" s="14" t="n">
        <v>45310</v>
      </c>
      <c r="C750" s="1" t="n">
        <v>1675</v>
      </c>
      <c r="D750" s="1" t="s">
        <v>34</v>
      </c>
      <c r="E750" s="1" t="s">
        <v>36</v>
      </c>
      <c r="F750" s="1" t="n">
        <v>6</v>
      </c>
      <c r="G750" s="15" t="n">
        <v>527.67</v>
      </c>
      <c r="H750" s="16" t="n">
        <v>0.19</v>
      </c>
      <c r="I750" s="1" t="s">
        <v>29</v>
      </c>
      <c r="J750" s="1" t="n">
        <v>10</v>
      </c>
      <c r="K750" s="1" t="n">
        <v>2.6</v>
      </c>
      <c r="L750" s="15" t="n">
        <v>2564.48</v>
      </c>
      <c r="M750" s="15" t="n">
        <f aca="false">F750*G750</f>
        <v>3166.02</v>
      </c>
      <c r="N750" s="15" t="n">
        <f aca="false">M750-L750</f>
        <v>601.54</v>
      </c>
      <c r="O750" s="1" t="n">
        <f aca="false">YEAR(B750)</f>
        <v>2024</v>
      </c>
      <c r="P750" s="1" t="n">
        <f aca="false">MONTH(B750)</f>
        <v>1</v>
      </c>
      <c r="Q750" s="1" t="str">
        <f aca="false">TEXT(B750,"mmm")</f>
        <v>Jan</v>
      </c>
      <c r="R750" s="1" t="str">
        <f aca="false">"Q"&amp;ROUNDUP(MONTH(B750)/3,0)</f>
        <v>Q1</v>
      </c>
    </row>
    <row r="751" customFormat="false" ht="15" hidden="false" customHeight="true" outlineLevel="0" collapsed="false">
      <c r="A751" s="1" t="n">
        <v>10750</v>
      </c>
      <c r="B751" s="14" t="n">
        <v>45311</v>
      </c>
      <c r="C751" s="1" t="n">
        <v>1393</v>
      </c>
      <c r="D751" s="1" t="s">
        <v>37</v>
      </c>
      <c r="E751" s="1" t="s">
        <v>36</v>
      </c>
      <c r="F751" s="1" t="n">
        <v>7</v>
      </c>
      <c r="G751" s="15" t="n">
        <v>274.62</v>
      </c>
      <c r="H751" s="16" t="n">
        <v>0.21</v>
      </c>
      <c r="I751" s="1" t="s">
        <v>33</v>
      </c>
      <c r="J751" s="1" t="n">
        <v>3</v>
      </c>
      <c r="K751" s="1" t="n">
        <v>1.5</v>
      </c>
      <c r="L751" s="15" t="n">
        <v>1518.65</v>
      </c>
      <c r="M751" s="15" t="n">
        <f aca="false">F751*G751</f>
        <v>1922.34</v>
      </c>
      <c r="N751" s="15" t="n">
        <f aca="false">M751-L751</f>
        <v>403.69</v>
      </c>
      <c r="O751" s="1" t="n">
        <f aca="false">YEAR(B751)</f>
        <v>2024</v>
      </c>
      <c r="P751" s="1" t="n">
        <f aca="false">MONTH(B751)</f>
        <v>1</v>
      </c>
      <c r="Q751" s="1" t="str">
        <f aca="false">TEXT(B751,"mmm")</f>
        <v>Jan</v>
      </c>
      <c r="R751" s="1" t="str">
        <f aca="false">"Q"&amp;ROUNDUP(MONTH(B751)/3,0)</f>
        <v>Q1</v>
      </c>
    </row>
    <row r="752" customFormat="false" ht="15" hidden="false" customHeight="true" outlineLevel="0" collapsed="false">
      <c r="A752" s="1" t="n">
        <v>10751</v>
      </c>
      <c r="B752" s="14" t="n">
        <v>45312</v>
      </c>
      <c r="C752" s="1" t="n">
        <v>1868</v>
      </c>
      <c r="D752" s="1" t="s">
        <v>37</v>
      </c>
      <c r="E752" s="1" t="s">
        <v>36</v>
      </c>
      <c r="F752" s="1" t="n">
        <v>3</v>
      </c>
      <c r="G752" s="15" t="n">
        <v>181.67</v>
      </c>
      <c r="H752" s="16" t="n">
        <v>0.35</v>
      </c>
      <c r="I752" s="1" t="s">
        <v>31</v>
      </c>
      <c r="J752" s="1" t="n">
        <v>4</v>
      </c>
      <c r="K752" s="1" t="n">
        <v>3.5</v>
      </c>
      <c r="L752" s="15" t="n">
        <v>354.26</v>
      </c>
      <c r="M752" s="15" t="n">
        <f aca="false">F752*G752</f>
        <v>545.01</v>
      </c>
      <c r="N752" s="15" t="n">
        <f aca="false">M752-L752</f>
        <v>190.75</v>
      </c>
      <c r="O752" s="1" t="n">
        <f aca="false">YEAR(B752)</f>
        <v>2024</v>
      </c>
      <c r="P752" s="1" t="n">
        <f aca="false">MONTH(B752)</f>
        <v>1</v>
      </c>
      <c r="Q752" s="1" t="str">
        <f aca="false">TEXT(B752,"mmm")</f>
        <v>Jan</v>
      </c>
      <c r="R752" s="1" t="str">
        <f aca="false">"Q"&amp;ROUNDUP(MONTH(B752)/3,0)</f>
        <v>Q1</v>
      </c>
    </row>
    <row r="753" customFormat="false" ht="15" hidden="false" customHeight="true" outlineLevel="0" collapsed="false">
      <c r="A753" s="1" t="n">
        <v>10752</v>
      </c>
      <c r="B753" s="14" t="n">
        <v>45313</v>
      </c>
      <c r="C753" s="1" t="n">
        <v>1456</v>
      </c>
      <c r="D753" s="1" t="s">
        <v>30</v>
      </c>
      <c r="E753" s="1" t="s">
        <v>35</v>
      </c>
      <c r="F753" s="1" t="n">
        <v>6</v>
      </c>
      <c r="G753" s="15" t="n">
        <v>539.17</v>
      </c>
      <c r="H753" s="16" t="n">
        <v>0.34</v>
      </c>
      <c r="I753" s="1" t="s">
        <v>31</v>
      </c>
      <c r="J753" s="1" t="n">
        <v>4</v>
      </c>
      <c r="K753" s="1" t="n">
        <v>1.7</v>
      </c>
      <c r="L753" s="15" t="n">
        <v>2135.11</v>
      </c>
      <c r="M753" s="15" t="n">
        <f aca="false">F753*G753</f>
        <v>3235.02</v>
      </c>
      <c r="N753" s="15" t="n">
        <f aca="false">M753-L753</f>
        <v>1099.91</v>
      </c>
      <c r="O753" s="1" t="n">
        <f aca="false">YEAR(B753)</f>
        <v>2024</v>
      </c>
      <c r="P753" s="1" t="n">
        <f aca="false">MONTH(B753)</f>
        <v>1</v>
      </c>
      <c r="Q753" s="1" t="str">
        <f aca="false">TEXT(B753,"mmm")</f>
        <v>Jan</v>
      </c>
      <c r="R753" s="1" t="str">
        <f aca="false">"Q"&amp;ROUNDUP(MONTH(B753)/3,0)</f>
        <v>Q1</v>
      </c>
    </row>
    <row r="754" customFormat="false" ht="15" hidden="false" customHeight="true" outlineLevel="0" collapsed="false">
      <c r="A754" s="1" t="n">
        <v>10753</v>
      </c>
      <c r="B754" s="14" t="n">
        <v>45314</v>
      </c>
      <c r="C754" s="1" t="n">
        <v>1919</v>
      </c>
      <c r="D754" s="1" t="s">
        <v>34</v>
      </c>
      <c r="E754" s="1" t="s">
        <v>35</v>
      </c>
      <c r="F754" s="1" t="n">
        <v>1</v>
      </c>
      <c r="G754" s="15" t="n">
        <v>519.02</v>
      </c>
      <c r="H754" s="16" t="n">
        <v>0.34</v>
      </c>
      <c r="I754" s="1" t="s">
        <v>33</v>
      </c>
      <c r="J754" s="1" t="n">
        <v>4</v>
      </c>
      <c r="K754" s="1" t="n">
        <v>3.7</v>
      </c>
      <c r="L754" s="15" t="n">
        <v>342.55</v>
      </c>
      <c r="M754" s="15" t="n">
        <f aca="false">F754*G754</f>
        <v>519.02</v>
      </c>
      <c r="N754" s="15" t="n">
        <f aca="false">M754-L754</f>
        <v>176.47</v>
      </c>
      <c r="O754" s="1" t="n">
        <f aca="false">YEAR(B754)</f>
        <v>2024</v>
      </c>
      <c r="P754" s="1" t="n">
        <f aca="false">MONTH(B754)</f>
        <v>1</v>
      </c>
      <c r="Q754" s="1" t="str">
        <f aca="false">TEXT(B754,"mmm")</f>
        <v>Jan</v>
      </c>
      <c r="R754" s="1" t="str">
        <f aca="false">"Q"&amp;ROUNDUP(MONTH(B754)/3,0)</f>
        <v>Q1</v>
      </c>
    </row>
    <row r="755" customFormat="false" ht="15" hidden="false" customHeight="true" outlineLevel="0" collapsed="false">
      <c r="A755" s="1" t="n">
        <v>10754</v>
      </c>
      <c r="B755" s="14" t="n">
        <v>45315</v>
      </c>
      <c r="C755" s="1" t="n">
        <v>1191</v>
      </c>
      <c r="D755" s="1" t="s">
        <v>37</v>
      </c>
      <c r="E755" s="1" t="s">
        <v>36</v>
      </c>
      <c r="F755" s="1" t="n">
        <v>4</v>
      </c>
      <c r="G755" s="15" t="n">
        <v>110.96</v>
      </c>
      <c r="H755" s="16" t="n">
        <v>0.12</v>
      </c>
      <c r="I755" s="1" t="s">
        <v>33</v>
      </c>
      <c r="J755" s="1" t="n">
        <v>9</v>
      </c>
      <c r="K755" s="1" t="n">
        <v>4.9</v>
      </c>
      <c r="L755" s="15" t="n">
        <v>390.58</v>
      </c>
      <c r="M755" s="15" t="n">
        <f aca="false">F755*G755</f>
        <v>443.84</v>
      </c>
      <c r="N755" s="15" t="n">
        <f aca="false">M755-L755</f>
        <v>53.26</v>
      </c>
      <c r="O755" s="1" t="n">
        <f aca="false">YEAR(B755)</f>
        <v>2024</v>
      </c>
      <c r="P755" s="1" t="n">
        <f aca="false">MONTH(B755)</f>
        <v>1</v>
      </c>
      <c r="Q755" s="1" t="str">
        <f aca="false">TEXT(B755,"mmm")</f>
        <v>Jan</v>
      </c>
      <c r="R755" s="1" t="str">
        <f aca="false">"Q"&amp;ROUNDUP(MONTH(B755)/3,0)</f>
        <v>Q1</v>
      </c>
    </row>
    <row r="756" customFormat="false" ht="15" hidden="false" customHeight="true" outlineLevel="0" collapsed="false">
      <c r="A756" s="1" t="n">
        <v>10755</v>
      </c>
      <c r="B756" s="14" t="n">
        <v>45316</v>
      </c>
      <c r="C756" s="1" t="n">
        <v>1738</v>
      </c>
      <c r="D756" s="1" t="s">
        <v>30</v>
      </c>
      <c r="E756" s="1" t="s">
        <v>28</v>
      </c>
      <c r="F756" s="1" t="n">
        <v>3</v>
      </c>
      <c r="G756" s="15" t="n">
        <v>30.19</v>
      </c>
      <c r="H756" s="16" t="n">
        <v>0.35</v>
      </c>
      <c r="I756" s="1" t="s">
        <v>33</v>
      </c>
      <c r="J756" s="1" t="n">
        <v>6</v>
      </c>
      <c r="K756" s="1" t="n">
        <v>2</v>
      </c>
      <c r="L756" s="15" t="n">
        <v>58.87</v>
      </c>
      <c r="M756" s="15" t="n">
        <f aca="false">F756*G756</f>
        <v>90.57</v>
      </c>
      <c r="N756" s="15" t="n">
        <f aca="false">M756-L756</f>
        <v>31.7</v>
      </c>
      <c r="O756" s="1" t="n">
        <f aca="false">YEAR(B756)</f>
        <v>2024</v>
      </c>
      <c r="P756" s="1" t="n">
        <f aca="false">MONTH(B756)</f>
        <v>1</v>
      </c>
      <c r="Q756" s="1" t="str">
        <f aca="false">TEXT(B756,"mmm")</f>
        <v>Jan</v>
      </c>
      <c r="R756" s="1" t="str">
        <f aca="false">"Q"&amp;ROUNDUP(MONTH(B756)/3,0)</f>
        <v>Q1</v>
      </c>
    </row>
    <row r="757" customFormat="false" ht="15" hidden="false" customHeight="true" outlineLevel="0" collapsed="false">
      <c r="A757" s="1" t="n">
        <v>10756</v>
      </c>
      <c r="B757" s="14" t="n">
        <v>45317</v>
      </c>
      <c r="C757" s="1" t="n">
        <v>1688</v>
      </c>
      <c r="D757" s="1" t="s">
        <v>37</v>
      </c>
      <c r="E757" s="1" t="s">
        <v>35</v>
      </c>
      <c r="F757" s="1" t="n">
        <v>6</v>
      </c>
      <c r="G757" s="15" t="n">
        <v>67.64</v>
      </c>
      <c r="H757" s="16" t="n">
        <v>0.16</v>
      </c>
      <c r="I757" s="1" t="s">
        <v>33</v>
      </c>
      <c r="J757" s="1" t="n">
        <v>10</v>
      </c>
      <c r="K757" s="1" t="n">
        <v>1.6</v>
      </c>
      <c r="L757" s="15" t="n">
        <v>340.91</v>
      </c>
      <c r="M757" s="15" t="n">
        <f aca="false">F757*G757</f>
        <v>405.84</v>
      </c>
      <c r="N757" s="15" t="n">
        <f aca="false">M757-L757</f>
        <v>64.93</v>
      </c>
      <c r="O757" s="1" t="n">
        <f aca="false">YEAR(B757)</f>
        <v>2024</v>
      </c>
      <c r="P757" s="1" t="n">
        <f aca="false">MONTH(B757)</f>
        <v>1</v>
      </c>
      <c r="Q757" s="1" t="str">
        <f aca="false">TEXT(B757,"mmm")</f>
        <v>Jan</v>
      </c>
      <c r="R757" s="1" t="str">
        <f aca="false">"Q"&amp;ROUNDUP(MONTH(B757)/3,0)</f>
        <v>Q1</v>
      </c>
    </row>
    <row r="758" customFormat="false" ht="15" hidden="false" customHeight="true" outlineLevel="0" collapsed="false">
      <c r="A758" s="1" t="n">
        <v>10757</v>
      </c>
      <c r="B758" s="14" t="n">
        <v>45318</v>
      </c>
      <c r="C758" s="1" t="n">
        <v>1098</v>
      </c>
      <c r="D758" s="1" t="s">
        <v>37</v>
      </c>
      <c r="E758" s="1" t="s">
        <v>28</v>
      </c>
      <c r="F758" s="1" t="n">
        <v>1</v>
      </c>
      <c r="G758" s="15" t="n">
        <v>182.63</v>
      </c>
      <c r="H758" s="16" t="n">
        <v>0.3</v>
      </c>
      <c r="I758" s="1" t="s">
        <v>29</v>
      </c>
      <c r="J758" s="1" t="n">
        <v>9</v>
      </c>
      <c r="K758" s="1" t="n">
        <v>1.1</v>
      </c>
      <c r="L758" s="15" t="n">
        <v>127.84</v>
      </c>
      <c r="M758" s="15" t="n">
        <f aca="false">F758*G758</f>
        <v>182.63</v>
      </c>
      <c r="N758" s="15" t="n">
        <f aca="false">M758-L758</f>
        <v>54.79</v>
      </c>
      <c r="O758" s="1" t="n">
        <f aca="false">YEAR(B758)</f>
        <v>2024</v>
      </c>
      <c r="P758" s="1" t="n">
        <f aca="false">MONTH(B758)</f>
        <v>1</v>
      </c>
      <c r="Q758" s="1" t="str">
        <f aca="false">TEXT(B758,"mmm")</f>
        <v>Jan</v>
      </c>
      <c r="R758" s="1" t="str">
        <f aca="false">"Q"&amp;ROUNDUP(MONTH(B758)/3,0)</f>
        <v>Q1</v>
      </c>
    </row>
    <row r="759" customFormat="false" ht="15" hidden="false" customHeight="true" outlineLevel="0" collapsed="false">
      <c r="A759" s="1" t="n">
        <v>10758</v>
      </c>
      <c r="B759" s="14" t="n">
        <v>45319</v>
      </c>
      <c r="C759" s="1" t="n">
        <v>1547</v>
      </c>
      <c r="D759" s="1" t="s">
        <v>37</v>
      </c>
      <c r="E759" s="1" t="s">
        <v>28</v>
      </c>
      <c r="F759" s="1" t="n">
        <v>1</v>
      </c>
      <c r="G759" s="15" t="n">
        <v>583.77</v>
      </c>
      <c r="H759" s="16" t="n">
        <v>0.08</v>
      </c>
      <c r="I759" s="1" t="s">
        <v>33</v>
      </c>
      <c r="J759" s="1" t="n">
        <v>4</v>
      </c>
      <c r="K759" s="1" t="n">
        <v>2.5</v>
      </c>
      <c r="L759" s="15" t="n">
        <v>537.07</v>
      </c>
      <c r="M759" s="15" t="n">
        <f aca="false">F759*G759</f>
        <v>583.77</v>
      </c>
      <c r="N759" s="15" t="n">
        <f aca="false">M759-L759</f>
        <v>46.6999999999999</v>
      </c>
      <c r="O759" s="1" t="n">
        <f aca="false">YEAR(B759)</f>
        <v>2024</v>
      </c>
      <c r="P759" s="1" t="n">
        <f aca="false">MONTH(B759)</f>
        <v>1</v>
      </c>
      <c r="Q759" s="1" t="str">
        <f aca="false">TEXT(B759,"mmm")</f>
        <v>Jan</v>
      </c>
      <c r="R759" s="1" t="str">
        <f aca="false">"Q"&amp;ROUNDUP(MONTH(B759)/3,0)</f>
        <v>Q1</v>
      </c>
    </row>
    <row r="760" customFormat="false" ht="15" hidden="false" customHeight="true" outlineLevel="0" collapsed="false">
      <c r="A760" s="1" t="n">
        <v>10759</v>
      </c>
      <c r="B760" s="14" t="n">
        <v>45320</v>
      </c>
      <c r="C760" s="1" t="n">
        <v>1977</v>
      </c>
      <c r="D760" s="1" t="s">
        <v>30</v>
      </c>
      <c r="E760" s="1" t="s">
        <v>32</v>
      </c>
      <c r="F760" s="1" t="n">
        <v>7</v>
      </c>
      <c r="G760" s="15" t="n">
        <v>341.73</v>
      </c>
      <c r="H760" s="16" t="n">
        <v>0.18</v>
      </c>
      <c r="I760" s="1" t="s">
        <v>31</v>
      </c>
      <c r="J760" s="1" t="n">
        <v>7</v>
      </c>
      <c r="K760" s="1" t="n">
        <v>1.9</v>
      </c>
      <c r="L760" s="15" t="n">
        <v>1961.53</v>
      </c>
      <c r="M760" s="15" t="n">
        <f aca="false">F760*G760</f>
        <v>2392.11</v>
      </c>
      <c r="N760" s="15" t="n">
        <f aca="false">M760-L760</f>
        <v>430.58</v>
      </c>
      <c r="O760" s="1" t="n">
        <f aca="false">YEAR(B760)</f>
        <v>2024</v>
      </c>
      <c r="P760" s="1" t="n">
        <f aca="false">MONTH(B760)</f>
        <v>1</v>
      </c>
      <c r="Q760" s="1" t="str">
        <f aca="false">TEXT(B760,"mmm")</f>
        <v>Jan</v>
      </c>
      <c r="R760" s="1" t="str">
        <f aca="false">"Q"&amp;ROUNDUP(MONTH(B760)/3,0)</f>
        <v>Q1</v>
      </c>
    </row>
    <row r="761" customFormat="false" ht="15" hidden="false" customHeight="true" outlineLevel="0" collapsed="false">
      <c r="A761" s="1" t="n">
        <v>10760</v>
      </c>
      <c r="B761" s="14" t="n">
        <v>45321</v>
      </c>
      <c r="C761" s="1" t="n">
        <v>1998</v>
      </c>
      <c r="D761" s="1" t="s">
        <v>34</v>
      </c>
      <c r="E761" s="1" t="s">
        <v>32</v>
      </c>
      <c r="F761" s="1" t="n">
        <v>7</v>
      </c>
      <c r="G761" s="15" t="n">
        <v>233.36</v>
      </c>
      <c r="H761" s="16" t="n">
        <v>0.34</v>
      </c>
      <c r="I761" s="1" t="s">
        <v>31</v>
      </c>
      <c r="J761" s="1" t="n">
        <v>10</v>
      </c>
      <c r="K761" s="1" t="n">
        <v>3</v>
      </c>
      <c r="L761" s="15" t="n">
        <v>1078.12</v>
      </c>
      <c r="M761" s="15" t="n">
        <f aca="false">F761*G761</f>
        <v>1633.52</v>
      </c>
      <c r="N761" s="15" t="n">
        <f aca="false">M761-L761</f>
        <v>555.4</v>
      </c>
      <c r="O761" s="1" t="n">
        <f aca="false">YEAR(B761)</f>
        <v>2024</v>
      </c>
      <c r="P761" s="1" t="n">
        <f aca="false">MONTH(B761)</f>
        <v>1</v>
      </c>
      <c r="Q761" s="1" t="str">
        <f aca="false">TEXT(B761,"mmm")</f>
        <v>Jan</v>
      </c>
      <c r="R761" s="1" t="str">
        <f aca="false">"Q"&amp;ROUNDUP(MONTH(B761)/3,0)</f>
        <v>Q1</v>
      </c>
    </row>
    <row r="762" customFormat="false" ht="15" hidden="false" customHeight="true" outlineLevel="0" collapsed="false">
      <c r="A762" s="1" t="n">
        <v>10761</v>
      </c>
      <c r="B762" s="14" t="n">
        <v>45322</v>
      </c>
      <c r="C762" s="1" t="n">
        <v>1095</v>
      </c>
      <c r="D762" s="1" t="s">
        <v>37</v>
      </c>
      <c r="E762" s="1" t="s">
        <v>36</v>
      </c>
      <c r="F762" s="1" t="n">
        <v>4</v>
      </c>
      <c r="G762" s="15" t="n">
        <v>534.9</v>
      </c>
      <c r="H762" s="16" t="n">
        <v>0.33</v>
      </c>
      <c r="I762" s="1" t="s">
        <v>33</v>
      </c>
      <c r="J762" s="1" t="n">
        <v>9</v>
      </c>
      <c r="K762" s="1" t="n">
        <v>3.1</v>
      </c>
      <c r="L762" s="15" t="n">
        <v>1433.53</v>
      </c>
      <c r="M762" s="15" t="n">
        <f aca="false">F762*G762</f>
        <v>2139.6</v>
      </c>
      <c r="N762" s="15" t="n">
        <f aca="false">M762-L762</f>
        <v>706.07</v>
      </c>
      <c r="O762" s="1" t="n">
        <f aca="false">YEAR(B762)</f>
        <v>2024</v>
      </c>
      <c r="P762" s="1" t="n">
        <f aca="false">MONTH(B762)</f>
        <v>1</v>
      </c>
      <c r="Q762" s="1" t="str">
        <f aca="false">TEXT(B762,"mmm")</f>
        <v>Jan</v>
      </c>
      <c r="R762" s="1" t="str">
        <f aca="false">"Q"&amp;ROUNDUP(MONTH(B762)/3,0)</f>
        <v>Q1</v>
      </c>
    </row>
    <row r="763" customFormat="false" ht="15" hidden="false" customHeight="true" outlineLevel="0" collapsed="false">
      <c r="A763" s="1" t="n">
        <v>10762</v>
      </c>
      <c r="B763" s="14" t="n">
        <v>45323</v>
      </c>
      <c r="C763" s="1" t="n">
        <v>1663</v>
      </c>
      <c r="D763" s="1" t="s">
        <v>30</v>
      </c>
      <c r="E763" s="1" t="s">
        <v>28</v>
      </c>
      <c r="F763" s="1" t="n">
        <v>1</v>
      </c>
      <c r="G763" s="15" t="n">
        <v>280.08</v>
      </c>
      <c r="H763" s="16" t="n">
        <v>0.24</v>
      </c>
      <c r="I763" s="1" t="s">
        <v>29</v>
      </c>
      <c r="J763" s="1" t="n">
        <v>10</v>
      </c>
      <c r="K763" s="1" t="n">
        <v>2.4</v>
      </c>
      <c r="L763" s="15" t="n">
        <v>212.86</v>
      </c>
      <c r="M763" s="15" t="n">
        <f aca="false">F763*G763</f>
        <v>280.08</v>
      </c>
      <c r="N763" s="15" t="n">
        <f aca="false">M763-L763</f>
        <v>67.22</v>
      </c>
      <c r="O763" s="1" t="n">
        <f aca="false">YEAR(B763)</f>
        <v>2024</v>
      </c>
      <c r="P763" s="1" t="n">
        <f aca="false">MONTH(B763)</f>
        <v>2</v>
      </c>
      <c r="Q763" s="1" t="str">
        <f aca="false">TEXT(B763,"mmm")</f>
        <v>Feb</v>
      </c>
      <c r="R763" s="1" t="str">
        <f aca="false">"Q"&amp;ROUNDUP(MONTH(B763)/3,0)</f>
        <v>Q1</v>
      </c>
    </row>
    <row r="764" customFormat="false" ht="15" hidden="false" customHeight="true" outlineLevel="0" collapsed="false">
      <c r="A764" s="1" t="n">
        <v>10763</v>
      </c>
      <c r="B764" s="14" t="n">
        <v>45324</v>
      </c>
      <c r="C764" s="1" t="n">
        <v>1662</v>
      </c>
      <c r="D764" s="1" t="s">
        <v>37</v>
      </c>
      <c r="E764" s="1" t="s">
        <v>35</v>
      </c>
      <c r="F764" s="1" t="n">
        <v>5</v>
      </c>
      <c r="G764" s="15" t="n">
        <v>199.41</v>
      </c>
      <c r="H764" s="16" t="n">
        <v>0.28</v>
      </c>
      <c r="I764" s="1" t="s">
        <v>31</v>
      </c>
      <c r="J764" s="1" t="n">
        <v>3</v>
      </c>
      <c r="K764" s="1" t="n">
        <v>4</v>
      </c>
      <c r="L764" s="15" t="n">
        <v>717.88</v>
      </c>
      <c r="M764" s="15" t="n">
        <f aca="false">F764*G764</f>
        <v>997.05</v>
      </c>
      <c r="N764" s="15" t="n">
        <f aca="false">M764-L764</f>
        <v>279.17</v>
      </c>
      <c r="O764" s="1" t="n">
        <f aca="false">YEAR(B764)</f>
        <v>2024</v>
      </c>
      <c r="P764" s="1" t="n">
        <f aca="false">MONTH(B764)</f>
        <v>2</v>
      </c>
      <c r="Q764" s="1" t="str">
        <f aca="false">TEXT(B764,"mmm")</f>
        <v>Feb</v>
      </c>
      <c r="R764" s="1" t="str">
        <f aca="false">"Q"&amp;ROUNDUP(MONTH(B764)/3,0)</f>
        <v>Q1</v>
      </c>
    </row>
    <row r="765" customFormat="false" ht="15" hidden="false" customHeight="true" outlineLevel="0" collapsed="false">
      <c r="A765" s="1" t="n">
        <v>10764</v>
      </c>
      <c r="B765" s="14" t="n">
        <v>45325</v>
      </c>
      <c r="C765" s="1" t="n">
        <v>1189</v>
      </c>
      <c r="D765" s="1" t="s">
        <v>34</v>
      </c>
      <c r="E765" s="1" t="s">
        <v>32</v>
      </c>
      <c r="F765" s="1" t="n">
        <v>1</v>
      </c>
      <c r="G765" s="15" t="n">
        <v>565.61</v>
      </c>
      <c r="H765" s="16" t="n">
        <v>0.06</v>
      </c>
      <c r="I765" s="1" t="s">
        <v>29</v>
      </c>
      <c r="J765" s="1" t="n">
        <v>3</v>
      </c>
      <c r="K765" s="1" t="n">
        <v>4.6</v>
      </c>
      <c r="L765" s="15" t="n">
        <v>531.67</v>
      </c>
      <c r="M765" s="15" t="n">
        <f aca="false">F765*G765</f>
        <v>565.61</v>
      </c>
      <c r="N765" s="15" t="n">
        <f aca="false">M765-L765</f>
        <v>33.9400000000001</v>
      </c>
      <c r="O765" s="1" t="n">
        <f aca="false">YEAR(B765)</f>
        <v>2024</v>
      </c>
      <c r="P765" s="1" t="n">
        <f aca="false">MONTH(B765)</f>
        <v>2</v>
      </c>
      <c r="Q765" s="1" t="str">
        <f aca="false">TEXT(B765,"mmm")</f>
        <v>Feb</v>
      </c>
      <c r="R765" s="1" t="str">
        <f aca="false">"Q"&amp;ROUNDUP(MONTH(B765)/3,0)</f>
        <v>Q1</v>
      </c>
    </row>
    <row r="766" customFormat="false" ht="15" hidden="false" customHeight="true" outlineLevel="0" collapsed="false">
      <c r="A766" s="1" t="n">
        <v>10765</v>
      </c>
      <c r="B766" s="14" t="n">
        <v>45326</v>
      </c>
      <c r="C766" s="1" t="n">
        <v>1735</v>
      </c>
      <c r="D766" s="1" t="s">
        <v>34</v>
      </c>
      <c r="E766" s="1" t="s">
        <v>32</v>
      </c>
      <c r="F766" s="1" t="n">
        <v>6</v>
      </c>
      <c r="G766" s="15" t="n">
        <v>511.97</v>
      </c>
      <c r="H766" s="16" t="n">
        <v>0.25</v>
      </c>
      <c r="I766" s="1" t="s">
        <v>29</v>
      </c>
      <c r="J766" s="1" t="n">
        <v>6</v>
      </c>
      <c r="K766" s="1" t="n">
        <v>1.8</v>
      </c>
      <c r="L766" s="15" t="n">
        <v>2303.87</v>
      </c>
      <c r="M766" s="15" t="n">
        <f aca="false">F766*G766</f>
        <v>3071.82</v>
      </c>
      <c r="N766" s="15" t="n">
        <f aca="false">M766-L766</f>
        <v>767.95</v>
      </c>
      <c r="O766" s="1" t="n">
        <f aca="false">YEAR(B766)</f>
        <v>2024</v>
      </c>
      <c r="P766" s="1" t="n">
        <f aca="false">MONTH(B766)</f>
        <v>2</v>
      </c>
      <c r="Q766" s="1" t="str">
        <f aca="false">TEXT(B766,"mmm")</f>
        <v>Feb</v>
      </c>
      <c r="R766" s="1" t="str">
        <f aca="false">"Q"&amp;ROUNDUP(MONTH(B766)/3,0)</f>
        <v>Q1</v>
      </c>
    </row>
    <row r="767" customFormat="false" ht="15" hidden="false" customHeight="true" outlineLevel="0" collapsed="false">
      <c r="A767" s="1" t="n">
        <v>10766</v>
      </c>
      <c r="B767" s="14" t="n">
        <v>45327</v>
      </c>
      <c r="C767" s="1" t="n">
        <v>1036</v>
      </c>
      <c r="D767" s="1" t="s">
        <v>27</v>
      </c>
      <c r="E767" s="1" t="s">
        <v>28</v>
      </c>
      <c r="F767" s="1" t="n">
        <v>7</v>
      </c>
      <c r="G767" s="15" t="n">
        <v>508.55</v>
      </c>
      <c r="H767" s="16" t="n">
        <v>0.22</v>
      </c>
      <c r="I767" s="1" t="s">
        <v>33</v>
      </c>
      <c r="J767" s="1" t="n">
        <v>8</v>
      </c>
      <c r="K767" s="1" t="n">
        <v>4.3</v>
      </c>
      <c r="L767" s="15" t="n">
        <v>2776.68</v>
      </c>
      <c r="M767" s="15" t="n">
        <f aca="false">F767*G767</f>
        <v>3559.85</v>
      </c>
      <c r="N767" s="15" t="n">
        <f aca="false">M767-L767</f>
        <v>783.17</v>
      </c>
      <c r="O767" s="1" t="n">
        <f aca="false">YEAR(B767)</f>
        <v>2024</v>
      </c>
      <c r="P767" s="1" t="n">
        <f aca="false">MONTH(B767)</f>
        <v>2</v>
      </c>
      <c r="Q767" s="1" t="str">
        <f aca="false">TEXT(B767,"mmm")</f>
        <v>Feb</v>
      </c>
      <c r="R767" s="1" t="str">
        <f aca="false">"Q"&amp;ROUNDUP(MONTH(B767)/3,0)</f>
        <v>Q1</v>
      </c>
    </row>
    <row r="768" customFormat="false" ht="15" hidden="false" customHeight="true" outlineLevel="0" collapsed="false">
      <c r="A768" s="1" t="n">
        <v>10767</v>
      </c>
      <c r="B768" s="14" t="n">
        <v>45328</v>
      </c>
      <c r="C768" s="1" t="n">
        <v>1779</v>
      </c>
      <c r="D768" s="1" t="s">
        <v>37</v>
      </c>
      <c r="E768" s="1" t="s">
        <v>32</v>
      </c>
      <c r="F768" s="1" t="n">
        <v>5</v>
      </c>
      <c r="G768" s="15" t="n">
        <v>314.69</v>
      </c>
      <c r="H768" s="16" t="n">
        <v>0.03</v>
      </c>
      <c r="I768" s="1" t="s">
        <v>31</v>
      </c>
      <c r="J768" s="1" t="n">
        <v>1</v>
      </c>
      <c r="K768" s="1" t="n">
        <v>1.5</v>
      </c>
      <c r="L768" s="15" t="n">
        <v>1526.25</v>
      </c>
      <c r="M768" s="15" t="n">
        <f aca="false">F768*G768</f>
        <v>1573.45</v>
      </c>
      <c r="N768" s="15" t="n">
        <f aca="false">M768-L768</f>
        <v>47.2</v>
      </c>
      <c r="O768" s="1" t="n">
        <f aca="false">YEAR(B768)</f>
        <v>2024</v>
      </c>
      <c r="P768" s="1" t="n">
        <f aca="false">MONTH(B768)</f>
        <v>2</v>
      </c>
      <c r="Q768" s="1" t="str">
        <f aca="false">TEXT(B768,"mmm")</f>
        <v>Feb</v>
      </c>
      <c r="R768" s="1" t="str">
        <f aca="false">"Q"&amp;ROUNDUP(MONTH(B768)/3,0)</f>
        <v>Q1</v>
      </c>
    </row>
    <row r="769" customFormat="false" ht="15" hidden="false" customHeight="true" outlineLevel="0" collapsed="false">
      <c r="A769" s="1" t="n">
        <v>10768</v>
      </c>
      <c r="B769" s="14" t="n">
        <v>45329</v>
      </c>
      <c r="C769" s="1" t="n">
        <v>1368</v>
      </c>
      <c r="D769" s="1" t="s">
        <v>27</v>
      </c>
      <c r="E769" s="1" t="s">
        <v>32</v>
      </c>
      <c r="F769" s="1" t="n">
        <v>7</v>
      </c>
      <c r="G769" s="15" t="n">
        <v>476.82</v>
      </c>
      <c r="H769" s="16" t="n">
        <v>0.04</v>
      </c>
      <c r="I769" s="1" t="s">
        <v>31</v>
      </c>
      <c r="J769" s="1" t="n">
        <v>4</v>
      </c>
      <c r="K769" s="1" t="n">
        <v>1.9</v>
      </c>
      <c r="L769" s="15" t="n">
        <v>3204.23</v>
      </c>
      <c r="M769" s="15" t="n">
        <f aca="false">F769*G769</f>
        <v>3337.74</v>
      </c>
      <c r="N769" s="15" t="n">
        <f aca="false">M769-L769</f>
        <v>133.51</v>
      </c>
      <c r="O769" s="1" t="n">
        <f aca="false">YEAR(B769)</f>
        <v>2024</v>
      </c>
      <c r="P769" s="1" t="n">
        <f aca="false">MONTH(B769)</f>
        <v>2</v>
      </c>
      <c r="Q769" s="1" t="str">
        <f aca="false">TEXT(B769,"mmm")</f>
        <v>Feb</v>
      </c>
      <c r="R769" s="1" t="str">
        <f aca="false">"Q"&amp;ROUNDUP(MONTH(B769)/3,0)</f>
        <v>Q1</v>
      </c>
    </row>
    <row r="770" customFormat="false" ht="15" hidden="false" customHeight="true" outlineLevel="0" collapsed="false">
      <c r="A770" s="1" t="n">
        <v>10769</v>
      </c>
      <c r="B770" s="14" t="n">
        <v>45330</v>
      </c>
      <c r="C770" s="1" t="n">
        <v>1694</v>
      </c>
      <c r="D770" s="1" t="s">
        <v>37</v>
      </c>
      <c r="E770" s="1" t="s">
        <v>35</v>
      </c>
      <c r="F770" s="1" t="n">
        <v>7</v>
      </c>
      <c r="G770" s="15" t="n">
        <v>119.92</v>
      </c>
      <c r="H770" s="16" t="n">
        <v>0.04</v>
      </c>
      <c r="I770" s="1" t="s">
        <v>31</v>
      </c>
      <c r="J770" s="1" t="n">
        <v>8</v>
      </c>
      <c r="K770" s="1" t="n">
        <v>3.2</v>
      </c>
      <c r="L770" s="15" t="n">
        <v>805.86</v>
      </c>
      <c r="M770" s="15" t="n">
        <f aca="false">F770*G770</f>
        <v>839.44</v>
      </c>
      <c r="N770" s="15" t="n">
        <f aca="false">M770-L770</f>
        <v>33.58</v>
      </c>
      <c r="O770" s="1" t="n">
        <f aca="false">YEAR(B770)</f>
        <v>2024</v>
      </c>
      <c r="P770" s="1" t="n">
        <f aca="false">MONTH(B770)</f>
        <v>2</v>
      </c>
      <c r="Q770" s="1" t="str">
        <f aca="false">TEXT(B770,"mmm")</f>
        <v>Feb</v>
      </c>
      <c r="R770" s="1" t="str">
        <f aca="false">"Q"&amp;ROUNDUP(MONTH(B770)/3,0)</f>
        <v>Q1</v>
      </c>
    </row>
    <row r="771" customFormat="false" ht="15" hidden="false" customHeight="true" outlineLevel="0" collapsed="false">
      <c r="A771" s="1" t="n">
        <v>10770</v>
      </c>
      <c r="B771" s="14" t="n">
        <v>45331</v>
      </c>
      <c r="C771" s="1" t="n">
        <v>1524</v>
      </c>
      <c r="D771" s="1" t="s">
        <v>30</v>
      </c>
      <c r="E771" s="1" t="s">
        <v>28</v>
      </c>
      <c r="F771" s="1" t="n">
        <v>7</v>
      </c>
      <c r="G771" s="15" t="n">
        <v>350.34</v>
      </c>
      <c r="H771" s="16" t="n">
        <v>0.25</v>
      </c>
      <c r="I771" s="1" t="s">
        <v>31</v>
      </c>
      <c r="J771" s="1" t="n">
        <v>6</v>
      </c>
      <c r="K771" s="1" t="n">
        <v>2.2</v>
      </c>
      <c r="L771" s="15" t="n">
        <v>1839.28</v>
      </c>
      <c r="M771" s="15" t="n">
        <f aca="false">F771*G771</f>
        <v>2452.38</v>
      </c>
      <c r="N771" s="15" t="n">
        <f aca="false">M771-L771</f>
        <v>613.1</v>
      </c>
      <c r="O771" s="1" t="n">
        <f aca="false">YEAR(B771)</f>
        <v>2024</v>
      </c>
      <c r="P771" s="1" t="n">
        <f aca="false">MONTH(B771)</f>
        <v>2</v>
      </c>
      <c r="Q771" s="1" t="str">
        <f aca="false">TEXT(B771,"mmm")</f>
        <v>Feb</v>
      </c>
      <c r="R771" s="1" t="str">
        <f aca="false">"Q"&amp;ROUNDUP(MONTH(B771)/3,0)</f>
        <v>Q1</v>
      </c>
    </row>
    <row r="772" customFormat="false" ht="15" hidden="false" customHeight="true" outlineLevel="0" collapsed="false">
      <c r="A772" s="1" t="n">
        <v>10771</v>
      </c>
      <c r="B772" s="14" t="n">
        <v>45332</v>
      </c>
      <c r="C772" s="1" t="n">
        <v>1278</v>
      </c>
      <c r="D772" s="1" t="s">
        <v>37</v>
      </c>
      <c r="E772" s="1" t="s">
        <v>32</v>
      </c>
      <c r="F772" s="1" t="n">
        <v>1</v>
      </c>
      <c r="G772" s="15" t="n">
        <v>590.55</v>
      </c>
      <c r="H772" s="16" t="n">
        <v>0.05</v>
      </c>
      <c r="I772" s="1" t="s">
        <v>33</v>
      </c>
      <c r="J772" s="1" t="n">
        <v>2</v>
      </c>
      <c r="K772" s="1" t="n">
        <v>1.2</v>
      </c>
      <c r="L772" s="15" t="n">
        <v>561.02</v>
      </c>
      <c r="M772" s="15" t="n">
        <f aca="false">F772*G772</f>
        <v>590.55</v>
      </c>
      <c r="N772" s="15" t="n">
        <f aca="false">M772-L772</f>
        <v>29.53</v>
      </c>
      <c r="O772" s="1" t="n">
        <f aca="false">YEAR(B772)</f>
        <v>2024</v>
      </c>
      <c r="P772" s="1" t="n">
        <f aca="false">MONTH(B772)</f>
        <v>2</v>
      </c>
      <c r="Q772" s="1" t="str">
        <f aca="false">TEXT(B772,"mmm")</f>
        <v>Feb</v>
      </c>
      <c r="R772" s="1" t="str">
        <f aca="false">"Q"&amp;ROUNDUP(MONTH(B772)/3,0)</f>
        <v>Q1</v>
      </c>
    </row>
    <row r="773" customFormat="false" ht="15" hidden="false" customHeight="true" outlineLevel="0" collapsed="false">
      <c r="A773" s="1" t="n">
        <v>10772</v>
      </c>
      <c r="B773" s="14" t="n">
        <v>45333</v>
      </c>
      <c r="C773" s="1" t="n">
        <v>1216</v>
      </c>
      <c r="D773" s="1" t="s">
        <v>27</v>
      </c>
      <c r="E773" s="1" t="s">
        <v>28</v>
      </c>
      <c r="F773" s="1" t="n">
        <v>2</v>
      </c>
      <c r="G773" s="15" t="n">
        <v>185.21</v>
      </c>
      <c r="H773" s="16" t="n">
        <v>0.16</v>
      </c>
      <c r="I773" s="1" t="s">
        <v>31</v>
      </c>
      <c r="J773" s="1" t="n">
        <v>8</v>
      </c>
      <c r="K773" s="1" t="n">
        <v>2.2</v>
      </c>
      <c r="L773" s="15" t="n">
        <v>311.15</v>
      </c>
      <c r="M773" s="15" t="n">
        <f aca="false">F773*G773</f>
        <v>370.42</v>
      </c>
      <c r="N773" s="15" t="n">
        <f aca="false">M773-L773</f>
        <v>59.27</v>
      </c>
      <c r="O773" s="1" t="n">
        <f aca="false">YEAR(B773)</f>
        <v>2024</v>
      </c>
      <c r="P773" s="1" t="n">
        <f aca="false">MONTH(B773)</f>
        <v>2</v>
      </c>
      <c r="Q773" s="1" t="str">
        <f aca="false">TEXT(B773,"mmm")</f>
        <v>Feb</v>
      </c>
      <c r="R773" s="1" t="str">
        <f aca="false">"Q"&amp;ROUNDUP(MONTH(B773)/3,0)</f>
        <v>Q1</v>
      </c>
    </row>
    <row r="774" customFormat="false" ht="15" hidden="false" customHeight="true" outlineLevel="0" collapsed="false">
      <c r="A774" s="1" t="n">
        <v>10773</v>
      </c>
      <c r="B774" s="14" t="n">
        <v>45334</v>
      </c>
      <c r="C774" s="1" t="n">
        <v>1866</v>
      </c>
      <c r="D774" s="1" t="s">
        <v>30</v>
      </c>
      <c r="E774" s="1" t="s">
        <v>32</v>
      </c>
      <c r="F774" s="1" t="n">
        <v>1</v>
      </c>
      <c r="G774" s="15" t="n">
        <v>479.7</v>
      </c>
      <c r="H774" s="16" t="n">
        <v>0.12</v>
      </c>
      <c r="I774" s="1" t="s">
        <v>33</v>
      </c>
      <c r="J774" s="1" t="n">
        <v>1</v>
      </c>
      <c r="K774" s="1" t="n">
        <v>4.6</v>
      </c>
      <c r="L774" s="15" t="n">
        <v>422.14</v>
      </c>
      <c r="M774" s="15" t="n">
        <f aca="false">F774*G774</f>
        <v>479.7</v>
      </c>
      <c r="N774" s="15" t="n">
        <f aca="false">M774-L774</f>
        <v>57.56</v>
      </c>
      <c r="O774" s="1" t="n">
        <f aca="false">YEAR(B774)</f>
        <v>2024</v>
      </c>
      <c r="P774" s="1" t="n">
        <f aca="false">MONTH(B774)</f>
        <v>2</v>
      </c>
      <c r="Q774" s="1" t="str">
        <f aca="false">TEXT(B774,"mmm")</f>
        <v>Feb</v>
      </c>
      <c r="R774" s="1" t="str">
        <f aca="false">"Q"&amp;ROUNDUP(MONTH(B774)/3,0)</f>
        <v>Q1</v>
      </c>
    </row>
    <row r="775" customFormat="false" ht="15" hidden="false" customHeight="true" outlineLevel="0" collapsed="false">
      <c r="A775" s="1" t="n">
        <v>10774</v>
      </c>
      <c r="B775" s="14" t="n">
        <v>45335</v>
      </c>
      <c r="C775" s="1" t="n">
        <v>1872</v>
      </c>
      <c r="D775" s="1" t="s">
        <v>30</v>
      </c>
      <c r="E775" s="1" t="s">
        <v>35</v>
      </c>
      <c r="F775" s="1" t="n">
        <v>7</v>
      </c>
      <c r="G775" s="15" t="n">
        <v>301.93</v>
      </c>
      <c r="H775" s="16" t="n">
        <v>0.19</v>
      </c>
      <c r="I775" s="1" t="s">
        <v>31</v>
      </c>
      <c r="J775" s="1" t="n">
        <v>1</v>
      </c>
      <c r="K775" s="1" t="n">
        <v>1.7</v>
      </c>
      <c r="L775" s="15" t="n">
        <v>1711.94</v>
      </c>
      <c r="M775" s="15" t="n">
        <f aca="false">F775*G775</f>
        <v>2113.51</v>
      </c>
      <c r="N775" s="15" t="n">
        <f aca="false">M775-L775</f>
        <v>401.57</v>
      </c>
      <c r="O775" s="1" t="n">
        <f aca="false">YEAR(B775)</f>
        <v>2024</v>
      </c>
      <c r="P775" s="1" t="n">
        <f aca="false">MONTH(B775)</f>
        <v>2</v>
      </c>
      <c r="Q775" s="1" t="str">
        <f aca="false">TEXT(B775,"mmm")</f>
        <v>Feb</v>
      </c>
      <c r="R775" s="1" t="str">
        <f aca="false">"Q"&amp;ROUNDUP(MONTH(B775)/3,0)</f>
        <v>Q1</v>
      </c>
    </row>
    <row r="776" customFormat="false" ht="15" hidden="false" customHeight="true" outlineLevel="0" collapsed="false">
      <c r="A776" s="1" t="n">
        <v>10775</v>
      </c>
      <c r="B776" s="14" t="n">
        <v>45336</v>
      </c>
      <c r="C776" s="1" t="n">
        <v>1797</v>
      </c>
      <c r="D776" s="1" t="s">
        <v>34</v>
      </c>
      <c r="E776" s="1" t="s">
        <v>28</v>
      </c>
      <c r="F776" s="1" t="n">
        <v>5</v>
      </c>
      <c r="G776" s="15" t="n">
        <v>38.29</v>
      </c>
      <c r="H776" s="16" t="n">
        <v>0.25</v>
      </c>
      <c r="I776" s="1" t="s">
        <v>31</v>
      </c>
      <c r="J776" s="1" t="n">
        <v>7</v>
      </c>
      <c r="K776" s="1" t="n">
        <v>4.1</v>
      </c>
      <c r="L776" s="15" t="n">
        <v>143.59</v>
      </c>
      <c r="M776" s="15" t="n">
        <f aca="false">F776*G776</f>
        <v>191.45</v>
      </c>
      <c r="N776" s="15" t="n">
        <f aca="false">M776-L776</f>
        <v>47.86</v>
      </c>
      <c r="O776" s="1" t="n">
        <f aca="false">YEAR(B776)</f>
        <v>2024</v>
      </c>
      <c r="P776" s="1" t="n">
        <f aca="false">MONTH(B776)</f>
        <v>2</v>
      </c>
      <c r="Q776" s="1" t="str">
        <f aca="false">TEXT(B776,"mmm")</f>
        <v>Feb</v>
      </c>
      <c r="R776" s="1" t="str">
        <f aca="false">"Q"&amp;ROUNDUP(MONTH(B776)/3,0)</f>
        <v>Q1</v>
      </c>
    </row>
    <row r="777" customFormat="false" ht="15" hidden="false" customHeight="true" outlineLevel="0" collapsed="false">
      <c r="A777" s="1" t="n">
        <v>10776</v>
      </c>
      <c r="B777" s="14" t="n">
        <v>45337</v>
      </c>
      <c r="C777" s="1" t="n">
        <v>1272</v>
      </c>
      <c r="D777" s="1" t="s">
        <v>30</v>
      </c>
      <c r="E777" s="1" t="s">
        <v>32</v>
      </c>
      <c r="F777" s="1" t="n">
        <v>1</v>
      </c>
      <c r="G777" s="15" t="n">
        <v>461.37</v>
      </c>
      <c r="H777" s="16" t="n">
        <v>0.24</v>
      </c>
      <c r="I777" s="1" t="s">
        <v>33</v>
      </c>
      <c r="J777" s="1" t="n">
        <v>10</v>
      </c>
      <c r="K777" s="1" t="n">
        <v>3.9</v>
      </c>
      <c r="L777" s="15" t="n">
        <v>350.64</v>
      </c>
      <c r="M777" s="15" t="n">
        <f aca="false">F777*G777</f>
        <v>461.37</v>
      </c>
      <c r="N777" s="15" t="n">
        <f aca="false">M777-L777</f>
        <v>110.73</v>
      </c>
      <c r="O777" s="1" t="n">
        <f aca="false">YEAR(B777)</f>
        <v>2024</v>
      </c>
      <c r="P777" s="1" t="n">
        <f aca="false">MONTH(B777)</f>
        <v>2</v>
      </c>
      <c r="Q777" s="1" t="str">
        <f aca="false">TEXT(B777,"mmm")</f>
        <v>Feb</v>
      </c>
      <c r="R777" s="1" t="str">
        <f aca="false">"Q"&amp;ROUNDUP(MONTH(B777)/3,0)</f>
        <v>Q1</v>
      </c>
    </row>
    <row r="778" customFormat="false" ht="15" hidden="false" customHeight="true" outlineLevel="0" collapsed="false">
      <c r="A778" s="1" t="n">
        <v>10777</v>
      </c>
      <c r="B778" s="14" t="n">
        <v>45338</v>
      </c>
      <c r="C778" s="1" t="n">
        <v>1880</v>
      </c>
      <c r="D778" s="1" t="s">
        <v>37</v>
      </c>
      <c r="E778" s="1" t="s">
        <v>35</v>
      </c>
      <c r="F778" s="1" t="n">
        <v>7</v>
      </c>
      <c r="G778" s="15" t="n">
        <v>113.61</v>
      </c>
      <c r="H778" s="16" t="n">
        <v>0.18</v>
      </c>
      <c r="I778" s="1" t="s">
        <v>29</v>
      </c>
      <c r="J778" s="1" t="n">
        <v>3</v>
      </c>
      <c r="K778" s="1" t="n">
        <v>1.4</v>
      </c>
      <c r="L778" s="15" t="n">
        <v>652.12</v>
      </c>
      <c r="M778" s="15" t="n">
        <f aca="false">F778*G778</f>
        <v>795.27</v>
      </c>
      <c r="N778" s="15" t="n">
        <f aca="false">M778-L778</f>
        <v>143.15</v>
      </c>
      <c r="O778" s="1" t="n">
        <f aca="false">YEAR(B778)</f>
        <v>2024</v>
      </c>
      <c r="P778" s="1" t="n">
        <f aca="false">MONTH(B778)</f>
        <v>2</v>
      </c>
      <c r="Q778" s="1" t="str">
        <f aca="false">TEXT(B778,"mmm")</f>
        <v>Feb</v>
      </c>
      <c r="R778" s="1" t="str">
        <f aca="false">"Q"&amp;ROUNDUP(MONTH(B778)/3,0)</f>
        <v>Q1</v>
      </c>
    </row>
    <row r="779" customFormat="false" ht="15" hidden="false" customHeight="true" outlineLevel="0" collapsed="false">
      <c r="A779" s="1" t="n">
        <v>10778</v>
      </c>
      <c r="B779" s="14" t="n">
        <v>45339</v>
      </c>
      <c r="C779" s="1" t="n">
        <v>1061</v>
      </c>
      <c r="D779" s="1" t="s">
        <v>34</v>
      </c>
      <c r="E779" s="1" t="s">
        <v>32</v>
      </c>
      <c r="F779" s="1" t="n">
        <v>7</v>
      </c>
      <c r="G779" s="15" t="n">
        <v>384.41</v>
      </c>
      <c r="H779" s="16" t="n">
        <v>0.16</v>
      </c>
      <c r="I779" s="1" t="s">
        <v>33</v>
      </c>
      <c r="J779" s="1" t="n">
        <v>8</v>
      </c>
      <c r="K779" s="1" t="n">
        <v>2.3</v>
      </c>
      <c r="L779" s="15" t="n">
        <v>2260.33</v>
      </c>
      <c r="M779" s="15" t="n">
        <f aca="false">F779*G779</f>
        <v>2690.87</v>
      </c>
      <c r="N779" s="15" t="n">
        <f aca="false">M779-L779</f>
        <v>430.54</v>
      </c>
      <c r="O779" s="1" t="n">
        <f aca="false">YEAR(B779)</f>
        <v>2024</v>
      </c>
      <c r="P779" s="1" t="n">
        <f aca="false">MONTH(B779)</f>
        <v>2</v>
      </c>
      <c r="Q779" s="1" t="str">
        <f aca="false">TEXT(B779,"mmm")</f>
        <v>Feb</v>
      </c>
      <c r="R779" s="1" t="str">
        <f aca="false">"Q"&amp;ROUNDUP(MONTH(B779)/3,0)</f>
        <v>Q1</v>
      </c>
    </row>
    <row r="780" customFormat="false" ht="15" hidden="false" customHeight="true" outlineLevel="0" collapsed="false">
      <c r="A780" s="1" t="n">
        <v>10779</v>
      </c>
      <c r="B780" s="14" t="n">
        <v>45340</v>
      </c>
      <c r="C780" s="1" t="n">
        <v>1595</v>
      </c>
      <c r="D780" s="1" t="s">
        <v>34</v>
      </c>
      <c r="E780" s="1" t="s">
        <v>28</v>
      </c>
      <c r="F780" s="1" t="n">
        <v>1</v>
      </c>
      <c r="G780" s="15" t="n">
        <v>65.11</v>
      </c>
      <c r="H780" s="16" t="n">
        <v>0.14</v>
      </c>
      <c r="I780" s="1" t="s">
        <v>33</v>
      </c>
      <c r="J780" s="1" t="n">
        <v>9</v>
      </c>
      <c r="K780" s="1" t="n">
        <v>1.8</v>
      </c>
      <c r="L780" s="15" t="n">
        <v>55.99</v>
      </c>
      <c r="M780" s="15" t="n">
        <f aca="false">F780*G780</f>
        <v>65.11</v>
      </c>
      <c r="N780" s="15" t="n">
        <f aca="false">M780-L780</f>
        <v>9.12</v>
      </c>
      <c r="O780" s="1" t="n">
        <f aca="false">YEAR(B780)</f>
        <v>2024</v>
      </c>
      <c r="P780" s="1" t="n">
        <f aca="false">MONTH(B780)</f>
        <v>2</v>
      </c>
      <c r="Q780" s="1" t="str">
        <f aca="false">TEXT(B780,"mmm")</f>
        <v>Feb</v>
      </c>
      <c r="R780" s="1" t="str">
        <f aca="false">"Q"&amp;ROUNDUP(MONTH(B780)/3,0)</f>
        <v>Q1</v>
      </c>
    </row>
    <row r="781" customFormat="false" ht="15" hidden="false" customHeight="true" outlineLevel="0" collapsed="false">
      <c r="A781" s="1" t="n">
        <v>10780</v>
      </c>
      <c r="B781" s="14" t="n">
        <v>45341</v>
      </c>
      <c r="C781" s="1" t="n">
        <v>1879</v>
      </c>
      <c r="D781" s="1" t="s">
        <v>34</v>
      </c>
      <c r="E781" s="1" t="s">
        <v>32</v>
      </c>
      <c r="F781" s="1" t="n">
        <v>1</v>
      </c>
      <c r="G781" s="15" t="n">
        <v>568.92</v>
      </c>
      <c r="H781" s="16" t="n">
        <v>0.3</v>
      </c>
      <c r="I781" s="1" t="s">
        <v>33</v>
      </c>
      <c r="J781" s="1" t="n">
        <v>8</v>
      </c>
      <c r="K781" s="1" t="n">
        <v>1.1</v>
      </c>
      <c r="L781" s="15" t="n">
        <v>398.24</v>
      </c>
      <c r="M781" s="15" t="n">
        <f aca="false">F781*G781</f>
        <v>568.92</v>
      </c>
      <c r="N781" s="15" t="n">
        <f aca="false">M781-L781</f>
        <v>170.68</v>
      </c>
      <c r="O781" s="1" t="n">
        <f aca="false">YEAR(B781)</f>
        <v>2024</v>
      </c>
      <c r="P781" s="1" t="n">
        <f aca="false">MONTH(B781)</f>
        <v>2</v>
      </c>
      <c r="Q781" s="1" t="str">
        <f aca="false">TEXT(B781,"mmm")</f>
        <v>Feb</v>
      </c>
      <c r="R781" s="1" t="str">
        <f aca="false">"Q"&amp;ROUNDUP(MONTH(B781)/3,0)</f>
        <v>Q1</v>
      </c>
    </row>
    <row r="782" customFormat="false" ht="15" hidden="false" customHeight="true" outlineLevel="0" collapsed="false">
      <c r="A782" s="1" t="n">
        <v>10781</v>
      </c>
      <c r="B782" s="14" t="n">
        <v>45342</v>
      </c>
      <c r="C782" s="1" t="n">
        <v>1728</v>
      </c>
      <c r="D782" s="1" t="s">
        <v>34</v>
      </c>
      <c r="E782" s="1" t="s">
        <v>28</v>
      </c>
      <c r="F782" s="1" t="n">
        <v>5</v>
      </c>
      <c r="G782" s="15" t="n">
        <v>185.66</v>
      </c>
      <c r="H782" s="16" t="n">
        <v>0.12</v>
      </c>
      <c r="I782" s="1" t="s">
        <v>33</v>
      </c>
      <c r="J782" s="1" t="n">
        <v>1</v>
      </c>
      <c r="K782" s="1" t="n">
        <v>1.7</v>
      </c>
      <c r="L782" s="15" t="n">
        <v>816.9</v>
      </c>
      <c r="M782" s="15" t="n">
        <f aca="false">F782*G782</f>
        <v>928.3</v>
      </c>
      <c r="N782" s="15" t="n">
        <f aca="false">M782-L782</f>
        <v>111.4</v>
      </c>
      <c r="O782" s="1" t="n">
        <f aca="false">YEAR(B782)</f>
        <v>2024</v>
      </c>
      <c r="P782" s="1" t="n">
        <f aca="false">MONTH(B782)</f>
        <v>2</v>
      </c>
      <c r="Q782" s="1" t="str">
        <f aca="false">TEXT(B782,"mmm")</f>
        <v>Feb</v>
      </c>
      <c r="R782" s="1" t="str">
        <f aca="false">"Q"&amp;ROUNDUP(MONTH(B782)/3,0)</f>
        <v>Q1</v>
      </c>
    </row>
    <row r="783" customFormat="false" ht="15" hidden="false" customHeight="true" outlineLevel="0" collapsed="false">
      <c r="A783" s="1" t="n">
        <v>10782</v>
      </c>
      <c r="B783" s="14" t="n">
        <v>45343</v>
      </c>
      <c r="C783" s="1" t="n">
        <v>1341</v>
      </c>
      <c r="D783" s="1" t="s">
        <v>34</v>
      </c>
      <c r="E783" s="1" t="s">
        <v>28</v>
      </c>
      <c r="F783" s="1" t="n">
        <v>1</v>
      </c>
      <c r="G783" s="15" t="n">
        <v>147.48</v>
      </c>
      <c r="H783" s="16" t="n">
        <v>0.09</v>
      </c>
      <c r="I783" s="1" t="s">
        <v>29</v>
      </c>
      <c r="J783" s="1" t="n">
        <v>1</v>
      </c>
      <c r="K783" s="1" t="n">
        <v>1.8</v>
      </c>
      <c r="L783" s="15" t="n">
        <v>134.21</v>
      </c>
      <c r="M783" s="15" t="n">
        <f aca="false">F783*G783</f>
        <v>147.48</v>
      </c>
      <c r="N783" s="15" t="n">
        <f aca="false">M783-L783</f>
        <v>13.27</v>
      </c>
      <c r="O783" s="1" t="n">
        <f aca="false">YEAR(B783)</f>
        <v>2024</v>
      </c>
      <c r="P783" s="1" t="n">
        <f aca="false">MONTH(B783)</f>
        <v>2</v>
      </c>
      <c r="Q783" s="1" t="str">
        <f aca="false">TEXT(B783,"mmm")</f>
        <v>Feb</v>
      </c>
      <c r="R783" s="1" t="str">
        <f aca="false">"Q"&amp;ROUNDUP(MONTH(B783)/3,0)</f>
        <v>Q1</v>
      </c>
    </row>
    <row r="784" customFormat="false" ht="15" hidden="false" customHeight="true" outlineLevel="0" collapsed="false">
      <c r="A784" s="1" t="n">
        <v>10783</v>
      </c>
      <c r="B784" s="14" t="n">
        <v>45344</v>
      </c>
      <c r="C784" s="1" t="n">
        <v>1396</v>
      </c>
      <c r="D784" s="1" t="s">
        <v>30</v>
      </c>
      <c r="E784" s="1" t="s">
        <v>32</v>
      </c>
      <c r="F784" s="1" t="n">
        <v>4</v>
      </c>
      <c r="G784" s="15" t="n">
        <v>90.54</v>
      </c>
      <c r="H784" s="16" t="n">
        <v>0.26</v>
      </c>
      <c r="I784" s="1" t="s">
        <v>31</v>
      </c>
      <c r="J784" s="1" t="n">
        <v>6</v>
      </c>
      <c r="K784" s="1" t="n">
        <v>1.7</v>
      </c>
      <c r="L784" s="15" t="n">
        <v>268</v>
      </c>
      <c r="M784" s="15" t="n">
        <f aca="false">F784*G784</f>
        <v>362.16</v>
      </c>
      <c r="N784" s="15" t="n">
        <f aca="false">M784-L784</f>
        <v>94.16</v>
      </c>
      <c r="O784" s="1" t="n">
        <f aca="false">YEAR(B784)</f>
        <v>2024</v>
      </c>
      <c r="P784" s="1" t="n">
        <f aca="false">MONTH(B784)</f>
        <v>2</v>
      </c>
      <c r="Q784" s="1" t="str">
        <f aca="false">TEXT(B784,"mmm")</f>
        <v>Feb</v>
      </c>
      <c r="R784" s="1" t="str">
        <f aca="false">"Q"&amp;ROUNDUP(MONTH(B784)/3,0)</f>
        <v>Q1</v>
      </c>
    </row>
    <row r="785" customFormat="false" ht="15" hidden="false" customHeight="true" outlineLevel="0" collapsed="false">
      <c r="A785" s="1" t="n">
        <v>10784</v>
      </c>
      <c r="B785" s="14" t="n">
        <v>45345</v>
      </c>
      <c r="C785" s="1" t="n">
        <v>1698</v>
      </c>
      <c r="D785" s="1" t="s">
        <v>27</v>
      </c>
      <c r="E785" s="1" t="s">
        <v>35</v>
      </c>
      <c r="F785" s="1" t="n">
        <v>6</v>
      </c>
      <c r="G785" s="15" t="n">
        <v>568.41</v>
      </c>
      <c r="H785" s="16" t="n">
        <v>0.13</v>
      </c>
      <c r="I785" s="1" t="s">
        <v>29</v>
      </c>
      <c r="J785" s="1" t="n">
        <v>1</v>
      </c>
      <c r="K785" s="1" t="n">
        <v>1.4</v>
      </c>
      <c r="L785" s="15" t="n">
        <v>2967.1</v>
      </c>
      <c r="M785" s="15" t="n">
        <f aca="false">F785*G785</f>
        <v>3410.46</v>
      </c>
      <c r="N785" s="15" t="n">
        <f aca="false">M785-L785</f>
        <v>443.36</v>
      </c>
      <c r="O785" s="1" t="n">
        <f aca="false">YEAR(B785)</f>
        <v>2024</v>
      </c>
      <c r="P785" s="1" t="n">
        <f aca="false">MONTH(B785)</f>
        <v>2</v>
      </c>
      <c r="Q785" s="1" t="str">
        <f aca="false">TEXT(B785,"mmm")</f>
        <v>Feb</v>
      </c>
      <c r="R785" s="1" t="str">
        <f aca="false">"Q"&amp;ROUNDUP(MONTH(B785)/3,0)</f>
        <v>Q1</v>
      </c>
    </row>
    <row r="786" customFormat="false" ht="15" hidden="false" customHeight="true" outlineLevel="0" collapsed="false">
      <c r="A786" s="1" t="n">
        <v>10785</v>
      </c>
      <c r="B786" s="14" t="n">
        <v>45346</v>
      </c>
      <c r="C786" s="1" t="n">
        <v>1018</v>
      </c>
      <c r="D786" s="1" t="s">
        <v>30</v>
      </c>
      <c r="E786" s="1" t="s">
        <v>36</v>
      </c>
      <c r="F786" s="1" t="n">
        <v>4</v>
      </c>
      <c r="G786" s="15" t="n">
        <v>431.46</v>
      </c>
      <c r="H786" s="16" t="n">
        <v>0.3</v>
      </c>
      <c r="I786" s="1" t="s">
        <v>31</v>
      </c>
      <c r="J786" s="1" t="n">
        <v>8</v>
      </c>
      <c r="K786" s="1" t="n">
        <v>3.1</v>
      </c>
      <c r="L786" s="15" t="n">
        <v>1208.09</v>
      </c>
      <c r="M786" s="15" t="n">
        <f aca="false">F786*G786</f>
        <v>1725.84</v>
      </c>
      <c r="N786" s="15" t="n">
        <f aca="false">M786-L786</f>
        <v>517.75</v>
      </c>
      <c r="O786" s="1" t="n">
        <f aca="false">YEAR(B786)</f>
        <v>2024</v>
      </c>
      <c r="P786" s="1" t="n">
        <f aca="false">MONTH(B786)</f>
        <v>2</v>
      </c>
      <c r="Q786" s="1" t="str">
        <f aca="false">TEXT(B786,"mmm")</f>
        <v>Feb</v>
      </c>
      <c r="R786" s="1" t="str">
        <f aca="false">"Q"&amp;ROUNDUP(MONTH(B786)/3,0)</f>
        <v>Q1</v>
      </c>
    </row>
    <row r="787" customFormat="false" ht="15" hidden="false" customHeight="true" outlineLevel="0" collapsed="false">
      <c r="A787" s="1" t="n">
        <v>10786</v>
      </c>
      <c r="B787" s="14" t="n">
        <v>45347</v>
      </c>
      <c r="C787" s="1" t="n">
        <v>1176</v>
      </c>
      <c r="D787" s="1" t="s">
        <v>34</v>
      </c>
      <c r="E787" s="1" t="s">
        <v>35</v>
      </c>
      <c r="F787" s="1" t="n">
        <v>5</v>
      </c>
      <c r="G787" s="15" t="n">
        <v>448.87</v>
      </c>
      <c r="H787" s="16" t="n">
        <v>0.11</v>
      </c>
      <c r="I787" s="1" t="s">
        <v>29</v>
      </c>
      <c r="J787" s="1" t="n">
        <v>6</v>
      </c>
      <c r="K787" s="1" t="n">
        <v>2.3</v>
      </c>
      <c r="L787" s="15" t="n">
        <v>1997.47</v>
      </c>
      <c r="M787" s="15" t="n">
        <f aca="false">F787*G787</f>
        <v>2244.35</v>
      </c>
      <c r="N787" s="15" t="n">
        <f aca="false">M787-L787</f>
        <v>246.88</v>
      </c>
      <c r="O787" s="1" t="n">
        <f aca="false">YEAR(B787)</f>
        <v>2024</v>
      </c>
      <c r="P787" s="1" t="n">
        <f aca="false">MONTH(B787)</f>
        <v>2</v>
      </c>
      <c r="Q787" s="1" t="str">
        <f aca="false">TEXT(B787,"mmm")</f>
        <v>Feb</v>
      </c>
      <c r="R787" s="1" t="str">
        <f aca="false">"Q"&amp;ROUNDUP(MONTH(B787)/3,0)</f>
        <v>Q1</v>
      </c>
    </row>
    <row r="788" customFormat="false" ht="15" hidden="false" customHeight="true" outlineLevel="0" collapsed="false">
      <c r="A788" s="1" t="n">
        <v>10787</v>
      </c>
      <c r="B788" s="14" t="n">
        <v>45348</v>
      </c>
      <c r="C788" s="1" t="n">
        <v>1611</v>
      </c>
      <c r="D788" s="1" t="s">
        <v>34</v>
      </c>
      <c r="E788" s="1" t="s">
        <v>35</v>
      </c>
      <c r="F788" s="1" t="n">
        <v>2</v>
      </c>
      <c r="G788" s="15" t="n">
        <v>307.15</v>
      </c>
      <c r="H788" s="16" t="n">
        <v>0.25</v>
      </c>
      <c r="I788" s="1" t="s">
        <v>31</v>
      </c>
      <c r="J788" s="1" t="n">
        <v>5</v>
      </c>
      <c r="K788" s="1" t="n">
        <v>4.6</v>
      </c>
      <c r="L788" s="15" t="n">
        <v>460.72</v>
      </c>
      <c r="M788" s="15" t="n">
        <f aca="false">F788*G788</f>
        <v>614.3</v>
      </c>
      <c r="N788" s="15" t="n">
        <f aca="false">M788-L788</f>
        <v>153.58</v>
      </c>
      <c r="O788" s="1" t="n">
        <f aca="false">YEAR(B788)</f>
        <v>2024</v>
      </c>
      <c r="P788" s="1" t="n">
        <f aca="false">MONTH(B788)</f>
        <v>2</v>
      </c>
      <c r="Q788" s="1" t="str">
        <f aca="false">TEXT(B788,"mmm")</f>
        <v>Feb</v>
      </c>
      <c r="R788" s="1" t="str">
        <f aca="false">"Q"&amp;ROUNDUP(MONTH(B788)/3,0)</f>
        <v>Q1</v>
      </c>
    </row>
    <row r="789" customFormat="false" ht="15" hidden="false" customHeight="true" outlineLevel="0" collapsed="false">
      <c r="A789" s="1" t="n">
        <v>10788</v>
      </c>
      <c r="B789" s="14" t="n">
        <v>45349</v>
      </c>
      <c r="C789" s="1" t="n">
        <v>1395</v>
      </c>
      <c r="D789" s="1" t="s">
        <v>37</v>
      </c>
      <c r="E789" s="1" t="s">
        <v>32</v>
      </c>
      <c r="F789" s="1" t="n">
        <v>4</v>
      </c>
      <c r="G789" s="15" t="n">
        <v>292.72</v>
      </c>
      <c r="H789" s="16" t="n">
        <v>0.02</v>
      </c>
      <c r="I789" s="1" t="s">
        <v>29</v>
      </c>
      <c r="J789" s="1" t="n">
        <v>6</v>
      </c>
      <c r="K789" s="1" t="n">
        <v>1.7</v>
      </c>
      <c r="L789" s="15" t="n">
        <v>1147.46</v>
      </c>
      <c r="M789" s="15" t="n">
        <f aca="false">F789*G789</f>
        <v>1170.88</v>
      </c>
      <c r="N789" s="15" t="n">
        <f aca="false">M789-L789</f>
        <v>23.4200000000001</v>
      </c>
      <c r="O789" s="1" t="n">
        <f aca="false">YEAR(B789)</f>
        <v>2024</v>
      </c>
      <c r="P789" s="1" t="n">
        <f aca="false">MONTH(B789)</f>
        <v>2</v>
      </c>
      <c r="Q789" s="1" t="str">
        <f aca="false">TEXT(B789,"mmm")</f>
        <v>Feb</v>
      </c>
      <c r="R789" s="1" t="str">
        <f aca="false">"Q"&amp;ROUNDUP(MONTH(B789)/3,0)</f>
        <v>Q1</v>
      </c>
    </row>
    <row r="790" customFormat="false" ht="15" hidden="false" customHeight="true" outlineLevel="0" collapsed="false">
      <c r="A790" s="1" t="n">
        <v>10789</v>
      </c>
      <c r="B790" s="14" t="n">
        <v>45350</v>
      </c>
      <c r="C790" s="1" t="n">
        <v>1444</v>
      </c>
      <c r="D790" s="1" t="s">
        <v>30</v>
      </c>
      <c r="E790" s="1" t="s">
        <v>35</v>
      </c>
      <c r="F790" s="1" t="n">
        <v>7</v>
      </c>
      <c r="G790" s="15" t="n">
        <v>79.36</v>
      </c>
      <c r="H790" s="16" t="n">
        <v>0.13</v>
      </c>
      <c r="I790" s="1" t="s">
        <v>29</v>
      </c>
      <c r="J790" s="1" t="n">
        <v>4</v>
      </c>
      <c r="K790" s="1" t="n">
        <v>3.4</v>
      </c>
      <c r="L790" s="15" t="n">
        <v>483.3</v>
      </c>
      <c r="M790" s="15" t="n">
        <f aca="false">F790*G790</f>
        <v>555.52</v>
      </c>
      <c r="N790" s="15" t="n">
        <f aca="false">M790-L790</f>
        <v>72.22</v>
      </c>
      <c r="O790" s="1" t="n">
        <f aca="false">YEAR(B790)</f>
        <v>2024</v>
      </c>
      <c r="P790" s="1" t="n">
        <f aca="false">MONTH(B790)</f>
        <v>2</v>
      </c>
      <c r="Q790" s="1" t="str">
        <f aca="false">TEXT(B790,"mmm")</f>
        <v>Feb</v>
      </c>
      <c r="R790" s="1" t="str">
        <f aca="false">"Q"&amp;ROUNDUP(MONTH(B790)/3,0)</f>
        <v>Q1</v>
      </c>
    </row>
    <row r="791" customFormat="false" ht="15" hidden="false" customHeight="true" outlineLevel="0" collapsed="false">
      <c r="A791" s="1" t="n">
        <v>10790</v>
      </c>
      <c r="B791" s="14" t="n">
        <v>45351</v>
      </c>
      <c r="C791" s="1" t="n">
        <v>1232</v>
      </c>
      <c r="D791" s="1" t="s">
        <v>37</v>
      </c>
      <c r="E791" s="1" t="s">
        <v>35</v>
      </c>
      <c r="F791" s="1" t="n">
        <v>6</v>
      </c>
      <c r="G791" s="15" t="n">
        <v>342.51</v>
      </c>
      <c r="H791" s="16" t="n">
        <v>0.12</v>
      </c>
      <c r="I791" s="1" t="s">
        <v>31</v>
      </c>
      <c r="J791" s="1" t="n">
        <v>1</v>
      </c>
      <c r="K791" s="1" t="n">
        <v>4.6</v>
      </c>
      <c r="L791" s="15" t="n">
        <v>1808.45</v>
      </c>
      <c r="M791" s="15" t="n">
        <f aca="false">F791*G791</f>
        <v>2055.06</v>
      </c>
      <c r="N791" s="15" t="n">
        <f aca="false">M791-L791</f>
        <v>246.61</v>
      </c>
      <c r="O791" s="1" t="n">
        <f aca="false">YEAR(B791)</f>
        <v>2024</v>
      </c>
      <c r="P791" s="1" t="n">
        <f aca="false">MONTH(B791)</f>
        <v>2</v>
      </c>
      <c r="Q791" s="1" t="str">
        <f aca="false">TEXT(B791,"mmm")</f>
        <v>Feb</v>
      </c>
      <c r="R791" s="1" t="str">
        <f aca="false">"Q"&amp;ROUNDUP(MONTH(B791)/3,0)</f>
        <v>Q1</v>
      </c>
    </row>
    <row r="792" customFormat="false" ht="15" hidden="false" customHeight="true" outlineLevel="0" collapsed="false">
      <c r="A792" s="1" t="n">
        <v>10791</v>
      </c>
      <c r="B792" s="14" t="n">
        <v>45352</v>
      </c>
      <c r="C792" s="1" t="n">
        <v>1914</v>
      </c>
      <c r="D792" s="1" t="s">
        <v>37</v>
      </c>
      <c r="E792" s="1" t="s">
        <v>36</v>
      </c>
      <c r="F792" s="1" t="n">
        <v>3</v>
      </c>
      <c r="G792" s="15" t="n">
        <v>159.45</v>
      </c>
      <c r="H792" s="16" t="n">
        <v>0.29</v>
      </c>
      <c r="I792" s="1" t="s">
        <v>29</v>
      </c>
      <c r="J792" s="1" t="n">
        <v>7</v>
      </c>
      <c r="K792" s="1" t="n">
        <v>1.2</v>
      </c>
      <c r="L792" s="15" t="n">
        <v>339.63</v>
      </c>
      <c r="M792" s="15" t="n">
        <f aca="false">F792*G792</f>
        <v>478.35</v>
      </c>
      <c r="N792" s="15" t="n">
        <f aca="false">M792-L792</f>
        <v>138.72</v>
      </c>
      <c r="O792" s="1" t="n">
        <f aca="false">YEAR(B792)</f>
        <v>2024</v>
      </c>
      <c r="P792" s="1" t="n">
        <f aca="false">MONTH(B792)</f>
        <v>3</v>
      </c>
      <c r="Q792" s="1" t="str">
        <f aca="false">TEXT(B792,"mmm")</f>
        <v>Mar</v>
      </c>
      <c r="R792" s="1" t="str">
        <f aca="false">"Q"&amp;ROUNDUP(MONTH(B792)/3,0)</f>
        <v>Q1</v>
      </c>
    </row>
    <row r="793" customFormat="false" ht="15" hidden="false" customHeight="true" outlineLevel="0" collapsed="false">
      <c r="A793" s="1" t="n">
        <v>10792</v>
      </c>
      <c r="B793" s="14" t="n">
        <v>45353</v>
      </c>
      <c r="C793" s="1" t="n">
        <v>1075</v>
      </c>
      <c r="D793" s="1" t="s">
        <v>37</v>
      </c>
      <c r="E793" s="1" t="s">
        <v>35</v>
      </c>
      <c r="F793" s="1" t="n">
        <v>6</v>
      </c>
      <c r="G793" s="15" t="n">
        <v>586.63</v>
      </c>
      <c r="H793" s="16" t="n">
        <v>0.34</v>
      </c>
      <c r="I793" s="1" t="s">
        <v>31</v>
      </c>
      <c r="J793" s="1" t="n">
        <v>10</v>
      </c>
      <c r="K793" s="1" t="n">
        <v>3.1</v>
      </c>
      <c r="L793" s="15" t="n">
        <v>2323.05</v>
      </c>
      <c r="M793" s="15" t="n">
        <f aca="false">F793*G793</f>
        <v>3519.78</v>
      </c>
      <c r="N793" s="15" t="n">
        <f aca="false">M793-L793</f>
        <v>1196.73</v>
      </c>
      <c r="O793" s="1" t="n">
        <f aca="false">YEAR(B793)</f>
        <v>2024</v>
      </c>
      <c r="P793" s="1" t="n">
        <f aca="false">MONTH(B793)</f>
        <v>3</v>
      </c>
      <c r="Q793" s="1" t="str">
        <f aca="false">TEXT(B793,"mmm")</f>
        <v>Mar</v>
      </c>
      <c r="R793" s="1" t="str">
        <f aca="false">"Q"&amp;ROUNDUP(MONTH(B793)/3,0)</f>
        <v>Q1</v>
      </c>
    </row>
    <row r="794" customFormat="false" ht="15" hidden="false" customHeight="true" outlineLevel="0" collapsed="false">
      <c r="A794" s="1" t="n">
        <v>10793</v>
      </c>
      <c r="B794" s="14" t="n">
        <v>45354</v>
      </c>
      <c r="C794" s="1" t="n">
        <v>1264</v>
      </c>
      <c r="D794" s="1" t="s">
        <v>34</v>
      </c>
      <c r="E794" s="1" t="s">
        <v>36</v>
      </c>
      <c r="F794" s="1" t="n">
        <v>4</v>
      </c>
      <c r="G794" s="15" t="n">
        <v>481</v>
      </c>
      <c r="H794" s="16" t="n">
        <v>0.16</v>
      </c>
      <c r="I794" s="1" t="s">
        <v>31</v>
      </c>
      <c r="J794" s="1" t="n">
        <v>9</v>
      </c>
      <c r="K794" s="1" t="n">
        <v>2.8</v>
      </c>
      <c r="L794" s="15" t="n">
        <v>1616.16</v>
      </c>
      <c r="M794" s="15" t="n">
        <f aca="false">F794*G794</f>
        <v>1924</v>
      </c>
      <c r="N794" s="15" t="n">
        <f aca="false">M794-L794</f>
        <v>307.84</v>
      </c>
      <c r="O794" s="1" t="n">
        <f aca="false">YEAR(B794)</f>
        <v>2024</v>
      </c>
      <c r="P794" s="1" t="n">
        <f aca="false">MONTH(B794)</f>
        <v>3</v>
      </c>
      <c r="Q794" s="1" t="str">
        <f aca="false">TEXT(B794,"mmm")</f>
        <v>Mar</v>
      </c>
      <c r="R794" s="1" t="str">
        <f aca="false">"Q"&amp;ROUNDUP(MONTH(B794)/3,0)</f>
        <v>Q1</v>
      </c>
    </row>
    <row r="795" customFormat="false" ht="15" hidden="false" customHeight="true" outlineLevel="0" collapsed="false">
      <c r="A795" s="1" t="n">
        <v>10794</v>
      </c>
      <c r="B795" s="14" t="n">
        <v>45355</v>
      </c>
      <c r="C795" s="1" t="n">
        <v>1454</v>
      </c>
      <c r="D795" s="1" t="s">
        <v>37</v>
      </c>
      <c r="E795" s="1" t="s">
        <v>32</v>
      </c>
      <c r="F795" s="1" t="n">
        <v>3</v>
      </c>
      <c r="G795" s="15" t="n">
        <v>256.6</v>
      </c>
      <c r="H795" s="16" t="n">
        <v>0.29</v>
      </c>
      <c r="I795" s="1" t="s">
        <v>31</v>
      </c>
      <c r="J795" s="1" t="n">
        <v>4</v>
      </c>
      <c r="K795" s="1" t="n">
        <v>4.7</v>
      </c>
      <c r="L795" s="15" t="n">
        <v>546.56</v>
      </c>
      <c r="M795" s="15" t="n">
        <f aca="false">F795*G795</f>
        <v>769.8</v>
      </c>
      <c r="N795" s="15" t="n">
        <f aca="false">M795-L795</f>
        <v>223.24</v>
      </c>
      <c r="O795" s="1" t="n">
        <f aca="false">YEAR(B795)</f>
        <v>2024</v>
      </c>
      <c r="P795" s="1" t="n">
        <f aca="false">MONTH(B795)</f>
        <v>3</v>
      </c>
      <c r="Q795" s="1" t="str">
        <f aca="false">TEXT(B795,"mmm")</f>
        <v>Mar</v>
      </c>
      <c r="R795" s="1" t="str">
        <f aca="false">"Q"&amp;ROUNDUP(MONTH(B795)/3,0)</f>
        <v>Q1</v>
      </c>
    </row>
    <row r="796" customFormat="false" ht="15" hidden="false" customHeight="true" outlineLevel="0" collapsed="false">
      <c r="A796" s="1" t="n">
        <v>10795</v>
      </c>
      <c r="B796" s="14" t="n">
        <v>45356</v>
      </c>
      <c r="C796" s="1" t="n">
        <v>1795</v>
      </c>
      <c r="D796" s="1" t="s">
        <v>34</v>
      </c>
      <c r="E796" s="1" t="s">
        <v>36</v>
      </c>
      <c r="F796" s="1" t="n">
        <v>5</v>
      </c>
      <c r="G796" s="15" t="n">
        <v>103.53</v>
      </c>
      <c r="H796" s="16" t="n">
        <v>0.24</v>
      </c>
      <c r="I796" s="1" t="s">
        <v>29</v>
      </c>
      <c r="J796" s="1" t="n">
        <v>4</v>
      </c>
      <c r="K796" s="1" t="n">
        <v>3.7</v>
      </c>
      <c r="L796" s="15" t="n">
        <v>393.41</v>
      </c>
      <c r="M796" s="15" t="n">
        <f aca="false">F796*G796</f>
        <v>517.65</v>
      </c>
      <c r="N796" s="15" t="n">
        <f aca="false">M796-L796</f>
        <v>124.24</v>
      </c>
      <c r="O796" s="1" t="n">
        <f aca="false">YEAR(B796)</f>
        <v>2024</v>
      </c>
      <c r="P796" s="1" t="n">
        <f aca="false">MONTH(B796)</f>
        <v>3</v>
      </c>
      <c r="Q796" s="1" t="str">
        <f aca="false">TEXT(B796,"mmm")</f>
        <v>Mar</v>
      </c>
      <c r="R796" s="1" t="str">
        <f aca="false">"Q"&amp;ROUNDUP(MONTH(B796)/3,0)</f>
        <v>Q1</v>
      </c>
    </row>
    <row r="797" customFormat="false" ht="15" hidden="false" customHeight="true" outlineLevel="0" collapsed="false">
      <c r="A797" s="1" t="n">
        <v>10796</v>
      </c>
      <c r="B797" s="14" t="n">
        <v>45357</v>
      </c>
      <c r="C797" s="1" t="n">
        <v>1717</v>
      </c>
      <c r="D797" s="1" t="s">
        <v>27</v>
      </c>
      <c r="E797" s="1" t="s">
        <v>28</v>
      </c>
      <c r="F797" s="1" t="n">
        <v>6</v>
      </c>
      <c r="G797" s="15" t="n">
        <v>474.42</v>
      </c>
      <c r="H797" s="16" t="n">
        <v>0.34</v>
      </c>
      <c r="I797" s="1" t="s">
        <v>33</v>
      </c>
      <c r="J797" s="1" t="n">
        <v>9</v>
      </c>
      <c r="K797" s="1" t="n">
        <v>2.4</v>
      </c>
      <c r="L797" s="15" t="n">
        <v>1878.7</v>
      </c>
      <c r="M797" s="15" t="n">
        <f aca="false">F797*G797</f>
        <v>2846.52</v>
      </c>
      <c r="N797" s="15" t="n">
        <f aca="false">M797-L797</f>
        <v>967.82</v>
      </c>
      <c r="O797" s="1" t="n">
        <f aca="false">YEAR(B797)</f>
        <v>2024</v>
      </c>
      <c r="P797" s="1" t="n">
        <f aca="false">MONTH(B797)</f>
        <v>3</v>
      </c>
      <c r="Q797" s="1" t="str">
        <f aca="false">TEXT(B797,"mmm")</f>
        <v>Mar</v>
      </c>
      <c r="R797" s="1" t="str">
        <f aca="false">"Q"&amp;ROUNDUP(MONTH(B797)/3,0)</f>
        <v>Q1</v>
      </c>
    </row>
    <row r="798" customFormat="false" ht="15" hidden="false" customHeight="true" outlineLevel="0" collapsed="false">
      <c r="A798" s="1" t="n">
        <v>10797</v>
      </c>
      <c r="B798" s="14" t="n">
        <v>45358</v>
      </c>
      <c r="C798" s="1" t="n">
        <v>1734</v>
      </c>
      <c r="D798" s="1" t="s">
        <v>30</v>
      </c>
      <c r="E798" s="1" t="s">
        <v>28</v>
      </c>
      <c r="F798" s="1" t="n">
        <v>2</v>
      </c>
      <c r="G798" s="15" t="n">
        <v>86.4</v>
      </c>
      <c r="H798" s="16" t="n">
        <v>0.28</v>
      </c>
      <c r="I798" s="1" t="s">
        <v>33</v>
      </c>
      <c r="J798" s="1" t="n">
        <v>4</v>
      </c>
      <c r="K798" s="1" t="n">
        <v>3.8</v>
      </c>
      <c r="L798" s="15" t="n">
        <v>124.42</v>
      </c>
      <c r="M798" s="15" t="n">
        <f aca="false">F798*G798</f>
        <v>172.8</v>
      </c>
      <c r="N798" s="15" t="n">
        <f aca="false">M798-L798</f>
        <v>48.38</v>
      </c>
      <c r="O798" s="1" t="n">
        <f aca="false">YEAR(B798)</f>
        <v>2024</v>
      </c>
      <c r="P798" s="1" t="n">
        <f aca="false">MONTH(B798)</f>
        <v>3</v>
      </c>
      <c r="Q798" s="1" t="str">
        <f aca="false">TEXT(B798,"mmm")</f>
        <v>Mar</v>
      </c>
      <c r="R798" s="1" t="str">
        <f aca="false">"Q"&amp;ROUNDUP(MONTH(B798)/3,0)</f>
        <v>Q1</v>
      </c>
    </row>
    <row r="799" customFormat="false" ht="15" hidden="false" customHeight="true" outlineLevel="0" collapsed="false">
      <c r="A799" s="1" t="n">
        <v>10798</v>
      </c>
      <c r="B799" s="14" t="n">
        <v>45359</v>
      </c>
      <c r="C799" s="1" t="n">
        <v>1383</v>
      </c>
      <c r="D799" s="1" t="s">
        <v>34</v>
      </c>
      <c r="E799" s="1" t="s">
        <v>36</v>
      </c>
      <c r="F799" s="1" t="n">
        <v>3</v>
      </c>
      <c r="G799" s="15" t="n">
        <v>125.76</v>
      </c>
      <c r="H799" s="16" t="n">
        <v>0.03</v>
      </c>
      <c r="I799" s="1" t="s">
        <v>33</v>
      </c>
      <c r="J799" s="1" t="n">
        <v>10</v>
      </c>
      <c r="K799" s="1" t="n">
        <v>3.3</v>
      </c>
      <c r="L799" s="15" t="n">
        <v>365.96</v>
      </c>
      <c r="M799" s="15" t="n">
        <f aca="false">F799*G799</f>
        <v>377.28</v>
      </c>
      <c r="N799" s="15" t="n">
        <f aca="false">M799-L799</f>
        <v>11.3200000000001</v>
      </c>
      <c r="O799" s="1" t="n">
        <f aca="false">YEAR(B799)</f>
        <v>2024</v>
      </c>
      <c r="P799" s="1" t="n">
        <f aca="false">MONTH(B799)</f>
        <v>3</v>
      </c>
      <c r="Q799" s="1" t="str">
        <f aca="false">TEXT(B799,"mmm")</f>
        <v>Mar</v>
      </c>
      <c r="R799" s="1" t="str">
        <f aca="false">"Q"&amp;ROUNDUP(MONTH(B799)/3,0)</f>
        <v>Q1</v>
      </c>
    </row>
    <row r="800" customFormat="false" ht="15" hidden="false" customHeight="true" outlineLevel="0" collapsed="false">
      <c r="A800" s="1" t="n">
        <v>10799</v>
      </c>
      <c r="B800" s="14" t="n">
        <v>45360</v>
      </c>
      <c r="C800" s="1" t="n">
        <v>1563</v>
      </c>
      <c r="D800" s="1" t="s">
        <v>34</v>
      </c>
      <c r="E800" s="1" t="s">
        <v>28</v>
      </c>
      <c r="F800" s="1" t="n">
        <v>3</v>
      </c>
      <c r="G800" s="15" t="n">
        <v>138.74</v>
      </c>
      <c r="H800" s="16" t="n">
        <v>0.25</v>
      </c>
      <c r="I800" s="1" t="s">
        <v>29</v>
      </c>
      <c r="J800" s="1" t="n">
        <v>4</v>
      </c>
      <c r="K800" s="1" t="n">
        <v>2.4</v>
      </c>
      <c r="L800" s="15" t="n">
        <v>312.17</v>
      </c>
      <c r="M800" s="15" t="n">
        <f aca="false">F800*G800</f>
        <v>416.22</v>
      </c>
      <c r="N800" s="15" t="n">
        <f aca="false">M800-L800</f>
        <v>104.05</v>
      </c>
      <c r="O800" s="1" t="n">
        <f aca="false">YEAR(B800)</f>
        <v>2024</v>
      </c>
      <c r="P800" s="1" t="n">
        <f aca="false">MONTH(B800)</f>
        <v>3</v>
      </c>
      <c r="Q800" s="1" t="str">
        <f aca="false">TEXT(B800,"mmm")</f>
        <v>Mar</v>
      </c>
      <c r="R800" s="1" t="str">
        <f aca="false">"Q"&amp;ROUNDUP(MONTH(B800)/3,0)</f>
        <v>Q1</v>
      </c>
    </row>
    <row r="801" customFormat="false" ht="15" hidden="false" customHeight="true" outlineLevel="0" collapsed="false">
      <c r="A801" s="1" t="n">
        <v>10800</v>
      </c>
      <c r="B801" s="14" t="n">
        <v>45361</v>
      </c>
      <c r="C801" s="1" t="n">
        <v>1850</v>
      </c>
      <c r="D801" s="1" t="s">
        <v>34</v>
      </c>
      <c r="E801" s="1" t="s">
        <v>32</v>
      </c>
      <c r="F801" s="1" t="n">
        <v>6</v>
      </c>
      <c r="G801" s="15" t="n">
        <v>340.78</v>
      </c>
      <c r="H801" s="16" t="n">
        <v>0.19</v>
      </c>
      <c r="I801" s="1" t="s">
        <v>33</v>
      </c>
      <c r="J801" s="1" t="n">
        <v>8</v>
      </c>
      <c r="K801" s="1" t="n">
        <v>4.1</v>
      </c>
      <c r="L801" s="15" t="n">
        <v>1656.19</v>
      </c>
      <c r="M801" s="15" t="n">
        <f aca="false">F801*G801</f>
        <v>2044.68</v>
      </c>
      <c r="N801" s="15" t="n">
        <f aca="false">M801-L801</f>
        <v>388.49</v>
      </c>
      <c r="O801" s="1" t="n">
        <f aca="false">YEAR(B801)</f>
        <v>2024</v>
      </c>
      <c r="P801" s="1" t="n">
        <f aca="false">MONTH(B801)</f>
        <v>3</v>
      </c>
      <c r="Q801" s="1" t="str">
        <f aca="false">TEXT(B801,"mmm")</f>
        <v>Mar</v>
      </c>
      <c r="R801" s="1" t="str">
        <f aca="false">"Q"&amp;ROUNDUP(MONTH(B801)/3,0)</f>
        <v>Q1</v>
      </c>
    </row>
    <row r="802" customFormat="false" ht="15" hidden="false" customHeight="true" outlineLevel="0" collapsed="false">
      <c r="A802" s="1" t="n">
        <v>10801</v>
      </c>
      <c r="B802" s="14" t="n">
        <v>45362</v>
      </c>
      <c r="C802" s="1" t="n">
        <v>1505</v>
      </c>
      <c r="D802" s="1" t="s">
        <v>37</v>
      </c>
      <c r="E802" s="1" t="s">
        <v>28</v>
      </c>
      <c r="F802" s="1" t="n">
        <v>4</v>
      </c>
      <c r="G802" s="15" t="n">
        <v>475.43</v>
      </c>
      <c r="H802" s="16" t="n">
        <v>0.01</v>
      </c>
      <c r="I802" s="1" t="s">
        <v>31</v>
      </c>
      <c r="J802" s="1" t="n">
        <v>11</v>
      </c>
      <c r="K802" s="1" t="n">
        <v>3.7</v>
      </c>
      <c r="L802" s="15" t="n">
        <v>1882.7</v>
      </c>
      <c r="M802" s="15" t="n">
        <f aca="false">F802*G802</f>
        <v>1901.72</v>
      </c>
      <c r="N802" s="15" t="n">
        <f aca="false">M802-L802</f>
        <v>19.02</v>
      </c>
      <c r="O802" s="1" t="n">
        <f aca="false">YEAR(B802)</f>
        <v>2024</v>
      </c>
      <c r="P802" s="1" t="n">
        <f aca="false">MONTH(B802)</f>
        <v>3</v>
      </c>
      <c r="Q802" s="1" t="str">
        <f aca="false">TEXT(B802,"mmm")</f>
        <v>Mar</v>
      </c>
      <c r="R802" s="1" t="str">
        <f aca="false">"Q"&amp;ROUNDUP(MONTH(B802)/3,0)</f>
        <v>Q1</v>
      </c>
    </row>
    <row r="803" customFormat="false" ht="15" hidden="false" customHeight="true" outlineLevel="0" collapsed="false">
      <c r="A803" s="1" t="n">
        <v>10802</v>
      </c>
      <c r="B803" s="14" t="n">
        <v>45363</v>
      </c>
      <c r="C803" s="1" t="n">
        <v>1366</v>
      </c>
      <c r="D803" s="1" t="s">
        <v>34</v>
      </c>
      <c r="E803" s="1" t="s">
        <v>36</v>
      </c>
      <c r="F803" s="1" t="n">
        <v>3</v>
      </c>
      <c r="G803" s="15" t="n">
        <v>198.87</v>
      </c>
      <c r="H803" s="16" t="n">
        <v>0.09</v>
      </c>
      <c r="I803" s="1" t="s">
        <v>31</v>
      </c>
      <c r="J803" s="1" t="n">
        <v>4</v>
      </c>
      <c r="K803" s="1" t="n">
        <v>1</v>
      </c>
      <c r="L803" s="15" t="n">
        <v>542.92</v>
      </c>
      <c r="M803" s="15" t="n">
        <f aca="false">F803*G803</f>
        <v>596.61</v>
      </c>
      <c r="N803" s="15" t="n">
        <f aca="false">M803-L803</f>
        <v>53.6900000000001</v>
      </c>
      <c r="O803" s="1" t="n">
        <f aca="false">YEAR(B803)</f>
        <v>2024</v>
      </c>
      <c r="P803" s="1" t="n">
        <f aca="false">MONTH(B803)</f>
        <v>3</v>
      </c>
      <c r="Q803" s="1" t="str">
        <f aca="false">TEXT(B803,"mmm")</f>
        <v>Mar</v>
      </c>
      <c r="R803" s="1" t="str">
        <f aca="false">"Q"&amp;ROUNDUP(MONTH(B803)/3,0)</f>
        <v>Q1</v>
      </c>
    </row>
    <row r="804" customFormat="false" ht="15" hidden="false" customHeight="true" outlineLevel="0" collapsed="false">
      <c r="A804" s="1" t="n">
        <v>10803</v>
      </c>
      <c r="B804" s="14" t="n">
        <v>45364</v>
      </c>
      <c r="C804" s="1" t="n">
        <v>1143</v>
      </c>
      <c r="D804" s="1" t="s">
        <v>30</v>
      </c>
      <c r="E804" s="1" t="s">
        <v>32</v>
      </c>
      <c r="F804" s="1" t="n">
        <v>5</v>
      </c>
      <c r="G804" s="15" t="n">
        <v>64.53</v>
      </c>
      <c r="H804" s="16" t="n">
        <v>0.32</v>
      </c>
      <c r="I804" s="1" t="s">
        <v>31</v>
      </c>
      <c r="J804" s="1" t="n">
        <v>9</v>
      </c>
      <c r="K804" s="1" t="n">
        <v>4.5</v>
      </c>
      <c r="L804" s="15" t="n">
        <v>219.4</v>
      </c>
      <c r="M804" s="15" t="n">
        <f aca="false">F804*G804</f>
        <v>322.65</v>
      </c>
      <c r="N804" s="15" t="n">
        <f aca="false">M804-L804</f>
        <v>103.25</v>
      </c>
      <c r="O804" s="1" t="n">
        <f aca="false">YEAR(B804)</f>
        <v>2024</v>
      </c>
      <c r="P804" s="1" t="n">
        <f aca="false">MONTH(B804)</f>
        <v>3</v>
      </c>
      <c r="Q804" s="1" t="str">
        <f aca="false">TEXT(B804,"mmm")</f>
        <v>Mar</v>
      </c>
      <c r="R804" s="1" t="str">
        <f aca="false">"Q"&amp;ROUNDUP(MONTH(B804)/3,0)</f>
        <v>Q1</v>
      </c>
    </row>
    <row r="805" customFormat="false" ht="15" hidden="false" customHeight="true" outlineLevel="0" collapsed="false">
      <c r="A805" s="1" t="n">
        <v>10804</v>
      </c>
      <c r="B805" s="14" t="n">
        <v>45365</v>
      </c>
      <c r="C805" s="1" t="n">
        <v>1884</v>
      </c>
      <c r="D805" s="1" t="s">
        <v>34</v>
      </c>
      <c r="E805" s="1" t="s">
        <v>28</v>
      </c>
      <c r="F805" s="1" t="n">
        <v>6</v>
      </c>
      <c r="G805" s="15" t="n">
        <v>286.76</v>
      </c>
      <c r="H805" s="16" t="n">
        <v>0.32</v>
      </c>
      <c r="I805" s="1" t="s">
        <v>33</v>
      </c>
      <c r="J805" s="1" t="n">
        <v>11</v>
      </c>
      <c r="K805" s="1" t="n">
        <v>2.6</v>
      </c>
      <c r="L805" s="15" t="n">
        <v>1169.98</v>
      </c>
      <c r="M805" s="15" t="n">
        <f aca="false">F805*G805</f>
        <v>1720.56</v>
      </c>
      <c r="N805" s="15" t="n">
        <f aca="false">M805-L805</f>
        <v>550.58</v>
      </c>
      <c r="O805" s="1" t="n">
        <f aca="false">YEAR(B805)</f>
        <v>2024</v>
      </c>
      <c r="P805" s="1" t="n">
        <f aca="false">MONTH(B805)</f>
        <v>3</v>
      </c>
      <c r="Q805" s="1" t="str">
        <f aca="false">TEXT(B805,"mmm")</f>
        <v>Mar</v>
      </c>
      <c r="R805" s="1" t="str">
        <f aca="false">"Q"&amp;ROUNDUP(MONTH(B805)/3,0)</f>
        <v>Q1</v>
      </c>
    </row>
    <row r="806" customFormat="false" ht="15" hidden="false" customHeight="true" outlineLevel="0" collapsed="false">
      <c r="A806" s="1" t="n">
        <v>10805</v>
      </c>
      <c r="B806" s="14" t="n">
        <v>45366</v>
      </c>
      <c r="C806" s="1" t="n">
        <v>1068</v>
      </c>
      <c r="D806" s="1" t="s">
        <v>37</v>
      </c>
      <c r="E806" s="1" t="s">
        <v>32</v>
      </c>
      <c r="F806" s="1" t="n">
        <v>5</v>
      </c>
      <c r="G806" s="15" t="n">
        <v>452.64</v>
      </c>
      <c r="H806" s="16" t="n">
        <v>0.28</v>
      </c>
      <c r="I806" s="1" t="s">
        <v>31</v>
      </c>
      <c r="J806" s="1" t="n">
        <v>8</v>
      </c>
      <c r="K806" s="1" t="n">
        <v>3.6</v>
      </c>
      <c r="L806" s="15" t="n">
        <v>1629.5</v>
      </c>
      <c r="M806" s="15" t="n">
        <f aca="false">F806*G806</f>
        <v>2263.2</v>
      </c>
      <c r="N806" s="15" t="n">
        <f aca="false">M806-L806</f>
        <v>633.7</v>
      </c>
      <c r="O806" s="1" t="n">
        <f aca="false">YEAR(B806)</f>
        <v>2024</v>
      </c>
      <c r="P806" s="1" t="n">
        <f aca="false">MONTH(B806)</f>
        <v>3</v>
      </c>
      <c r="Q806" s="1" t="str">
        <f aca="false">TEXT(B806,"mmm")</f>
        <v>Mar</v>
      </c>
      <c r="R806" s="1" t="str">
        <f aca="false">"Q"&amp;ROUNDUP(MONTH(B806)/3,0)</f>
        <v>Q1</v>
      </c>
    </row>
    <row r="807" customFormat="false" ht="15" hidden="false" customHeight="true" outlineLevel="0" collapsed="false">
      <c r="A807" s="1" t="n">
        <v>10806</v>
      </c>
      <c r="B807" s="14" t="n">
        <v>45367</v>
      </c>
      <c r="C807" s="1" t="n">
        <v>1098</v>
      </c>
      <c r="D807" s="1" t="s">
        <v>37</v>
      </c>
      <c r="E807" s="1" t="s">
        <v>36</v>
      </c>
      <c r="F807" s="1" t="n">
        <v>6</v>
      </c>
      <c r="G807" s="15" t="n">
        <v>144.67</v>
      </c>
      <c r="H807" s="16" t="n">
        <v>0.34</v>
      </c>
      <c r="I807" s="1" t="s">
        <v>31</v>
      </c>
      <c r="J807" s="1" t="n">
        <v>5</v>
      </c>
      <c r="K807" s="1" t="n">
        <v>2.6</v>
      </c>
      <c r="L807" s="15" t="n">
        <v>572.89</v>
      </c>
      <c r="M807" s="15" t="n">
        <f aca="false">F807*G807</f>
        <v>868.02</v>
      </c>
      <c r="N807" s="15" t="n">
        <f aca="false">M807-L807</f>
        <v>295.13</v>
      </c>
      <c r="O807" s="1" t="n">
        <f aca="false">YEAR(B807)</f>
        <v>2024</v>
      </c>
      <c r="P807" s="1" t="n">
        <f aca="false">MONTH(B807)</f>
        <v>3</v>
      </c>
      <c r="Q807" s="1" t="str">
        <f aca="false">TEXT(B807,"mmm")</f>
        <v>Mar</v>
      </c>
      <c r="R807" s="1" t="str">
        <f aca="false">"Q"&amp;ROUNDUP(MONTH(B807)/3,0)</f>
        <v>Q1</v>
      </c>
    </row>
    <row r="808" customFormat="false" ht="15" hidden="false" customHeight="true" outlineLevel="0" collapsed="false">
      <c r="A808" s="1" t="n">
        <v>10807</v>
      </c>
      <c r="B808" s="14" t="n">
        <v>45368</v>
      </c>
      <c r="C808" s="1" t="n">
        <v>1395</v>
      </c>
      <c r="D808" s="1" t="s">
        <v>37</v>
      </c>
      <c r="E808" s="1" t="s">
        <v>28</v>
      </c>
      <c r="F808" s="1" t="n">
        <v>5</v>
      </c>
      <c r="G808" s="15" t="n">
        <v>143.66</v>
      </c>
      <c r="H808" s="16" t="n">
        <v>0.28</v>
      </c>
      <c r="I808" s="1" t="s">
        <v>29</v>
      </c>
      <c r="J808" s="1" t="n">
        <v>9</v>
      </c>
      <c r="K808" s="1" t="n">
        <v>4.5</v>
      </c>
      <c r="L808" s="15" t="n">
        <v>517.18</v>
      </c>
      <c r="M808" s="15" t="n">
        <f aca="false">F808*G808</f>
        <v>718.3</v>
      </c>
      <c r="N808" s="15" t="n">
        <f aca="false">M808-L808</f>
        <v>201.12</v>
      </c>
      <c r="O808" s="1" t="n">
        <f aca="false">YEAR(B808)</f>
        <v>2024</v>
      </c>
      <c r="P808" s="1" t="n">
        <f aca="false">MONTH(B808)</f>
        <v>3</v>
      </c>
      <c r="Q808" s="1" t="str">
        <f aca="false">TEXT(B808,"mmm")</f>
        <v>Mar</v>
      </c>
      <c r="R808" s="1" t="str">
        <f aca="false">"Q"&amp;ROUNDUP(MONTH(B808)/3,0)</f>
        <v>Q1</v>
      </c>
    </row>
    <row r="809" customFormat="false" ht="15" hidden="false" customHeight="true" outlineLevel="0" collapsed="false">
      <c r="A809" s="1" t="n">
        <v>10808</v>
      </c>
      <c r="B809" s="14" t="n">
        <v>45369</v>
      </c>
      <c r="C809" s="1" t="n">
        <v>1024</v>
      </c>
      <c r="D809" s="1" t="s">
        <v>37</v>
      </c>
      <c r="E809" s="1" t="s">
        <v>32</v>
      </c>
      <c r="F809" s="1" t="n">
        <v>4</v>
      </c>
      <c r="G809" s="15" t="n">
        <v>569.13</v>
      </c>
      <c r="H809" s="16" t="n">
        <v>0</v>
      </c>
      <c r="I809" s="1" t="s">
        <v>31</v>
      </c>
      <c r="J809" s="1" t="n">
        <v>8</v>
      </c>
      <c r="K809" s="1" t="n">
        <v>3.6</v>
      </c>
      <c r="L809" s="15" t="n">
        <v>2276.52</v>
      </c>
      <c r="M809" s="15" t="n">
        <f aca="false">F809*G809</f>
        <v>2276.52</v>
      </c>
      <c r="N809" s="15" t="n">
        <f aca="false">M809-L809</f>
        <v>0</v>
      </c>
      <c r="O809" s="1" t="n">
        <f aca="false">YEAR(B809)</f>
        <v>2024</v>
      </c>
      <c r="P809" s="1" t="n">
        <f aca="false">MONTH(B809)</f>
        <v>3</v>
      </c>
      <c r="Q809" s="1" t="str">
        <f aca="false">TEXT(B809,"mmm")</f>
        <v>Mar</v>
      </c>
      <c r="R809" s="1" t="str">
        <f aca="false">"Q"&amp;ROUNDUP(MONTH(B809)/3,0)</f>
        <v>Q1</v>
      </c>
    </row>
    <row r="810" customFormat="false" ht="15" hidden="false" customHeight="true" outlineLevel="0" collapsed="false">
      <c r="A810" s="1" t="n">
        <v>10809</v>
      </c>
      <c r="B810" s="14" t="n">
        <v>45370</v>
      </c>
      <c r="C810" s="1" t="n">
        <v>1947</v>
      </c>
      <c r="D810" s="1" t="s">
        <v>34</v>
      </c>
      <c r="E810" s="1" t="s">
        <v>32</v>
      </c>
      <c r="F810" s="1" t="n">
        <v>6</v>
      </c>
      <c r="G810" s="15" t="n">
        <v>573.18</v>
      </c>
      <c r="H810" s="16" t="n">
        <v>0.1</v>
      </c>
      <c r="I810" s="1" t="s">
        <v>33</v>
      </c>
      <c r="J810" s="1" t="n">
        <v>10</v>
      </c>
      <c r="K810" s="1" t="n">
        <v>3.3</v>
      </c>
      <c r="L810" s="15" t="n">
        <v>3095.17</v>
      </c>
      <c r="M810" s="15" t="n">
        <f aca="false">F810*G810</f>
        <v>3439.08</v>
      </c>
      <c r="N810" s="15" t="n">
        <f aca="false">M810-L810</f>
        <v>343.91</v>
      </c>
      <c r="O810" s="1" t="n">
        <f aca="false">YEAR(B810)</f>
        <v>2024</v>
      </c>
      <c r="P810" s="1" t="n">
        <f aca="false">MONTH(B810)</f>
        <v>3</v>
      </c>
      <c r="Q810" s="1" t="str">
        <f aca="false">TEXT(B810,"mmm")</f>
        <v>Mar</v>
      </c>
      <c r="R810" s="1" t="str">
        <f aca="false">"Q"&amp;ROUNDUP(MONTH(B810)/3,0)</f>
        <v>Q1</v>
      </c>
    </row>
    <row r="811" customFormat="false" ht="15" hidden="false" customHeight="true" outlineLevel="0" collapsed="false">
      <c r="A811" s="1" t="n">
        <v>10810</v>
      </c>
      <c r="B811" s="14" t="n">
        <v>45371</v>
      </c>
      <c r="C811" s="1" t="n">
        <v>1890</v>
      </c>
      <c r="D811" s="1" t="s">
        <v>34</v>
      </c>
      <c r="E811" s="1" t="s">
        <v>28</v>
      </c>
      <c r="F811" s="1" t="n">
        <v>7</v>
      </c>
      <c r="G811" s="15" t="n">
        <v>594.42</v>
      </c>
      <c r="H811" s="16" t="n">
        <v>0.01</v>
      </c>
      <c r="I811" s="1" t="s">
        <v>31</v>
      </c>
      <c r="J811" s="1" t="n">
        <v>4</v>
      </c>
      <c r="K811" s="1" t="n">
        <v>4.9</v>
      </c>
      <c r="L811" s="15" t="n">
        <v>4119.33</v>
      </c>
      <c r="M811" s="15" t="n">
        <f aca="false">F811*G811</f>
        <v>4160.94</v>
      </c>
      <c r="N811" s="15" t="n">
        <f aca="false">M811-L811</f>
        <v>41.6099999999997</v>
      </c>
      <c r="O811" s="1" t="n">
        <f aca="false">YEAR(B811)</f>
        <v>2024</v>
      </c>
      <c r="P811" s="1" t="n">
        <f aca="false">MONTH(B811)</f>
        <v>3</v>
      </c>
      <c r="Q811" s="1" t="str">
        <f aca="false">TEXT(B811,"mmm")</f>
        <v>Mar</v>
      </c>
      <c r="R811" s="1" t="str">
        <f aca="false">"Q"&amp;ROUNDUP(MONTH(B811)/3,0)</f>
        <v>Q1</v>
      </c>
    </row>
    <row r="812" customFormat="false" ht="15" hidden="false" customHeight="true" outlineLevel="0" collapsed="false">
      <c r="A812" s="1" t="n">
        <v>10811</v>
      </c>
      <c r="B812" s="14" t="n">
        <v>45372</v>
      </c>
      <c r="C812" s="1" t="n">
        <v>1468</v>
      </c>
      <c r="D812" s="1" t="s">
        <v>37</v>
      </c>
      <c r="E812" s="1" t="s">
        <v>32</v>
      </c>
      <c r="F812" s="1" t="n">
        <v>2</v>
      </c>
      <c r="G812" s="15" t="n">
        <v>487.48</v>
      </c>
      <c r="H812" s="16" t="n">
        <v>0.03</v>
      </c>
      <c r="I812" s="1" t="s">
        <v>31</v>
      </c>
      <c r="J812" s="1" t="n">
        <v>4</v>
      </c>
      <c r="K812" s="1" t="n">
        <v>2.1</v>
      </c>
      <c r="L812" s="15" t="n">
        <v>945.71</v>
      </c>
      <c r="M812" s="15" t="n">
        <f aca="false">F812*G812</f>
        <v>974.96</v>
      </c>
      <c r="N812" s="15" t="n">
        <f aca="false">M812-L812</f>
        <v>29.25</v>
      </c>
      <c r="O812" s="1" t="n">
        <f aca="false">YEAR(B812)</f>
        <v>2024</v>
      </c>
      <c r="P812" s="1" t="n">
        <f aca="false">MONTH(B812)</f>
        <v>3</v>
      </c>
      <c r="Q812" s="1" t="str">
        <f aca="false">TEXT(B812,"mmm")</f>
        <v>Mar</v>
      </c>
      <c r="R812" s="1" t="str">
        <f aca="false">"Q"&amp;ROUNDUP(MONTH(B812)/3,0)</f>
        <v>Q1</v>
      </c>
    </row>
    <row r="813" customFormat="false" ht="15" hidden="false" customHeight="true" outlineLevel="0" collapsed="false">
      <c r="A813" s="1" t="n">
        <v>10812</v>
      </c>
      <c r="B813" s="14" t="n">
        <v>45373</v>
      </c>
      <c r="C813" s="1" t="n">
        <v>1483</v>
      </c>
      <c r="D813" s="1" t="s">
        <v>30</v>
      </c>
      <c r="E813" s="1" t="s">
        <v>32</v>
      </c>
      <c r="F813" s="1" t="n">
        <v>4</v>
      </c>
      <c r="G813" s="15" t="n">
        <v>125.09</v>
      </c>
      <c r="H813" s="16" t="n">
        <v>0.08</v>
      </c>
      <c r="I813" s="1" t="s">
        <v>31</v>
      </c>
      <c r="J813" s="1" t="n">
        <v>1</v>
      </c>
      <c r="K813" s="1" t="n">
        <v>1.3</v>
      </c>
      <c r="L813" s="15" t="n">
        <v>460.33</v>
      </c>
      <c r="M813" s="15" t="n">
        <f aca="false">F813*G813</f>
        <v>500.36</v>
      </c>
      <c r="N813" s="15" t="n">
        <f aca="false">M813-L813</f>
        <v>40.03</v>
      </c>
      <c r="O813" s="1" t="n">
        <f aca="false">YEAR(B813)</f>
        <v>2024</v>
      </c>
      <c r="P813" s="1" t="n">
        <f aca="false">MONTH(B813)</f>
        <v>3</v>
      </c>
      <c r="Q813" s="1" t="str">
        <f aca="false">TEXT(B813,"mmm")</f>
        <v>Mar</v>
      </c>
      <c r="R813" s="1" t="str">
        <f aca="false">"Q"&amp;ROUNDUP(MONTH(B813)/3,0)</f>
        <v>Q1</v>
      </c>
    </row>
    <row r="814" customFormat="false" ht="15" hidden="false" customHeight="true" outlineLevel="0" collapsed="false">
      <c r="A814" s="1" t="n">
        <v>10813</v>
      </c>
      <c r="B814" s="14" t="n">
        <v>45374</v>
      </c>
      <c r="C814" s="1" t="n">
        <v>1564</v>
      </c>
      <c r="D814" s="1" t="s">
        <v>30</v>
      </c>
      <c r="E814" s="1" t="s">
        <v>36</v>
      </c>
      <c r="F814" s="1" t="n">
        <v>5</v>
      </c>
      <c r="G814" s="15" t="n">
        <v>139.01</v>
      </c>
      <c r="H814" s="16" t="n">
        <v>0.18</v>
      </c>
      <c r="I814" s="1" t="s">
        <v>31</v>
      </c>
      <c r="J814" s="1" t="n">
        <v>4</v>
      </c>
      <c r="K814" s="1" t="n">
        <v>3.1</v>
      </c>
      <c r="L814" s="15" t="n">
        <v>569.94</v>
      </c>
      <c r="M814" s="15" t="n">
        <f aca="false">F814*G814</f>
        <v>695.05</v>
      </c>
      <c r="N814" s="15" t="n">
        <f aca="false">M814-L814</f>
        <v>125.11</v>
      </c>
      <c r="O814" s="1" t="n">
        <f aca="false">YEAR(B814)</f>
        <v>2024</v>
      </c>
      <c r="P814" s="1" t="n">
        <f aca="false">MONTH(B814)</f>
        <v>3</v>
      </c>
      <c r="Q814" s="1" t="str">
        <f aca="false">TEXT(B814,"mmm")</f>
        <v>Mar</v>
      </c>
      <c r="R814" s="1" t="str">
        <f aca="false">"Q"&amp;ROUNDUP(MONTH(B814)/3,0)</f>
        <v>Q1</v>
      </c>
    </row>
    <row r="815" customFormat="false" ht="15" hidden="false" customHeight="true" outlineLevel="0" collapsed="false">
      <c r="A815" s="1" t="n">
        <v>10814</v>
      </c>
      <c r="B815" s="14" t="n">
        <v>45375</v>
      </c>
      <c r="C815" s="1" t="n">
        <v>1150</v>
      </c>
      <c r="D815" s="1" t="s">
        <v>34</v>
      </c>
      <c r="E815" s="1" t="s">
        <v>36</v>
      </c>
      <c r="F815" s="1" t="n">
        <v>6</v>
      </c>
      <c r="G815" s="15" t="n">
        <v>214.03</v>
      </c>
      <c r="H815" s="16" t="n">
        <v>0.3</v>
      </c>
      <c r="I815" s="1" t="s">
        <v>29</v>
      </c>
      <c r="J815" s="1" t="n">
        <v>8</v>
      </c>
      <c r="K815" s="1" t="n">
        <v>2.7</v>
      </c>
      <c r="L815" s="15" t="n">
        <v>898.93</v>
      </c>
      <c r="M815" s="15" t="n">
        <f aca="false">F815*G815</f>
        <v>1284.18</v>
      </c>
      <c r="N815" s="15" t="n">
        <f aca="false">M815-L815</f>
        <v>385.25</v>
      </c>
      <c r="O815" s="1" t="n">
        <f aca="false">YEAR(B815)</f>
        <v>2024</v>
      </c>
      <c r="P815" s="1" t="n">
        <f aca="false">MONTH(B815)</f>
        <v>3</v>
      </c>
      <c r="Q815" s="1" t="str">
        <f aca="false">TEXT(B815,"mmm")</f>
        <v>Mar</v>
      </c>
      <c r="R815" s="1" t="str">
        <f aca="false">"Q"&amp;ROUNDUP(MONTH(B815)/3,0)</f>
        <v>Q1</v>
      </c>
    </row>
    <row r="816" customFormat="false" ht="15" hidden="false" customHeight="true" outlineLevel="0" collapsed="false">
      <c r="A816" s="1" t="n">
        <v>10815</v>
      </c>
      <c r="B816" s="14" t="n">
        <v>45376</v>
      </c>
      <c r="C816" s="1" t="n">
        <v>1143</v>
      </c>
      <c r="D816" s="1" t="s">
        <v>34</v>
      </c>
      <c r="E816" s="1" t="s">
        <v>36</v>
      </c>
      <c r="F816" s="1" t="n">
        <v>4</v>
      </c>
      <c r="G816" s="15" t="n">
        <v>201.11</v>
      </c>
      <c r="H816" s="16" t="n">
        <v>0.3</v>
      </c>
      <c r="I816" s="1" t="s">
        <v>31</v>
      </c>
      <c r="J816" s="1" t="n">
        <v>5</v>
      </c>
      <c r="K816" s="1" t="n">
        <v>2.8</v>
      </c>
      <c r="L816" s="15" t="n">
        <v>563.11</v>
      </c>
      <c r="M816" s="15" t="n">
        <f aca="false">F816*G816</f>
        <v>804.44</v>
      </c>
      <c r="N816" s="15" t="n">
        <f aca="false">M816-L816</f>
        <v>241.33</v>
      </c>
      <c r="O816" s="1" t="n">
        <f aca="false">YEAR(B816)</f>
        <v>2024</v>
      </c>
      <c r="P816" s="1" t="n">
        <f aca="false">MONTH(B816)</f>
        <v>3</v>
      </c>
      <c r="Q816" s="1" t="str">
        <f aca="false">TEXT(B816,"mmm")</f>
        <v>Mar</v>
      </c>
      <c r="R816" s="1" t="str">
        <f aca="false">"Q"&amp;ROUNDUP(MONTH(B816)/3,0)</f>
        <v>Q1</v>
      </c>
    </row>
    <row r="817" customFormat="false" ht="15" hidden="false" customHeight="true" outlineLevel="0" collapsed="false">
      <c r="A817" s="1" t="n">
        <v>10816</v>
      </c>
      <c r="B817" s="14" t="n">
        <v>45377</v>
      </c>
      <c r="C817" s="1" t="n">
        <v>1568</v>
      </c>
      <c r="D817" s="1" t="s">
        <v>34</v>
      </c>
      <c r="E817" s="1" t="s">
        <v>36</v>
      </c>
      <c r="F817" s="1" t="n">
        <v>5</v>
      </c>
      <c r="G817" s="15" t="n">
        <v>574.57</v>
      </c>
      <c r="H817" s="16" t="n">
        <v>0.22</v>
      </c>
      <c r="I817" s="1" t="s">
        <v>31</v>
      </c>
      <c r="J817" s="1" t="n">
        <v>6</v>
      </c>
      <c r="K817" s="1" t="n">
        <v>3.5</v>
      </c>
      <c r="L817" s="15" t="n">
        <v>2240.82</v>
      </c>
      <c r="M817" s="15" t="n">
        <f aca="false">F817*G817</f>
        <v>2872.85</v>
      </c>
      <c r="N817" s="15" t="n">
        <f aca="false">M817-L817</f>
        <v>632.03</v>
      </c>
      <c r="O817" s="1" t="n">
        <f aca="false">YEAR(B817)</f>
        <v>2024</v>
      </c>
      <c r="P817" s="1" t="n">
        <f aca="false">MONTH(B817)</f>
        <v>3</v>
      </c>
      <c r="Q817" s="1" t="str">
        <f aca="false">TEXT(B817,"mmm")</f>
        <v>Mar</v>
      </c>
      <c r="R817" s="1" t="str">
        <f aca="false">"Q"&amp;ROUNDUP(MONTH(B817)/3,0)</f>
        <v>Q1</v>
      </c>
    </row>
    <row r="818" customFormat="false" ht="15" hidden="false" customHeight="true" outlineLevel="0" collapsed="false">
      <c r="A818" s="1" t="n">
        <v>10817</v>
      </c>
      <c r="B818" s="14" t="n">
        <v>45378</v>
      </c>
      <c r="C818" s="1" t="n">
        <v>1038</v>
      </c>
      <c r="D818" s="1" t="s">
        <v>27</v>
      </c>
      <c r="E818" s="1" t="s">
        <v>36</v>
      </c>
      <c r="F818" s="1" t="n">
        <v>1</v>
      </c>
      <c r="G818" s="15" t="n">
        <v>476.61</v>
      </c>
      <c r="H818" s="16" t="n">
        <v>0.32</v>
      </c>
      <c r="I818" s="1" t="s">
        <v>33</v>
      </c>
      <c r="J818" s="1" t="n">
        <v>4</v>
      </c>
      <c r="K818" s="1" t="n">
        <v>3.5</v>
      </c>
      <c r="L818" s="15" t="n">
        <v>324.09</v>
      </c>
      <c r="M818" s="15" t="n">
        <f aca="false">F818*G818</f>
        <v>476.61</v>
      </c>
      <c r="N818" s="15" t="n">
        <f aca="false">M818-L818</f>
        <v>152.52</v>
      </c>
      <c r="O818" s="1" t="n">
        <f aca="false">YEAR(B818)</f>
        <v>2024</v>
      </c>
      <c r="P818" s="1" t="n">
        <f aca="false">MONTH(B818)</f>
        <v>3</v>
      </c>
      <c r="Q818" s="1" t="str">
        <f aca="false">TEXT(B818,"mmm")</f>
        <v>Mar</v>
      </c>
      <c r="R818" s="1" t="str">
        <f aca="false">"Q"&amp;ROUNDUP(MONTH(B818)/3,0)</f>
        <v>Q1</v>
      </c>
    </row>
    <row r="819" customFormat="false" ht="15" hidden="false" customHeight="true" outlineLevel="0" collapsed="false">
      <c r="A819" s="1" t="n">
        <v>10818</v>
      </c>
      <c r="B819" s="14" t="n">
        <v>45379</v>
      </c>
      <c r="C819" s="1" t="n">
        <v>1108</v>
      </c>
      <c r="D819" s="1" t="s">
        <v>34</v>
      </c>
      <c r="E819" s="1" t="s">
        <v>36</v>
      </c>
      <c r="F819" s="1" t="n">
        <v>1</v>
      </c>
      <c r="G819" s="15" t="n">
        <v>438.55</v>
      </c>
      <c r="H819" s="16" t="n">
        <v>0.18</v>
      </c>
      <c r="I819" s="1" t="s">
        <v>33</v>
      </c>
      <c r="J819" s="1" t="n">
        <v>5</v>
      </c>
      <c r="K819" s="1" t="n">
        <v>2.6</v>
      </c>
      <c r="L819" s="15" t="n">
        <v>359.61</v>
      </c>
      <c r="M819" s="15" t="n">
        <f aca="false">F819*G819</f>
        <v>438.55</v>
      </c>
      <c r="N819" s="15" t="n">
        <f aca="false">M819-L819</f>
        <v>78.94</v>
      </c>
      <c r="O819" s="1" t="n">
        <f aca="false">YEAR(B819)</f>
        <v>2024</v>
      </c>
      <c r="P819" s="1" t="n">
        <f aca="false">MONTH(B819)</f>
        <v>3</v>
      </c>
      <c r="Q819" s="1" t="str">
        <f aca="false">TEXT(B819,"mmm")</f>
        <v>Mar</v>
      </c>
      <c r="R819" s="1" t="str">
        <f aca="false">"Q"&amp;ROUNDUP(MONTH(B819)/3,0)</f>
        <v>Q1</v>
      </c>
    </row>
    <row r="820" customFormat="false" ht="15" hidden="false" customHeight="true" outlineLevel="0" collapsed="false">
      <c r="A820" s="1" t="n">
        <v>10819</v>
      </c>
      <c r="B820" s="14" t="n">
        <v>45380</v>
      </c>
      <c r="C820" s="1" t="n">
        <v>1692</v>
      </c>
      <c r="D820" s="1" t="s">
        <v>30</v>
      </c>
      <c r="E820" s="1" t="s">
        <v>28</v>
      </c>
      <c r="F820" s="1" t="n">
        <v>3</v>
      </c>
      <c r="G820" s="15" t="n">
        <v>123.79</v>
      </c>
      <c r="H820" s="16" t="n">
        <v>0.31</v>
      </c>
      <c r="I820" s="1" t="s">
        <v>33</v>
      </c>
      <c r="J820" s="1" t="n">
        <v>10</v>
      </c>
      <c r="K820" s="1" t="n">
        <v>4.5</v>
      </c>
      <c r="L820" s="15" t="n">
        <v>256.25</v>
      </c>
      <c r="M820" s="15" t="n">
        <f aca="false">F820*G820</f>
        <v>371.37</v>
      </c>
      <c r="N820" s="15" t="n">
        <f aca="false">M820-L820</f>
        <v>115.12</v>
      </c>
      <c r="O820" s="1" t="n">
        <f aca="false">YEAR(B820)</f>
        <v>2024</v>
      </c>
      <c r="P820" s="1" t="n">
        <f aca="false">MONTH(B820)</f>
        <v>3</v>
      </c>
      <c r="Q820" s="1" t="str">
        <f aca="false">TEXT(B820,"mmm")</f>
        <v>Mar</v>
      </c>
      <c r="R820" s="1" t="str">
        <f aca="false">"Q"&amp;ROUNDUP(MONTH(B820)/3,0)</f>
        <v>Q1</v>
      </c>
    </row>
    <row r="821" customFormat="false" ht="15" hidden="false" customHeight="true" outlineLevel="0" collapsed="false">
      <c r="A821" s="1" t="n">
        <v>10820</v>
      </c>
      <c r="B821" s="14" t="n">
        <v>45381</v>
      </c>
      <c r="C821" s="1" t="n">
        <v>1041</v>
      </c>
      <c r="D821" s="1" t="s">
        <v>34</v>
      </c>
      <c r="E821" s="1" t="s">
        <v>36</v>
      </c>
      <c r="F821" s="1" t="n">
        <v>2</v>
      </c>
      <c r="G821" s="15" t="n">
        <v>547.07</v>
      </c>
      <c r="H821" s="16" t="n">
        <v>0.16</v>
      </c>
      <c r="I821" s="1" t="s">
        <v>29</v>
      </c>
      <c r="J821" s="1" t="n">
        <v>8</v>
      </c>
      <c r="K821" s="1" t="n">
        <v>3.6</v>
      </c>
      <c r="L821" s="15" t="n">
        <v>919.08</v>
      </c>
      <c r="M821" s="15" t="n">
        <f aca="false">F821*G821</f>
        <v>1094.14</v>
      </c>
      <c r="N821" s="15" t="n">
        <f aca="false">M821-L821</f>
        <v>175.06</v>
      </c>
      <c r="O821" s="1" t="n">
        <f aca="false">YEAR(B821)</f>
        <v>2024</v>
      </c>
      <c r="P821" s="1" t="n">
        <f aca="false">MONTH(B821)</f>
        <v>3</v>
      </c>
      <c r="Q821" s="1" t="str">
        <f aca="false">TEXT(B821,"mmm")</f>
        <v>Mar</v>
      </c>
      <c r="R821" s="1" t="str">
        <f aca="false">"Q"&amp;ROUNDUP(MONTH(B821)/3,0)</f>
        <v>Q1</v>
      </c>
    </row>
    <row r="822" customFormat="false" ht="15" hidden="false" customHeight="true" outlineLevel="0" collapsed="false">
      <c r="A822" s="1" t="n">
        <v>10821</v>
      </c>
      <c r="B822" s="14" t="n">
        <v>45382</v>
      </c>
      <c r="C822" s="1" t="n">
        <v>1185</v>
      </c>
      <c r="D822" s="1" t="s">
        <v>37</v>
      </c>
      <c r="E822" s="1" t="s">
        <v>32</v>
      </c>
      <c r="F822" s="1" t="n">
        <v>1</v>
      </c>
      <c r="G822" s="15" t="n">
        <v>499.3</v>
      </c>
      <c r="H822" s="16" t="n">
        <v>0.1</v>
      </c>
      <c r="I822" s="1" t="s">
        <v>33</v>
      </c>
      <c r="J822" s="1" t="n">
        <v>9</v>
      </c>
      <c r="K822" s="1" t="n">
        <v>4.6</v>
      </c>
      <c r="L822" s="15" t="n">
        <v>449.37</v>
      </c>
      <c r="M822" s="15" t="n">
        <f aca="false">F822*G822</f>
        <v>499.3</v>
      </c>
      <c r="N822" s="15" t="n">
        <f aca="false">M822-L822</f>
        <v>49.93</v>
      </c>
      <c r="O822" s="1" t="n">
        <f aca="false">YEAR(B822)</f>
        <v>2024</v>
      </c>
      <c r="P822" s="1" t="n">
        <f aca="false">MONTH(B822)</f>
        <v>3</v>
      </c>
      <c r="Q822" s="1" t="str">
        <f aca="false">TEXT(B822,"mmm")</f>
        <v>Mar</v>
      </c>
      <c r="R822" s="1" t="str">
        <f aca="false">"Q"&amp;ROUNDUP(MONTH(B822)/3,0)</f>
        <v>Q1</v>
      </c>
    </row>
    <row r="823" customFormat="false" ht="15" hidden="false" customHeight="true" outlineLevel="0" collapsed="false">
      <c r="A823" s="1" t="n">
        <v>10822</v>
      </c>
      <c r="B823" s="14" t="n">
        <v>45383</v>
      </c>
      <c r="C823" s="1" t="n">
        <v>1934</v>
      </c>
      <c r="D823" s="1" t="s">
        <v>34</v>
      </c>
      <c r="E823" s="1" t="s">
        <v>28</v>
      </c>
      <c r="F823" s="1" t="n">
        <v>7</v>
      </c>
      <c r="G823" s="15" t="n">
        <v>110.73</v>
      </c>
      <c r="H823" s="16" t="n">
        <v>0.32</v>
      </c>
      <c r="I823" s="1" t="s">
        <v>31</v>
      </c>
      <c r="J823" s="1" t="n">
        <v>3</v>
      </c>
      <c r="K823" s="1" t="n">
        <v>4.7</v>
      </c>
      <c r="L823" s="15" t="n">
        <v>527.07</v>
      </c>
      <c r="M823" s="15" t="n">
        <f aca="false">F823*G823</f>
        <v>775.11</v>
      </c>
      <c r="N823" s="15" t="n">
        <f aca="false">M823-L823</f>
        <v>248.04</v>
      </c>
      <c r="O823" s="1" t="n">
        <f aca="false">YEAR(B823)</f>
        <v>2024</v>
      </c>
      <c r="P823" s="1" t="n">
        <f aca="false">MONTH(B823)</f>
        <v>4</v>
      </c>
      <c r="Q823" s="1" t="str">
        <f aca="false">TEXT(B823,"mmm")</f>
        <v>Apr</v>
      </c>
      <c r="R823" s="1" t="str">
        <f aca="false">"Q"&amp;ROUNDUP(MONTH(B823)/3,0)</f>
        <v>Q2</v>
      </c>
    </row>
    <row r="824" customFormat="false" ht="15" hidden="false" customHeight="true" outlineLevel="0" collapsed="false">
      <c r="A824" s="1" t="n">
        <v>10823</v>
      </c>
      <c r="B824" s="14" t="n">
        <v>45384</v>
      </c>
      <c r="C824" s="1" t="n">
        <v>1397</v>
      </c>
      <c r="D824" s="1" t="s">
        <v>27</v>
      </c>
      <c r="E824" s="1" t="s">
        <v>32</v>
      </c>
      <c r="F824" s="1" t="n">
        <v>5</v>
      </c>
      <c r="G824" s="15" t="n">
        <v>524.63</v>
      </c>
      <c r="H824" s="16" t="n">
        <v>0.14</v>
      </c>
      <c r="I824" s="1" t="s">
        <v>29</v>
      </c>
      <c r="J824" s="1" t="n">
        <v>10</v>
      </c>
      <c r="K824" s="1" t="n">
        <v>1.7</v>
      </c>
      <c r="L824" s="15" t="n">
        <v>2255.91</v>
      </c>
      <c r="M824" s="15" t="n">
        <f aca="false">F824*G824</f>
        <v>2623.15</v>
      </c>
      <c r="N824" s="15" t="n">
        <f aca="false">M824-L824</f>
        <v>367.24</v>
      </c>
      <c r="O824" s="1" t="n">
        <f aca="false">YEAR(B824)</f>
        <v>2024</v>
      </c>
      <c r="P824" s="1" t="n">
        <f aca="false">MONTH(B824)</f>
        <v>4</v>
      </c>
      <c r="Q824" s="1" t="str">
        <f aca="false">TEXT(B824,"mmm")</f>
        <v>Apr</v>
      </c>
      <c r="R824" s="1" t="str">
        <f aca="false">"Q"&amp;ROUNDUP(MONTH(B824)/3,0)</f>
        <v>Q2</v>
      </c>
    </row>
    <row r="825" customFormat="false" ht="15" hidden="false" customHeight="true" outlineLevel="0" collapsed="false">
      <c r="A825" s="1" t="n">
        <v>10824</v>
      </c>
      <c r="B825" s="14" t="n">
        <v>45385</v>
      </c>
      <c r="C825" s="1" t="n">
        <v>1222</v>
      </c>
      <c r="D825" s="1" t="s">
        <v>27</v>
      </c>
      <c r="E825" s="1" t="s">
        <v>36</v>
      </c>
      <c r="F825" s="1" t="n">
        <v>4</v>
      </c>
      <c r="G825" s="15" t="n">
        <v>174.26</v>
      </c>
      <c r="H825" s="16" t="n">
        <v>0.18</v>
      </c>
      <c r="I825" s="1" t="s">
        <v>33</v>
      </c>
      <c r="J825" s="1" t="n">
        <v>4</v>
      </c>
      <c r="K825" s="1" t="n">
        <v>3.7</v>
      </c>
      <c r="L825" s="15" t="n">
        <v>571.57</v>
      </c>
      <c r="M825" s="15" t="n">
        <f aca="false">F825*G825</f>
        <v>697.04</v>
      </c>
      <c r="N825" s="15" t="n">
        <f aca="false">M825-L825</f>
        <v>125.47</v>
      </c>
      <c r="O825" s="1" t="n">
        <f aca="false">YEAR(B825)</f>
        <v>2024</v>
      </c>
      <c r="P825" s="1" t="n">
        <f aca="false">MONTH(B825)</f>
        <v>4</v>
      </c>
      <c r="Q825" s="1" t="str">
        <f aca="false">TEXT(B825,"mmm")</f>
        <v>Apr</v>
      </c>
      <c r="R825" s="1" t="str">
        <f aca="false">"Q"&amp;ROUNDUP(MONTH(B825)/3,0)</f>
        <v>Q2</v>
      </c>
    </row>
    <row r="826" customFormat="false" ht="15" hidden="false" customHeight="true" outlineLevel="0" collapsed="false">
      <c r="A826" s="1" t="n">
        <v>10825</v>
      </c>
      <c r="B826" s="14" t="n">
        <v>45386</v>
      </c>
      <c r="C826" s="1" t="n">
        <v>1633</v>
      </c>
      <c r="D826" s="1" t="s">
        <v>34</v>
      </c>
      <c r="E826" s="1" t="s">
        <v>36</v>
      </c>
      <c r="F826" s="1" t="n">
        <v>6</v>
      </c>
      <c r="G826" s="15" t="n">
        <v>62.31</v>
      </c>
      <c r="H826" s="16" t="n">
        <v>0.12</v>
      </c>
      <c r="I826" s="1" t="s">
        <v>31</v>
      </c>
      <c r="J826" s="1" t="n">
        <v>1</v>
      </c>
      <c r="K826" s="1" t="n">
        <v>2.3</v>
      </c>
      <c r="L826" s="15" t="n">
        <v>329</v>
      </c>
      <c r="M826" s="15" t="n">
        <f aca="false">F826*G826</f>
        <v>373.86</v>
      </c>
      <c r="N826" s="15" t="n">
        <f aca="false">M826-L826</f>
        <v>44.86</v>
      </c>
      <c r="O826" s="1" t="n">
        <f aca="false">YEAR(B826)</f>
        <v>2024</v>
      </c>
      <c r="P826" s="1" t="n">
        <f aca="false">MONTH(B826)</f>
        <v>4</v>
      </c>
      <c r="Q826" s="1" t="str">
        <f aca="false">TEXT(B826,"mmm")</f>
        <v>Apr</v>
      </c>
      <c r="R826" s="1" t="str">
        <f aca="false">"Q"&amp;ROUNDUP(MONTH(B826)/3,0)</f>
        <v>Q2</v>
      </c>
    </row>
    <row r="827" customFormat="false" ht="15" hidden="false" customHeight="true" outlineLevel="0" collapsed="false">
      <c r="A827" s="1" t="n">
        <v>10826</v>
      </c>
      <c r="B827" s="14" t="n">
        <v>45387</v>
      </c>
      <c r="C827" s="1" t="n">
        <v>1132</v>
      </c>
      <c r="D827" s="1" t="s">
        <v>27</v>
      </c>
      <c r="E827" s="1" t="s">
        <v>32</v>
      </c>
      <c r="F827" s="1" t="n">
        <v>4</v>
      </c>
      <c r="G827" s="15" t="n">
        <v>399.24</v>
      </c>
      <c r="H827" s="16" t="n">
        <v>0.23</v>
      </c>
      <c r="I827" s="1" t="s">
        <v>31</v>
      </c>
      <c r="J827" s="1" t="n">
        <v>11</v>
      </c>
      <c r="K827" s="1" t="n">
        <v>4.3</v>
      </c>
      <c r="L827" s="15" t="n">
        <v>1229.66</v>
      </c>
      <c r="M827" s="15" t="n">
        <f aca="false">F827*G827</f>
        <v>1596.96</v>
      </c>
      <c r="N827" s="15" t="n">
        <f aca="false">M827-L827</f>
        <v>367.3</v>
      </c>
      <c r="O827" s="1" t="n">
        <f aca="false">YEAR(B827)</f>
        <v>2024</v>
      </c>
      <c r="P827" s="1" t="n">
        <f aca="false">MONTH(B827)</f>
        <v>4</v>
      </c>
      <c r="Q827" s="1" t="str">
        <f aca="false">TEXT(B827,"mmm")</f>
        <v>Apr</v>
      </c>
      <c r="R827" s="1" t="str">
        <f aca="false">"Q"&amp;ROUNDUP(MONTH(B827)/3,0)</f>
        <v>Q2</v>
      </c>
    </row>
    <row r="828" customFormat="false" ht="15" hidden="false" customHeight="true" outlineLevel="0" collapsed="false">
      <c r="A828" s="1" t="n">
        <v>10827</v>
      </c>
      <c r="B828" s="14" t="n">
        <v>45388</v>
      </c>
      <c r="C828" s="1" t="n">
        <v>1162</v>
      </c>
      <c r="D828" s="1" t="s">
        <v>27</v>
      </c>
      <c r="E828" s="1" t="s">
        <v>32</v>
      </c>
      <c r="F828" s="1" t="n">
        <v>3</v>
      </c>
      <c r="G828" s="15" t="n">
        <v>397.48</v>
      </c>
      <c r="H828" s="16" t="n">
        <v>0.35</v>
      </c>
      <c r="I828" s="1" t="s">
        <v>31</v>
      </c>
      <c r="J828" s="1" t="n">
        <v>5</v>
      </c>
      <c r="K828" s="1" t="n">
        <v>3.9</v>
      </c>
      <c r="L828" s="15" t="n">
        <v>775.09</v>
      </c>
      <c r="M828" s="15" t="n">
        <f aca="false">F828*G828</f>
        <v>1192.44</v>
      </c>
      <c r="N828" s="15" t="n">
        <f aca="false">M828-L828</f>
        <v>417.35</v>
      </c>
      <c r="O828" s="1" t="n">
        <f aca="false">YEAR(B828)</f>
        <v>2024</v>
      </c>
      <c r="P828" s="1" t="n">
        <f aca="false">MONTH(B828)</f>
        <v>4</v>
      </c>
      <c r="Q828" s="1" t="str">
        <f aca="false">TEXT(B828,"mmm")</f>
        <v>Apr</v>
      </c>
      <c r="R828" s="1" t="str">
        <f aca="false">"Q"&amp;ROUNDUP(MONTH(B828)/3,0)</f>
        <v>Q2</v>
      </c>
    </row>
    <row r="829" customFormat="false" ht="15" hidden="false" customHeight="true" outlineLevel="0" collapsed="false">
      <c r="A829" s="1" t="n">
        <v>10828</v>
      </c>
      <c r="B829" s="14" t="n">
        <v>45389</v>
      </c>
      <c r="C829" s="1" t="n">
        <v>1214</v>
      </c>
      <c r="D829" s="1" t="s">
        <v>37</v>
      </c>
      <c r="E829" s="1" t="s">
        <v>32</v>
      </c>
      <c r="F829" s="1" t="n">
        <v>4</v>
      </c>
      <c r="G829" s="15" t="n">
        <v>70.54</v>
      </c>
      <c r="H829" s="16" t="n">
        <v>0.01</v>
      </c>
      <c r="I829" s="1" t="s">
        <v>31</v>
      </c>
      <c r="J829" s="1" t="n">
        <v>4</v>
      </c>
      <c r="K829" s="1" t="n">
        <v>1.8</v>
      </c>
      <c r="L829" s="15" t="n">
        <v>279.34</v>
      </c>
      <c r="M829" s="15" t="n">
        <f aca="false">F829*G829</f>
        <v>282.16</v>
      </c>
      <c r="N829" s="15" t="n">
        <f aca="false">M829-L829</f>
        <v>2.82000000000005</v>
      </c>
      <c r="O829" s="1" t="n">
        <f aca="false">YEAR(B829)</f>
        <v>2024</v>
      </c>
      <c r="P829" s="1" t="n">
        <f aca="false">MONTH(B829)</f>
        <v>4</v>
      </c>
      <c r="Q829" s="1" t="str">
        <f aca="false">TEXT(B829,"mmm")</f>
        <v>Apr</v>
      </c>
      <c r="R829" s="1" t="str">
        <f aca="false">"Q"&amp;ROUNDUP(MONTH(B829)/3,0)</f>
        <v>Q2</v>
      </c>
    </row>
    <row r="830" customFormat="false" ht="15" hidden="false" customHeight="true" outlineLevel="0" collapsed="false">
      <c r="A830" s="1" t="n">
        <v>10829</v>
      </c>
      <c r="B830" s="14" t="n">
        <v>45390</v>
      </c>
      <c r="C830" s="1" t="n">
        <v>1732</v>
      </c>
      <c r="D830" s="1" t="s">
        <v>37</v>
      </c>
      <c r="E830" s="1" t="s">
        <v>35</v>
      </c>
      <c r="F830" s="1" t="n">
        <v>1</v>
      </c>
      <c r="G830" s="15" t="n">
        <v>201.53</v>
      </c>
      <c r="H830" s="16" t="n">
        <v>0.31</v>
      </c>
      <c r="I830" s="1" t="s">
        <v>31</v>
      </c>
      <c r="J830" s="1" t="n">
        <v>6</v>
      </c>
      <c r="K830" s="1" t="n">
        <v>4.8</v>
      </c>
      <c r="L830" s="15" t="n">
        <v>139.06</v>
      </c>
      <c r="M830" s="15" t="n">
        <f aca="false">F830*G830</f>
        <v>201.53</v>
      </c>
      <c r="N830" s="15" t="n">
        <f aca="false">M830-L830</f>
        <v>62.47</v>
      </c>
      <c r="O830" s="1" t="n">
        <f aca="false">YEAR(B830)</f>
        <v>2024</v>
      </c>
      <c r="P830" s="1" t="n">
        <f aca="false">MONTH(B830)</f>
        <v>4</v>
      </c>
      <c r="Q830" s="1" t="str">
        <f aca="false">TEXT(B830,"mmm")</f>
        <v>Apr</v>
      </c>
      <c r="R830" s="1" t="str">
        <f aca="false">"Q"&amp;ROUNDUP(MONTH(B830)/3,0)</f>
        <v>Q2</v>
      </c>
    </row>
    <row r="831" customFormat="false" ht="15" hidden="false" customHeight="true" outlineLevel="0" collapsed="false">
      <c r="A831" s="1" t="n">
        <v>10830</v>
      </c>
      <c r="B831" s="14" t="n">
        <v>45391</v>
      </c>
      <c r="C831" s="1" t="n">
        <v>1234</v>
      </c>
      <c r="D831" s="1" t="s">
        <v>34</v>
      </c>
      <c r="E831" s="1" t="s">
        <v>35</v>
      </c>
      <c r="F831" s="1" t="n">
        <v>4</v>
      </c>
      <c r="G831" s="15" t="n">
        <v>595.8</v>
      </c>
      <c r="H831" s="16" t="n">
        <v>0</v>
      </c>
      <c r="I831" s="1" t="s">
        <v>31</v>
      </c>
      <c r="J831" s="1" t="n">
        <v>6</v>
      </c>
      <c r="K831" s="1" t="n">
        <v>3.7</v>
      </c>
      <c r="L831" s="15" t="n">
        <v>2383.2</v>
      </c>
      <c r="M831" s="15" t="n">
        <f aca="false">F831*G831</f>
        <v>2383.2</v>
      </c>
      <c r="N831" s="15" t="n">
        <f aca="false">M831-L831</f>
        <v>0</v>
      </c>
      <c r="O831" s="1" t="n">
        <f aca="false">YEAR(B831)</f>
        <v>2024</v>
      </c>
      <c r="P831" s="1" t="n">
        <f aca="false">MONTH(B831)</f>
        <v>4</v>
      </c>
      <c r="Q831" s="1" t="str">
        <f aca="false">TEXT(B831,"mmm")</f>
        <v>Apr</v>
      </c>
      <c r="R831" s="1" t="str">
        <f aca="false">"Q"&amp;ROUNDUP(MONTH(B831)/3,0)</f>
        <v>Q2</v>
      </c>
    </row>
    <row r="832" customFormat="false" ht="15" hidden="false" customHeight="true" outlineLevel="0" collapsed="false">
      <c r="A832" s="1" t="n">
        <v>10831</v>
      </c>
      <c r="B832" s="14" t="n">
        <v>45392</v>
      </c>
      <c r="C832" s="1" t="n">
        <v>1842</v>
      </c>
      <c r="D832" s="1" t="s">
        <v>30</v>
      </c>
      <c r="E832" s="1" t="s">
        <v>35</v>
      </c>
      <c r="F832" s="1" t="n">
        <v>1</v>
      </c>
      <c r="G832" s="15" t="n">
        <v>411.88</v>
      </c>
      <c r="H832" s="16" t="n">
        <v>0.13</v>
      </c>
      <c r="I832" s="1" t="s">
        <v>29</v>
      </c>
      <c r="J832" s="1" t="n">
        <v>10</v>
      </c>
      <c r="K832" s="1" t="n">
        <v>4.8</v>
      </c>
      <c r="L832" s="15" t="n">
        <v>358.34</v>
      </c>
      <c r="M832" s="15" t="n">
        <f aca="false">F832*G832</f>
        <v>411.88</v>
      </c>
      <c r="N832" s="15" t="n">
        <f aca="false">M832-L832</f>
        <v>53.54</v>
      </c>
      <c r="O832" s="1" t="n">
        <f aca="false">YEAR(B832)</f>
        <v>2024</v>
      </c>
      <c r="P832" s="1" t="n">
        <f aca="false">MONTH(B832)</f>
        <v>4</v>
      </c>
      <c r="Q832" s="1" t="str">
        <f aca="false">TEXT(B832,"mmm")</f>
        <v>Apr</v>
      </c>
      <c r="R832" s="1" t="str">
        <f aca="false">"Q"&amp;ROUNDUP(MONTH(B832)/3,0)</f>
        <v>Q2</v>
      </c>
    </row>
    <row r="833" customFormat="false" ht="15" hidden="false" customHeight="true" outlineLevel="0" collapsed="false">
      <c r="A833" s="1" t="n">
        <v>10832</v>
      </c>
      <c r="B833" s="14" t="n">
        <v>45393</v>
      </c>
      <c r="C833" s="1" t="n">
        <v>1657</v>
      </c>
      <c r="D833" s="1" t="s">
        <v>34</v>
      </c>
      <c r="E833" s="1" t="s">
        <v>35</v>
      </c>
      <c r="F833" s="1" t="n">
        <v>1</v>
      </c>
      <c r="G833" s="15" t="n">
        <v>442.09</v>
      </c>
      <c r="H833" s="16" t="n">
        <v>0.06</v>
      </c>
      <c r="I833" s="1" t="s">
        <v>29</v>
      </c>
      <c r="J833" s="1" t="n">
        <v>6</v>
      </c>
      <c r="K833" s="1" t="n">
        <v>1.8</v>
      </c>
      <c r="L833" s="15" t="n">
        <v>415.56</v>
      </c>
      <c r="M833" s="15" t="n">
        <f aca="false">F833*G833</f>
        <v>442.09</v>
      </c>
      <c r="N833" s="15" t="n">
        <f aca="false">M833-L833</f>
        <v>26.53</v>
      </c>
      <c r="O833" s="1" t="n">
        <f aca="false">YEAR(B833)</f>
        <v>2024</v>
      </c>
      <c r="P833" s="1" t="n">
        <f aca="false">MONTH(B833)</f>
        <v>4</v>
      </c>
      <c r="Q833" s="1" t="str">
        <f aca="false">TEXT(B833,"mmm")</f>
        <v>Apr</v>
      </c>
      <c r="R833" s="1" t="str">
        <f aca="false">"Q"&amp;ROUNDUP(MONTH(B833)/3,0)</f>
        <v>Q2</v>
      </c>
    </row>
    <row r="834" customFormat="false" ht="15" hidden="false" customHeight="true" outlineLevel="0" collapsed="false">
      <c r="A834" s="1" t="n">
        <v>10833</v>
      </c>
      <c r="B834" s="14" t="n">
        <v>45394</v>
      </c>
      <c r="C834" s="1" t="n">
        <v>1750</v>
      </c>
      <c r="D834" s="1" t="s">
        <v>34</v>
      </c>
      <c r="E834" s="1" t="s">
        <v>28</v>
      </c>
      <c r="F834" s="1" t="n">
        <v>2</v>
      </c>
      <c r="G834" s="15" t="n">
        <v>139.56</v>
      </c>
      <c r="H834" s="16" t="n">
        <v>0.27</v>
      </c>
      <c r="I834" s="1" t="s">
        <v>33</v>
      </c>
      <c r="J834" s="1" t="n">
        <v>3</v>
      </c>
      <c r="K834" s="1" t="n">
        <v>4.5</v>
      </c>
      <c r="L834" s="15" t="n">
        <v>203.76</v>
      </c>
      <c r="M834" s="15" t="n">
        <f aca="false">F834*G834</f>
        <v>279.12</v>
      </c>
      <c r="N834" s="15" t="n">
        <f aca="false">M834-L834</f>
        <v>75.36</v>
      </c>
      <c r="O834" s="1" t="n">
        <f aca="false">YEAR(B834)</f>
        <v>2024</v>
      </c>
      <c r="P834" s="1" t="n">
        <f aca="false">MONTH(B834)</f>
        <v>4</v>
      </c>
      <c r="Q834" s="1" t="str">
        <f aca="false">TEXT(B834,"mmm")</f>
        <v>Apr</v>
      </c>
      <c r="R834" s="1" t="str">
        <f aca="false">"Q"&amp;ROUNDUP(MONTH(B834)/3,0)</f>
        <v>Q2</v>
      </c>
    </row>
    <row r="835" customFormat="false" ht="15" hidden="false" customHeight="true" outlineLevel="0" collapsed="false">
      <c r="A835" s="1" t="n">
        <v>10834</v>
      </c>
      <c r="B835" s="14" t="n">
        <v>45395</v>
      </c>
      <c r="C835" s="1" t="n">
        <v>1587</v>
      </c>
      <c r="D835" s="1" t="s">
        <v>27</v>
      </c>
      <c r="E835" s="1" t="s">
        <v>36</v>
      </c>
      <c r="F835" s="1" t="n">
        <v>3</v>
      </c>
      <c r="G835" s="15" t="n">
        <v>61.09</v>
      </c>
      <c r="H835" s="16" t="n">
        <v>0.02</v>
      </c>
      <c r="I835" s="1" t="s">
        <v>29</v>
      </c>
      <c r="J835" s="1" t="n">
        <v>7</v>
      </c>
      <c r="K835" s="1" t="n">
        <v>3.7</v>
      </c>
      <c r="L835" s="15" t="n">
        <v>179.6</v>
      </c>
      <c r="M835" s="15" t="n">
        <f aca="false">F835*G835</f>
        <v>183.27</v>
      </c>
      <c r="N835" s="15" t="n">
        <f aca="false">M835-L835</f>
        <v>3.67000000000002</v>
      </c>
      <c r="O835" s="1" t="n">
        <f aca="false">YEAR(B835)</f>
        <v>2024</v>
      </c>
      <c r="P835" s="1" t="n">
        <f aca="false">MONTH(B835)</f>
        <v>4</v>
      </c>
      <c r="Q835" s="1" t="str">
        <f aca="false">TEXT(B835,"mmm")</f>
        <v>Apr</v>
      </c>
      <c r="R835" s="1" t="str">
        <f aca="false">"Q"&amp;ROUNDUP(MONTH(B835)/3,0)</f>
        <v>Q2</v>
      </c>
    </row>
    <row r="836" customFormat="false" ht="15" hidden="false" customHeight="true" outlineLevel="0" collapsed="false">
      <c r="A836" s="1" t="n">
        <v>10835</v>
      </c>
      <c r="B836" s="14" t="n">
        <v>45396</v>
      </c>
      <c r="C836" s="1" t="n">
        <v>1008</v>
      </c>
      <c r="D836" s="1" t="s">
        <v>34</v>
      </c>
      <c r="E836" s="1" t="s">
        <v>32</v>
      </c>
      <c r="F836" s="1" t="n">
        <v>7</v>
      </c>
      <c r="G836" s="15" t="n">
        <v>176.99</v>
      </c>
      <c r="H836" s="16" t="n">
        <v>0.19</v>
      </c>
      <c r="I836" s="1" t="s">
        <v>31</v>
      </c>
      <c r="J836" s="1" t="n">
        <v>3</v>
      </c>
      <c r="K836" s="1" t="n">
        <v>3.2</v>
      </c>
      <c r="L836" s="15" t="n">
        <v>1003.53</v>
      </c>
      <c r="M836" s="15" t="n">
        <f aca="false">F836*G836</f>
        <v>1238.93</v>
      </c>
      <c r="N836" s="15" t="n">
        <f aca="false">M836-L836</f>
        <v>235.4</v>
      </c>
      <c r="O836" s="1" t="n">
        <f aca="false">YEAR(B836)</f>
        <v>2024</v>
      </c>
      <c r="P836" s="1" t="n">
        <f aca="false">MONTH(B836)</f>
        <v>4</v>
      </c>
      <c r="Q836" s="1" t="str">
        <f aca="false">TEXT(B836,"mmm")</f>
        <v>Apr</v>
      </c>
      <c r="R836" s="1" t="str">
        <f aca="false">"Q"&amp;ROUNDUP(MONTH(B836)/3,0)</f>
        <v>Q2</v>
      </c>
    </row>
    <row r="837" customFormat="false" ht="15" hidden="false" customHeight="true" outlineLevel="0" collapsed="false">
      <c r="A837" s="1" t="n">
        <v>10836</v>
      </c>
      <c r="B837" s="14" t="n">
        <v>45397</v>
      </c>
      <c r="C837" s="1" t="n">
        <v>1073</v>
      </c>
      <c r="D837" s="1" t="s">
        <v>37</v>
      </c>
      <c r="E837" s="1" t="s">
        <v>36</v>
      </c>
      <c r="F837" s="1" t="n">
        <v>7</v>
      </c>
      <c r="G837" s="15" t="n">
        <v>160.61</v>
      </c>
      <c r="H837" s="16" t="n">
        <v>0.1</v>
      </c>
      <c r="I837" s="1" t="s">
        <v>29</v>
      </c>
      <c r="J837" s="1" t="n">
        <v>6</v>
      </c>
      <c r="K837" s="1" t="n">
        <v>4.3</v>
      </c>
      <c r="L837" s="15" t="n">
        <v>1011.84</v>
      </c>
      <c r="M837" s="15" t="n">
        <f aca="false">F837*G837</f>
        <v>1124.27</v>
      </c>
      <c r="N837" s="15" t="n">
        <f aca="false">M837-L837</f>
        <v>112.43</v>
      </c>
      <c r="O837" s="1" t="n">
        <f aca="false">YEAR(B837)</f>
        <v>2024</v>
      </c>
      <c r="P837" s="1" t="n">
        <f aca="false">MONTH(B837)</f>
        <v>4</v>
      </c>
      <c r="Q837" s="1" t="str">
        <f aca="false">TEXT(B837,"mmm")</f>
        <v>Apr</v>
      </c>
      <c r="R837" s="1" t="str">
        <f aca="false">"Q"&amp;ROUNDUP(MONTH(B837)/3,0)</f>
        <v>Q2</v>
      </c>
    </row>
    <row r="838" customFormat="false" ht="15" hidden="false" customHeight="true" outlineLevel="0" collapsed="false">
      <c r="A838" s="1" t="n">
        <v>10837</v>
      </c>
      <c r="B838" s="14" t="n">
        <v>45398</v>
      </c>
      <c r="C838" s="1" t="n">
        <v>1953</v>
      </c>
      <c r="D838" s="1" t="s">
        <v>37</v>
      </c>
      <c r="E838" s="1" t="s">
        <v>32</v>
      </c>
      <c r="F838" s="1" t="n">
        <v>5</v>
      </c>
      <c r="G838" s="15" t="n">
        <v>152.21</v>
      </c>
      <c r="H838" s="16" t="n">
        <v>0.05</v>
      </c>
      <c r="I838" s="1" t="s">
        <v>33</v>
      </c>
      <c r="J838" s="1" t="n">
        <v>10</v>
      </c>
      <c r="K838" s="1" t="n">
        <v>3.5</v>
      </c>
      <c r="L838" s="15" t="n">
        <v>723</v>
      </c>
      <c r="M838" s="15" t="n">
        <f aca="false">F838*G838</f>
        <v>761.05</v>
      </c>
      <c r="N838" s="15" t="n">
        <f aca="false">M838-L838</f>
        <v>38.0500000000001</v>
      </c>
      <c r="O838" s="1" t="n">
        <f aca="false">YEAR(B838)</f>
        <v>2024</v>
      </c>
      <c r="P838" s="1" t="n">
        <f aca="false">MONTH(B838)</f>
        <v>4</v>
      </c>
      <c r="Q838" s="1" t="str">
        <f aca="false">TEXT(B838,"mmm")</f>
        <v>Apr</v>
      </c>
      <c r="R838" s="1" t="str">
        <f aca="false">"Q"&amp;ROUNDUP(MONTH(B838)/3,0)</f>
        <v>Q2</v>
      </c>
    </row>
    <row r="839" customFormat="false" ht="15" hidden="false" customHeight="true" outlineLevel="0" collapsed="false">
      <c r="A839" s="1" t="n">
        <v>10838</v>
      </c>
      <c r="B839" s="14" t="n">
        <v>45399</v>
      </c>
      <c r="C839" s="1" t="n">
        <v>1491</v>
      </c>
      <c r="D839" s="1" t="s">
        <v>27</v>
      </c>
      <c r="E839" s="1" t="s">
        <v>36</v>
      </c>
      <c r="F839" s="1" t="n">
        <v>7</v>
      </c>
      <c r="G839" s="15" t="n">
        <v>127.76</v>
      </c>
      <c r="H839" s="16" t="n">
        <v>0.27</v>
      </c>
      <c r="I839" s="1" t="s">
        <v>31</v>
      </c>
      <c r="J839" s="1" t="n">
        <v>1</v>
      </c>
      <c r="K839" s="1" t="n">
        <v>3.7</v>
      </c>
      <c r="L839" s="15" t="n">
        <v>652.85</v>
      </c>
      <c r="M839" s="15" t="n">
        <f aca="false">F839*G839</f>
        <v>894.32</v>
      </c>
      <c r="N839" s="15" t="n">
        <f aca="false">M839-L839</f>
        <v>241.47</v>
      </c>
      <c r="O839" s="1" t="n">
        <f aca="false">YEAR(B839)</f>
        <v>2024</v>
      </c>
      <c r="P839" s="1" t="n">
        <f aca="false">MONTH(B839)</f>
        <v>4</v>
      </c>
      <c r="Q839" s="1" t="str">
        <f aca="false">TEXT(B839,"mmm")</f>
        <v>Apr</v>
      </c>
      <c r="R839" s="1" t="str">
        <f aca="false">"Q"&amp;ROUNDUP(MONTH(B839)/3,0)</f>
        <v>Q2</v>
      </c>
    </row>
    <row r="840" customFormat="false" ht="15" hidden="false" customHeight="true" outlineLevel="0" collapsed="false">
      <c r="A840" s="1" t="n">
        <v>10839</v>
      </c>
      <c r="B840" s="14" t="n">
        <v>45400</v>
      </c>
      <c r="C840" s="1" t="n">
        <v>1912</v>
      </c>
      <c r="D840" s="1" t="s">
        <v>27</v>
      </c>
      <c r="E840" s="1" t="s">
        <v>28</v>
      </c>
      <c r="F840" s="1" t="n">
        <v>1</v>
      </c>
      <c r="G840" s="15" t="n">
        <v>351.23</v>
      </c>
      <c r="H840" s="16" t="n">
        <v>0.08</v>
      </c>
      <c r="I840" s="1" t="s">
        <v>31</v>
      </c>
      <c r="J840" s="1" t="n">
        <v>8</v>
      </c>
      <c r="K840" s="1" t="n">
        <v>2</v>
      </c>
      <c r="L840" s="15" t="n">
        <v>323.13</v>
      </c>
      <c r="M840" s="15" t="n">
        <f aca="false">F840*G840</f>
        <v>351.23</v>
      </c>
      <c r="N840" s="15" t="n">
        <f aca="false">M840-L840</f>
        <v>28.1</v>
      </c>
      <c r="O840" s="1" t="n">
        <f aca="false">YEAR(B840)</f>
        <v>2024</v>
      </c>
      <c r="P840" s="1" t="n">
        <f aca="false">MONTH(B840)</f>
        <v>4</v>
      </c>
      <c r="Q840" s="1" t="str">
        <f aca="false">TEXT(B840,"mmm")</f>
        <v>Apr</v>
      </c>
      <c r="R840" s="1" t="str">
        <f aca="false">"Q"&amp;ROUNDUP(MONTH(B840)/3,0)</f>
        <v>Q2</v>
      </c>
    </row>
    <row r="841" customFormat="false" ht="15" hidden="false" customHeight="true" outlineLevel="0" collapsed="false">
      <c r="A841" s="1" t="n">
        <v>10840</v>
      </c>
      <c r="B841" s="14" t="n">
        <v>45401</v>
      </c>
      <c r="C841" s="1" t="n">
        <v>1252</v>
      </c>
      <c r="D841" s="1" t="s">
        <v>34</v>
      </c>
      <c r="E841" s="1" t="s">
        <v>35</v>
      </c>
      <c r="F841" s="1" t="n">
        <v>6</v>
      </c>
      <c r="G841" s="15" t="n">
        <v>206.94</v>
      </c>
      <c r="H841" s="16" t="n">
        <v>0.08</v>
      </c>
      <c r="I841" s="1" t="s">
        <v>31</v>
      </c>
      <c r="J841" s="1" t="n">
        <v>7</v>
      </c>
      <c r="K841" s="1" t="n">
        <v>4.3</v>
      </c>
      <c r="L841" s="15" t="n">
        <v>1142.31</v>
      </c>
      <c r="M841" s="15" t="n">
        <f aca="false">F841*G841</f>
        <v>1241.64</v>
      </c>
      <c r="N841" s="15" t="n">
        <f aca="false">M841-L841</f>
        <v>99.3299999999999</v>
      </c>
      <c r="O841" s="1" t="n">
        <f aca="false">YEAR(B841)</f>
        <v>2024</v>
      </c>
      <c r="P841" s="1" t="n">
        <f aca="false">MONTH(B841)</f>
        <v>4</v>
      </c>
      <c r="Q841" s="1" t="str">
        <f aca="false">TEXT(B841,"mmm")</f>
        <v>Apr</v>
      </c>
      <c r="R841" s="1" t="str">
        <f aca="false">"Q"&amp;ROUNDUP(MONTH(B841)/3,0)</f>
        <v>Q2</v>
      </c>
    </row>
    <row r="842" customFormat="false" ht="15" hidden="false" customHeight="true" outlineLevel="0" collapsed="false">
      <c r="A842" s="1" t="n">
        <v>10841</v>
      </c>
      <c r="B842" s="14" t="n">
        <v>45402</v>
      </c>
      <c r="C842" s="1" t="n">
        <v>1229</v>
      </c>
      <c r="D842" s="1" t="s">
        <v>34</v>
      </c>
      <c r="E842" s="1" t="s">
        <v>36</v>
      </c>
      <c r="F842" s="1" t="n">
        <v>3</v>
      </c>
      <c r="G842" s="15" t="n">
        <v>494.9</v>
      </c>
      <c r="H842" s="16" t="n">
        <v>0.1</v>
      </c>
      <c r="I842" s="1" t="s">
        <v>31</v>
      </c>
      <c r="J842" s="1" t="n">
        <v>9</v>
      </c>
      <c r="K842" s="1" t="n">
        <v>3.6</v>
      </c>
      <c r="L842" s="15" t="n">
        <v>1336.23</v>
      </c>
      <c r="M842" s="15" t="n">
        <f aca="false">F842*G842</f>
        <v>1484.7</v>
      </c>
      <c r="N842" s="15" t="n">
        <f aca="false">M842-L842</f>
        <v>148.47</v>
      </c>
      <c r="O842" s="1" t="n">
        <f aca="false">YEAR(B842)</f>
        <v>2024</v>
      </c>
      <c r="P842" s="1" t="n">
        <f aca="false">MONTH(B842)</f>
        <v>4</v>
      </c>
      <c r="Q842" s="1" t="str">
        <f aca="false">TEXT(B842,"mmm")</f>
        <v>Apr</v>
      </c>
      <c r="R842" s="1" t="str">
        <f aca="false">"Q"&amp;ROUNDUP(MONTH(B842)/3,0)</f>
        <v>Q2</v>
      </c>
    </row>
    <row r="843" customFormat="false" ht="15" hidden="false" customHeight="true" outlineLevel="0" collapsed="false">
      <c r="A843" s="1" t="n">
        <v>10842</v>
      </c>
      <c r="B843" s="14" t="n">
        <v>45403</v>
      </c>
      <c r="C843" s="1" t="n">
        <v>1518</v>
      </c>
      <c r="D843" s="1" t="s">
        <v>30</v>
      </c>
      <c r="E843" s="1" t="s">
        <v>32</v>
      </c>
      <c r="F843" s="1" t="n">
        <v>5</v>
      </c>
      <c r="G843" s="15" t="n">
        <v>122.61</v>
      </c>
      <c r="H843" s="16" t="n">
        <v>0.21</v>
      </c>
      <c r="I843" s="1" t="s">
        <v>31</v>
      </c>
      <c r="J843" s="1" t="n">
        <v>3</v>
      </c>
      <c r="K843" s="1" t="n">
        <v>4.4</v>
      </c>
      <c r="L843" s="15" t="n">
        <v>484.31</v>
      </c>
      <c r="M843" s="15" t="n">
        <f aca="false">F843*G843</f>
        <v>613.05</v>
      </c>
      <c r="N843" s="15" t="n">
        <f aca="false">M843-L843</f>
        <v>128.74</v>
      </c>
      <c r="O843" s="1" t="n">
        <f aca="false">YEAR(B843)</f>
        <v>2024</v>
      </c>
      <c r="P843" s="1" t="n">
        <f aca="false">MONTH(B843)</f>
        <v>4</v>
      </c>
      <c r="Q843" s="1" t="str">
        <f aca="false">TEXT(B843,"mmm")</f>
        <v>Apr</v>
      </c>
      <c r="R843" s="1" t="str">
        <f aca="false">"Q"&amp;ROUNDUP(MONTH(B843)/3,0)</f>
        <v>Q2</v>
      </c>
    </row>
    <row r="844" customFormat="false" ht="15" hidden="false" customHeight="true" outlineLevel="0" collapsed="false">
      <c r="A844" s="1" t="n">
        <v>10843</v>
      </c>
      <c r="B844" s="14" t="n">
        <v>45404</v>
      </c>
      <c r="C844" s="1" t="n">
        <v>1173</v>
      </c>
      <c r="D844" s="1" t="s">
        <v>34</v>
      </c>
      <c r="E844" s="1" t="s">
        <v>36</v>
      </c>
      <c r="F844" s="1" t="n">
        <v>7</v>
      </c>
      <c r="G844" s="15" t="n">
        <v>286.81</v>
      </c>
      <c r="H844" s="16" t="n">
        <v>0.23</v>
      </c>
      <c r="I844" s="1" t="s">
        <v>31</v>
      </c>
      <c r="J844" s="1" t="n">
        <v>8</v>
      </c>
      <c r="K844" s="1" t="n">
        <v>2.4</v>
      </c>
      <c r="L844" s="15" t="n">
        <v>1545.91</v>
      </c>
      <c r="M844" s="15" t="n">
        <f aca="false">F844*G844</f>
        <v>2007.67</v>
      </c>
      <c r="N844" s="15" t="n">
        <f aca="false">M844-L844</f>
        <v>461.76</v>
      </c>
      <c r="O844" s="1" t="n">
        <f aca="false">YEAR(B844)</f>
        <v>2024</v>
      </c>
      <c r="P844" s="1" t="n">
        <f aca="false">MONTH(B844)</f>
        <v>4</v>
      </c>
      <c r="Q844" s="1" t="str">
        <f aca="false">TEXT(B844,"mmm")</f>
        <v>Apr</v>
      </c>
      <c r="R844" s="1" t="str">
        <f aca="false">"Q"&amp;ROUNDUP(MONTH(B844)/3,0)</f>
        <v>Q2</v>
      </c>
    </row>
    <row r="845" customFormat="false" ht="15" hidden="false" customHeight="true" outlineLevel="0" collapsed="false">
      <c r="A845" s="1" t="n">
        <v>10844</v>
      </c>
      <c r="B845" s="14" t="n">
        <v>45405</v>
      </c>
      <c r="C845" s="1" t="n">
        <v>1652</v>
      </c>
      <c r="D845" s="1" t="s">
        <v>34</v>
      </c>
      <c r="E845" s="1" t="s">
        <v>28</v>
      </c>
      <c r="F845" s="1" t="n">
        <v>7</v>
      </c>
      <c r="G845" s="15" t="n">
        <v>22.99</v>
      </c>
      <c r="H845" s="16" t="n">
        <v>0.01</v>
      </c>
      <c r="I845" s="1" t="s">
        <v>31</v>
      </c>
      <c r="J845" s="1" t="n">
        <v>2</v>
      </c>
      <c r="K845" s="1" t="n">
        <v>2.3</v>
      </c>
      <c r="L845" s="15" t="n">
        <v>159.32</v>
      </c>
      <c r="M845" s="15" t="n">
        <f aca="false">F845*G845</f>
        <v>160.93</v>
      </c>
      <c r="N845" s="15" t="n">
        <f aca="false">M845-L845</f>
        <v>1.60999999999999</v>
      </c>
      <c r="O845" s="1" t="n">
        <f aca="false">YEAR(B845)</f>
        <v>2024</v>
      </c>
      <c r="P845" s="1" t="n">
        <f aca="false">MONTH(B845)</f>
        <v>4</v>
      </c>
      <c r="Q845" s="1" t="str">
        <f aca="false">TEXT(B845,"mmm")</f>
        <v>Apr</v>
      </c>
      <c r="R845" s="1" t="str">
        <f aca="false">"Q"&amp;ROUNDUP(MONTH(B845)/3,0)</f>
        <v>Q2</v>
      </c>
    </row>
    <row r="846" customFormat="false" ht="15" hidden="false" customHeight="true" outlineLevel="0" collapsed="false">
      <c r="A846" s="1" t="n">
        <v>10845</v>
      </c>
      <c r="B846" s="14" t="n">
        <v>45406</v>
      </c>
      <c r="C846" s="1" t="n">
        <v>1167</v>
      </c>
      <c r="D846" s="1" t="s">
        <v>30</v>
      </c>
      <c r="E846" s="1" t="s">
        <v>28</v>
      </c>
      <c r="F846" s="1" t="n">
        <v>6</v>
      </c>
      <c r="G846" s="15" t="n">
        <v>296.78</v>
      </c>
      <c r="H846" s="16" t="n">
        <v>0.08</v>
      </c>
      <c r="I846" s="1" t="s">
        <v>31</v>
      </c>
      <c r="J846" s="1" t="n">
        <v>9</v>
      </c>
      <c r="K846" s="1" t="n">
        <v>1.1</v>
      </c>
      <c r="L846" s="15" t="n">
        <v>1638.23</v>
      </c>
      <c r="M846" s="15" t="n">
        <f aca="false">F846*G846</f>
        <v>1780.68</v>
      </c>
      <c r="N846" s="15" t="n">
        <f aca="false">M846-L846</f>
        <v>142.45</v>
      </c>
      <c r="O846" s="1" t="n">
        <f aca="false">YEAR(B846)</f>
        <v>2024</v>
      </c>
      <c r="P846" s="1" t="n">
        <f aca="false">MONTH(B846)</f>
        <v>4</v>
      </c>
      <c r="Q846" s="1" t="str">
        <f aca="false">TEXT(B846,"mmm")</f>
        <v>Apr</v>
      </c>
      <c r="R846" s="1" t="str">
        <f aca="false">"Q"&amp;ROUNDUP(MONTH(B846)/3,0)</f>
        <v>Q2</v>
      </c>
    </row>
    <row r="847" customFormat="false" ht="15" hidden="false" customHeight="true" outlineLevel="0" collapsed="false">
      <c r="A847" s="1" t="n">
        <v>10846</v>
      </c>
      <c r="B847" s="14" t="n">
        <v>45407</v>
      </c>
      <c r="C847" s="1" t="n">
        <v>1169</v>
      </c>
      <c r="D847" s="1" t="s">
        <v>37</v>
      </c>
      <c r="E847" s="1" t="s">
        <v>36</v>
      </c>
      <c r="F847" s="1" t="n">
        <v>4</v>
      </c>
      <c r="G847" s="15" t="n">
        <v>47.67</v>
      </c>
      <c r="H847" s="16" t="n">
        <v>0.15</v>
      </c>
      <c r="I847" s="1" t="s">
        <v>29</v>
      </c>
      <c r="J847" s="1" t="n">
        <v>1</v>
      </c>
      <c r="K847" s="1" t="n">
        <v>4.1</v>
      </c>
      <c r="L847" s="15" t="n">
        <v>162.08</v>
      </c>
      <c r="M847" s="15" t="n">
        <f aca="false">F847*G847</f>
        <v>190.68</v>
      </c>
      <c r="N847" s="15" t="n">
        <f aca="false">M847-L847</f>
        <v>28.6</v>
      </c>
      <c r="O847" s="1" t="n">
        <f aca="false">YEAR(B847)</f>
        <v>2024</v>
      </c>
      <c r="P847" s="1" t="n">
        <f aca="false">MONTH(B847)</f>
        <v>4</v>
      </c>
      <c r="Q847" s="1" t="str">
        <f aca="false">TEXT(B847,"mmm")</f>
        <v>Apr</v>
      </c>
      <c r="R847" s="1" t="str">
        <f aca="false">"Q"&amp;ROUNDUP(MONTH(B847)/3,0)</f>
        <v>Q2</v>
      </c>
    </row>
    <row r="848" customFormat="false" ht="15" hidden="false" customHeight="true" outlineLevel="0" collapsed="false">
      <c r="A848" s="1" t="n">
        <v>10847</v>
      </c>
      <c r="B848" s="14" t="n">
        <v>45408</v>
      </c>
      <c r="C848" s="1" t="n">
        <v>1392</v>
      </c>
      <c r="D848" s="1" t="s">
        <v>30</v>
      </c>
      <c r="E848" s="1" t="s">
        <v>35</v>
      </c>
      <c r="F848" s="1" t="n">
        <v>3</v>
      </c>
      <c r="G848" s="15" t="n">
        <v>586.97</v>
      </c>
      <c r="H848" s="16" t="n">
        <v>0.12</v>
      </c>
      <c r="I848" s="1" t="s">
        <v>31</v>
      </c>
      <c r="J848" s="1" t="n">
        <v>10</v>
      </c>
      <c r="K848" s="1" t="n">
        <v>2.3</v>
      </c>
      <c r="L848" s="15" t="n">
        <v>1549.6</v>
      </c>
      <c r="M848" s="15" t="n">
        <f aca="false">F848*G848</f>
        <v>1760.91</v>
      </c>
      <c r="N848" s="15" t="n">
        <f aca="false">M848-L848</f>
        <v>211.31</v>
      </c>
      <c r="O848" s="1" t="n">
        <f aca="false">YEAR(B848)</f>
        <v>2024</v>
      </c>
      <c r="P848" s="1" t="n">
        <f aca="false">MONTH(B848)</f>
        <v>4</v>
      </c>
      <c r="Q848" s="1" t="str">
        <f aca="false">TEXT(B848,"mmm")</f>
        <v>Apr</v>
      </c>
      <c r="R848" s="1" t="str">
        <f aca="false">"Q"&amp;ROUNDUP(MONTH(B848)/3,0)</f>
        <v>Q2</v>
      </c>
    </row>
    <row r="849" customFormat="false" ht="15" hidden="false" customHeight="true" outlineLevel="0" collapsed="false">
      <c r="A849" s="1" t="n">
        <v>10848</v>
      </c>
      <c r="B849" s="14" t="n">
        <v>45409</v>
      </c>
      <c r="C849" s="1" t="n">
        <v>1945</v>
      </c>
      <c r="D849" s="1" t="s">
        <v>34</v>
      </c>
      <c r="E849" s="1" t="s">
        <v>32</v>
      </c>
      <c r="F849" s="1" t="n">
        <v>6</v>
      </c>
      <c r="G849" s="15" t="n">
        <v>477.5</v>
      </c>
      <c r="H849" s="16" t="n">
        <v>0.31</v>
      </c>
      <c r="I849" s="1" t="s">
        <v>31</v>
      </c>
      <c r="J849" s="1" t="n">
        <v>7</v>
      </c>
      <c r="K849" s="1" t="n">
        <v>2.3</v>
      </c>
      <c r="L849" s="15" t="n">
        <v>1976.85</v>
      </c>
      <c r="M849" s="15" t="n">
        <f aca="false">F849*G849</f>
        <v>2865</v>
      </c>
      <c r="N849" s="15" t="n">
        <f aca="false">M849-L849</f>
        <v>888.15</v>
      </c>
      <c r="O849" s="1" t="n">
        <f aca="false">YEAR(B849)</f>
        <v>2024</v>
      </c>
      <c r="P849" s="1" t="n">
        <f aca="false">MONTH(B849)</f>
        <v>4</v>
      </c>
      <c r="Q849" s="1" t="str">
        <f aca="false">TEXT(B849,"mmm")</f>
        <v>Apr</v>
      </c>
      <c r="R849" s="1" t="str">
        <f aca="false">"Q"&amp;ROUNDUP(MONTH(B849)/3,0)</f>
        <v>Q2</v>
      </c>
    </row>
    <row r="850" customFormat="false" ht="15" hidden="false" customHeight="true" outlineLevel="0" collapsed="false">
      <c r="A850" s="1" t="n">
        <v>10849</v>
      </c>
      <c r="B850" s="14" t="n">
        <v>45410</v>
      </c>
      <c r="C850" s="1" t="n">
        <v>1794</v>
      </c>
      <c r="D850" s="1" t="s">
        <v>37</v>
      </c>
      <c r="E850" s="1" t="s">
        <v>28</v>
      </c>
      <c r="F850" s="1" t="n">
        <v>7</v>
      </c>
      <c r="G850" s="15" t="n">
        <v>301.72</v>
      </c>
      <c r="H850" s="16" t="n">
        <v>0.28</v>
      </c>
      <c r="I850" s="1" t="s">
        <v>33</v>
      </c>
      <c r="J850" s="1" t="n">
        <v>10</v>
      </c>
      <c r="K850" s="1" t="n">
        <v>3.8</v>
      </c>
      <c r="L850" s="15" t="n">
        <v>1520.67</v>
      </c>
      <c r="M850" s="15" t="n">
        <f aca="false">F850*G850</f>
        <v>2112.04</v>
      </c>
      <c r="N850" s="15" t="n">
        <f aca="false">M850-L850</f>
        <v>591.37</v>
      </c>
      <c r="O850" s="1" t="n">
        <f aca="false">YEAR(B850)</f>
        <v>2024</v>
      </c>
      <c r="P850" s="1" t="n">
        <f aca="false">MONTH(B850)</f>
        <v>4</v>
      </c>
      <c r="Q850" s="1" t="str">
        <f aca="false">TEXT(B850,"mmm")</f>
        <v>Apr</v>
      </c>
      <c r="R850" s="1" t="str">
        <f aca="false">"Q"&amp;ROUNDUP(MONTH(B850)/3,0)</f>
        <v>Q2</v>
      </c>
    </row>
    <row r="851" customFormat="false" ht="15" hidden="false" customHeight="true" outlineLevel="0" collapsed="false">
      <c r="A851" s="1" t="n">
        <v>10850</v>
      </c>
      <c r="B851" s="14" t="n">
        <v>45411</v>
      </c>
      <c r="C851" s="1" t="n">
        <v>1633</v>
      </c>
      <c r="D851" s="1" t="s">
        <v>34</v>
      </c>
      <c r="E851" s="1" t="s">
        <v>28</v>
      </c>
      <c r="F851" s="1" t="n">
        <v>3</v>
      </c>
      <c r="G851" s="15" t="n">
        <v>65.65</v>
      </c>
      <c r="H851" s="16" t="n">
        <v>0.22</v>
      </c>
      <c r="I851" s="1" t="s">
        <v>29</v>
      </c>
      <c r="J851" s="1" t="n">
        <v>1</v>
      </c>
      <c r="K851" s="1" t="n">
        <v>2</v>
      </c>
      <c r="L851" s="15" t="n">
        <v>153.62</v>
      </c>
      <c r="M851" s="15" t="n">
        <f aca="false">F851*G851</f>
        <v>196.95</v>
      </c>
      <c r="N851" s="15" t="n">
        <f aca="false">M851-L851</f>
        <v>43.33</v>
      </c>
      <c r="O851" s="1" t="n">
        <f aca="false">YEAR(B851)</f>
        <v>2024</v>
      </c>
      <c r="P851" s="1" t="n">
        <f aca="false">MONTH(B851)</f>
        <v>4</v>
      </c>
      <c r="Q851" s="1" t="str">
        <f aca="false">TEXT(B851,"mmm")</f>
        <v>Apr</v>
      </c>
      <c r="R851" s="1" t="str">
        <f aca="false">"Q"&amp;ROUNDUP(MONTH(B851)/3,0)</f>
        <v>Q2</v>
      </c>
    </row>
    <row r="852" customFormat="false" ht="15" hidden="false" customHeight="true" outlineLevel="0" collapsed="false">
      <c r="A852" s="1" t="n">
        <v>10851</v>
      </c>
      <c r="B852" s="14" t="n">
        <v>45412</v>
      </c>
      <c r="C852" s="1" t="n">
        <v>1193</v>
      </c>
      <c r="D852" s="1" t="s">
        <v>34</v>
      </c>
      <c r="E852" s="1" t="s">
        <v>36</v>
      </c>
      <c r="F852" s="1" t="n">
        <v>3</v>
      </c>
      <c r="G852" s="15" t="n">
        <v>361.58</v>
      </c>
      <c r="H852" s="16" t="n">
        <v>0.12</v>
      </c>
      <c r="I852" s="1" t="s">
        <v>31</v>
      </c>
      <c r="J852" s="1" t="n">
        <v>6</v>
      </c>
      <c r="K852" s="1" t="n">
        <v>4.6</v>
      </c>
      <c r="L852" s="15" t="n">
        <v>954.57</v>
      </c>
      <c r="M852" s="15" t="n">
        <f aca="false">F852*G852</f>
        <v>1084.74</v>
      </c>
      <c r="N852" s="15" t="n">
        <f aca="false">M852-L852</f>
        <v>130.17</v>
      </c>
      <c r="O852" s="1" t="n">
        <f aca="false">YEAR(B852)</f>
        <v>2024</v>
      </c>
      <c r="P852" s="1" t="n">
        <f aca="false">MONTH(B852)</f>
        <v>4</v>
      </c>
      <c r="Q852" s="1" t="str">
        <f aca="false">TEXT(B852,"mmm")</f>
        <v>Apr</v>
      </c>
      <c r="R852" s="1" t="str">
        <f aca="false">"Q"&amp;ROUNDUP(MONTH(B852)/3,0)</f>
        <v>Q2</v>
      </c>
    </row>
    <row r="853" customFormat="false" ht="15" hidden="false" customHeight="true" outlineLevel="0" collapsed="false">
      <c r="A853" s="1" t="n">
        <v>10852</v>
      </c>
      <c r="B853" s="14" t="n">
        <v>45413</v>
      </c>
      <c r="C853" s="1" t="n">
        <v>1516</v>
      </c>
      <c r="D853" s="1" t="s">
        <v>37</v>
      </c>
      <c r="E853" s="1" t="s">
        <v>28</v>
      </c>
      <c r="F853" s="1" t="n">
        <v>7</v>
      </c>
      <c r="G853" s="15" t="n">
        <v>458.88</v>
      </c>
      <c r="H853" s="16" t="n">
        <v>0.25</v>
      </c>
      <c r="I853" s="1" t="s">
        <v>29</v>
      </c>
      <c r="J853" s="1" t="n">
        <v>1</v>
      </c>
      <c r="K853" s="1" t="n">
        <v>3.2</v>
      </c>
      <c r="L853" s="15" t="n">
        <v>2409.12</v>
      </c>
      <c r="M853" s="15" t="n">
        <f aca="false">F853*G853</f>
        <v>3212.16</v>
      </c>
      <c r="N853" s="15" t="n">
        <f aca="false">M853-L853</f>
        <v>803.04</v>
      </c>
      <c r="O853" s="1" t="n">
        <f aca="false">YEAR(B853)</f>
        <v>2024</v>
      </c>
      <c r="P853" s="1" t="n">
        <f aca="false">MONTH(B853)</f>
        <v>5</v>
      </c>
      <c r="Q853" s="1" t="str">
        <f aca="false">TEXT(B853,"mmm")</f>
        <v>May</v>
      </c>
      <c r="R853" s="1" t="str">
        <f aca="false">"Q"&amp;ROUNDUP(MONTH(B853)/3,0)</f>
        <v>Q2</v>
      </c>
    </row>
    <row r="854" customFormat="false" ht="15" hidden="false" customHeight="true" outlineLevel="0" collapsed="false">
      <c r="A854" s="1" t="n">
        <v>10853</v>
      </c>
      <c r="B854" s="14" t="n">
        <v>45414</v>
      </c>
      <c r="C854" s="1" t="n">
        <v>1028</v>
      </c>
      <c r="D854" s="1" t="s">
        <v>30</v>
      </c>
      <c r="E854" s="1" t="s">
        <v>28</v>
      </c>
      <c r="F854" s="1" t="n">
        <v>4</v>
      </c>
      <c r="G854" s="15" t="n">
        <v>126.57</v>
      </c>
      <c r="H854" s="16" t="n">
        <v>0.3</v>
      </c>
      <c r="I854" s="1" t="s">
        <v>31</v>
      </c>
      <c r="J854" s="1" t="n">
        <v>4</v>
      </c>
      <c r="K854" s="1" t="n">
        <v>4.9</v>
      </c>
      <c r="L854" s="15" t="n">
        <v>354.4</v>
      </c>
      <c r="M854" s="15" t="n">
        <f aca="false">F854*G854</f>
        <v>506.28</v>
      </c>
      <c r="N854" s="15" t="n">
        <f aca="false">M854-L854</f>
        <v>151.88</v>
      </c>
      <c r="O854" s="1" t="n">
        <f aca="false">YEAR(B854)</f>
        <v>2024</v>
      </c>
      <c r="P854" s="1" t="n">
        <f aca="false">MONTH(B854)</f>
        <v>5</v>
      </c>
      <c r="Q854" s="1" t="str">
        <f aca="false">TEXT(B854,"mmm")</f>
        <v>May</v>
      </c>
      <c r="R854" s="1" t="str">
        <f aca="false">"Q"&amp;ROUNDUP(MONTH(B854)/3,0)</f>
        <v>Q2</v>
      </c>
    </row>
    <row r="855" customFormat="false" ht="15" hidden="false" customHeight="true" outlineLevel="0" collapsed="false">
      <c r="A855" s="1" t="n">
        <v>10854</v>
      </c>
      <c r="B855" s="14" t="n">
        <v>45415</v>
      </c>
      <c r="C855" s="1" t="n">
        <v>1164</v>
      </c>
      <c r="D855" s="1" t="s">
        <v>37</v>
      </c>
      <c r="E855" s="1" t="s">
        <v>32</v>
      </c>
      <c r="F855" s="1" t="n">
        <v>4</v>
      </c>
      <c r="G855" s="15" t="n">
        <v>347.4</v>
      </c>
      <c r="H855" s="16" t="n">
        <v>0.21</v>
      </c>
      <c r="I855" s="1" t="s">
        <v>31</v>
      </c>
      <c r="J855" s="1" t="n">
        <v>7</v>
      </c>
      <c r="K855" s="1" t="n">
        <v>1.3</v>
      </c>
      <c r="L855" s="15" t="n">
        <v>1097.78</v>
      </c>
      <c r="M855" s="15" t="n">
        <f aca="false">F855*G855</f>
        <v>1389.6</v>
      </c>
      <c r="N855" s="15" t="n">
        <f aca="false">M855-L855</f>
        <v>291.82</v>
      </c>
      <c r="O855" s="1" t="n">
        <f aca="false">YEAR(B855)</f>
        <v>2024</v>
      </c>
      <c r="P855" s="1" t="n">
        <f aca="false">MONTH(B855)</f>
        <v>5</v>
      </c>
      <c r="Q855" s="1" t="str">
        <f aca="false">TEXT(B855,"mmm")</f>
        <v>May</v>
      </c>
      <c r="R855" s="1" t="str">
        <f aca="false">"Q"&amp;ROUNDUP(MONTH(B855)/3,0)</f>
        <v>Q2</v>
      </c>
    </row>
    <row r="856" customFormat="false" ht="15" hidden="false" customHeight="true" outlineLevel="0" collapsed="false">
      <c r="A856" s="1" t="n">
        <v>10855</v>
      </c>
      <c r="B856" s="14" t="n">
        <v>45416</v>
      </c>
      <c r="C856" s="1" t="n">
        <v>1421</v>
      </c>
      <c r="D856" s="1" t="s">
        <v>34</v>
      </c>
      <c r="E856" s="1" t="s">
        <v>35</v>
      </c>
      <c r="F856" s="1" t="n">
        <v>7</v>
      </c>
      <c r="G856" s="15" t="n">
        <v>491.31</v>
      </c>
      <c r="H856" s="16" t="n">
        <v>0.27</v>
      </c>
      <c r="I856" s="1" t="s">
        <v>31</v>
      </c>
      <c r="J856" s="1" t="n">
        <v>2</v>
      </c>
      <c r="K856" s="1" t="n">
        <v>2.3</v>
      </c>
      <c r="L856" s="15" t="n">
        <v>2510.59</v>
      </c>
      <c r="M856" s="15" t="n">
        <f aca="false">F856*G856</f>
        <v>3439.17</v>
      </c>
      <c r="N856" s="15" t="n">
        <f aca="false">M856-L856</f>
        <v>928.58</v>
      </c>
      <c r="O856" s="1" t="n">
        <f aca="false">YEAR(B856)</f>
        <v>2024</v>
      </c>
      <c r="P856" s="1" t="n">
        <f aca="false">MONTH(B856)</f>
        <v>5</v>
      </c>
      <c r="Q856" s="1" t="str">
        <f aca="false">TEXT(B856,"mmm")</f>
        <v>May</v>
      </c>
      <c r="R856" s="1" t="str">
        <f aca="false">"Q"&amp;ROUNDUP(MONTH(B856)/3,0)</f>
        <v>Q2</v>
      </c>
    </row>
    <row r="857" customFormat="false" ht="15" hidden="false" customHeight="true" outlineLevel="0" collapsed="false">
      <c r="A857" s="1" t="n">
        <v>10856</v>
      </c>
      <c r="B857" s="14" t="n">
        <v>45417</v>
      </c>
      <c r="C857" s="1" t="n">
        <v>1338</v>
      </c>
      <c r="D857" s="1" t="s">
        <v>37</v>
      </c>
      <c r="E857" s="1" t="s">
        <v>32</v>
      </c>
      <c r="F857" s="1" t="n">
        <v>3</v>
      </c>
      <c r="G857" s="15" t="n">
        <v>464.42</v>
      </c>
      <c r="H857" s="16" t="n">
        <v>0.26</v>
      </c>
      <c r="I857" s="1" t="s">
        <v>33</v>
      </c>
      <c r="J857" s="1" t="n">
        <v>3</v>
      </c>
      <c r="K857" s="1" t="n">
        <v>2.5</v>
      </c>
      <c r="L857" s="15" t="n">
        <v>1031.01</v>
      </c>
      <c r="M857" s="15" t="n">
        <f aca="false">F857*G857</f>
        <v>1393.26</v>
      </c>
      <c r="N857" s="15" t="n">
        <f aca="false">M857-L857</f>
        <v>362.25</v>
      </c>
      <c r="O857" s="1" t="n">
        <f aca="false">YEAR(B857)</f>
        <v>2024</v>
      </c>
      <c r="P857" s="1" t="n">
        <f aca="false">MONTH(B857)</f>
        <v>5</v>
      </c>
      <c r="Q857" s="1" t="str">
        <f aca="false">TEXT(B857,"mmm")</f>
        <v>May</v>
      </c>
      <c r="R857" s="1" t="str">
        <f aca="false">"Q"&amp;ROUNDUP(MONTH(B857)/3,0)</f>
        <v>Q2</v>
      </c>
    </row>
    <row r="858" customFormat="false" ht="15" hidden="false" customHeight="true" outlineLevel="0" collapsed="false">
      <c r="A858" s="1" t="n">
        <v>10857</v>
      </c>
      <c r="B858" s="14" t="n">
        <v>45418</v>
      </c>
      <c r="C858" s="1" t="n">
        <v>1647</v>
      </c>
      <c r="D858" s="1" t="s">
        <v>30</v>
      </c>
      <c r="E858" s="1" t="s">
        <v>35</v>
      </c>
      <c r="F858" s="1" t="n">
        <v>6</v>
      </c>
      <c r="G858" s="15" t="n">
        <v>484.75</v>
      </c>
      <c r="H858" s="16" t="n">
        <v>0.2</v>
      </c>
      <c r="I858" s="1" t="s">
        <v>31</v>
      </c>
      <c r="J858" s="1" t="n">
        <v>4</v>
      </c>
      <c r="K858" s="1" t="n">
        <v>3.9</v>
      </c>
      <c r="L858" s="15" t="n">
        <v>2326.8</v>
      </c>
      <c r="M858" s="15" t="n">
        <f aca="false">F858*G858</f>
        <v>2908.5</v>
      </c>
      <c r="N858" s="15" t="n">
        <f aca="false">M858-L858</f>
        <v>581.7</v>
      </c>
      <c r="O858" s="1" t="n">
        <f aca="false">YEAR(B858)</f>
        <v>2024</v>
      </c>
      <c r="P858" s="1" t="n">
        <f aca="false">MONTH(B858)</f>
        <v>5</v>
      </c>
      <c r="Q858" s="1" t="str">
        <f aca="false">TEXT(B858,"mmm")</f>
        <v>May</v>
      </c>
      <c r="R858" s="1" t="str">
        <f aca="false">"Q"&amp;ROUNDUP(MONTH(B858)/3,0)</f>
        <v>Q2</v>
      </c>
    </row>
    <row r="859" customFormat="false" ht="15" hidden="false" customHeight="true" outlineLevel="0" collapsed="false">
      <c r="A859" s="1" t="n">
        <v>10858</v>
      </c>
      <c r="B859" s="14" t="n">
        <v>45419</v>
      </c>
      <c r="C859" s="1" t="n">
        <v>1495</v>
      </c>
      <c r="D859" s="1" t="s">
        <v>30</v>
      </c>
      <c r="E859" s="1" t="s">
        <v>32</v>
      </c>
      <c r="F859" s="1" t="n">
        <v>2</v>
      </c>
      <c r="G859" s="15" t="n">
        <v>529.4</v>
      </c>
      <c r="H859" s="16" t="n">
        <v>0.11</v>
      </c>
      <c r="I859" s="1" t="s">
        <v>33</v>
      </c>
      <c r="J859" s="1" t="n">
        <v>6</v>
      </c>
      <c r="K859" s="1" t="n">
        <v>1.9</v>
      </c>
      <c r="L859" s="15" t="n">
        <v>942.33</v>
      </c>
      <c r="M859" s="15" t="n">
        <f aca="false">F859*G859</f>
        <v>1058.8</v>
      </c>
      <c r="N859" s="15" t="n">
        <f aca="false">M859-L859</f>
        <v>116.47</v>
      </c>
      <c r="O859" s="1" t="n">
        <f aca="false">YEAR(B859)</f>
        <v>2024</v>
      </c>
      <c r="P859" s="1" t="n">
        <f aca="false">MONTH(B859)</f>
        <v>5</v>
      </c>
      <c r="Q859" s="1" t="str">
        <f aca="false">TEXT(B859,"mmm")</f>
        <v>May</v>
      </c>
      <c r="R859" s="1" t="str">
        <f aca="false">"Q"&amp;ROUNDUP(MONTH(B859)/3,0)</f>
        <v>Q2</v>
      </c>
    </row>
    <row r="860" customFormat="false" ht="15" hidden="false" customHeight="true" outlineLevel="0" collapsed="false">
      <c r="A860" s="1" t="n">
        <v>10859</v>
      </c>
      <c r="B860" s="14" t="n">
        <v>45420</v>
      </c>
      <c r="C860" s="1" t="n">
        <v>1364</v>
      </c>
      <c r="D860" s="1" t="s">
        <v>30</v>
      </c>
      <c r="E860" s="1" t="s">
        <v>36</v>
      </c>
      <c r="F860" s="1" t="n">
        <v>1</v>
      </c>
      <c r="G860" s="15" t="n">
        <v>563.54</v>
      </c>
      <c r="H860" s="16" t="n">
        <v>0.26</v>
      </c>
      <c r="I860" s="1" t="s">
        <v>31</v>
      </c>
      <c r="J860" s="1" t="n">
        <v>9</v>
      </c>
      <c r="K860" s="1" t="n">
        <v>2.5</v>
      </c>
      <c r="L860" s="15" t="n">
        <v>417.02</v>
      </c>
      <c r="M860" s="15" t="n">
        <f aca="false">F860*G860</f>
        <v>563.54</v>
      </c>
      <c r="N860" s="15" t="n">
        <f aca="false">M860-L860</f>
        <v>146.52</v>
      </c>
      <c r="O860" s="1" t="n">
        <f aca="false">YEAR(B860)</f>
        <v>2024</v>
      </c>
      <c r="P860" s="1" t="n">
        <f aca="false">MONTH(B860)</f>
        <v>5</v>
      </c>
      <c r="Q860" s="1" t="str">
        <f aca="false">TEXT(B860,"mmm")</f>
        <v>May</v>
      </c>
      <c r="R860" s="1" t="str">
        <f aca="false">"Q"&amp;ROUNDUP(MONTH(B860)/3,0)</f>
        <v>Q2</v>
      </c>
    </row>
    <row r="861" customFormat="false" ht="15" hidden="false" customHeight="true" outlineLevel="0" collapsed="false">
      <c r="A861" s="1" t="n">
        <v>10860</v>
      </c>
      <c r="B861" s="14" t="n">
        <v>45421</v>
      </c>
      <c r="C861" s="1" t="n">
        <v>1832</v>
      </c>
      <c r="D861" s="1" t="s">
        <v>27</v>
      </c>
      <c r="E861" s="1" t="s">
        <v>28</v>
      </c>
      <c r="F861" s="1" t="n">
        <v>4</v>
      </c>
      <c r="G861" s="15" t="n">
        <v>252.23</v>
      </c>
      <c r="H861" s="16" t="n">
        <v>0.07</v>
      </c>
      <c r="I861" s="1" t="s">
        <v>33</v>
      </c>
      <c r="J861" s="1" t="n">
        <v>4</v>
      </c>
      <c r="K861" s="1" t="n">
        <v>4.6</v>
      </c>
      <c r="L861" s="15" t="n">
        <v>938.3</v>
      </c>
      <c r="M861" s="15" t="n">
        <f aca="false">F861*G861</f>
        <v>1008.92</v>
      </c>
      <c r="N861" s="15" t="n">
        <f aca="false">M861-L861</f>
        <v>70.62</v>
      </c>
      <c r="O861" s="1" t="n">
        <f aca="false">YEAR(B861)</f>
        <v>2024</v>
      </c>
      <c r="P861" s="1" t="n">
        <f aca="false">MONTH(B861)</f>
        <v>5</v>
      </c>
      <c r="Q861" s="1" t="str">
        <f aca="false">TEXT(B861,"mmm")</f>
        <v>May</v>
      </c>
      <c r="R861" s="1" t="str">
        <f aca="false">"Q"&amp;ROUNDUP(MONTH(B861)/3,0)</f>
        <v>Q2</v>
      </c>
    </row>
    <row r="862" customFormat="false" ht="15" hidden="false" customHeight="true" outlineLevel="0" collapsed="false">
      <c r="A862" s="1" t="n">
        <v>10861</v>
      </c>
      <c r="B862" s="14" t="n">
        <v>45422</v>
      </c>
      <c r="C862" s="1" t="n">
        <v>1341</v>
      </c>
      <c r="D862" s="1" t="s">
        <v>30</v>
      </c>
      <c r="E862" s="1" t="s">
        <v>35</v>
      </c>
      <c r="F862" s="1" t="n">
        <v>7</v>
      </c>
      <c r="G862" s="15" t="n">
        <v>347.73</v>
      </c>
      <c r="H862" s="16" t="n">
        <v>0.27</v>
      </c>
      <c r="I862" s="1" t="s">
        <v>31</v>
      </c>
      <c r="J862" s="1" t="n">
        <v>6</v>
      </c>
      <c r="K862" s="1" t="n">
        <v>1.5</v>
      </c>
      <c r="L862" s="15" t="n">
        <v>1776.9</v>
      </c>
      <c r="M862" s="15" t="n">
        <f aca="false">F862*G862</f>
        <v>2434.11</v>
      </c>
      <c r="N862" s="15" t="n">
        <f aca="false">M862-L862</f>
        <v>657.21</v>
      </c>
      <c r="O862" s="1" t="n">
        <f aca="false">YEAR(B862)</f>
        <v>2024</v>
      </c>
      <c r="P862" s="1" t="n">
        <f aca="false">MONTH(B862)</f>
        <v>5</v>
      </c>
      <c r="Q862" s="1" t="str">
        <f aca="false">TEXT(B862,"mmm")</f>
        <v>May</v>
      </c>
      <c r="R862" s="1" t="str">
        <f aca="false">"Q"&amp;ROUNDUP(MONTH(B862)/3,0)</f>
        <v>Q2</v>
      </c>
    </row>
    <row r="863" customFormat="false" ht="15" hidden="false" customHeight="true" outlineLevel="0" collapsed="false">
      <c r="A863" s="1" t="n">
        <v>10862</v>
      </c>
      <c r="B863" s="14" t="n">
        <v>45423</v>
      </c>
      <c r="C863" s="1" t="n">
        <v>1499</v>
      </c>
      <c r="D863" s="1" t="s">
        <v>30</v>
      </c>
      <c r="E863" s="1" t="s">
        <v>36</v>
      </c>
      <c r="F863" s="1" t="n">
        <v>2</v>
      </c>
      <c r="G863" s="15" t="n">
        <v>477.54</v>
      </c>
      <c r="H863" s="16" t="n">
        <v>0.28</v>
      </c>
      <c r="I863" s="1" t="s">
        <v>33</v>
      </c>
      <c r="J863" s="1" t="n">
        <v>7</v>
      </c>
      <c r="K863" s="1" t="n">
        <v>4</v>
      </c>
      <c r="L863" s="15" t="n">
        <v>687.66</v>
      </c>
      <c r="M863" s="15" t="n">
        <f aca="false">F863*G863</f>
        <v>955.08</v>
      </c>
      <c r="N863" s="15" t="n">
        <f aca="false">M863-L863</f>
        <v>267.42</v>
      </c>
      <c r="O863" s="1" t="n">
        <f aca="false">YEAR(B863)</f>
        <v>2024</v>
      </c>
      <c r="P863" s="1" t="n">
        <f aca="false">MONTH(B863)</f>
        <v>5</v>
      </c>
      <c r="Q863" s="1" t="str">
        <f aca="false">TEXT(B863,"mmm")</f>
        <v>May</v>
      </c>
      <c r="R863" s="1" t="str">
        <f aca="false">"Q"&amp;ROUNDUP(MONTH(B863)/3,0)</f>
        <v>Q2</v>
      </c>
    </row>
    <row r="864" customFormat="false" ht="15" hidden="false" customHeight="true" outlineLevel="0" collapsed="false">
      <c r="A864" s="1" t="n">
        <v>10863</v>
      </c>
      <c r="B864" s="14" t="n">
        <v>45424</v>
      </c>
      <c r="C864" s="1" t="n">
        <v>1656</v>
      </c>
      <c r="D864" s="1" t="s">
        <v>27</v>
      </c>
      <c r="E864" s="1" t="s">
        <v>28</v>
      </c>
      <c r="F864" s="1" t="n">
        <v>4</v>
      </c>
      <c r="G864" s="15" t="n">
        <v>422.83</v>
      </c>
      <c r="H864" s="16" t="n">
        <v>0.29</v>
      </c>
      <c r="I864" s="1" t="s">
        <v>33</v>
      </c>
      <c r="J864" s="1" t="n">
        <v>4</v>
      </c>
      <c r="K864" s="1" t="n">
        <v>3.8</v>
      </c>
      <c r="L864" s="15" t="n">
        <v>1200.84</v>
      </c>
      <c r="M864" s="15" t="n">
        <f aca="false">F864*G864</f>
        <v>1691.32</v>
      </c>
      <c r="N864" s="15" t="n">
        <f aca="false">M864-L864</f>
        <v>490.48</v>
      </c>
      <c r="O864" s="1" t="n">
        <f aca="false">YEAR(B864)</f>
        <v>2024</v>
      </c>
      <c r="P864" s="1" t="n">
        <f aca="false">MONTH(B864)</f>
        <v>5</v>
      </c>
      <c r="Q864" s="1" t="str">
        <f aca="false">TEXT(B864,"mmm")</f>
        <v>May</v>
      </c>
      <c r="R864" s="1" t="str">
        <f aca="false">"Q"&amp;ROUNDUP(MONTH(B864)/3,0)</f>
        <v>Q2</v>
      </c>
    </row>
    <row r="865" customFormat="false" ht="15" hidden="false" customHeight="true" outlineLevel="0" collapsed="false">
      <c r="A865" s="1" t="n">
        <v>10864</v>
      </c>
      <c r="B865" s="14" t="n">
        <v>45425</v>
      </c>
      <c r="C865" s="1" t="n">
        <v>1510</v>
      </c>
      <c r="D865" s="1" t="s">
        <v>37</v>
      </c>
      <c r="E865" s="1" t="s">
        <v>28</v>
      </c>
      <c r="F865" s="1" t="n">
        <v>3</v>
      </c>
      <c r="G865" s="15" t="n">
        <v>597.38</v>
      </c>
      <c r="H865" s="16" t="n">
        <v>0.17</v>
      </c>
      <c r="I865" s="1" t="s">
        <v>33</v>
      </c>
      <c r="J865" s="1" t="n">
        <v>6</v>
      </c>
      <c r="K865" s="1" t="n">
        <v>1.5</v>
      </c>
      <c r="L865" s="15" t="n">
        <v>1487.48</v>
      </c>
      <c r="M865" s="15" t="n">
        <f aca="false">F865*G865</f>
        <v>1792.14</v>
      </c>
      <c r="N865" s="15" t="n">
        <f aca="false">M865-L865</f>
        <v>304.66</v>
      </c>
      <c r="O865" s="1" t="n">
        <f aca="false">YEAR(B865)</f>
        <v>2024</v>
      </c>
      <c r="P865" s="1" t="n">
        <f aca="false">MONTH(B865)</f>
        <v>5</v>
      </c>
      <c r="Q865" s="1" t="str">
        <f aca="false">TEXT(B865,"mmm")</f>
        <v>May</v>
      </c>
      <c r="R865" s="1" t="str">
        <f aca="false">"Q"&amp;ROUNDUP(MONTH(B865)/3,0)</f>
        <v>Q2</v>
      </c>
    </row>
    <row r="866" customFormat="false" ht="15" hidden="false" customHeight="true" outlineLevel="0" collapsed="false">
      <c r="A866" s="1" t="n">
        <v>10865</v>
      </c>
      <c r="B866" s="14" t="n">
        <v>45426</v>
      </c>
      <c r="C866" s="1" t="n">
        <v>1326</v>
      </c>
      <c r="D866" s="1" t="s">
        <v>30</v>
      </c>
      <c r="E866" s="1" t="s">
        <v>28</v>
      </c>
      <c r="F866" s="1" t="n">
        <v>7</v>
      </c>
      <c r="G866" s="15" t="n">
        <v>23</v>
      </c>
      <c r="H866" s="16" t="n">
        <v>0.07</v>
      </c>
      <c r="I866" s="1" t="s">
        <v>31</v>
      </c>
      <c r="J866" s="1" t="n">
        <v>3</v>
      </c>
      <c r="K866" s="1" t="n">
        <v>3.8</v>
      </c>
      <c r="L866" s="15" t="n">
        <v>149.73</v>
      </c>
      <c r="M866" s="15" t="n">
        <f aca="false">F866*G866</f>
        <v>161</v>
      </c>
      <c r="N866" s="15" t="n">
        <f aca="false">M866-L866</f>
        <v>11.27</v>
      </c>
      <c r="O866" s="1" t="n">
        <f aca="false">YEAR(B866)</f>
        <v>2024</v>
      </c>
      <c r="P866" s="1" t="n">
        <f aca="false">MONTH(B866)</f>
        <v>5</v>
      </c>
      <c r="Q866" s="1" t="str">
        <f aca="false">TEXT(B866,"mmm")</f>
        <v>May</v>
      </c>
      <c r="R866" s="1" t="str">
        <f aca="false">"Q"&amp;ROUNDUP(MONTH(B866)/3,0)</f>
        <v>Q2</v>
      </c>
    </row>
    <row r="867" customFormat="false" ht="15" hidden="false" customHeight="true" outlineLevel="0" collapsed="false">
      <c r="A867" s="1" t="n">
        <v>10866</v>
      </c>
      <c r="B867" s="14" t="n">
        <v>45427</v>
      </c>
      <c r="C867" s="1" t="n">
        <v>1216</v>
      </c>
      <c r="D867" s="1" t="s">
        <v>37</v>
      </c>
      <c r="E867" s="1" t="s">
        <v>32</v>
      </c>
      <c r="F867" s="1" t="n">
        <v>2</v>
      </c>
      <c r="G867" s="15" t="n">
        <v>222.75</v>
      </c>
      <c r="H867" s="16" t="n">
        <v>0.03</v>
      </c>
      <c r="I867" s="1" t="s">
        <v>29</v>
      </c>
      <c r="J867" s="1" t="n">
        <v>5</v>
      </c>
      <c r="K867" s="1" t="n">
        <v>3.3</v>
      </c>
      <c r="L867" s="15" t="n">
        <v>432.14</v>
      </c>
      <c r="M867" s="15" t="n">
        <f aca="false">F867*G867</f>
        <v>445.5</v>
      </c>
      <c r="N867" s="15" t="n">
        <f aca="false">M867-L867</f>
        <v>13.36</v>
      </c>
      <c r="O867" s="1" t="n">
        <f aca="false">YEAR(B867)</f>
        <v>2024</v>
      </c>
      <c r="P867" s="1" t="n">
        <f aca="false">MONTH(B867)</f>
        <v>5</v>
      </c>
      <c r="Q867" s="1" t="str">
        <f aca="false">TEXT(B867,"mmm")</f>
        <v>May</v>
      </c>
      <c r="R867" s="1" t="str">
        <f aca="false">"Q"&amp;ROUNDUP(MONTH(B867)/3,0)</f>
        <v>Q2</v>
      </c>
    </row>
    <row r="868" customFormat="false" ht="15" hidden="false" customHeight="true" outlineLevel="0" collapsed="false">
      <c r="A868" s="1" t="n">
        <v>10867</v>
      </c>
      <c r="B868" s="14" t="n">
        <v>45428</v>
      </c>
      <c r="C868" s="1" t="n">
        <v>1300</v>
      </c>
      <c r="D868" s="1" t="s">
        <v>30</v>
      </c>
      <c r="E868" s="1" t="s">
        <v>36</v>
      </c>
      <c r="F868" s="1" t="n">
        <v>7</v>
      </c>
      <c r="G868" s="15" t="n">
        <v>179.4</v>
      </c>
      <c r="H868" s="16" t="n">
        <v>0.26</v>
      </c>
      <c r="I868" s="1" t="s">
        <v>33</v>
      </c>
      <c r="J868" s="1" t="n">
        <v>11</v>
      </c>
      <c r="K868" s="1" t="n">
        <v>2.2</v>
      </c>
      <c r="L868" s="15" t="n">
        <v>929.29</v>
      </c>
      <c r="M868" s="15" t="n">
        <f aca="false">F868*G868</f>
        <v>1255.8</v>
      </c>
      <c r="N868" s="15" t="n">
        <f aca="false">M868-L868</f>
        <v>326.51</v>
      </c>
      <c r="O868" s="1" t="n">
        <f aca="false">YEAR(B868)</f>
        <v>2024</v>
      </c>
      <c r="P868" s="1" t="n">
        <f aca="false">MONTH(B868)</f>
        <v>5</v>
      </c>
      <c r="Q868" s="1" t="str">
        <f aca="false">TEXT(B868,"mmm")</f>
        <v>May</v>
      </c>
      <c r="R868" s="1" t="str">
        <f aca="false">"Q"&amp;ROUNDUP(MONTH(B868)/3,0)</f>
        <v>Q2</v>
      </c>
    </row>
    <row r="869" customFormat="false" ht="15" hidden="false" customHeight="true" outlineLevel="0" collapsed="false">
      <c r="A869" s="1" t="n">
        <v>10868</v>
      </c>
      <c r="B869" s="14" t="n">
        <v>45429</v>
      </c>
      <c r="C869" s="1" t="n">
        <v>1131</v>
      </c>
      <c r="D869" s="1" t="s">
        <v>34</v>
      </c>
      <c r="E869" s="1" t="s">
        <v>36</v>
      </c>
      <c r="F869" s="1" t="n">
        <v>6</v>
      </c>
      <c r="G869" s="15" t="n">
        <v>168.45</v>
      </c>
      <c r="H869" s="16" t="n">
        <v>0.31</v>
      </c>
      <c r="I869" s="1" t="s">
        <v>31</v>
      </c>
      <c r="J869" s="1" t="n">
        <v>10</v>
      </c>
      <c r="K869" s="1" t="n">
        <v>2.2</v>
      </c>
      <c r="L869" s="15" t="n">
        <v>697.38</v>
      </c>
      <c r="M869" s="15" t="n">
        <f aca="false">F869*G869</f>
        <v>1010.7</v>
      </c>
      <c r="N869" s="15" t="n">
        <f aca="false">M869-L869</f>
        <v>313.32</v>
      </c>
      <c r="O869" s="1" t="n">
        <f aca="false">YEAR(B869)</f>
        <v>2024</v>
      </c>
      <c r="P869" s="1" t="n">
        <f aca="false">MONTH(B869)</f>
        <v>5</v>
      </c>
      <c r="Q869" s="1" t="str">
        <f aca="false">TEXT(B869,"mmm")</f>
        <v>May</v>
      </c>
      <c r="R869" s="1" t="str">
        <f aca="false">"Q"&amp;ROUNDUP(MONTH(B869)/3,0)</f>
        <v>Q2</v>
      </c>
    </row>
    <row r="870" customFormat="false" ht="15" hidden="false" customHeight="true" outlineLevel="0" collapsed="false">
      <c r="A870" s="1" t="n">
        <v>10869</v>
      </c>
      <c r="B870" s="14" t="n">
        <v>45430</v>
      </c>
      <c r="C870" s="1" t="n">
        <v>1803</v>
      </c>
      <c r="D870" s="1" t="s">
        <v>30</v>
      </c>
      <c r="E870" s="1" t="s">
        <v>28</v>
      </c>
      <c r="F870" s="1" t="n">
        <v>6</v>
      </c>
      <c r="G870" s="15" t="n">
        <v>145.18</v>
      </c>
      <c r="H870" s="16" t="n">
        <v>0.23</v>
      </c>
      <c r="I870" s="1" t="s">
        <v>29</v>
      </c>
      <c r="J870" s="1" t="n">
        <v>4</v>
      </c>
      <c r="K870" s="1" t="n">
        <v>4.3</v>
      </c>
      <c r="L870" s="15" t="n">
        <v>670.73</v>
      </c>
      <c r="M870" s="15" t="n">
        <f aca="false">F870*G870</f>
        <v>871.08</v>
      </c>
      <c r="N870" s="15" t="n">
        <f aca="false">M870-L870</f>
        <v>200.35</v>
      </c>
      <c r="O870" s="1" t="n">
        <f aca="false">YEAR(B870)</f>
        <v>2024</v>
      </c>
      <c r="P870" s="1" t="n">
        <f aca="false">MONTH(B870)</f>
        <v>5</v>
      </c>
      <c r="Q870" s="1" t="str">
        <f aca="false">TEXT(B870,"mmm")</f>
        <v>May</v>
      </c>
      <c r="R870" s="1" t="str">
        <f aca="false">"Q"&amp;ROUNDUP(MONTH(B870)/3,0)</f>
        <v>Q2</v>
      </c>
    </row>
    <row r="871" customFormat="false" ht="15" hidden="false" customHeight="true" outlineLevel="0" collapsed="false">
      <c r="A871" s="1" t="n">
        <v>10870</v>
      </c>
      <c r="B871" s="14" t="n">
        <v>45431</v>
      </c>
      <c r="C871" s="1" t="n">
        <v>1069</v>
      </c>
      <c r="D871" s="1" t="s">
        <v>27</v>
      </c>
      <c r="E871" s="1" t="s">
        <v>35</v>
      </c>
      <c r="F871" s="1" t="n">
        <v>5</v>
      </c>
      <c r="G871" s="15" t="n">
        <v>429.84</v>
      </c>
      <c r="H871" s="16" t="n">
        <v>0.05</v>
      </c>
      <c r="I871" s="1" t="s">
        <v>33</v>
      </c>
      <c r="J871" s="1" t="n">
        <v>7</v>
      </c>
      <c r="K871" s="1" t="n">
        <v>1.9</v>
      </c>
      <c r="L871" s="15" t="n">
        <v>2041.74</v>
      </c>
      <c r="M871" s="15" t="n">
        <f aca="false">F871*G871</f>
        <v>2149.2</v>
      </c>
      <c r="N871" s="15" t="n">
        <f aca="false">M871-L871</f>
        <v>107.46</v>
      </c>
      <c r="O871" s="1" t="n">
        <f aca="false">YEAR(B871)</f>
        <v>2024</v>
      </c>
      <c r="P871" s="1" t="n">
        <f aca="false">MONTH(B871)</f>
        <v>5</v>
      </c>
      <c r="Q871" s="1" t="str">
        <f aca="false">TEXT(B871,"mmm")</f>
        <v>May</v>
      </c>
      <c r="R871" s="1" t="str">
        <f aca="false">"Q"&amp;ROUNDUP(MONTH(B871)/3,0)</f>
        <v>Q2</v>
      </c>
    </row>
    <row r="872" customFormat="false" ht="15" hidden="false" customHeight="true" outlineLevel="0" collapsed="false">
      <c r="A872" s="1" t="n">
        <v>10871</v>
      </c>
      <c r="B872" s="14" t="n">
        <v>45432</v>
      </c>
      <c r="C872" s="1" t="n">
        <v>1251</v>
      </c>
      <c r="D872" s="1" t="s">
        <v>27</v>
      </c>
      <c r="E872" s="1" t="s">
        <v>36</v>
      </c>
      <c r="F872" s="1" t="n">
        <v>1</v>
      </c>
      <c r="G872" s="15" t="n">
        <v>64.58</v>
      </c>
      <c r="H872" s="16" t="n">
        <v>0.33</v>
      </c>
      <c r="I872" s="1" t="s">
        <v>33</v>
      </c>
      <c r="J872" s="1" t="n">
        <v>6</v>
      </c>
      <c r="K872" s="1" t="n">
        <v>3.1</v>
      </c>
      <c r="L872" s="15" t="n">
        <v>43.27</v>
      </c>
      <c r="M872" s="15" t="n">
        <f aca="false">F872*G872</f>
        <v>64.58</v>
      </c>
      <c r="N872" s="15" t="n">
        <f aca="false">M872-L872</f>
        <v>21.31</v>
      </c>
      <c r="O872" s="1" t="n">
        <f aca="false">YEAR(B872)</f>
        <v>2024</v>
      </c>
      <c r="P872" s="1" t="n">
        <f aca="false">MONTH(B872)</f>
        <v>5</v>
      </c>
      <c r="Q872" s="1" t="str">
        <f aca="false">TEXT(B872,"mmm")</f>
        <v>May</v>
      </c>
      <c r="R872" s="1" t="str">
        <f aca="false">"Q"&amp;ROUNDUP(MONTH(B872)/3,0)</f>
        <v>Q2</v>
      </c>
    </row>
    <row r="873" customFormat="false" ht="15" hidden="false" customHeight="true" outlineLevel="0" collapsed="false">
      <c r="A873" s="1" t="n">
        <v>10872</v>
      </c>
      <c r="B873" s="14" t="n">
        <v>45433</v>
      </c>
      <c r="C873" s="1" t="n">
        <v>1414</v>
      </c>
      <c r="D873" s="1" t="s">
        <v>34</v>
      </c>
      <c r="E873" s="1" t="s">
        <v>32</v>
      </c>
      <c r="F873" s="1" t="n">
        <v>1</v>
      </c>
      <c r="G873" s="15" t="n">
        <v>448.84</v>
      </c>
      <c r="H873" s="16" t="n">
        <v>0.35</v>
      </c>
      <c r="I873" s="1" t="s">
        <v>31</v>
      </c>
      <c r="J873" s="1" t="n">
        <v>7</v>
      </c>
      <c r="K873" s="1" t="n">
        <v>3.7</v>
      </c>
      <c r="L873" s="15" t="n">
        <v>291.75</v>
      </c>
      <c r="M873" s="15" t="n">
        <f aca="false">F873*G873</f>
        <v>448.84</v>
      </c>
      <c r="N873" s="15" t="n">
        <f aca="false">M873-L873</f>
        <v>157.09</v>
      </c>
      <c r="O873" s="1" t="n">
        <f aca="false">YEAR(B873)</f>
        <v>2024</v>
      </c>
      <c r="P873" s="1" t="n">
        <f aca="false">MONTH(B873)</f>
        <v>5</v>
      </c>
      <c r="Q873" s="1" t="str">
        <f aca="false">TEXT(B873,"mmm")</f>
        <v>May</v>
      </c>
      <c r="R873" s="1" t="str">
        <f aca="false">"Q"&amp;ROUNDUP(MONTH(B873)/3,0)</f>
        <v>Q2</v>
      </c>
    </row>
    <row r="874" customFormat="false" ht="15" hidden="false" customHeight="true" outlineLevel="0" collapsed="false">
      <c r="A874" s="1" t="n">
        <v>10873</v>
      </c>
      <c r="B874" s="14" t="n">
        <v>45434</v>
      </c>
      <c r="C874" s="1" t="n">
        <v>1786</v>
      </c>
      <c r="D874" s="1" t="s">
        <v>30</v>
      </c>
      <c r="E874" s="1" t="s">
        <v>35</v>
      </c>
      <c r="F874" s="1" t="n">
        <v>4</v>
      </c>
      <c r="G874" s="15" t="n">
        <v>420.65</v>
      </c>
      <c r="H874" s="16" t="n">
        <v>0.15</v>
      </c>
      <c r="I874" s="1" t="s">
        <v>33</v>
      </c>
      <c r="J874" s="1" t="n">
        <v>6</v>
      </c>
      <c r="K874" s="1" t="n">
        <v>1.5</v>
      </c>
      <c r="L874" s="15" t="n">
        <v>1430.21</v>
      </c>
      <c r="M874" s="15" t="n">
        <f aca="false">F874*G874</f>
        <v>1682.6</v>
      </c>
      <c r="N874" s="15" t="n">
        <f aca="false">M874-L874</f>
        <v>252.39</v>
      </c>
      <c r="O874" s="1" t="n">
        <f aca="false">YEAR(B874)</f>
        <v>2024</v>
      </c>
      <c r="P874" s="1" t="n">
        <f aca="false">MONTH(B874)</f>
        <v>5</v>
      </c>
      <c r="Q874" s="1" t="str">
        <f aca="false">TEXT(B874,"mmm")</f>
        <v>May</v>
      </c>
      <c r="R874" s="1" t="str">
        <f aca="false">"Q"&amp;ROUNDUP(MONTH(B874)/3,0)</f>
        <v>Q2</v>
      </c>
    </row>
    <row r="875" customFormat="false" ht="15" hidden="false" customHeight="true" outlineLevel="0" collapsed="false">
      <c r="A875" s="1" t="n">
        <v>10874</v>
      </c>
      <c r="B875" s="14" t="n">
        <v>45435</v>
      </c>
      <c r="C875" s="1" t="n">
        <v>1444</v>
      </c>
      <c r="D875" s="1" t="s">
        <v>34</v>
      </c>
      <c r="E875" s="1" t="s">
        <v>35</v>
      </c>
      <c r="F875" s="1" t="n">
        <v>1</v>
      </c>
      <c r="G875" s="15" t="n">
        <v>161.72</v>
      </c>
      <c r="H875" s="16" t="n">
        <v>0.21</v>
      </c>
      <c r="I875" s="1" t="s">
        <v>31</v>
      </c>
      <c r="J875" s="1" t="n">
        <v>2</v>
      </c>
      <c r="K875" s="1" t="n">
        <v>4.7</v>
      </c>
      <c r="L875" s="15" t="n">
        <v>127.76</v>
      </c>
      <c r="M875" s="15" t="n">
        <f aca="false">F875*G875</f>
        <v>161.72</v>
      </c>
      <c r="N875" s="15" t="n">
        <f aca="false">M875-L875</f>
        <v>33.96</v>
      </c>
      <c r="O875" s="1" t="n">
        <f aca="false">YEAR(B875)</f>
        <v>2024</v>
      </c>
      <c r="P875" s="1" t="n">
        <f aca="false">MONTH(B875)</f>
        <v>5</v>
      </c>
      <c r="Q875" s="1" t="str">
        <f aca="false">TEXT(B875,"mmm")</f>
        <v>May</v>
      </c>
      <c r="R875" s="1" t="str">
        <f aca="false">"Q"&amp;ROUNDUP(MONTH(B875)/3,0)</f>
        <v>Q2</v>
      </c>
    </row>
    <row r="876" customFormat="false" ht="15" hidden="false" customHeight="true" outlineLevel="0" collapsed="false">
      <c r="A876" s="1" t="n">
        <v>10875</v>
      </c>
      <c r="B876" s="14" t="n">
        <v>45436</v>
      </c>
      <c r="C876" s="1" t="n">
        <v>1875</v>
      </c>
      <c r="D876" s="1" t="s">
        <v>27</v>
      </c>
      <c r="E876" s="1" t="s">
        <v>35</v>
      </c>
      <c r="F876" s="1" t="n">
        <v>7</v>
      </c>
      <c r="G876" s="15" t="n">
        <v>162.91</v>
      </c>
      <c r="H876" s="16" t="n">
        <v>0.27</v>
      </c>
      <c r="I876" s="1" t="s">
        <v>31</v>
      </c>
      <c r="J876" s="1" t="n">
        <v>7</v>
      </c>
      <c r="K876" s="1" t="n">
        <v>2</v>
      </c>
      <c r="L876" s="15" t="n">
        <v>832.47</v>
      </c>
      <c r="M876" s="15" t="n">
        <f aca="false">F876*G876</f>
        <v>1140.37</v>
      </c>
      <c r="N876" s="15" t="n">
        <f aca="false">M876-L876</f>
        <v>307.9</v>
      </c>
      <c r="O876" s="1" t="n">
        <f aca="false">YEAR(B876)</f>
        <v>2024</v>
      </c>
      <c r="P876" s="1" t="n">
        <f aca="false">MONTH(B876)</f>
        <v>5</v>
      </c>
      <c r="Q876" s="1" t="str">
        <f aca="false">TEXT(B876,"mmm")</f>
        <v>May</v>
      </c>
      <c r="R876" s="1" t="str">
        <f aca="false">"Q"&amp;ROUNDUP(MONTH(B876)/3,0)</f>
        <v>Q2</v>
      </c>
    </row>
    <row r="877" customFormat="false" ht="15" hidden="false" customHeight="true" outlineLevel="0" collapsed="false">
      <c r="A877" s="1" t="n">
        <v>10876</v>
      </c>
      <c r="B877" s="14" t="n">
        <v>45437</v>
      </c>
      <c r="C877" s="1" t="n">
        <v>1181</v>
      </c>
      <c r="D877" s="1" t="s">
        <v>27</v>
      </c>
      <c r="E877" s="1" t="s">
        <v>35</v>
      </c>
      <c r="F877" s="1" t="n">
        <v>7</v>
      </c>
      <c r="G877" s="15" t="n">
        <v>382.88</v>
      </c>
      <c r="H877" s="16" t="n">
        <v>0.26</v>
      </c>
      <c r="I877" s="1" t="s">
        <v>31</v>
      </c>
      <c r="J877" s="1" t="n">
        <v>8</v>
      </c>
      <c r="K877" s="1" t="n">
        <v>2.3</v>
      </c>
      <c r="L877" s="15" t="n">
        <v>1983.32</v>
      </c>
      <c r="M877" s="15" t="n">
        <f aca="false">F877*G877</f>
        <v>2680.16</v>
      </c>
      <c r="N877" s="15" t="n">
        <f aca="false">M877-L877</f>
        <v>696.84</v>
      </c>
      <c r="O877" s="1" t="n">
        <f aca="false">YEAR(B877)</f>
        <v>2024</v>
      </c>
      <c r="P877" s="1" t="n">
        <f aca="false">MONTH(B877)</f>
        <v>5</v>
      </c>
      <c r="Q877" s="1" t="str">
        <f aca="false">TEXT(B877,"mmm")</f>
        <v>May</v>
      </c>
      <c r="R877" s="1" t="str">
        <f aca="false">"Q"&amp;ROUNDUP(MONTH(B877)/3,0)</f>
        <v>Q2</v>
      </c>
    </row>
    <row r="878" customFormat="false" ht="15" hidden="false" customHeight="true" outlineLevel="0" collapsed="false">
      <c r="A878" s="1" t="n">
        <v>10877</v>
      </c>
      <c r="B878" s="14" t="n">
        <v>45438</v>
      </c>
      <c r="C878" s="1" t="n">
        <v>1166</v>
      </c>
      <c r="D878" s="1" t="s">
        <v>30</v>
      </c>
      <c r="E878" s="1" t="s">
        <v>36</v>
      </c>
      <c r="F878" s="1" t="n">
        <v>5</v>
      </c>
      <c r="G878" s="15" t="n">
        <v>460.87</v>
      </c>
      <c r="H878" s="16" t="n">
        <v>0.34</v>
      </c>
      <c r="I878" s="1" t="s">
        <v>33</v>
      </c>
      <c r="J878" s="1" t="n">
        <v>7</v>
      </c>
      <c r="K878" s="1" t="n">
        <v>3.7</v>
      </c>
      <c r="L878" s="15" t="n">
        <v>1520.87</v>
      </c>
      <c r="M878" s="15" t="n">
        <f aca="false">F878*G878</f>
        <v>2304.35</v>
      </c>
      <c r="N878" s="15" t="n">
        <f aca="false">M878-L878</f>
        <v>783.48</v>
      </c>
      <c r="O878" s="1" t="n">
        <f aca="false">YEAR(B878)</f>
        <v>2024</v>
      </c>
      <c r="P878" s="1" t="n">
        <f aca="false">MONTH(B878)</f>
        <v>5</v>
      </c>
      <c r="Q878" s="1" t="str">
        <f aca="false">TEXT(B878,"mmm")</f>
        <v>May</v>
      </c>
      <c r="R878" s="1" t="str">
        <f aca="false">"Q"&amp;ROUNDUP(MONTH(B878)/3,0)</f>
        <v>Q2</v>
      </c>
    </row>
    <row r="879" customFormat="false" ht="15" hidden="false" customHeight="true" outlineLevel="0" collapsed="false">
      <c r="A879" s="1" t="n">
        <v>10878</v>
      </c>
      <c r="B879" s="14" t="n">
        <v>45439</v>
      </c>
      <c r="C879" s="1" t="n">
        <v>1090</v>
      </c>
      <c r="D879" s="1" t="s">
        <v>37</v>
      </c>
      <c r="E879" s="1" t="s">
        <v>28</v>
      </c>
      <c r="F879" s="1" t="n">
        <v>6</v>
      </c>
      <c r="G879" s="15" t="n">
        <v>527.74</v>
      </c>
      <c r="H879" s="16" t="n">
        <v>0.04</v>
      </c>
      <c r="I879" s="1" t="s">
        <v>31</v>
      </c>
      <c r="J879" s="1" t="n">
        <v>4</v>
      </c>
      <c r="K879" s="1" t="n">
        <v>1.3</v>
      </c>
      <c r="L879" s="15" t="n">
        <v>3039.78</v>
      </c>
      <c r="M879" s="15" t="n">
        <f aca="false">F879*G879</f>
        <v>3166.44</v>
      </c>
      <c r="N879" s="15" t="n">
        <f aca="false">M879-L879</f>
        <v>126.66</v>
      </c>
      <c r="O879" s="1" t="n">
        <f aca="false">YEAR(B879)</f>
        <v>2024</v>
      </c>
      <c r="P879" s="1" t="n">
        <f aca="false">MONTH(B879)</f>
        <v>5</v>
      </c>
      <c r="Q879" s="1" t="str">
        <f aca="false">TEXT(B879,"mmm")</f>
        <v>May</v>
      </c>
      <c r="R879" s="1" t="str">
        <f aca="false">"Q"&amp;ROUNDUP(MONTH(B879)/3,0)</f>
        <v>Q2</v>
      </c>
    </row>
    <row r="880" customFormat="false" ht="15" hidden="false" customHeight="true" outlineLevel="0" collapsed="false">
      <c r="A880" s="1" t="n">
        <v>10879</v>
      </c>
      <c r="B880" s="14" t="n">
        <v>45440</v>
      </c>
      <c r="C880" s="1" t="n">
        <v>1713</v>
      </c>
      <c r="D880" s="1" t="s">
        <v>37</v>
      </c>
      <c r="E880" s="1" t="s">
        <v>35</v>
      </c>
      <c r="F880" s="1" t="n">
        <v>2</v>
      </c>
      <c r="G880" s="15" t="n">
        <v>513.5</v>
      </c>
      <c r="H880" s="16" t="n">
        <v>0.2</v>
      </c>
      <c r="I880" s="1" t="s">
        <v>29</v>
      </c>
      <c r="J880" s="1" t="n">
        <v>4</v>
      </c>
      <c r="K880" s="1" t="n">
        <v>3.5</v>
      </c>
      <c r="L880" s="15" t="n">
        <v>821.6</v>
      </c>
      <c r="M880" s="15" t="n">
        <f aca="false">F880*G880</f>
        <v>1027</v>
      </c>
      <c r="N880" s="15" t="n">
        <f aca="false">M880-L880</f>
        <v>205.4</v>
      </c>
      <c r="O880" s="1" t="n">
        <f aca="false">YEAR(B880)</f>
        <v>2024</v>
      </c>
      <c r="P880" s="1" t="n">
        <f aca="false">MONTH(B880)</f>
        <v>5</v>
      </c>
      <c r="Q880" s="1" t="str">
        <f aca="false">TEXT(B880,"mmm")</f>
        <v>May</v>
      </c>
      <c r="R880" s="1" t="str">
        <f aca="false">"Q"&amp;ROUNDUP(MONTH(B880)/3,0)</f>
        <v>Q2</v>
      </c>
    </row>
    <row r="881" customFormat="false" ht="15" hidden="false" customHeight="true" outlineLevel="0" collapsed="false">
      <c r="A881" s="1" t="n">
        <v>10880</v>
      </c>
      <c r="B881" s="14" t="n">
        <v>45441</v>
      </c>
      <c r="C881" s="1" t="n">
        <v>1857</v>
      </c>
      <c r="D881" s="1" t="s">
        <v>30</v>
      </c>
      <c r="E881" s="1" t="s">
        <v>32</v>
      </c>
      <c r="F881" s="1" t="n">
        <v>2</v>
      </c>
      <c r="G881" s="15" t="n">
        <v>579.46</v>
      </c>
      <c r="H881" s="16" t="n">
        <v>0.24</v>
      </c>
      <c r="I881" s="1" t="s">
        <v>31</v>
      </c>
      <c r="J881" s="1" t="n">
        <v>5</v>
      </c>
      <c r="K881" s="1" t="n">
        <v>4.7</v>
      </c>
      <c r="L881" s="15" t="n">
        <v>880.78</v>
      </c>
      <c r="M881" s="15" t="n">
        <f aca="false">F881*G881</f>
        <v>1158.92</v>
      </c>
      <c r="N881" s="15" t="n">
        <f aca="false">M881-L881</f>
        <v>278.14</v>
      </c>
      <c r="O881" s="1" t="n">
        <f aca="false">YEAR(B881)</f>
        <v>2024</v>
      </c>
      <c r="P881" s="1" t="n">
        <f aca="false">MONTH(B881)</f>
        <v>5</v>
      </c>
      <c r="Q881" s="1" t="str">
        <f aca="false">TEXT(B881,"mmm")</f>
        <v>May</v>
      </c>
      <c r="R881" s="1" t="str">
        <f aca="false">"Q"&amp;ROUNDUP(MONTH(B881)/3,0)</f>
        <v>Q2</v>
      </c>
    </row>
    <row r="882" customFormat="false" ht="15" hidden="false" customHeight="true" outlineLevel="0" collapsed="false">
      <c r="A882" s="1" t="n">
        <v>10881</v>
      </c>
      <c r="B882" s="14" t="n">
        <v>45442</v>
      </c>
      <c r="C882" s="1" t="n">
        <v>1530</v>
      </c>
      <c r="D882" s="1" t="s">
        <v>34</v>
      </c>
      <c r="E882" s="1" t="s">
        <v>32</v>
      </c>
      <c r="F882" s="1" t="n">
        <v>6</v>
      </c>
      <c r="G882" s="15" t="n">
        <v>355.11</v>
      </c>
      <c r="H882" s="16" t="n">
        <v>0.31</v>
      </c>
      <c r="I882" s="1" t="s">
        <v>31</v>
      </c>
      <c r="J882" s="1" t="n">
        <v>9</v>
      </c>
      <c r="K882" s="1" t="n">
        <v>2</v>
      </c>
      <c r="L882" s="15" t="n">
        <v>1470.16</v>
      </c>
      <c r="M882" s="15" t="n">
        <f aca="false">F882*G882</f>
        <v>2130.66</v>
      </c>
      <c r="N882" s="15" t="n">
        <f aca="false">M882-L882</f>
        <v>660.5</v>
      </c>
      <c r="O882" s="1" t="n">
        <f aca="false">YEAR(B882)</f>
        <v>2024</v>
      </c>
      <c r="P882" s="1" t="n">
        <f aca="false">MONTH(B882)</f>
        <v>5</v>
      </c>
      <c r="Q882" s="1" t="str">
        <f aca="false">TEXT(B882,"mmm")</f>
        <v>May</v>
      </c>
      <c r="R882" s="1" t="str">
        <f aca="false">"Q"&amp;ROUNDUP(MONTH(B882)/3,0)</f>
        <v>Q2</v>
      </c>
    </row>
    <row r="883" customFormat="false" ht="15" hidden="false" customHeight="true" outlineLevel="0" collapsed="false">
      <c r="A883" s="1" t="n">
        <v>10882</v>
      </c>
      <c r="B883" s="14" t="n">
        <v>45443</v>
      </c>
      <c r="C883" s="1" t="n">
        <v>1038</v>
      </c>
      <c r="D883" s="1" t="s">
        <v>30</v>
      </c>
      <c r="E883" s="1" t="s">
        <v>28</v>
      </c>
      <c r="F883" s="1" t="n">
        <v>3</v>
      </c>
      <c r="G883" s="15" t="n">
        <v>546.56</v>
      </c>
      <c r="H883" s="16" t="n">
        <v>0.31</v>
      </c>
      <c r="I883" s="1" t="s">
        <v>33</v>
      </c>
      <c r="J883" s="1" t="n">
        <v>5</v>
      </c>
      <c r="K883" s="1" t="n">
        <v>2.4</v>
      </c>
      <c r="L883" s="15" t="n">
        <v>1131.38</v>
      </c>
      <c r="M883" s="15" t="n">
        <f aca="false">F883*G883</f>
        <v>1639.68</v>
      </c>
      <c r="N883" s="15" t="n">
        <f aca="false">M883-L883</f>
        <v>508.3</v>
      </c>
      <c r="O883" s="1" t="n">
        <f aca="false">YEAR(B883)</f>
        <v>2024</v>
      </c>
      <c r="P883" s="1" t="n">
        <f aca="false">MONTH(B883)</f>
        <v>5</v>
      </c>
      <c r="Q883" s="1" t="str">
        <f aca="false">TEXT(B883,"mmm")</f>
        <v>May</v>
      </c>
      <c r="R883" s="1" t="str">
        <f aca="false">"Q"&amp;ROUNDUP(MONTH(B883)/3,0)</f>
        <v>Q2</v>
      </c>
    </row>
    <row r="884" customFormat="false" ht="15" hidden="false" customHeight="true" outlineLevel="0" collapsed="false">
      <c r="A884" s="1" t="n">
        <v>10883</v>
      </c>
      <c r="B884" s="14" t="n">
        <v>45444</v>
      </c>
      <c r="C884" s="1" t="n">
        <v>1125</v>
      </c>
      <c r="D884" s="1" t="s">
        <v>37</v>
      </c>
      <c r="E884" s="1" t="s">
        <v>36</v>
      </c>
      <c r="F884" s="1" t="n">
        <v>6</v>
      </c>
      <c r="G884" s="15" t="n">
        <v>487.98</v>
      </c>
      <c r="H884" s="16" t="n">
        <v>0.34</v>
      </c>
      <c r="I884" s="1" t="s">
        <v>33</v>
      </c>
      <c r="J884" s="1" t="n">
        <v>2</v>
      </c>
      <c r="K884" s="1" t="n">
        <v>1.9</v>
      </c>
      <c r="L884" s="15" t="n">
        <v>1932.4</v>
      </c>
      <c r="M884" s="15" t="n">
        <f aca="false">F884*G884</f>
        <v>2927.88</v>
      </c>
      <c r="N884" s="15" t="n">
        <f aca="false">M884-L884</f>
        <v>995.48</v>
      </c>
      <c r="O884" s="1" t="n">
        <f aca="false">YEAR(B884)</f>
        <v>2024</v>
      </c>
      <c r="P884" s="1" t="n">
        <f aca="false">MONTH(B884)</f>
        <v>6</v>
      </c>
      <c r="Q884" s="1" t="str">
        <f aca="false">TEXT(B884,"mmm")</f>
        <v>Jun</v>
      </c>
      <c r="R884" s="1" t="str">
        <f aca="false">"Q"&amp;ROUNDUP(MONTH(B884)/3,0)</f>
        <v>Q2</v>
      </c>
    </row>
    <row r="885" customFormat="false" ht="15" hidden="false" customHeight="true" outlineLevel="0" collapsed="false">
      <c r="A885" s="1" t="n">
        <v>10884</v>
      </c>
      <c r="B885" s="14" t="n">
        <v>45445</v>
      </c>
      <c r="C885" s="1" t="n">
        <v>1450</v>
      </c>
      <c r="D885" s="1" t="s">
        <v>37</v>
      </c>
      <c r="E885" s="1" t="s">
        <v>28</v>
      </c>
      <c r="F885" s="1" t="n">
        <v>2</v>
      </c>
      <c r="G885" s="15" t="n">
        <v>538.38</v>
      </c>
      <c r="H885" s="16" t="n">
        <v>0.18</v>
      </c>
      <c r="I885" s="1" t="s">
        <v>31</v>
      </c>
      <c r="J885" s="1" t="n">
        <v>5</v>
      </c>
      <c r="K885" s="1" t="n">
        <v>4.3</v>
      </c>
      <c r="L885" s="15" t="n">
        <v>882.94</v>
      </c>
      <c r="M885" s="15" t="n">
        <f aca="false">F885*G885</f>
        <v>1076.76</v>
      </c>
      <c r="N885" s="15" t="n">
        <f aca="false">M885-L885</f>
        <v>193.82</v>
      </c>
      <c r="O885" s="1" t="n">
        <f aca="false">YEAR(B885)</f>
        <v>2024</v>
      </c>
      <c r="P885" s="1" t="n">
        <f aca="false">MONTH(B885)</f>
        <v>6</v>
      </c>
      <c r="Q885" s="1" t="str">
        <f aca="false">TEXT(B885,"mmm")</f>
        <v>Jun</v>
      </c>
      <c r="R885" s="1" t="str">
        <f aca="false">"Q"&amp;ROUNDUP(MONTH(B885)/3,0)</f>
        <v>Q2</v>
      </c>
    </row>
    <row r="886" customFormat="false" ht="15" hidden="false" customHeight="true" outlineLevel="0" collapsed="false">
      <c r="A886" s="1" t="n">
        <v>10885</v>
      </c>
      <c r="B886" s="14" t="n">
        <v>45446</v>
      </c>
      <c r="C886" s="1" t="n">
        <v>1172</v>
      </c>
      <c r="D886" s="1" t="s">
        <v>30</v>
      </c>
      <c r="E886" s="1" t="s">
        <v>35</v>
      </c>
      <c r="F886" s="1" t="n">
        <v>4</v>
      </c>
      <c r="G886" s="15" t="n">
        <v>21.8</v>
      </c>
      <c r="H886" s="16" t="n">
        <v>0.29</v>
      </c>
      <c r="I886" s="1" t="s">
        <v>31</v>
      </c>
      <c r="J886" s="1" t="n">
        <v>3</v>
      </c>
      <c r="K886" s="1" t="n">
        <v>1.7</v>
      </c>
      <c r="L886" s="15" t="n">
        <v>61.91</v>
      </c>
      <c r="M886" s="15" t="n">
        <f aca="false">F886*G886</f>
        <v>87.2</v>
      </c>
      <c r="N886" s="15" t="n">
        <f aca="false">M886-L886</f>
        <v>25.29</v>
      </c>
      <c r="O886" s="1" t="n">
        <f aca="false">YEAR(B886)</f>
        <v>2024</v>
      </c>
      <c r="P886" s="1" t="n">
        <f aca="false">MONTH(B886)</f>
        <v>6</v>
      </c>
      <c r="Q886" s="1" t="str">
        <f aca="false">TEXT(B886,"mmm")</f>
        <v>Jun</v>
      </c>
      <c r="R886" s="1" t="str">
        <f aca="false">"Q"&amp;ROUNDUP(MONTH(B886)/3,0)</f>
        <v>Q2</v>
      </c>
    </row>
    <row r="887" customFormat="false" ht="15" hidden="false" customHeight="true" outlineLevel="0" collapsed="false">
      <c r="A887" s="1" t="n">
        <v>10886</v>
      </c>
      <c r="B887" s="14" t="n">
        <v>45447</v>
      </c>
      <c r="C887" s="1" t="n">
        <v>1652</v>
      </c>
      <c r="D887" s="1" t="s">
        <v>27</v>
      </c>
      <c r="E887" s="1" t="s">
        <v>36</v>
      </c>
      <c r="F887" s="1" t="n">
        <v>5</v>
      </c>
      <c r="G887" s="15" t="n">
        <v>580.05</v>
      </c>
      <c r="H887" s="16" t="n">
        <v>0.15</v>
      </c>
      <c r="I887" s="1" t="s">
        <v>31</v>
      </c>
      <c r="J887" s="1" t="n">
        <v>10</v>
      </c>
      <c r="K887" s="1" t="n">
        <v>2.4</v>
      </c>
      <c r="L887" s="15" t="n">
        <v>2465.21</v>
      </c>
      <c r="M887" s="15" t="n">
        <f aca="false">F887*G887</f>
        <v>2900.25</v>
      </c>
      <c r="N887" s="15" t="n">
        <f aca="false">M887-L887</f>
        <v>435.04</v>
      </c>
      <c r="O887" s="1" t="n">
        <f aca="false">YEAR(B887)</f>
        <v>2024</v>
      </c>
      <c r="P887" s="1" t="n">
        <f aca="false">MONTH(B887)</f>
        <v>6</v>
      </c>
      <c r="Q887" s="1" t="str">
        <f aca="false">TEXT(B887,"mmm")</f>
        <v>Jun</v>
      </c>
      <c r="R887" s="1" t="str">
        <f aca="false">"Q"&amp;ROUNDUP(MONTH(B887)/3,0)</f>
        <v>Q2</v>
      </c>
    </row>
    <row r="888" customFormat="false" ht="15" hidden="false" customHeight="true" outlineLevel="0" collapsed="false">
      <c r="A888" s="1" t="n">
        <v>10887</v>
      </c>
      <c r="B888" s="14" t="n">
        <v>45448</v>
      </c>
      <c r="C888" s="1" t="n">
        <v>1753</v>
      </c>
      <c r="D888" s="1" t="s">
        <v>34</v>
      </c>
      <c r="E888" s="1" t="s">
        <v>36</v>
      </c>
      <c r="F888" s="1" t="n">
        <v>6</v>
      </c>
      <c r="G888" s="15" t="n">
        <v>292.02</v>
      </c>
      <c r="H888" s="16" t="n">
        <v>0.15</v>
      </c>
      <c r="I888" s="1" t="s">
        <v>33</v>
      </c>
      <c r="J888" s="1" t="n">
        <v>8</v>
      </c>
      <c r="K888" s="1" t="n">
        <v>3.4</v>
      </c>
      <c r="L888" s="15" t="n">
        <v>1489.3</v>
      </c>
      <c r="M888" s="15" t="n">
        <f aca="false">F888*G888</f>
        <v>1752.12</v>
      </c>
      <c r="N888" s="15" t="n">
        <f aca="false">M888-L888</f>
        <v>262.82</v>
      </c>
      <c r="O888" s="1" t="n">
        <f aca="false">YEAR(B888)</f>
        <v>2024</v>
      </c>
      <c r="P888" s="1" t="n">
        <f aca="false">MONTH(B888)</f>
        <v>6</v>
      </c>
      <c r="Q888" s="1" t="str">
        <f aca="false">TEXT(B888,"mmm")</f>
        <v>Jun</v>
      </c>
      <c r="R888" s="1" t="str">
        <f aca="false">"Q"&amp;ROUNDUP(MONTH(B888)/3,0)</f>
        <v>Q2</v>
      </c>
    </row>
    <row r="889" customFormat="false" ht="15" hidden="false" customHeight="true" outlineLevel="0" collapsed="false">
      <c r="A889" s="1" t="n">
        <v>10888</v>
      </c>
      <c r="B889" s="14" t="n">
        <v>45449</v>
      </c>
      <c r="C889" s="1" t="n">
        <v>1219</v>
      </c>
      <c r="D889" s="1" t="s">
        <v>30</v>
      </c>
      <c r="E889" s="1" t="s">
        <v>35</v>
      </c>
      <c r="F889" s="1" t="n">
        <v>3</v>
      </c>
      <c r="G889" s="15" t="n">
        <v>481.94</v>
      </c>
      <c r="H889" s="16" t="n">
        <v>0.09</v>
      </c>
      <c r="I889" s="1" t="s">
        <v>31</v>
      </c>
      <c r="J889" s="1" t="n">
        <v>10</v>
      </c>
      <c r="K889" s="1" t="n">
        <v>2.6</v>
      </c>
      <c r="L889" s="15" t="n">
        <v>1315.7</v>
      </c>
      <c r="M889" s="15" t="n">
        <f aca="false">F889*G889</f>
        <v>1445.82</v>
      </c>
      <c r="N889" s="15" t="n">
        <f aca="false">M889-L889</f>
        <v>130.12</v>
      </c>
      <c r="O889" s="1" t="n">
        <f aca="false">YEAR(B889)</f>
        <v>2024</v>
      </c>
      <c r="P889" s="1" t="n">
        <f aca="false">MONTH(B889)</f>
        <v>6</v>
      </c>
      <c r="Q889" s="1" t="str">
        <f aca="false">TEXT(B889,"mmm")</f>
        <v>Jun</v>
      </c>
      <c r="R889" s="1" t="str">
        <f aca="false">"Q"&amp;ROUNDUP(MONTH(B889)/3,0)</f>
        <v>Q2</v>
      </c>
    </row>
    <row r="890" customFormat="false" ht="15" hidden="false" customHeight="true" outlineLevel="0" collapsed="false">
      <c r="A890" s="1" t="n">
        <v>10889</v>
      </c>
      <c r="B890" s="14" t="n">
        <v>45450</v>
      </c>
      <c r="C890" s="1" t="n">
        <v>1637</v>
      </c>
      <c r="D890" s="1" t="s">
        <v>37</v>
      </c>
      <c r="E890" s="1" t="s">
        <v>32</v>
      </c>
      <c r="F890" s="1" t="n">
        <v>4</v>
      </c>
      <c r="G890" s="15" t="n">
        <v>89.41</v>
      </c>
      <c r="H890" s="16" t="n">
        <v>0.29</v>
      </c>
      <c r="I890" s="1" t="s">
        <v>33</v>
      </c>
      <c r="J890" s="1" t="n">
        <v>10</v>
      </c>
      <c r="K890" s="1" t="n">
        <v>1.3</v>
      </c>
      <c r="L890" s="15" t="n">
        <v>253.92</v>
      </c>
      <c r="M890" s="15" t="n">
        <f aca="false">F890*G890</f>
        <v>357.64</v>
      </c>
      <c r="N890" s="15" t="n">
        <f aca="false">M890-L890</f>
        <v>103.72</v>
      </c>
      <c r="O890" s="1" t="n">
        <f aca="false">YEAR(B890)</f>
        <v>2024</v>
      </c>
      <c r="P890" s="1" t="n">
        <f aca="false">MONTH(B890)</f>
        <v>6</v>
      </c>
      <c r="Q890" s="1" t="str">
        <f aca="false">TEXT(B890,"mmm")</f>
        <v>Jun</v>
      </c>
      <c r="R890" s="1" t="str">
        <f aca="false">"Q"&amp;ROUNDUP(MONTH(B890)/3,0)</f>
        <v>Q2</v>
      </c>
    </row>
    <row r="891" customFormat="false" ht="15" hidden="false" customHeight="true" outlineLevel="0" collapsed="false">
      <c r="A891" s="1" t="n">
        <v>10890</v>
      </c>
      <c r="B891" s="14" t="n">
        <v>45451</v>
      </c>
      <c r="C891" s="1" t="n">
        <v>1057</v>
      </c>
      <c r="D891" s="1" t="s">
        <v>37</v>
      </c>
      <c r="E891" s="1" t="s">
        <v>35</v>
      </c>
      <c r="F891" s="1" t="n">
        <v>6</v>
      </c>
      <c r="G891" s="15" t="n">
        <v>246.63</v>
      </c>
      <c r="H891" s="16" t="n">
        <v>0.35</v>
      </c>
      <c r="I891" s="1" t="s">
        <v>33</v>
      </c>
      <c r="J891" s="1" t="n">
        <v>2</v>
      </c>
      <c r="K891" s="1" t="n">
        <v>4.8</v>
      </c>
      <c r="L891" s="15" t="n">
        <v>961.86</v>
      </c>
      <c r="M891" s="15" t="n">
        <f aca="false">F891*G891</f>
        <v>1479.78</v>
      </c>
      <c r="N891" s="15" t="n">
        <f aca="false">M891-L891</f>
        <v>517.92</v>
      </c>
      <c r="O891" s="1" t="n">
        <f aca="false">YEAR(B891)</f>
        <v>2024</v>
      </c>
      <c r="P891" s="1" t="n">
        <f aca="false">MONTH(B891)</f>
        <v>6</v>
      </c>
      <c r="Q891" s="1" t="str">
        <f aca="false">TEXT(B891,"mmm")</f>
        <v>Jun</v>
      </c>
      <c r="R891" s="1" t="str">
        <f aca="false">"Q"&amp;ROUNDUP(MONTH(B891)/3,0)</f>
        <v>Q2</v>
      </c>
    </row>
    <row r="892" customFormat="false" ht="15" hidden="false" customHeight="true" outlineLevel="0" collapsed="false">
      <c r="A892" s="1" t="n">
        <v>10891</v>
      </c>
      <c r="B892" s="14" t="n">
        <v>45452</v>
      </c>
      <c r="C892" s="1" t="n">
        <v>1659</v>
      </c>
      <c r="D892" s="1" t="s">
        <v>30</v>
      </c>
      <c r="E892" s="1" t="s">
        <v>28</v>
      </c>
      <c r="F892" s="1" t="n">
        <v>4</v>
      </c>
      <c r="G892" s="15" t="n">
        <v>173.8</v>
      </c>
      <c r="H892" s="16" t="n">
        <v>0.09</v>
      </c>
      <c r="I892" s="1" t="s">
        <v>31</v>
      </c>
      <c r="J892" s="1" t="n">
        <v>11</v>
      </c>
      <c r="K892" s="1" t="n">
        <v>2.4</v>
      </c>
      <c r="L892" s="15" t="n">
        <v>632.63</v>
      </c>
      <c r="M892" s="15" t="n">
        <f aca="false">F892*G892</f>
        <v>695.2</v>
      </c>
      <c r="N892" s="15" t="n">
        <f aca="false">M892-L892</f>
        <v>62.5700000000001</v>
      </c>
      <c r="O892" s="1" t="n">
        <f aca="false">YEAR(B892)</f>
        <v>2024</v>
      </c>
      <c r="P892" s="1" t="n">
        <f aca="false">MONTH(B892)</f>
        <v>6</v>
      </c>
      <c r="Q892" s="1" t="str">
        <f aca="false">TEXT(B892,"mmm")</f>
        <v>Jun</v>
      </c>
      <c r="R892" s="1" t="str">
        <f aca="false">"Q"&amp;ROUNDUP(MONTH(B892)/3,0)</f>
        <v>Q2</v>
      </c>
    </row>
    <row r="893" customFormat="false" ht="15" hidden="false" customHeight="true" outlineLevel="0" collapsed="false">
      <c r="A893" s="1" t="n">
        <v>10892</v>
      </c>
      <c r="B893" s="14" t="n">
        <v>45453</v>
      </c>
      <c r="C893" s="1" t="n">
        <v>1475</v>
      </c>
      <c r="D893" s="1" t="s">
        <v>34</v>
      </c>
      <c r="E893" s="1" t="s">
        <v>35</v>
      </c>
      <c r="F893" s="1" t="n">
        <v>6</v>
      </c>
      <c r="G893" s="15" t="n">
        <v>185.62</v>
      </c>
      <c r="H893" s="16" t="n">
        <v>0.02</v>
      </c>
      <c r="I893" s="1" t="s">
        <v>31</v>
      </c>
      <c r="J893" s="1" t="n">
        <v>4</v>
      </c>
      <c r="K893" s="1" t="n">
        <v>2.8</v>
      </c>
      <c r="L893" s="15" t="n">
        <v>1091.45</v>
      </c>
      <c r="M893" s="15" t="n">
        <f aca="false">F893*G893</f>
        <v>1113.72</v>
      </c>
      <c r="N893" s="15" t="n">
        <f aca="false">M893-L893</f>
        <v>22.27</v>
      </c>
      <c r="O893" s="1" t="n">
        <f aca="false">YEAR(B893)</f>
        <v>2024</v>
      </c>
      <c r="P893" s="1" t="n">
        <f aca="false">MONTH(B893)</f>
        <v>6</v>
      </c>
      <c r="Q893" s="1" t="str">
        <f aca="false">TEXT(B893,"mmm")</f>
        <v>Jun</v>
      </c>
      <c r="R893" s="1" t="str">
        <f aca="false">"Q"&amp;ROUNDUP(MONTH(B893)/3,0)</f>
        <v>Q2</v>
      </c>
    </row>
    <row r="894" customFormat="false" ht="15" hidden="false" customHeight="true" outlineLevel="0" collapsed="false">
      <c r="A894" s="1" t="n">
        <v>10893</v>
      </c>
      <c r="B894" s="14" t="n">
        <v>45454</v>
      </c>
      <c r="C894" s="1" t="n">
        <v>1455</v>
      </c>
      <c r="D894" s="1" t="s">
        <v>34</v>
      </c>
      <c r="E894" s="1" t="s">
        <v>32</v>
      </c>
      <c r="F894" s="1" t="n">
        <v>4</v>
      </c>
      <c r="G894" s="15" t="n">
        <v>87.1</v>
      </c>
      <c r="H894" s="16" t="n">
        <v>0.29</v>
      </c>
      <c r="I894" s="1" t="s">
        <v>31</v>
      </c>
      <c r="J894" s="1" t="n">
        <v>5</v>
      </c>
      <c r="K894" s="1" t="n">
        <v>1.7</v>
      </c>
      <c r="L894" s="15" t="n">
        <v>247.36</v>
      </c>
      <c r="M894" s="15" t="n">
        <f aca="false">F894*G894</f>
        <v>348.4</v>
      </c>
      <c r="N894" s="15" t="n">
        <f aca="false">M894-L894</f>
        <v>101.04</v>
      </c>
      <c r="O894" s="1" t="n">
        <f aca="false">YEAR(B894)</f>
        <v>2024</v>
      </c>
      <c r="P894" s="1" t="n">
        <f aca="false">MONTH(B894)</f>
        <v>6</v>
      </c>
      <c r="Q894" s="1" t="str">
        <f aca="false">TEXT(B894,"mmm")</f>
        <v>Jun</v>
      </c>
      <c r="R894" s="1" t="str">
        <f aca="false">"Q"&amp;ROUNDUP(MONTH(B894)/3,0)</f>
        <v>Q2</v>
      </c>
    </row>
    <row r="895" customFormat="false" ht="15" hidden="false" customHeight="true" outlineLevel="0" collapsed="false">
      <c r="A895" s="1" t="n">
        <v>10894</v>
      </c>
      <c r="B895" s="14" t="n">
        <v>45455</v>
      </c>
      <c r="C895" s="1" t="n">
        <v>1828</v>
      </c>
      <c r="D895" s="1" t="s">
        <v>30</v>
      </c>
      <c r="E895" s="1" t="s">
        <v>35</v>
      </c>
      <c r="F895" s="1" t="n">
        <v>7</v>
      </c>
      <c r="G895" s="15" t="n">
        <v>486.37</v>
      </c>
      <c r="H895" s="16" t="n">
        <v>0.22</v>
      </c>
      <c r="I895" s="1" t="s">
        <v>31</v>
      </c>
      <c r="J895" s="1" t="n">
        <v>4</v>
      </c>
      <c r="K895" s="1" t="n">
        <v>4.5</v>
      </c>
      <c r="L895" s="15" t="n">
        <v>2655.58</v>
      </c>
      <c r="M895" s="15" t="n">
        <f aca="false">F895*G895</f>
        <v>3404.59</v>
      </c>
      <c r="N895" s="15" t="n">
        <f aca="false">M895-L895</f>
        <v>749.01</v>
      </c>
      <c r="O895" s="1" t="n">
        <f aca="false">YEAR(B895)</f>
        <v>2024</v>
      </c>
      <c r="P895" s="1" t="n">
        <f aca="false">MONTH(B895)</f>
        <v>6</v>
      </c>
      <c r="Q895" s="1" t="str">
        <f aca="false">TEXT(B895,"mmm")</f>
        <v>Jun</v>
      </c>
      <c r="R895" s="1" t="str">
        <f aca="false">"Q"&amp;ROUNDUP(MONTH(B895)/3,0)</f>
        <v>Q2</v>
      </c>
    </row>
    <row r="896" customFormat="false" ht="15" hidden="false" customHeight="true" outlineLevel="0" collapsed="false">
      <c r="A896" s="1" t="n">
        <v>10895</v>
      </c>
      <c r="B896" s="14" t="n">
        <v>45456</v>
      </c>
      <c r="C896" s="1" t="n">
        <v>1894</v>
      </c>
      <c r="D896" s="1" t="s">
        <v>30</v>
      </c>
      <c r="E896" s="1" t="s">
        <v>28</v>
      </c>
      <c r="F896" s="1" t="n">
        <v>1</v>
      </c>
      <c r="G896" s="15" t="n">
        <v>20.41</v>
      </c>
      <c r="H896" s="16" t="n">
        <v>0.34</v>
      </c>
      <c r="I896" s="1" t="s">
        <v>33</v>
      </c>
      <c r="J896" s="1" t="n">
        <v>5</v>
      </c>
      <c r="K896" s="1" t="n">
        <v>2.2</v>
      </c>
      <c r="L896" s="15" t="n">
        <v>13.47</v>
      </c>
      <c r="M896" s="15" t="n">
        <f aca="false">F896*G896</f>
        <v>20.41</v>
      </c>
      <c r="N896" s="15" t="n">
        <f aca="false">M896-L896</f>
        <v>6.94</v>
      </c>
      <c r="O896" s="1" t="n">
        <f aca="false">YEAR(B896)</f>
        <v>2024</v>
      </c>
      <c r="P896" s="1" t="n">
        <f aca="false">MONTH(B896)</f>
        <v>6</v>
      </c>
      <c r="Q896" s="1" t="str">
        <f aca="false">TEXT(B896,"mmm")</f>
        <v>Jun</v>
      </c>
      <c r="R896" s="1" t="str">
        <f aca="false">"Q"&amp;ROUNDUP(MONTH(B896)/3,0)</f>
        <v>Q2</v>
      </c>
    </row>
    <row r="897" customFormat="false" ht="15" hidden="false" customHeight="true" outlineLevel="0" collapsed="false">
      <c r="A897" s="1" t="n">
        <v>10896</v>
      </c>
      <c r="B897" s="14" t="n">
        <v>45457</v>
      </c>
      <c r="C897" s="1" t="n">
        <v>1360</v>
      </c>
      <c r="D897" s="1" t="s">
        <v>34</v>
      </c>
      <c r="E897" s="1" t="s">
        <v>28</v>
      </c>
      <c r="F897" s="1" t="n">
        <v>4</v>
      </c>
      <c r="G897" s="15" t="n">
        <v>197.82</v>
      </c>
      <c r="H897" s="16" t="n">
        <v>0.09</v>
      </c>
      <c r="I897" s="1" t="s">
        <v>33</v>
      </c>
      <c r="J897" s="1" t="n">
        <v>10</v>
      </c>
      <c r="K897" s="1" t="n">
        <v>1.1</v>
      </c>
      <c r="L897" s="15" t="n">
        <v>720.06</v>
      </c>
      <c r="M897" s="15" t="n">
        <f aca="false">F897*G897</f>
        <v>791.28</v>
      </c>
      <c r="N897" s="15" t="n">
        <f aca="false">M897-L897</f>
        <v>71.22</v>
      </c>
      <c r="O897" s="1" t="n">
        <f aca="false">YEAR(B897)</f>
        <v>2024</v>
      </c>
      <c r="P897" s="1" t="n">
        <f aca="false">MONTH(B897)</f>
        <v>6</v>
      </c>
      <c r="Q897" s="1" t="str">
        <f aca="false">TEXT(B897,"mmm")</f>
        <v>Jun</v>
      </c>
      <c r="R897" s="1" t="str">
        <f aca="false">"Q"&amp;ROUNDUP(MONTH(B897)/3,0)</f>
        <v>Q2</v>
      </c>
    </row>
    <row r="898" customFormat="false" ht="15" hidden="false" customHeight="true" outlineLevel="0" collapsed="false">
      <c r="A898" s="1" t="n">
        <v>10897</v>
      </c>
      <c r="B898" s="14" t="n">
        <v>45458</v>
      </c>
      <c r="C898" s="1" t="n">
        <v>1934</v>
      </c>
      <c r="D898" s="1" t="s">
        <v>37</v>
      </c>
      <c r="E898" s="1" t="s">
        <v>32</v>
      </c>
      <c r="F898" s="1" t="n">
        <v>7</v>
      </c>
      <c r="G898" s="15" t="n">
        <v>117.03</v>
      </c>
      <c r="H898" s="16" t="n">
        <v>0.02</v>
      </c>
      <c r="I898" s="1" t="s">
        <v>33</v>
      </c>
      <c r="J898" s="1" t="n">
        <v>11</v>
      </c>
      <c r="K898" s="1" t="n">
        <v>2.3</v>
      </c>
      <c r="L898" s="15" t="n">
        <v>802.83</v>
      </c>
      <c r="M898" s="15" t="n">
        <f aca="false">F898*G898</f>
        <v>819.21</v>
      </c>
      <c r="N898" s="15" t="n">
        <f aca="false">M898-L898</f>
        <v>16.38</v>
      </c>
      <c r="O898" s="1" t="n">
        <f aca="false">YEAR(B898)</f>
        <v>2024</v>
      </c>
      <c r="P898" s="1" t="n">
        <f aca="false">MONTH(B898)</f>
        <v>6</v>
      </c>
      <c r="Q898" s="1" t="str">
        <f aca="false">TEXT(B898,"mmm")</f>
        <v>Jun</v>
      </c>
      <c r="R898" s="1" t="str">
        <f aca="false">"Q"&amp;ROUNDUP(MONTH(B898)/3,0)</f>
        <v>Q2</v>
      </c>
    </row>
    <row r="899" customFormat="false" ht="15" hidden="false" customHeight="true" outlineLevel="0" collapsed="false">
      <c r="A899" s="1" t="n">
        <v>10898</v>
      </c>
      <c r="B899" s="14" t="n">
        <v>45459</v>
      </c>
      <c r="C899" s="1" t="n">
        <v>1000</v>
      </c>
      <c r="D899" s="1" t="s">
        <v>30</v>
      </c>
      <c r="E899" s="1" t="s">
        <v>28</v>
      </c>
      <c r="F899" s="1" t="n">
        <v>1</v>
      </c>
      <c r="G899" s="15" t="n">
        <v>359.59</v>
      </c>
      <c r="H899" s="16" t="n">
        <v>0.17</v>
      </c>
      <c r="I899" s="1" t="s">
        <v>31</v>
      </c>
      <c r="J899" s="1" t="n">
        <v>4</v>
      </c>
      <c r="K899" s="1" t="n">
        <v>4.9</v>
      </c>
      <c r="L899" s="15" t="n">
        <v>298.46</v>
      </c>
      <c r="M899" s="15" t="n">
        <f aca="false">F899*G899</f>
        <v>359.59</v>
      </c>
      <c r="N899" s="15" t="n">
        <f aca="false">M899-L899</f>
        <v>61.13</v>
      </c>
      <c r="O899" s="1" t="n">
        <f aca="false">YEAR(B899)</f>
        <v>2024</v>
      </c>
      <c r="P899" s="1" t="n">
        <f aca="false">MONTH(B899)</f>
        <v>6</v>
      </c>
      <c r="Q899" s="1" t="str">
        <f aca="false">TEXT(B899,"mmm")</f>
        <v>Jun</v>
      </c>
      <c r="R899" s="1" t="str">
        <f aca="false">"Q"&amp;ROUNDUP(MONTH(B899)/3,0)</f>
        <v>Q2</v>
      </c>
    </row>
    <row r="900" customFormat="false" ht="15" hidden="false" customHeight="true" outlineLevel="0" collapsed="false">
      <c r="A900" s="1" t="n">
        <v>10899</v>
      </c>
      <c r="B900" s="14" t="n">
        <v>45460</v>
      </c>
      <c r="C900" s="1" t="n">
        <v>1386</v>
      </c>
      <c r="D900" s="1" t="s">
        <v>37</v>
      </c>
      <c r="E900" s="1" t="s">
        <v>28</v>
      </c>
      <c r="F900" s="1" t="n">
        <v>2</v>
      </c>
      <c r="G900" s="15" t="n">
        <v>163.74</v>
      </c>
      <c r="H900" s="16" t="n">
        <v>0.03</v>
      </c>
      <c r="I900" s="1" t="s">
        <v>29</v>
      </c>
      <c r="J900" s="1" t="n">
        <v>3</v>
      </c>
      <c r="K900" s="1" t="n">
        <v>1.6</v>
      </c>
      <c r="L900" s="15" t="n">
        <v>317.66</v>
      </c>
      <c r="M900" s="15" t="n">
        <f aca="false">F900*G900</f>
        <v>327.48</v>
      </c>
      <c r="N900" s="15" t="n">
        <f aca="false">M900-L900</f>
        <v>9.81999999999999</v>
      </c>
      <c r="O900" s="1" t="n">
        <f aca="false">YEAR(B900)</f>
        <v>2024</v>
      </c>
      <c r="P900" s="1" t="n">
        <f aca="false">MONTH(B900)</f>
        <v>6</v>
      </c>
      <c r="Q900" s="1" t="str">
        <f aca="false">TEXT(B900,"mmm")</f>
        <v>Jun</v>
      </c>
      <c r="R900" s="1" t="str">
        <f aca="false">"Q"&amp;ROUNDUP(MONTH(B900)/3,0)</f>
        <v>Q2</v>
      </c>
    </row>
    <row r="901" customFormat="false" ht="15" hidden="false" customHeight="true" outlineLevel="0" collapsed="false">
      <c r="A901" s="1" t="n">
        <v>10900</v>
      </c>
      <c r="B901" s="14" t="n">
        <v>45461</v>
      </c>
      <c r="C901" s="1" t="n">
        <v>1972</v>
      </c>
      <c r="D901" s="1" t="s">
        <v>37</v>
      </c>
      <c r="E901" s="1" t="s">
        <v>35</v>
      </c>
      <c r="F901" s="1" t="n">
        <v>1</v>
      </c>
      <c r="G901" s="15" t="n">
        <v>166.51</v>
      </c>
      <c r="H901" s="16" t="n">
        <v>0.09</v>
      </c>
      <c r="I901" s="1" t="s">
        <v>31</v>
      </c>
      <c r="J901" s="1" t="n">
        <v>1</v>
      </c>
      <c r="K901" s="1" t="n">
        <v>1.1</v>
      </c>
      <c r="L901" s="15" t="n">
        <v>151.52</v>
      </c>
      <c r="M901" s="15" t="n">
        <f aca="false">F901*G901</f>
        <v>166.51</v>
      </c>
      <c r="N901" s="15" t="n">
        <f aca="false">M901-L901</f>
        <v>14.99</v>
      </c>
      <c r="O901" s="1" t="n">
        <f aca="false">YEAR(B901)</f>
        <v>2024</v>
      </c>
      <c r="P901" s="1" t="n">
        <f aca="false">MONTH(B901)</f>
        <v>6</v>
      </c>
      <c r="Q901" s="1" t="str">
        <f aca="false">TEXT(B901,"mmm")</f>
        <v>Jun</v>
      </c>
      <c r="R901" s="1" t="str">
        <f aca="false">"Q"&amp;ROUNDUP(MONTH(B901)/3,0)</f>
        <v>Q2</v>
      </c>
    </row>
    <row r="902" customFormat="false" ht="15" hidden="false" customHeight="true" outlineLevel="0" collapsed="false">
      <c r="A902" s="1" t="n">
        <v>10901</v>
      </c>
      <c r="B902" s="14" t="n">
        <v>45462</v>
      </c>
      <c r="C902" s="1" t="n">
        <v>1347</v>
      </c>
      <c r="D902" s="1" t="s">
        <v>34</v>
      </c>
      <c r="E902" s="1" t="s">
        <v>36</v>
      </c>
      <c r="F902" s="1" t="n">
        <v>4</v>
      </c>
      <c r="G902" s="15" t="n">
        <v>300.68</v>
      </c>
      <c r="H902" s="16" t="n">
        <v>0.04</v>
      </c>
      <c r="I902" s="1" t="s">
        <v>31</v>
      </c>
      <c r="J902" s="1" t="n">
        <v>4</v>
      </c>
      <c r="K902" s="1" t="n">
        <v>3.3</v>
      </c>
      <c r="L902" s="15" t="n">
        <v>1154.61</v>
      </c>
      <c r="M902" s="15" t="n">
        <f aca="false">F902*G902</f>
        <v>1202.72</v>
      </c>
      <c r="N902" s="15" t="n">
        <f aca="false">M902-L902</f>
        <v>48.1100000000001</v>
      </c>
      <c r="O902" s="1" t="n">
        <f aca="false">YEAR(B902)</f>
        <v>2024</v>
      </c>
      <c r="P902" s="1" t="n">
        <f aca="false">MONTH(B902)</f>
        <v>6</v>
      </c>
      <c r="Q902" s="1" t="str">
        <f aca="false">TEXT(B902,"mmm")</f>
        <v>Jun</v>
      </c>
      <c r="R902" s="1" t="str">
        <f aca="false">"Q"&amp;ROUNDUP(MONTH(B902)/3,0)</f>
        <v>Q2</v>
      </c>
    </row>
    <row r="903" customFormat="false" ht="15" hidden="false" customHeight="true" outlineLevel="0" collapsed="false">
      <c r="A903" s="1" t="n">
        <v>10902</v>
      </c>
      <c r="B903" s="14" t="n">
        <v>45463</v>
      </c>
      <c r="C903" s="1" t="n">
        <v>1189</v>
      </c>
      <c r="D903" s="1" t="s">
        <v>34</v>
      </c>
      <c r="E903" s="1" t="s">
        <v>28</v>
      </c>
      <c r="F903" s="1" t="n">
        <v>5</v>
      </c>
      <c r="G903" s="15" t="n">
        <v>396.82</v>
      </c>
      <c r="H903" s="16" t="n">
        <v>0.08</v>
      </c>
      <c r="I903" s="1" t="s">
        <v>33</v>
      </c>
      <c r="J903" s="1" t="n">
        <v>9</v>
      </c>
      <c r="K903" s="1" t="n">
        <v>2.5</v>
      </c>
      <c r="L903" s="15" t="n">
        <v>1825.37</v>
      </c>
      <c r="M903" s="15" t="n">
        <f aca="false">F903*G903</f>
        <v>1984.1</v>
      </c>
      <c r="N903" s="15" t="n">
        <f aca="false">M903-L903</f>
        <v>158.73</v>
      </c>
      <c r="O903" s="1" t="n">
        <f aca="false">YEAR(B903)</f>
        <v>2024</v>
      </c>
      <c r="P903" s="1" t="n">
        <f aca="false">MONTH(B903)</f>
        <v>6</v>
      </c>
      <c r="Q903" s="1" t="str">
        <f aca="false">TEXT(B903,"mmm")</f>
        <v>Jun</v>
      </c>
      <c r="R903" s="1" t="str">
        <f aca="false">"Q"&amp;ROUNDUP(MONTH(B903)/3,0)</f>
        <v>Q2</v>
      </c>
    </row>
    <row r="904" customFormat="false" ht="15" hidden="false" customHeight="true" outlineLevel="0" collapsed="false">
      <c r="A904" s="1" t="n">
        <v>10903</v>
      </c>
      <c r="B904" s="14" t="n">
        <v>45464</v>
      </c>
      <c r="C904" s="1" t="n">
        <v>1504</v>
      </c>
      <c r="D904" s="1" t="s">
        <v>37</v>
      </c>
      <c r="E904" s="1" t="s">
        <v>28</v>
      </c>
      <c r="F904" s="1" t="n">
        <v>5</v>
      </c>
      <c r="G904" s="15" t="n">
        <v>85.96</v>
      </c>
      <c r="H904" s="16" t="n">
        <v>0.04</v>
      </c>
      <c r="I904" s="1" t="s">
        <v>29</v>
      </c>
      <c r="J904" s="1" t="n">
        <v>1</v>
      </c>
      <c r="K904" s="1" t="n">
        <v>4.2</v>
      </c>
      <c r="L904" s="15" t="n">
        <v>412.61</v>
      </c>
      <c r="M904" s="15" t="n">
        <f aca="false">F904*G904</f>
        <v>429.8</v>
      </c>
      <c r="N904" s="15" t="n">
        <f aca="false">M904-L904</f>
        <v>17.1899999999999</v>
      </c>
      <c r="O904" s="1" t="n">
        <f aca="false">YEAR(B904)</f>
        <v>2024</v>
      </c>
      <c r="P904" s="1" t="n">
        <f aca="false">MONTH(B904)</f>
        <v>6</v>
      </c>
      <c r="Q904" s="1" t="str">
        <f aca="false">TEXT(B904,"mmm")</f>
        <v>Jun</v>
      </c>
      <c r="R904" s="1" t="str">
        <f aca="false">"Q"&amp;ROUNDUP(MONTH(B904)/3,0)</f>
        <v>Q2</v>
      </c>
    </row>
    <row r="905" customFormat="false" ht="15" hidden="false" customHeight="true" outlineLevel="0" collapsed="false">
      <c r="A905" s="1" t="n">
        <v>10904</v>
      </c>
      <c r="B905" s="14" t="n">
        <v>45465</v>
      </c>
      <c r="C905" s="1" t="n">
        <v>1190</v>
      </c>
      <c r="D905" s="1" t="s">
        <v>30</v>
      </c>
      <c r="E905" s="1" t="s">
        <v>32</v>
      </c>
      <c r="F905" s="1" t="n">
        <v>2</v>
      </c>
      <c r="G905" s="15" t="n">
        <v>117.67</v>
      </c>
      <c r="H905" s="16" t="n">
        <v>0.33</v>
      </c>
      <c r="I905" s="1" t="s">
        <v>31</v>
      </c>
      <c r="J905" s="1" t="n">
        <v>7</v>
      </c>
      <c r="K905" s="1" t="n">
        <v>3.9</v>
      </c>
      <c r="L905" s="15" t="n">
        <v>157.68</v>
      </c>
      <c r="M905" s="15" t="n">
        <f aca="false">F905*G905</f>
        <v>235.34</v>
      </c>
      <c r="N905" s="15" t="n">
        <f aca="false">M905-L905</f>
        <v>77.66</v>
      </c>
      <c r="O905" s="1" t="n">
        <f aca="false">YEAR(B905)</f>
        <v>2024</v>
      </c>
      <c r="P905" s="1" t="n">
        <f aca="false">MONTH(B905)</f>
        <v>6</v>
      </c>
      <c r="Q905" s="1" t="str">
        <f aca="false">TEXT(B905,"mmm")</f>
        <v>Jun</v>
      </c>
      <c r="R905" s="1" t="str">
        <f aca="false">"Q"&amp;ROUNDUP(MONTH(B905)/3,0)</f>
        <v>Q2</v>
      </c>
    </row>
    <row r="906" customFormat="false" ht="15" hidden="false" customHeight="true" outlineLevel="0" collapsed="false">
      <c r="A906" s="1" t="n">
        <v>10905</v>
      </c>
      <c r="B906" s="14" t="n">
        <v>45466</v>
      </c>
      <c r="C906" s="1" t="n">
        <v>1507</v>
      </c>
      <c r="D906" s="1" t="s">
        <v>37</v>
      </c>
      <c r="E906" s="1" t="s">
        <v>32</v>
      </c>
      <c r="F906" s="1" t="n">
        <v>4</v>
      </c>
      <c r="G906" s="15" t="n">
        <v>159.6</v>
      </c>
      <c r="H906" s="16" t="n">
        <v>0.1</v>
      </c>
      <c r="I906" s="1" t="s">
        <v>33</v>
      </c>
      <c r="J906" s="1" t="n">
        <v>3</v>
      </c>
      <c r="K906" s="1" t="n">
        <v>1.7</v>
      </c>
      <c r="L906" s="15" t="n">
        <v>574.56</v>
      </c>
      <c r="M906" s="15" t="n">
        <f aca="false">F906*G906</f>
        <v>638.4</v>
      </c>
      <c r="N906" s="15" t="n">
        <f aca="false">M906-L906</f>
        <v>63.84</v>
      </c>
      <c r="O906" s="1" t="n">
        <f aca="false">YEAR(B906)</f>
        <v>2024</v>
      </c>
      <c r="P906" s="1" t="n">
        <f aca="false">MONTH(B906)</f>
        <v>6</v>
      </c>
      <c r="Q906" s="1" t="str">
        <f aca="false">TEXT(B906,"mmm")</f>
        <v>Jun</v>
      </c>
      <c r="R906" s="1" t="str">
        <f aca="false">"Q"&amp;ROUNDUP(MONTH(B906)/3,0)</f>
        <v>Q2</v>
      </c>
    </row>
    <row r="907" customFormat="false" ht="15" hidden="false" customHeight="true" outlineLevel="0" collapsed="false">
      <c r="A907" s="1" t="n">
        <v>10906</v>
      </c>
      <c r="B907" s="14" t="n">
        <v>45467</v>
      </c>
      <c r="C907" s="1" t="n">
        <v>1368</v>
      </c>
      <c r="D907" s="1" t="s">
        <v>37</v>
      </c>
      <c r="E907" s="1" t="s">
        <v>35</v>
      </c>
      <c r="F907" s="1" t="n">
        <v>1</v>
      </c>
      <c r="G907" s="15" t="n">
        <v>584.64</v>
      </c>
      <c r="H907" s="16" t="n">
        <v>0.16</v>
      </c>
      <c r="I907" s="1" t="s">
        <v>29</v>
      </c>
      <c r="J907" s="1" t="n">
        <v>8</v>
      </c>
      <c r="K907" s="1" t="n">
        <v>3.3</v>
      </c>
      <c r="L907" s="15" t="n">
        <v>491.1</v>
      </c>
      <c r="M907" s="15" t="n">
        <f aca="false">F907*G907</f>
        <v>584.64</v>
      </c>
      <c r="N907" s="15" t="n">
        <f aca="false">M907-L907</f>
        <v>93.54</v>
      </c>
      <c r="O907" s="1" t="n">
        <f aca="false">YEAR(B907)</f>
        <v>2024</v>
      </c>
      <c r="P907" s="1" t="n">
        <f aca="false">MONTH(B907)</f>
        <v>6</v>
      </c>
      <c r="Q907" s="1" t="str">
        <f aca="false">TEXT(B907,"mmm")</f>
        <v>Jun</v>
      </c>
      <c r="R907" s="1" t="str">
        <f aca="false">"Q"&amp;ROUNDUP(MONTH(B907)/3,0)</f>
        <v>Q2</v>
      </c>
    </row>
    <row r="908" customFormat="false" ht="15" hidden="false" customHeight="true" outlineLevel="0" collapsed="false">
      <c r="A908" s="1" t="n">
        <v>10907</v>
      </c>
      <c r="B908" s="14" t="n">
        <v>45468</v>
      </c>
      <c r="C908" s="1" t="n">
        <v>1408</v>
      </c>
      <c r="D908" s="1" t="s">
        <v>37</v>
      </c>
      <c r="E908" s="1" t="s">
        <v>35</v>
      </c>
      <c r="F908" s="1" t="n">
        <v>5</v>
      </c>
      <c r="G908" s="15" t="n">
        <v>247.33</v>
      </c>
      <c r="H908" s="16" t="n">
        <v>0.31</v>
      </c>
      <c r="I908" s="1" t="s">
        <v>33</v>
      </c>
      <c r="J908" s="1" t="n">
        <v>6</v>
      </c>
      <c r="K908" s="1" t="n">
        <v>1.1</v>
      </c>
      <c r="L908" s="15" t="n">
        <v>853.29</v>
      </c>
      <c r="M908" s="15" t="n">
        <f aca="false">F908*G908</f>
        <v>1236.65</v>
      </c>
      <c r="N908" s="15" t="n">
        <f aca="false">M908-L908</f>
        <v>383.36</v>
      </c>
      <c r="O908" s="1" t="n">
        <f aca="false">YEAR(B908)</f>
        <v>2024</v>
      </c>
      <c r="P908" s="1" t="n">
        <f aca="false">MONTH(B908)</f>
        <v>6</v>
      </c>
      <c r="Q908" s="1" t="str">
        <f aca="false">TEXT(B908,"mmm")</f>
        <v>Jun</v>
      </c>
      <c r="R908" s="1" t="str">
        <f aca="false">"Q"&amp;ROUNDUP(MONTH(B908)/3,0)</f>
        <v>Q2</v>
      </c>
    </row>
    <row r="909" customFormat="false" ht="15" hidden="false" customHeight="true" outlineLevel="0" collapsed="false">
      <c r="A909" s="1" t="n">
        <v>10908</v>
      </c>
      <c r="B909" s="14" t="n">
        <v>45469</v>
      </c>
      <c r="C909" s="1" t="n">
        <v>1823</v>
      </c>
      <c r="D909" s="1" t="s">
        <v>27</v>
      </c>
      <c r="E909" s="1" t="s">
        <v>28</v>
      </c>
      <c r="F909" s="1" t="n">
        <v>6</v>
      </c>
      <c r="G909" s="15" t="n">
        <v>365.41</v>
      </c>
      <c r="H909" s="16" t="n">
        <v>0.24</v>
      </c>
      <c r="I909" s="1" t="s">
        <v>31</v>
      </c>
      <c r="J909" s="1" t="n">
        <v>1</v>
      </c>
      <c r="K909" s="1" t="n">
        <v>2.8</v>
      </c>
      <c r="L909" s="15" t="n">
        <v>1666.27</v>
      </c>
      <c r="M909" s="15" t="n">
        <f aca="false">F909*G909</f>
        <v>2192.46</v>
      </c>
      <c r="N909" s="15" t="n">
        <f aca="false">M909-L909</f>
        <v>526.19</v>
      </c>
      <c r="O909" s="1" t="n">
        <f aca="false">YEAR(B909)</f>
        <v>2024</v>
      </c>
      <c r="P909" s="1" t="n">
        <f aca="false">MONTH(B909)</f>
        <v>6</v>
      </c>
      <c r="Q909" s="1" t="str">
        <f aca="false">TEXT(B909,"mmm")</f>
        <v>Jun</v>
      </c>
      <c r="R909" s="1" t="str">
        <f aca="false">"Q"&amp;ROUNDUP(MONTH(B909)/3,0)</f>
        <v>Q2</v>
      </c>
    </row>
    <row r="910" customFormat="false" ht="15" hidden="false" customHeight="true" outlineLevel="0" collapsed="false">
      <c r="A910" s="1" t="n">
        <v>10909</v>
      </c>
      <c r="B910" s="14" t="n">
        <v>45470</v>
      </c>
      <c r="C910" s="1" t="n">
        <v>1928</v>
      </c>
      <c r="D910" s="1" t="s">
        <v>30</v>
      </c>
      <c r="E910" s="1" t="s">
        <v>36</v>
      </c>
      <c r="F910" s="1" t="n">
        <v>3</v>
      </c>
      <c r="G910" s="15" t="n">
        <v>156.3</v>
      </c>
      <c r="H910" s="16" t="n">
        <v>0.22</v>
      </c>
      <c r="I910" s="1" t="s">
        <v>29</v>
      </c>
      <c r="J910" s="1" t="n">
        <v>10</v>
      </c>
      <c r="K910" s="1" t="n">
        <v>3.9</v>
      </c>
      <c r="L910" s="15" t="n">
        <v>365.74</v>
      </c>
      <c r="M910" s="15" t="n">
        <f aca="false">F910*G910</f>
        <v>468.9</v>
      </c>
      <c r="N910" s="15" t="n">
        <f aca="false">M910-L910</f>
        <v>103.16</v>
      </c>
      <c r="O910" s="1" t="n">
        <f aca="false">YEAR(B910)</f>
        <v>2024</v>
      </c>
      <c r="P910" s="1" t="n">
        <f aca="false">MONTH(B910)</f>
        <v>6</v>
      </c>
      <c r="Q910" s="1" t="str">
        <f aca="false">TEXT(B910,"mmm")</f>
        <v>Jun</v>
      </c>
      <c r="R910" s="1" t="str">
        <f aca="false">"Q"&amp;ROUNDUP(MONTH(B910)/3,0)</f>
        <v>Q2</v>
      </c>
    </row>
    <row r="911" customFormat="false" ht="15" hidden="false" customHeight="true" outlineLevel="0" collapsed="false">
      <c r="A911" s="1" t="n">
        <v>10910</v>
      </c>
      <c r="B911" s="14" t="n">
        <v>45471</v>
      </c>
      <c r="C911" s="1" t="n">
        <v>1933</v>
      </c>
      <c r="D911" s="1" t="s">
        <v>30</v>
      </c>
      <c r="E911" s="1" t="s">
        <v>36</v>
      </c>
      <c r="F911" s="1" t="n">
        <v>4</v>
      </c>
      <c r="G911" s="15" t="n">
        <v>301.92</v>
      </c>
      <c r="H911" s="16" t="n">
        <v>0.25</v>
      </c>
      <c r="I911" s="1" t="s">
        <v>33</v>
      </c>
      <c r="J911" s="1" t="n">
        <v>5</v>
      </c>
      <c r="K911" s="1" t="n">
        <v>2.7</v>
      </c>
      <c r="L911" s="15" t="n">
        <v>905.76</v>
      </c>
      <c r="M911" s="15" t="n">
        <f aca="false">F911*G911</f>
        <v>1207.68</v>
      </c>
      <c r="N911" s="15" t="n">
        <f aca="false">M911-L911</f>
        <v>301.92</v>
      </c>
      <c r="O911" s="1" t="n">
        <f aca="false">YEAR(B911)</f>
        <v>2024</v>
      </c>
      <c r="P911" s="1" t="n">
        <f aca="false">MONTH(B911)</f>
        <v>6</v>
      </c>
      <c r="Q911" s="1" t="str">
        <f aca="false">TEXT(B911,"mmm")</f>
        <v>Jun</v>
      </c>
      <c r="R911" s="1" t="str">
        <f aca="false">"Q"&amp;ROUNDUP(MONTH(B911)/3,0)</f>
        <v>Q2</v>
      </c>
    </row>
    <row r="912" customFormat="false" ht="15" hidden="false" customHeight="true" outlineLevel="0" collapsed="false">
      <c r="A912" s="1" t="n">
        <v>10911</v>
      </c>
      <c r="B912" s="14" t="n">
        <v>45472</v>
      </c>
      <c r="C912" s="1" t="n">
        <v>1116</v>
      </c>
      <c r="D912" s="1" t="s">
        <v>30</v>
      </c>
      <c r="E912" s="1" t="s">
        <v>35</v>
      </c>
      <c r="F912" s="1" t="n">
        <v>7</v>
      </c>
      <c r="G912" s="15" t="n">
        <v>58.36</v>
      </c>
      <c r="H912" s="16" t="n">
        <v>0.29</v>
      </c>
      <c r="I912" s="1" t="s">
        <v>33</v>
      </c>
      <c r="J912" s="1" t="n">
        <v>8</v>
      </c>
      <c r="K912" s="1" t="n">
        <v>1.5</v>
      </c>
      <c r="L912" s="15" t="n">
        <v>290.05</v>
      </c>
      <c r="M912" s="15" t="n">
        <f aca="false">F912*G912</f>
        <v>408.52</v>
      </c>
      <c r="N912" s="15" t="n">
        <f aca="false">M912-L912</f>
        <v>118.47</v>
      </c>
      <c r="O912" s="1" t="n">
        <f aca="false">YEAR(B912)</f>
        <v>2024</v>
      </c>
      <c r="P912" s="1" t="n">
        <f aca="false">MONTH(B912)</f>
        <v>6</v>
      </c>
      <c r="Q912" s="1" t="str">
        <f aca="false">TEXT(B912,"mmm")</f>
        <v>Jun</v>
      </c>
      <c r="R912" s="1" t="str">
        <f aca="false">"Q"&amp;ROUNDUP(MONTH(B912)/3,0)</f>
        <v>Q2</v>
      </c>
    </row>
    <row r="913" customFormat="false" ht="15" hidden="false" customHeight="true" outlineLevel="0" collapsed="false">
      <c r="A913" s="1" t="n">
        <v>10912</v>
      </c>
      <c r="B913" s="14" t="n">
        <v>45473</v>
      </c>
      <c r="C913" s="1" t="n">
        <v>1133</v>
      </c>
      <c r="D913" s="1" t="s">
        <v>34</v>
      </c>
      <c r="E913" s="1" t="s">
        <v>32</v>
      </c>
      <c r="F913" s="1" t="n">
        <v>7</v>
      </c>
      <c r="G913" s="15" t="n">
        <v>35.32</v>
      </c>
      <c r="H913" s="16" t="n">
        <v>0.31</v>
      </c>
      <c r="I913" s="1" t="s">
        <v>33</v>
      </c>
      <c r="J913" s="1" t="n">
        <v>11</v>
      </c>
      <c r="K913" s="1" t="n">
        <v>1.2</v>
      </c>
      <c r="L913" s="15" t="n">
        <v>170.6</v>
      </c>
      <c r="M913" s="15" t="n">
        <f aca="false">F913*G913</f>
        <v>247.24</v>
      </c>
      <c r="N913" s="15" t="n">
        <f aca="false">M913-L913</f>
        <v>76.64</v>
      </c>
      <c r="O913" s="1" t="n">
        <f aca="false">YEAR(B913)</f>
        <v>2024</v>
      </c>
      <c r="P913" s="1" t="n">
        <f aca="false">MONTH(B913)</f>
        <v>6</v>
      </c>
      <c r="Q913" s="1" t="str">
        <f aca="false">TEXT(B913,"mmm")</f>
        <v>Jun</v>
      </c>
      <c r="R913" s="1" t="str">
        <f aca="false">"Q"&amp;ROUNDUP(MONTH(B913)/3,0)</f>
        <v>Q2</v>
      </c>
    </row>
    <row r="914" customFormat="false" ht="15" hidden="false" customHeight="true" outlineLevel="0" collapsed="false">
      <c r="A914" s="1" t="n">
        <v>10913</v>
      </c>
      <c r="B914" s="14" t="n">
        <v>45474</v>
      </c>
      <c r="C914" s="1" t="n">
        <v>1057</v>
      </c>
      <c r="D914" s="1" t="s">
        <v>30</v>
      </c>
      <c r="E914" s="1" t="s">
        <v>28</v>
      </c>
      <c r="F914" s="1" t="n">
        <v>6</v>
      </c>
      <c r="G914" s="15" t="n">
        <v>289.21</v>
      </c>
      <c r="H914" s="16" t="n">
        <v>0.22</v>
      </c>
      <c r="I914" s="1" t="s">
        <v>29</v>
      </c>
      <c r="J914" s="1" t="n">
        <v>3</v>
      </c>
      <c r="K914" s="1" t="n">
        <v>4.4</v>
      </c>
      <c r="L914" s="15" t="n">
        <v>1353.5</v>
      </c>
      <c r="M914" s="15" t="n">
        <f aca="false">F914*G914</f>
        <v>1735.26</v>
      </c>
      <c r="N914" s="15" t="n">
        <f aca="false">M914-L914</f>
        <v>381.76</v>
      </c>
      <c r="O914" s="1" t="n">
        <f aca="false">YEAR(B914)</f>
        <v>2024</v>
      </c>
      <c r="P914" s="1" t="n">
        <f aca="false">MONTH(B914)</f>
        <v>7</v>
      </c>
      <c r="Q914" s="1" t="str">
        <f aca="false">TEXT(B914,"mmm")</f>
        <v>Jul</v>
      </c>
      <c r="R914" s="1" t="str">
        <f aca="false">"Q"&amp;ROUNDUP(MONTH(B914)/3,0)</f>
        <v>Q3</v>
      </c>
    </row>
    <row r="915" customFormat="false" ht="15" hidden="false" customHeight="true" outlineLevel="0" collapsed="false">
      <c r="A915" s="1" t="n">
        <v>10914</v>
      </c>
      <c r="B915" s="14" t="n">
        <v>45475</v>
      </c>
      <c r="C915" s="1" t="n">
        <v>1555</v>
      </c>
      <c r="D915" s="1" t="s">
        <v>34</v>
      </c>
      <c r="E915" s="1" t="s">
        <v>28</v>
      </c>
      <c r="F915" s="1" t="n">
        <v>6</v>
      </c>
      <c r="G915" s="15" t="n">
        <v>248.22</v>
      </c>
      <c r="H915" s="16" t="n">
        <v>0.31</v>
      </c>
      <c r="I915" s="1" t="s">
        <v>31</v>
      </c>
      <c r="J915" s="1" t="n">
        <v>4</v>
      </c>
      <c r="K915" s="1" t="n">
        <v>4.6</v>
      </c>
      <c r="L915" s="15" t="n">
        <v>1027.63</v>
      </c>
      <c r="M915" s="15" t="n">
        <f aca="false">F915*G915</f>
        <v>1489.32</v>
      </c>
      <c r="N915" s="15" t="n">
        <f aca="false">M915-L915</f>
        <v>461.69</v>
      </c>
      <c r="O915" s="1" t="n">
        <f aca="false">YEAR(B915)</f>
        <v>2024</v>
      </c>
      <c r="P915" s="1" t="n">
        <f aca="false">MONTH(B915)</f>
        <v>7</v>
      </c>
      <c r="Q915" s="1" t="str">
        <f aca="false">TEXT(B915,"mmm")</f>
        <v>Jul</v>
      </c>
      <c r="R915" s="1" t="str">
        <f aca="false">"Q"&amp;ROUNDUP(MONTH(B915)/3,0)</f>
        <v>Q3</v>
      </c>
    </row>
    <row r="916" customFormat="false" ht="15" hidden="false" customHeight="true" outlineLevel="0" collapsed="false">
      <c r="A916" s="1" t="n">
        <v>10915</v>
      </c>
      <c r="B916" s="14" t="n">
        <v>45476</v>
      </c>
      <c r="C916" s="1" t="n">
        <v>1684</v>
      </c>
      <c r="D916" s="1" t="s">
        <v>27</v>
      </c>
      <c r="E916" s="1" t="s">
        <v>36</v>
      </c>
      <c r="F916" s="1" t="n">
        <v>4</v>
      </c>
      <c r="G916" s="15" t="n">
        <v>95.07</v>
      </c>
      <c r="H916" s="16" t="n">
        <v>0.19</v>
      </c>
      <c r="I916" s="1" t="s">
        <v>31</v>
      </c>
      <c r="J916" s="1" t="n">
        <v>7</v>
      </c>
      <c r="K916" s="1" t="n">
        <v>2.4</v>
      </c>
      <c r="L916" s="15" t="n">
        <v>308.03</v>
      </c>
      <c r="M916" s="15" t="n">
        <f aca="false">F916*G916</f>
        <v>380.28</v>
      </c>
      <c r="N916" s="15" t="n">
        <f aca="false">M916-L916</f>
        <v>72.25</v>
      </c>
      <c r="O916" s="1" t="n">
        <f aca="false">YEAR(B916)</f>
        <v>2024</v>
      </c>
      <c r="P916" s="1" t="n">
        <f aca="false">MONTH(B916)</f>
        <v>7</v>
      </c>
      <c r="Q916" s="1" t="str">
        <f aca="false">TEXT(B916,"mmm")</f>
        <v>Jul</v>
      </c>
      <c r="R916" s="1" t="str">
        <f aca="false">"Q"&amp;ROUNDUP(MONTH(B916)/3,0)</f>
        <v>Q3</v>
      </c>
    </row>
    <row r="917" customFormat="false" ht="15" hidden="false" customHeight="true" outlineLevel="0" collapsed="false">
      <c r="A917" s="1" t="n">
        <v>10916</v>
      </c>
      <c r="B917" s="14" t="n">
        <v>45477</v>
      </c>
      <c r="C917" s="1" t="n">
        <v>1671</v>
      </c>
      <c r="D917" s="1" t="s">
        <v>30</v>
      </c>
      <c r="E917" s="1" t="s">
        <v>35</v>
      </c>
      <c r="F917" s="1" t="n">
        <v>3</v>
      </c>
      <c r="G917" s="15" t="n">
        <v>417.25</v>
      </c>
      <c r="H917" s="16" t="n">
        <v>0.1</v>
      </c>
      <c r="I917" s="1" t="s">
        <v>33</v>
      </c>
      <c r="J917" s="1" t="n">
        <v>11</v>
      </c>
      <c r="K917" s="1" t="n">
        <v>1.7</v>
      </c>
      <c r="L917" s="15" t="n">
        <v>1126.58</v>
      </c>
      <c r="M917" s="15" t="n">
        <f aca="false">F917*G917</f>
        <v>1251.75</v>
      </c>
      <c r="N917" s="15" t="n">
        <f aca="false">M917-L917</f>
        <v>125.17</v>
      </c>
      <c r="O917" s="1" t="n">
        <f aca="false">YEAR(B917)</f>
        <v>2024</v>
      </c>
      <c r="P917" s="1" t="n">
        <f aca="false">MONTH(B917)</f>
        <v>7</v>
      </c>
      <c r="Q917" s="1" t="str">
        <f aca="false">TEXT(B917,"mmm")</f>
        <v>Jul</v>
      </c>
      <c r="R917" s="1" t="str">
        <f aca="false">"Q"&amp;ROUNDUP(MONTH(B917)/3,0)</f>
        <v>Q3</v>
      </c>
    </row>
    <row r="918" customFormat="false" ht="15" hidden="false" customHeight="true" outlineLevel="0" collapsed="false">
      <c r="A918" s="1" t="n">
        <v>10917</v>
      </c>
      <c r="B918" s="14" t="n">
        <v>45478</v>
      </c>
      <c r="C918" s="1" t="n">
        <v>1172</v>
      </c>
      <c r="D918" s="1" t="s">
        <v>30</v>
      </c>
      <c r="E918" s="1" t="s">
        <v>36</v>
      </c>
      <c r="F918" s="1" t="n">
        <v>5</v>
      </c>
      <c r="G918" s="15" t="n">
        <v>595.85</v>
      </c>
      <c r="H918" s="16" t="n">
        <v>0.31</v>
      </c>
      <c r="I918" s="1" t="s">
        <v>31</v>
      </c>
      <c r="J918" s="1" t="n">
        <v>6</v>
      </c>
      <c r="K918" s="1" t="n">
        <v>4.9</v>
      </c>
      <c r="L918" s="15" t="n">
        <v>2055.68</v>
      </c>
      <c r="M918" s="15" t="n">
        <f aca="false">F918*G918</f>
        <v>2979.25</v>
      </c>
      <c r="N918" s="15" t="n">
        <f aca="false">M918-L918</f>
        <v>923.57</v>
      </c>
      <c r="O918" s="1" t="n">
        <f aca="false">YEAR(B918)</f>
        <v>2024</v>
      </c>
      <c r="P918" s="1" t="n">
        <f aca="false">MONTH(B918)</f>
        <v>7</v>
      </c>
      <c r="Q918" s="1" t="str">
        <f aca="false">TEXT(B918,"mmm")</f>
        <v>Jul</v>
      </c>
      <c r="R918" s="1" t="str">
        <f aca="false">"Q"&amp;ROUNDUP(MONTH(B918)/3,0)</f>
        <v>Q3</v>
      </c>
    </row>
    <row r="919" customFormat="false" ht="15" hidden="false" customHeight="true" outlineLevel="0" collapsed="false">
      <c r="A919" s="1" t="n">
        <v>10918</v>
      </c>
      <c r="B919" s="14" t="n">
        <v>45479</v>
      </c>
      <c r="C919" s="1" t="n">
        <v>1828</v>
      </c>
      <c r="D919" s="1" t="s">
        <v>30</v>
      </c>
      <c r="E919" s="1" t="s">
        <v>36</v>
      </c>
      <c r="F919" s="1" t="n">
        <v>3</v>
      </c>
      <c r="G919" s="15" t="n">
        <v>246.45</v>
      </c>
      <c r="H919" s="16" t="n">
        <v>0.19</v>
      </c>
      <c r="I919" s="1" t="s">
        <v>31</v>
      </c>
      <c r="J919" s="1" t="n">
        <v>7</v>
      </c>
      <c r="K919" s="1" t="n">
        <v>3.2</v>
      </c>
      <c r="L919" s="15" t="n">
        <v>598.87</v>
      </c>
      <c r="M919" s="15" t="n">
        <f aca="false">F919*G919</f>
        <v>739.35</v>
      </c>
      <c r="N919" s="15" t="n">
        <f aca="false">M919-L919</f>
        <v>140.48</v>
      </c>
      <c r="O919" s="1" t="n">
        <f aca="false">YEAR(B919)</f>
        <v>2024</v>
      </c>
      <c r="P919" s="1" t="n">
        <f aca="false">MONTH(B919)</f>
        <v>7</v>
      </c>
      <c r="Q919" s="1" t="str">
        <f aca="false">TEXT(B919,"mmm")</f>
        <v>Jul</v>
      </c>
      <c r="R919" s="1" t="str">
        <f aca="false">"Q"&amp;ROUNDUP(MONTH(B919)/3,0)</f>
        <v>Q3</v>
      </c>
    </row>
    <row r="920" customFormat="false" ht="15" hidden="false" customHeight="true" outlineLevel="0" collapsed="false">
      <c r="A920" s="1" t="n">
        <v>10919</v>
      </c>
      <c r="B920" s="14" t="n">
        <v>45480</v>
      </c>
      <c r="C920" s="1" t="n">
        <v>1814</v>
      </c>
      <c r="D920" s="1" t="s">
        <v>34</v>
      </c>
      <c r="E920" s="1" t="s">
        <v>35</v>
      </c>
      <c r="F920" s="1" t="n">
        <v>2</v>
      </c>
      <c r="G920" s="15" t="n">
        <v>380.37</v>
      </c>
      <c r="H920" s="16" t="n">
        <v>0.32</v>
      </c>
      <c r="I920" s="1" t="s">
        <v>33</v>
      </c>
      <c r="J920" s="1" t="n">
        <v>9</v>
      </c>
      <c r="K920" s="1" t="n">
        <v>2.9</v>
      </c>
      <c r="L920" s="15" t="n">
        <v>517.3</v>
      </c>
      <c r="M920" s="15" t="n">
        <f aca="false">F920*G920</f>
        <v>760.74</v>
      </c>
      <c r="N920" s="15" t="n">
        <f aca="false">M920-L920</f>
        <v>243.44</v>
      </c>
      <c r="O920" s="1" t="n">
        <f aca="false">YEAR(B920)</f>
        <v>2024</v>
      </c>
      <c r="P920" s="1" t="n">
        <f aca="false">MONTH(B920)</f>
        <v>7</v>
      </c>
      <c r="Q920" s="1" t="str">
        <f aca="false">TEXT(B920,"mmm")</f>
        <v>Jul</v>
      </c>
      <c r="R920" s="1" t="str">
        <f aca="false">"Q"&amp;ROUNDUP(MONTH(B920)/3,0)</f>
        <v>Q3</v>
      </c>
    </row>
    <row r="921" customFormat="false" ht="15" hidden="false" customHeight="true" outlineLevel="0" collapsed="false">
      <c r="A921" s="1" t="n">
        <v>10920</v>
      </c>
      <c r="B921" s="14" t="n">
        <v>45481</v>
      </c>
      <c r="C921" s="1" t="n">
        <v>1148</v>
      </c>
      <c r="D921" s="1" t="s">
        <v>34</v>
      </c>
      <c r="E921" s="1" t="s">
        <v>32</v>
      </c>
      <c r="F921" s="1" t="n">
        <v>1</v>
      </c>
      <c r="G921" s="15" t="n">
        <v>578.34</v>
      </c>
      <c r="H921" s="16" t="n">
        <v>0.01</v>
      </c>
      <c r="I921" s="1" t="s">
        <v>31</v>
      </c>
      <c r="J921" s="1" t="n">
        <v>9</v>
      </c>
      <c r="K921" s="1" t="n">
        <v>4</v>
      </c>
      <c r="L921" s="15" t="n">
        <v>572.56</v>
      </c>
      <c r="M921" s="15" t="n">
        <f aca="false">F921*G921</f>
        <v>578.34</v>
      </c>
      <c r="N921" s="15" t="n">
        <f aca="false">M921-L921</f>
        <v>5.78000000000009</v>
      </c>
      <c r="O921" s="1" t="n">
        <f aca="false">YEAR(B921)</f>
        <v>2024</v>
      </c>
      <c r="P921" s="1" t="n">
        <f aca="false">MONTH(B921)</f>
        <v>7</v>
      </c>
      <c r="Q921" s="1" t="str">
        <f aca="false">TEXT(B921,"mmm")</f>
        <v>Jul</v>
      </c>
      <c r="R921" s="1" t="str">
        <f aca="false">"Q"&amp;ROUNDUP(MONTH(B921)/3,0)</f>
        <v>Q3</v>
      </c>
    </row>
    <row r="922" customFormat="false" ht="15" hidden="false" customHeight="true" outlineLevel="0" collapsed="false">
      <c r="A922" s="1" t="n">
        <v>10921</v>
      </c>
      <c r="B922" s="14" t="n">
        <v>45482</v>
      </c>
      <c r="C922" s="1" t="n">
        <v>1079</v>
      </c>
      <c r="D922" s="1" t="s">
        <v>30</v>
      </c>
      <c r="E922" s="1" t="s">
        <v>28</v>
      </c>
      <c r="F922" s="1" t="n">
        <v>1</v>
      </c>
      <c r="G922" s="15" t="n">
        <v>501.45</v>
      </c>
      <c r="H922" s="16" t="n">
        <v>0.14</v>
      </c>
      <c r="I922" s="1" t="s">
        <v>33</v>
      </c>
      <c r="J922" s="1" t="n">
        <v>2</v>
      </c>
      <c r="K922" s="1" t="n">
        <v>1.7</v>
      </c>
      <c r="L922" s="15" t="n">
        <v>431.25</v>
      </c>
      <c r="M922" s="15" t="n">
        <f aca="false">F922*G922</f>
        <v>501.45</v>
      </c>
      <c r="N922" s="15" t="n">
        <f aca="false">M922-L922</f>
        <v>70.2</v>
      </c>
      <c r="O922" s="1" t="n">
        <f aca="false">YEAR(B922)</f>
        <v>2024</v>
      </c>
      <c r="P922" s="1" t="n">
        <f aca="false">MONTH(B922)</f>
        <v>7</v>
      </c>
      <c r="Q922" s="1" t="str">
        <f aca="false">TEXT(B922,"mmm")</f>
        <v>Jul</v>
      </c>
      <c r="R922" s="1" t="str">
        <f aca="false">"Q"&amp;ROUNDUP(MONTH(B922)/3,0)</f>
        <v>Q3</v>
      </c>
    </row>
    <row r="923" customFormat="false" ht="15" hidden="false" customHeight="true" outlineLevel="0" collapsed="false">
      <c r="A923" s="1" t="n">
        <v>10922</v>
      </c>
      <c r="B923" s="14" t="n">
        <v>45483</v>
      </c>
      <c r="C923" s="1" t="n">
        <v>1885</v>
      </c>
      <c r="D923" s="1" t="s">
        <v>34</v>
      </c>
      <c r="E923" s="1" t="s">
        <v>32</v>
      </c>
      <c r="F923" s="1" t="n">
        <v>6</v>
      </c>
      <c r="G923" s="15" t="n">
        <v>286.18</v>
      </c>
      <c r="H923" s="16" t="n">
        <v>0.33</v>
      </c>
      <c r="I923" s="1" t="s">
        <v>29</v>
      </c>
      <c r="J923" s="1" t="n">
        <v>3</v>
      </c>
      <c r="K923" s="1" t="n">
        <v>3.3</v>
      </c>
      <c r="L923" s="15" t="n">
        <v>1150.44</v>
      </c>
      <c r="M923" s="15" t="n">
        <f aca="false">F923*G923</f>
        <v>1717.08</v>
      </c>
      <c r="N923" s="15" t="n">
        <f aca="false">M923-L923</f>
        <v>566.64</v>
      </c>
      <c r="O923" s="1" t="n">
        <f aca="false">YEAR(B923)</f>
        <v>2024</v>
      </c>
      <c r="P923" s="1" t="n">
        <f aca="false">MONTH(B923)</f>
        <v>7</v>
      </c>
      <c r="Q923" s="1" t="str">
        <f aca="false">TEXT(B923,"mmm")</f>
        <v>Jul</v>
      </c>
      <c r="R923" s="1" t="str">
        <f aca="false">"Q"&amp;ROUNDUP(MONTH(B923)/3,0)</f>
        <v>Q3</v>
      </c>
    </row>
    <row r="924" customFormat="false" ht="15" hidden="false" customHeight="true" outlineLevel="0" collapsed="false">
      <c r="A924" s="1" t="n">
        <v>10923</v>
      </c>
      <c r="B924" s="14" t="n">
        <v>45484</v>
      </c>
      <c r="C924" s="1" t="n">
        <v>1212</v>
      </c>
      <c r="D924" s="1" t="s">
        <v>30</v>
      </c>
      <c r="E924" s="1" t="s">
        <v>35</v>
      </c>
      <c r="F924" s="1" t="n">
        <v>5</v>
      </c>
      <c r="G924" s="15" t="n">
        <v>446.43</v>
      </c>
      <c r="H924" s="16" t="n">
        <v>0.09</v>
      </c>
      <c r="I924" s="1" t="s">
        <v>31</v>
      </c>
      <c r="J924" s="1" t="n">
        <v>4</v>
      </c>
      <c r="K924" s="1" t="n">
        <v>4.6</v>
      </c>
      <c r="L924" s="15" t="n">
        <v>2031.26</v>
      </c>
      <c r="M924" s="15" t="n">
        <f aca="false">F924*G924</f>
        <v>2232.15</v>
      </c>
      <c r="N924" s="15" t="n">
        <f aca="false">M924-L924</f>
        <v>200.89</v>
      </c>
      <c r="O924" s="1" t="n">
        <f aca="false">YEAR(B924)</f>
        <v>2024</v>
      </c>
      <c r="P924" s="1" t="n">
        <f aca="false">MONTH(B924)</f>
        <v>7</v>
      </c>
      <c r="Q924" s="1" t="str">
        <f aca="false">TEXT(B924,"mmm")</f>
        <v>Jul</v>
      </c>
      <c r="R924" s="1" t="str">
        <f aca="false">"Q"&amp;ROUNDUP(MONTH(B924)/3,0)</f>
        <v>Q3</v>
      </c>
    </row>
    <row r="925" customFormat="false" ht="15" hidden="false" customHeight="true" outlineLevel="0" collapsed="false">
      <c r="A925" s="1" t="n">
        <v>10924</v>
      </c>
      <c r="B925" s="14" t="n">
        <v>45485</v>
      </c>
      <c r="C925" s="1" t="n">
        <v>1202</v>
      </c>
      <c r="D925" s="1" t="s">
        <v>27</v>
      </c>
      <c r="E925" s="1" t="s">
        <v>35</v>
      </c>
      <c r="F925" s="1" t="n">
        <v>3</v>
      </c>
      <c r="G925" s="15" t="n">
        <v>89.96</v>
      </c>
      <c r="H925" s="16" t="n">
        <v>0.33</v>
      </c>
      <c r="I925" s="1" t="s">
        <v>29</v>
      </c>
      <c r="J925" s="1" t="n">
        <v>6</v>
      </c>
      <c r="K925" s="1" t="n">
        <v>1.1</v>
      </c>
      <c r="L925" s="15" t="n">
        <v>180.82</v>
      </c>
      <c r="M925" s="15" t="n">
        <f aca="false">F925*G925</f>
        <v>269.88</v>
      </c>
      <c r="N925" s="15" t="n">
        <f aca="false">M925-L925</f>
        <v>89.06</v>
      </c>
      <c r="O925" s="1" t="n">
        <f aca="false">YEAR(B925)</f>
        <v>2024</v>
      </c>
      <c r="P925" s="1" t="n">
        <f aca="false">MONTH(B925)</f>
        <v>7</v>
      </c>
      <c r="Q925" s="1" t="str">
        <f aca="false">TEXT(B925,"mmm")</f>
        <v>Jul</v>
      </c>
      <c r="R925" s="1" t="str">
        <f aca="false">"Q"&amp;ROUNDUP(MONTH(B925)/3,0)</f>
        <v>Q3</v>
      </c>
    </row>
    <row r="926" customFormat="false" ht="15" hidden="false" customHeight="true" outlineLevel="0" collapsed="false">
      <c r="A926" s="1" t="n">
        <v>10925</v>
      </c>
      <c r="B926" s="14" t="n">
        <v>45486</v>
      </c>
      <c r="C926" s="1" t="n">
        <v>1763</v>
      </c>
      <c r="D926" s="1" t="s">
        <v>27</v>
      </c>
      <c r="E926" s="1" t="s">
        <v>28</v>
      </c>
      <c r="F926" s="1" t="n">
        <v>6</v>
      </c>
      <c r="G926" s="15" t="n">
        <v>314.58</v>
      </c>
      <c r="H926" s="16" t="n">
        <v>0.33</v>
      </c>
      <c r="I926" s="1" t="s">
        <v>31</v>
      </c>
      <c r="J926" s="1" t="n">
        <v>5</v>
      </c>
      <c r="K926" s="1" t="n">
        <v>3.7</v>
      </c>
      <c r="L926" s="15" t="n">
        <v>1264.61</v>
      </c>
      <c r="M926" s="15" t="n">
        <f aca="false">F926*G926</f>
        <v>1887.48</v>
      </c>
      <c r="N926" s="15" t="n">
        <f aca="false">M926-L926</f>
        <v>622.87</v>
      </c>
      <c r="O926" s="1" t="n">
        <f aca="false">YEAR(B926)</f>
        <v>2024</v>
      </c>
      <c r="P926" s="1" t="n">
        <f aca="false">MONTH(B926)</f>
        <v>7</v>
      </c>
      <c r="Q926" s="1" t="str">
        <f aca="false">TEXT(B926,"mmm")</f>
        <v>Jul</v>
      </c>
      <c r="R926" s="1" t="str">
        <f aca="false">"Q"&amp;ROUNDUP(MONTH(B926)/3,0)</f>
        <v>Q3</v>
      </c>
    </row>
    <row r="927" customFormat="false" ht="15" hidden="false" customHeight="true" outlineLevel="0" collapsed="false">
      <c r="A927" s="1" t="n">
        <v>10926</v>
      </c>
      <c r="B927" s="14" t="n">
        <v>45487</v>
      </c>
      <c r="C927" s="1" t="n">
        <v>1228</v>
      </c>
      <c r="D927" s="1" t="s">
        <v>37</v>
      </c>
      <c r="E927" s="1" t="s">
        <v>32</v>
      </c>
      <c r="F927" s="1" t="n">
        <v>4</v>
      </c>
      <c r="G927" s="15" t="n">
        <v>178.25</v>
      </c>
      <c r="H927" s="16" t="n">
        <v>0.31</v>
      </c>
      <c r="I927" s="1" t="s">
        <v>29</v>
      </c>
      <c r="J927" s="1" t="n">
        <v>6</v>
      </c>
      <c r="K927" s="1" t="n">
        <v>3.2</v>
      </c>
      <c r="L927" s="15" t="n">
        <v>491.97</v>
      </c>
      <c r="M927" s="15" t="n">
        <f aca="false">F927*G927</f>
        <v>713</v>
      </c>
      <c r="N927" s="15" t="n">
        <f aca="false">M927-L927</f>
        <v>221.03</v>
      </c>
      <c r="O927" s="1" t="n">
        <f aca="false">YEAR(B927)</f>
        <v>2024</v>
      </c>
      <c r="P927" s="1" t="n">
        <f aca="false">MONTH(B927)</f>
        <v>7</v>
      </c>
      <c r="Q927" s="1" t="str">
        <f aca="false">TEXT(B927,"mmm")</f>
        <v>Jul</v>
      </c>
      <c r="R927" s="1" t="str">
        <f aca="false">"Q"&amp;ROUNDUP(MONTH(B927)/3,0)</f>
        <v>Q3</v>
      </c>
    </row>
    <row r="928" customFormat="false" ht="15" hidden="false" customHeight="true" outlineLevel="0" collapsed="false">
      <c r="A928" s="1" t="n">
        <v>10927</v>
      </c>
      <c r="B928" s="14" t="n">
        <v>45488</v>
      </c>
      <c r="C928" s="1" t="n">
        <v>1675</v>
      </c>
      <c r="D928" s="1" t="s">
        <v>34</v>
      </c>
      <c r="E928" s="1" t="s">
        <v>28</v>
      </c>
      <c r="F928" s="1" t="n">
        <v>6</v>
      </c>
      <c r="G928" s="15" t="n">
        <v>109.28</v>
      </c>
      <c r="H928" s="16" t="n">
        <v>0.2</v>
      </c>
      <c r="I928" s="1" t="s">
        <v>29</v>
      </c>
      <c r="J928" s="1" t="n">
        <v>11</v>
      </c>
      <c r="K928" s="1" t="n">
        <v>4.8</v>
      </c>
      <c r="L928" s="15" t="n">
        <v>524.54</v>
      </c>
      <c r="M928" s="15" t="n">
        <f aca="false">F928*G928</f>
        <v>655.68</v>
      </c>
      <c r="N928" s="15" t="n">
        <f aca="false">M928-L928</f>
        <v>131.14</v>
      </c>
      <c r="O928" s="1" t="n">
        <f aca="false">YEAR(B928)</f>
        <v>2024</v>
      </c>
      <c r="P928" s="1" t="n">
        <f aca="false">MONTH(B928)</f>
        <v>7</v>
      </c>
      <c r="Q928" s="1" t="str">
        <f aca="false">TEXT(B928,"mmm")</f>
        <v>Jul</v>
      </c>
      <c r="R928" s="1" t="str">
        <f aca="false">"Q"&amp;ROUNDUP(MONTH(B928)/3,0)</f>
        <v>Q3</v>
      </c>
    </row>
    <row r="929" customFormat="false" ht="15" hidden="false" customHeight="true" outlineLevel="0" collapsed="false">
      <c r="A929" s="1" t="n">
        <v>10928</v>
      </c>
      <c r="B929" s="14" t="n">
        <v>45489</v>
      </c>
      <c r="C929" s="1" t="n">
        <v>1226</v>
      </c>
      <c r="D929" s="1" t="s">
        <v>27</v>
      </c>
      <c r="E929" s="1" t="s">
        <v>36</v>
      </c>
      <c r="F929" s="1" t="n">
        <v>4</v>
      </c>
      <c r="G929" s="15" t="n">
        <v>264.37</v>
      </c>
      <c r="H929" s="16" t="n">
        <v>0.23</v>
      </c>
      <c r="I929" s="1" t="s">
        <v>31</v>
      </c>
      <c r="J929" s="1" t="n">
        <v>8</v>
      </c>
      <c r="K929" s="1" t="n">
        <v>2</v>
      </c>
      <c r="L929" s="15" t="n">
        <v>814.26</v>
      </c>
      <c r="M929" s="15" t="n">
        <f aca="false">F929*G929</f>
        <v>1057.48</v>
      </c>
      <c r="N929" s="15" t="n">
        <f aca="false">M929-L929</f>
        <v>243.22</v>
      </c>
      <c r="O929" s="1" t="n">
        <f aca="false">YEAR(B929)</f>
        <v>2024</v>
      </c>
      <c r="P929" s="1" t="n">
        <f aca="false">MONTH(B929)</f>
        <v>7</v>
      </c>
      <c r="Q929" s="1" t="str">
        <f aca="false">TEXT(B929,"mmm")</f>
        <v>Jul</v>
      </c>
      <c r="R929" s="1" t="str">
        <f aca="false">"Q"&amp;ROUNDUP(MONTH(B929)/3,0)</f>
        <v>Q3</v>
      </c>
    </row>
    <row r="930" customFormat="false" ht="15" hidden="false" customHeight="true" outlineLevel="0" collapsed="false">
      <c r="A930" s="1" t="n">
        <v>10929</v>
      </c>
      <c r="B930" s="14" t="n">
        <v>45490</v>
      </c>
      <c r="C930" s="1" t="n">
        <v>1658</v>
      </c>
      <c r="D930" s="1" t="s">
        <v>27</v>
      </c>
      <c r="E930" s="1" t="s">
        <v>36</v>
      </c>
      <c r="F930" s="1" t="n">
        <v>4</v>
      </c>
      <c r="G930" s="15" t="n">
        <v>91.64</v>
      </c>
      <c r="H930" s="16" t="n">
        <v>0.3</v>
      </c>
      <c r="I930" s="1" t="s">
        <v>31</v>
      </c>
      <c r="J930" s="1" t="n">
        <v>2</v>
      </c>
      <c r="K930" s="1" t="n">
        <v>4.4</v>
      </c>
      <c r="L930" s="15" t="n">
        <v>256.59</v>
      </c>
      <c r="M930" s="15" t="n">
        <f aca="false">F930*G930</f>
        <v>366.56</v>
      </c>
      <c r="N930" s="15" t="n">
        <f aca="false">M930-L930</f>
        <v>109.97</v>
      </c>
      <c r="O930" s="1" t="n">
        <f aca="false">YEAR(B930)</f>
        <v>2024</v>
      </c>
      <c r="P930" s="1" t="n">
        <f aca="false">MONTH(B930)</f>
        <v>7</v>
      </c>
      <c r="Q930" s="1" t="str">
        <f aca="false">TEXT(B930,"mmm")</f>
        <v>Jul</v>
      </c>
      <c r="R930" s="1" t="str">
        <f aca="false">"Q"&amp;ROUNDUP(MONTH(B930)/3,0)</f>
        <v>Q3</v>
      </c>
    </row>
    <row r="931" customFormat="false" ht="15" hidden="false" customHeight="true" outlineLevel="0" collapsed="false">
      <c r="A931" s="1" t="n">
        <v>10930</v>
      </c>
      <c r="B931" s="14" t="n">
        <v>45491</v>
      </c>
      <c r="C931" s="1" t="n">
        <v>1531</v>
      </c>
      <c r="D931" s="1" t="s">
        <v>34</v>
      </c>
      <c r="E931" s="1" t="s">
        <v>36</v>
      </c>
      <c r="F931" s="1" t="n">
        <v>2</v>
      </c>
      <c r="G931" s="15" t="n">
        <v>423.91</v>
      </c>
      <c r="H931" s="16" t="n">
        <v>0.27</v>
      </c>
      <c r="I931" s="1" t="s">
        <v>31</v>
      </c>
      <c r="J931" s="1" t="n">
        <v>6</v>
      </c>
      <c r="K931" s="1" t="n">
        <v>2.2</v>
      </c>
      <c r="L931" s="15" t="n">
        <v>618.91</v>
      </c>
      <c r="M931" s="15" t="n">
        <f aca="false">F931*G931</f>
        <v>847.82</v>
      </c>
      <c r="N931" s="15" t="n">
        <f aca="false">M931-L931</f>
        <v>228.91</v>
      </c>
      <c r="O931" s="1" t="n">
        <f aca="false">YEAR(B931)</f>
        <v>2024</v>
      </c>
      <c r="P931" s="1" t="n">
        <f aca="false">MONTH(B931)</f>
        <v>7</v>
      </c>
      <c r="Q931" s="1" t="str">
        <f aca="false">TEXT(B931,"mmm")</f>
        <v>Jul</v>
      </c>
      <c r="R931" s="1" t="str">
        <f aca="false">"Q"&amp;ROUNDUP(MONTH(B931)/3,0)</f>
        <v>Q3</v>
      </c>
    </row>
    <row r="932" customFormat="false" ht="15" hidden="false" customHeight="true" outlineLevel="0" collapsed="false">
      <c r="A932" s="1" t="n">
        <v>10931</v>
      </c>
      <c r="B932" s="14" t="n">
        <v>45492</v>
      </c>
      <c r="C932" s="1" t="n">
        <v>1440</v>
      </c>
      <c r="D932" s="1" t="s">
        <v>37</v>
      </c>
      <c r="E932" s="1" t="s">
        <v>32</v>
      </c>
      <c r="F932" s="1" t="n">
        <v>2</v>
      </c>
      <c r="G932" s="15" t="n">
        <v>281.9</v>
      </c>
      <c r="H932" s="16" t="n">
        <v>0.22</v>
      </c>
      <c r="I932" s="1" t="s">
        <v>29</v>
      </c>
      <c r="J932" s="1" t="n">
        <v>9</v>
      </c>
      <c r="K932" s="1" t="n">
        <v>2.7</v>
      </c>
      <c r="L932" s="15" t="n">
        <v>439.76</v>
      </c>
      <c r="M932" s="15" t="n">
        <f aca="false">F932*G932</f>
        <v>563.8</v>
      </c>
      <c r="N932" s="15" t="n">
        <f aca="false">M932-L932</f>
        <v>124.04</v>
      </c>
      <c r="O932" s="1" t="n">
        <f aca="false">YEAR(B932)</f>
        <v>2024</v>
      </c>
      <c r="P932" s="1" t="n">
        <f aca="false">MONTH(B932)</f>
        <v>7</v>
      </c>
      <c r="Q932" s="1" t="str">
        <f aca="false">TEXT(B932,"mmm")</f>
        <v>Jul</v>
      </c>
      <c r="R932" s="1" t="str">
        <f aca="false">"Q"&amp;ROUNDUP(MONTH(B932)/3,0)</f>
        <v>Q3</v>
      </c>
    </row>
    <row r="933" customFormat="false" ht="15" hidden="false" customHeight="true" outlineLevel="0" collapsed="false">
      <c r="A933" s="1" t="n">
        <v>10932</v>
      </c>
      <c r="B933" s="14" t="n">
        <v>45493</v>
      </c>
      <c r="C933" s="1" t="n">
        <v>1401</v>
      </c>
      <c r="D933" s="1" t="s">
        <v>34</v>
      </c>
      <c r="E933" s="1" t="s">
        <v>36</v>
      </c>
      <c r="F933" s="1" t="n">
        <v>4</v>
      </c>
      <c r="G933" s="15" t="n">
        <v>325.72</v>
      </c>
      <c r="H933" s="16" t="n">
        <v>0.34</v>
      </c>
      <c r="I933" s="1" t="s">
        <v>29</v>
      </c>
      <c r="J933" s="1" t="n">
        <v>5</v>
      </c>
      <c r="K933" s="1" t="n">
        <v>1.9</v>
      </c>
      <c r="L933" s="15" t="n">
        <v>859.9</v>
      </c>
      <c r="M933" s="15" t="n">
        <f aca="false">F933*G933</f>
        <v>1302.88</v>
      </c>
      <c r="N933" s="15" t="n">
        <f aca="false">M933-L933</f>
        <v>442.98</v>
      </c>
      <c r="O933" s="1" t="n">
        <f aca="false">YEAR(B933)</f>
        <v>2024</v>
      </c>
      <c r="P933" s="1" t="n">
        <f aca="false">MONTH(B933)</f>
        <v>7</v>
      </c>
      <c r="Q933" s="1" t="str">
        <f aca="false">TEXT(B933,"mmm")</f>
        <v>Jul</v>
      </c>
      <c r="R933" s="1" t="str">
        <f aca="false">"Q"&amp;ROUNDUP(MONTH(B933)/3,0)</f>
        <v>Q3</v>
      </c>
    </row>
    <row r="934" customFormat="false" ht="15" hidden="false" customHeight="true" outlineLevel="0" collapsed="false">
      <c r="A934" s="1" t="n">
        <v>10933</v>
      </c>
      <c r="B934" s="14" t="n">
        <v>45494</v>
      </c>
      <c r="C934" s="1" t="n">
        <v>1046</v>
      </c>
      <c r="D934" s="1" t="s">
        <v>37</v>
      </c>
      <c r="E934" s="1" t="s">
        <v>28</v>
      </c>
      <c r="F934" s="1" t="n">
        <v>5</v>
      </c>
      <c r="G934" s="15" t="n">
        <v>100.63</v>
      </c>
      <c r="H934" s="16" t="n">
        <v>0.24</v>
      </c>
      <c r="I934" s="1" t="s">
        <v>31</v>
      </c>
      <c r="J934" s="1" t="n">
        <v>1</v>
      </c>
      <c r="K934" s="1" t="n">
        <v>4.5</v>
      </c>
      <c r="L934" s="15" t="n">
        <v>382.39</v>
      </c>
      <c r="M934" s="15" t="n">
        <f aca="false">F934*G934</f>
        <v>503.15</v>
      </c>
      <c r="N934" s="15" t="n">
        <f aca="false">M934-L934</f>
        <v>120.76</v>
      </c>
      <c r="O934" s="1" t="n">
        <f aca="false">YEAR(B934)</f>
        <v>2024</v>
      </c>
      <c r="P934" s="1" t="n">
        <f aca="false">MONTH(B934)</f>
        <v>7</v>
      </c>
      <c r="Q934" s="1" t="str">
        <f aca="false">TEXT(B934,"mmm")</f>
        <v>Jul</v>
      </c>
      <c r="R934" s="1" t="str">
        <f aca="false">"Q"&amp;ROUNDUP(MONTH(B934)/3,0)</f>
        <v>Q3</v>
      </c>
    </row>
    <row r="935" customFormat="false" ht="15" hidden="false" customHeight="true" outlineLevel="0" collapsed="false">
      <c r="A935" s="1" t="n">
        <v>10934</v>
      </c>
      <c r="B935" s="14" t="n">
        <v>45495</v>
      </c>
      <c r="C935" s="1" t="n">
        <v>1232</v>
      </c>
      <c r="D935" s="1" t="s">
        <v>27</v>
      </c>
      <c r="E935" s="1" t="s">
        <v>32</v>
      </c>
      <c r="F935" s="1" t="n">
        <v>2</v>
      </c>
      <c r="G935" s="15" t="n">
        <v>96.77</v>
      </c>
      <c r="H935" s="16" t="n">
        <v>0.34</v>
      </c>
      <c r="I935" s="1" t="s">
        <v>33</v>
      </c>
      <c r="J935" s="1" t="n">
        <v>8</v>
      </c>
      <c r="K935" s="1" t="n">
        <v>1.8</v>
      </c>
      <c r="L935" s="15" t="n">
        <v>127.74</v>
      </c>
      <c r="M935" s="15" t="n">
        <f aca="false">F935*G935</f>
        <v>193.54</v>
      </c>
      <c r="N935" s="15" t="n">
        <f aca="false">M935-L935</f>
        <v>65.8</v>
      </c>
      <c r="O935" s="1" t="n">
        <f aca="false">YEAR(B935)</f>
        <v>2024</v>
      </c>
      <c r="P935" s="1" t="n">
        <f aca="false">MONTH(B935)</f>
        <v>7</v>
      </c>
      <c r="Q935" s="1" t="str">
        <f aca="false">TEXT(B935,"mmm")</f>
        <v>Jul</v>
      </c>
      <c r="R935" s="1" t="str">
        <f aca="false">"Q"&amp;ROUNDUP(MONTH(B935)/3,0)</f>
        <v>Q3</v>
      </c>
    </row>
    <row r="936" customFormat="false" ht="15" hidden="false" customHeight="true" outlineLevel="0" collapsed="false">
      <c r="A936" s="1" t="n">
        <v>10935</v>
      </c>
      <c r="B936" s="14" t="n">
        <v>45496</v>
      </c>
      <c r="C936" s="1" t="n">
        <v>1304</v>
      </c>
      <c r="D936" s="1" t="s">
        <v>34</v>
      </c>
      <c r="E936" s="1" t="s">
        <v>28</v>
      </c>
      <c r="F936" s="1" t="n">
        <v>2</v>
      </c>
      <c r="G936" s="15" t="n">
        <v>356.3</v>
      </c>
      <c r="H936" s="16" t="n">
        <v>0.02</v>
      </c>
      <c r="I936" s="1" t="s">
        <v>31</v>
      </c>
      <c r="J936" s="1" t="n">
        <v>4</v>
      </c>
      <c r="K936" s="1" t="n">
        <v>4.4</v>
      </c>
      <c r="L936" s="15" t="n">
        <v>698.35</v>
      </c>
      <c r="M936" s="15" t="n">
        <f aca="false">F936*G936</f>
        <v>712.6</v>
      </c>
      <c r="N936" s="15" t="n">
        <f aca="false">M936-L936</f>
        <v>14.25</v>
      </c>
      <c r="O936" s="1" t="n">
        <f aca="false">YEAR(B936)</f>
        <v>2024</v>
      </c>
      <c r="P936" s="1" t="n">
        <f aca="false">MONTH(B936)</f>
        <v>7</v>
      </c>
      <c r="Q936" s="1" t="str">
        <f aca="false">TEXT(B936,"mmm")</f>
        <v>Jul</v>
      </c>
      <c r="R936" s="1" t="str">
        <f aca="false">"Q"&amp;ROUNDUP(MONTH(B936)/3,0)</f>
        <v>Q3</v>
      </c>
    </row>
    <row r="937" customFormat="false" ht="15" hidden="false" customHeight="true" outlineLevel="0" collapsed="false">
      <c r="A937" s="1" t="n">
        <v>10936</v>
      </c>
      <c r="B937" s="14" t="n">
        <v>45497</v>
      </c>
      <c r="C937" s="1" t="n">
        <v>1525</v>
      </c>
      <c r="D937" s="1" t="s">
        <v>27</v>
      </c>
      <c r="E937" s="1" t="s">
        <v>35</v>
      </c>
      <c r="F937" s="1" t="n">
        <v>1</v>
      </c>
      <c r="G937" s="15" t="n">
        <v>591.23</v>
      </c>
      <c r="H937" s="16" t="n">
        <v>0.05</v>
      </c>
      <c r="I937" s="1" t="s">
        <v>33</v>
      </c>
      <c r="J937" s="1" t="n">
        <v>8</v>
      </c>
      <c r="K937" s="1" t="n">
        <v>2.8</v>
      </c>
      <c r="L937" s="15" t="n">
        <v>561.67</v>
      </c>
      <c r="M937" s="15" t="n">
        <f aca="false">F937*G937</f>
        <v>591.23</v>
      </c>
      <c r="N937" s="15" t="n">
        <f aca="false">M937-L937</f>
        <v>29.5600000000001</v>
      </c>
      <c r="O937" s="1" t="n">
        <f aca="false">YEAR(B937)</f>
        <v>2024</v>
      </c>
      <c r="P937" s="1" t="n">
        <f aca="false">MONTH(B937)</f>
        <v>7</v>
      </c>
      <c r="Q937" s="1" t="str">
        <f aca="false">TEXT(B937,"mmm")</f>
        <v>Jul</v>
      </c>
      <c r="R937" s="1" t="str">
        <f aca="false">"Q"&amp;ROUNDUP(MONTH(B937)/3,0)</f>
        <v>Q3</v>
      </c>
    </row>
    <row r="938" customFormat="false" ht="15" hidden="false" customHeight="true" outlineLevel="0" collapsed="false">
      <c r="A938" s="1" t="n">
        <v>10937</v>
      </c>
      <c r="B938" s="14" t="n">
        <v>45498</v>
      </c>
      <c r="C938" s="1" t="n">
        <v>1142</v>
      </c>
      <c r="D938" s="1" t="s">
        <v>30</v>
      </c>
      <c r="E938" s="1" t="s">
        <v>32</v>
      </c>
      <c r="F938" s="1" t="n">
        <v>6</v>
      </c>
      <c r="G938" s="15" t="n">
        <v>71.31</v>
      </c>
      <c r="H938" s="16" t="n">
        <v>0.16</v>
      </c>
      <c r="I938" s="1" t="s">
        <v>29</v>
      </c>
      <c r="J938" s="1" t="n">
        <v>4</v>
      </c>
      <c r="K938" s="1" t="n">
        <v>4.3</v>
      </c>
      <c r="L938" s="15" t="n">
        <v>359.4</v>
      </c>
      <c r="M938" s="15" t="n">
        <f aca="false">F938*G938</f>
        <v>427.86</v>
      </c>
      <c r="N938" s="15" t="n">
        <f aca="false">M938-L938</f>
        <v>68.46</v>
      </c>
      <c r="O938" s="1" t="n">
        <f aca="false">YEAR(B938)</f>
        <v>2024</v>
      </c>
      <c r="P938" s="1" t="n">
        <f aca="false">MONTH(B938)</f>
        <v>7</v>
      </c>
      <c r="Q938" s="1" t="str">
        <f aca="false">TEXT(B938,"mmm")</f>
        <v>Jul</v>
      </c>
      <c r="R938" s="1" t="str">
        <f aca="false">"Q"&amp;ROUNDUP(MONTH(B938)/3,0)</f>
        <v>Q3</v>
      </c>
    </row>
    <row r="939" customFormat="false" ht="15" hidden="false" customHeight="true" outlineLevel="0" collapsed="false">
      <c r="A939" s="1" t="n">
        <v>10938</v>
      </c>
      <c r="B939" s="14" t="n">
        <v>45499</v>
      </c>
      <c r="C939" s="1" t="n">
        <v>1414</v>
      </c>
      <c r="D939" s="1" t="s">
        <v>27</v>
      </c>
      <c r="E939" s="1" t="s">
        <v>28</v>
      </c>
      <c r="F939" s="1" t="n">
        <v>1</v>
      </c>
      <c r="G939" s="15" t="n">
        <v>182.15</v>
      </c>
      <c r="H939" s="16" t="n">
        <v>0.13</v>
      </c>
      <c r="I939" s="1" t="s">
        <v>31</v>
      </c>
      <c r="J939" s="1" t="n">
        <v>11</v>
      </c>
      <c r="K939" s="1" t="n">
        <v>2.1</v>
      </c>
      <c r="L939" s="15" t="n">
        <v>158.47</v>
      </c>
      <c r="M939" s="15" t="n">
        <f aca="false">F939*G939</f>
        <v>182.15</v>
      </c>
      <c r="N939" s="15" t="n">
        <f aca="false">M939-L939</f>
        <v>23.68</v>
      </c>
      <c r="O939" s="1" t="n">
        <f aca="false">YEAR(B939)</f>
        <v>2024</v>
      </c>
      <c r="P939" s="1" t="n">
        <f aca="false">MONTH(B939)</f>
        <v>7</v>
      </c>
      <c r="Q939" s="1" t="str">
        <f aca="false">TEXT(B939,"mmm")</f>
        <v>Jul</v>
      </c>
      <c r="R939" s="1" t="str">
        <f aca="false">"Q"&amp;ROUNDUP(MONTH(B939)/3,0)</f>
        <v>Q3</v>
      </c>
    </row>
    <row r="940" customFormat="false" ht="15" hidden="false" customHeight="true" outlineLevel="0" collapsed="false">
      <c r="A940" s="1" t="n">
        <v>10939</v>
      </c>
      <c r="B940" s="14" t="n">
        <v>45500</v>
      </c>
      <c r="C940" s="1" t="n">
        <v>1512</v>
      </c>
      <c r="D940" s="1" t="s">
        <v>30</v>
      </c>
      <c r="E940" s="1" t="s">
        <v>28</v>
      </c>
      <c r="F940" s="1" t="n">
        <v>5</v>
      </c>
      <c r="G940" s="15" t="n">
        <v>523.63</v>
      </c>
      <c r="H940" s="16" t="n">
        <v>0.27</v>
      </c>
      <c r="I940" s="1" t="s">
        <v>29</v>
      </c>
      <c r="J940" s="1" t="n">
        <v>8</v>
      </c>
      <c r="K940" s="1" t="n">
        <v>1.5</v>
      </c>
      <c r="L940" s="15" t="n">
        <v>1911.25</v>
      </c>
      <c r="M940" s="15" t="n">
        <f aca="false">F940*G940</f>
        <v>2618.15</v>
      </c>
      <c r="N940" s="15" t="n">
        <f aca="false">M940-L940</f>
        <v>706.9</v>
      </c>
      <c r="O940" s="1" t="n">
        <f aca="false">YEAR(B940)</f>
        <v>2024</v>
      </c>
      <c r="P940" s="1" t="n">
        <f aca="false">MONTH(B940)</f>
        <v>7</v>
      </c>
      <c r="Q940" s="1" t="str">
        <f aca="false">TEXT(B940,"mmm")</f>
        <v>Jul</v>
      </c>
      <c r="R940" s="1" t="str">
        <f aca="false">"Q"&amp;ROUNDUP(MONTH(B940)/3,0)</f>
        <v>Q3</v>
      </c>
    </row>
    <row r="941" customFormat="false" ht="15" hidden="false" customHeight="true" outlineLevel="0" collapsed="false">
      <c r="A941" s="1" t="n">
        <v>10940</v>
      </c>
      <c r="B941" s="14" t="n">
        <v>45501</v>
      </c>
      <c r="C941" s="1" t="n">
        <v>1372</v>
      </c>
      <c r="D941" s="1" t="s">
        <v>37</v>
      </c>
      <c r="E941" s="1" t="s">
        <v>32</v>
      </c>
      <c r="F941" s="1" t="n">
        <v>2</v>
      </c>
      <c r="G941" s="15" t="n">
        <v>57.28</v>
      </c>
      <c r="H941" s="16" t="n">
        <v>0.06</v>
      </c>
      <c r="I941" s="1" t="s">
        <v>29</v>
      </c>
      <c r="J941" s="1" t="n">
        <v>9</v>
      </c>
      <c r="K941" s="1" t="n">
        <v>3.2</v>
      </c>
      <c r="L941" s="15" t="n">
        <v>107.69</v>
      </c>
      <c r="M941" s="15" t="n">
        <f aca="false">F941*G941</f>
        <v>114.56</v>
      </c>
      <c r="N941" s="15" t="n">
        <f aca="false">M941-L941</f>
        <v>6.87</v>
      </c>
      <c r="O941" s="1" t="n">
        <f aca="false">YEAR(B941)</f>
        <v>2024</v>
      </c>
      <c r="P941" s="1" t="n">
        <f aca="false">MONTH(B941)</f>
        <v>7</v>
      </c>
      <c r="Q941" s="1" t="str">
        <f aca="false">TEXT(B941,"mmm")</f>
        <v>Jul</v>
      </c>
      <c r="R941" s="1" t="str">
        <f aca="false">"Q"&amp;ROUNDUP(MONTH(B941)/3,0)</f>
        <v>Q3</v>
      </c>
    </row>
    <row r="942" customFormat="false" ht="15" hidden="false" customHeight="true" outlineLevel="0" collapsed="false">
      <c r="A942" s="1" t="n">
        <v>10941</v>
      </c>
      <c r="B942" s="14" t="n">
        <v>45502</v>
      </c>
      <c r="C942" s="1" t="n">
        <v>1565</v>
      </c>
      <c r="D942" s="1" t="s">
        <v>34</v>
      </c>
      <c r="E942" s="1" t="s">
        <v>35</v>
      </c>
      <c r="F942" s="1" t="n">
        <v>7</v>
      </c>
      <c r="G942" s="15" t="n">
        <v>527.39</v>
      </c>
      <c r="H942" s="16" t="n">
        <v>0.34</v>
      </c>
      <c r="I942" s="1" t="s">
        <v>29</v>
      </c>
      <c r="J942" s="1" t="n">
        <v>5</v>
      </c>
      <c r="K942" s="1" t="n">
        <v>3</v>
      </c>
      <c r="L942" s="15" t="n">
        <v>2436.54</v>
      </c>
      <c r="M942" s="15" t="n">
        <f aca="false">F942*G942</f>
        <v>3691.73</v>
      </c>
      <c r="N942" s="15" t="n">
        <f aca="false">M942-L942</f>
        <v>1255.19</v>
      </c>
      <c r="O942" s="1" t="n">
        <f aca="false">YEAR(B942)</f>
        <v>2024</v>
      </c>
      <c r="P942" s="1" t="n">
        <f aca="false">MONTH(B942)</f>
        <v>7</v>
      </c>
      <c r="Q942" s="1" t="str">
        <f aca="false">TEXT(B942,"mmm")</f>
        <v>Jul</v>
      </c>
      <c r="R942" s="1" t="str">
        <f aca="false">"Q"&amp;ROUNDUP(MONTH(B942)/3,0)</f>
        <v>Q3</v>
      </c>
    </row>
    <row r="943" customFormat="false" ht="15" hidden="false" customHeight="true" outlineLevel="0" collapsed="false">
      <c r="A943" s="1" t="n">
        <v>10942</v>
      </c>
      <c r="B943" s="14" t="n">
        <v>45503</v>
      </c>
      <c r="C943" s="1" t="n">
        <v>1885</v>
      </c>
      <c r="D943" s="1" t="s">
        <v>34</v>
      </c>
      <c r="E943" s="1" t="s">
        <v>32</v>
      </c>
      <c r="F943" s="1" t="n">
        <v>2</v>
      </c>
      <c r="G943" s="15" t="n">
        <v>321.71</v>
      </c>
      <c r="H943" s="16" t="n">
        <v>0.11</v>
      </c>
      <c r="I943" s="1" t="s">
        <v>31</v>
      </c>
      <c r="J943" s="1" t="n">
        <v>5</v>
      </c>
      <c r="K943" s="1" t="n">
        <v>2.4</v>
      </c>
      <c r="L943" s="15" t="n">
        <v>572.64</v>
      </c>
      <c r="M943" s="15" t="n">
        <f aca="false">F943*G943</f>
        <v>643.42</v>
      </c>
      <c r="N943" s="15" t="n">
        <f aca="false">M943-L943</f>
        <v>70.78</v>
      </c>
      <c r="O943" s="1" t="n">
        <f aca="false">YEAR(B943)</f>
        <v>2024</v>
      </c>
      <c r="P943" s="1" t="n">
        <f aca="false">MONTH(B943)</f>
        <v>7</v>
      </c>
      <c r="Q943" s="1" t="str">
        <f aca="false">TEXT(B943,"mmm")</f>
        <v>Jul</v>
      </c>
      <c r="R943" s="1" t="str">
        <f aca="false">"Q"&amp;ROUNDUP(MONTH(B943)/3,0)</f>
        <v>Q3</v>
      </c>
    </row>
    <row r="944" customFormat="false" ht="15" hidden="false" customHeight="true" outlineLevel="0" collapsed="false">
      <c r="A944" s="1" t="n">
        <v>10943</v>
      </c>
      <c r="B944" s="14" t="n">
        <v>45504</v>
      </c>
      <c r="C944" s="1" t="n">
        <v>1258</v>
      </c>
      <c r="D944" s="1" t="s">
        <v>34</v>
      </c>
      <c r="E944" s="1" t="s">
        <v>36</v>
      </c>
      <c r="F944" s="1" t="n">
        <v>3</v>
      </c>
      <c r="G944" s="15" t="n">
        <v>253.84</v>
      </c>
      <c r="H944" s="16" t="n">
        <v>0.15</v>
      </c>
      <c r="I944" s="1" t="s">
        <v>31</v>
      </c>
      <c r="J944" s="1" t="n">
        <v>2</v>
      </c>
      <c r="K944" s="1" t="n">
        <v>3.7</v>
      </c>
      <c r="L944" s="15" t="n">
        <v>647.29</v>
      </c>
      <c r="M944" s="15" t="n">
        <f aca="false">F944*G944</f>
        <v>761.52</v>
      </c>
      <c r="N944" s="15" t="n">
        <f aca="false">M944-L944</f>
        <v>114.23</v>
      </c>
      <c r="O944" s="1" t="n">
        <f aca="false">YEAR(B944)</f>
        <v>2024</v>
      </c>
      <c r="P944" s="1" t="n">
        <f aca="false">MONTH(B944)</f>
        <v>7</v>
      </c>
      <c r="Q944" s="1" t="str">
        <f aca="false">TEXT(B944,"mmm")</f>
        <v>Jul</v>
      </c>
      <c r="R944" s="1" t="str">
        <f aca="false">"Q"&amp;ROUNDUP(MONTH(B944)/3,0)</f>
        <v>Q3</v>
      </c>
    </row>
    <row r="945" customFormat="false" ht="15" hidden="false" customHeight="true" outlineLevel="0" collapsed="false">
      <c r="A945" s="1" t="n">
        <v>10944</v>
      </c>
      <c r="B945" s="14" t="n">
        <v>45505</v>
      </c>
      <c r="C945" s="1" t="n">
        <v>1655</v>
      </c>
      <c r="D945" s="1" t="s">
        <v>27</v>
      </c>
      <c r="E945" s="1" t="s">
        <v>36</v>
      </c>
      <c r="F945" s="1" t="n">
        <v>5</v>
      </c>
      <c r="G945" s="15" t="n">
        <v>196.16</v>
      </c>
      <c r="H945" s="16" t="n">
        <v>0.1</v>
      </c>
      <c r="I945" s="1" t="s">
        <v>31</v>
      </c>
      <c r="J945" s="1" t="n">
        <v>9</v>
      </c>
      <c r="K945" s="1" t="n">
        <v>1.4</v>
      </c>
      <c r="L945" s="15" t="n">
        <v>882.72</v>
      </c>
      <c r="M945" s="15" t="n">
        <f aca="false">F945*G945</f>
        <v>980.8</v>
      </c>
      <c r="N945" s="15" t="n">
        <f aca="false">M945-L945</f>
        <v>98.0799999999999</v>
      </c>
      <c r="O945" s="1" t="n">
        <f aca="false">YEAR(B945)</f>
        <v>2024</v>
      </c>
      <c r="P945" s="1" t="n">
        <f aca="false">MONTH(B945)</f>
        <v>8</v>
      </c>
      <c r="Q945" s="1" t="str">
        <f aca="false">TEXT(B945,"mmm")</f>
        <v>Aug</v>
      </c>
      <c r="R945" s="1" t="str">
        <f aca="false">"Q"&amp;ROUNDUP(MONTH(B945)/3,0)</f>
        <v>Q3</v>
      </c>
    </row>
    <row r="946" customFormat="false" ht="15" hidden="false" customHeight="true" outlineLevel="0" collapsed="false">
      <c r="A946" s="1" t="n">
        <v>10945</v>
      </c>
      <c r="B946" s="14" t="n">
        <v>45506</v>
      </c>
      <c r="C946" s="1" t="n">
        <v>1470</v>
      </c>
      <c r="D946" s="1" t="s">
        <v>37</v>
      </c>
      <c r="E946" s="1" t="s">
        <v>35</v>
      </c>
      <c r="F946" s="1" t="n">
        <v>7</v>
      </c>
      <c r="G946" s="15" t="n">
        <v>188.81</v>
      </c>
      <c r="H946" s="16" t="n">
        <v>0.2</v>
      </c>
      <c r="I946" s="1" t="s">
        <v>33</v>
      </c>
      <c r="J946" s="1" t="n">
        <v>11</v>
      </c>
      <c r="K946" s="1" t="n">
        <v>3.5</v>
      </c>
      <c r="L946" s="15" t="n">
        <v>1057.34</v>
      </c>
      <c r="M946" s="15" t="n">
        <f aca="false">F946*G946</f>
        <v>1321.67</v>
      </c>
      <c r="N946" s="15" t="n">
        <f aca="false">M946-L946</f>
        <v>264.33</v>
      </c>
      <c r="O946" s="1" t="n">
        <f aca="false">YEAR(B946)</f>
        <v>2024</v>
      </c>
      <c r="P946" s="1" t="n">
        <f aca="false">MONTH(B946)</f>
        <v>8</v>
      </c>
      <c r="Q946" s="1" t="str">
        <f aca="false">TEXT(B946,"mmm")</f>
        <v>Aug</v>
      </c>
      <c r="R946" s="1" t="str">
        <f aca="false">"Q"&amp;ROUNDUP(MONTH(B946)/3,0)</f>
        <v>Q3</v>
      </c>
    </row>
    <row r="947" customFormat="false" ht="15" hidden="false" customHeight="true" outlineLevel="0" collapsed="false">
      <c r="A947" s="1" t="n">
        <v>10946</v>
      </c>
      <c r="B947" s="14" t="n">
        <v>45507</v>
      </c>
      <c r="C947" s="1" t="n">
        <v>1952</v>
      </c>
      <c r="D947" s="1" t="s">
        <v>27</v>
      </c>
      <c r="E947" s="1" t="s">
        <v>28</v>
      </c>
      <c r="F947" s="1" t="n">
        <v>6</v>
      </c>
      <c r="G947" s="15" t="n">
        <v>193.89</v>
      </c>
      <c r="H947" s="16" t="n">
        <v>0.02</v>
      </c>
      <c r="I947" s="1" t="s">
        <v>33</v>
      </c>
      <c r="J947" s="1" t="n">
        <v>4</v>
      </c>
      <c r="K947" s="1" t="n">
        <v>1.8</v>
      </c>
      <c r="L947" s="15" t="n">
        <v>1140.07</v>
      </c>
      <c r="M947" s="15" t="n">
        <f aca="false">F947*G947</f>
        <v>1163.34</v>
      </c>
      <c r="N947" s="15" t="n">
        <f aca="false">M947-L947</f>
        <v>23.27</v>
      </c>
      <c r="O947" s="1" t="n">
        <f aca="false">YEAR(B947)</f>
        <v>2024</v>
      </c>
      <c r="P947" s="1" t="n">
        <f aca="false">MONTH(B947)</f>
        <v>8</v>
      </c>
      <c r="Q947" s="1" t="str">
        <f aca="false">TEXT(B947,"mmm")</f>
        <v>Aug</v>
      </c>
      <c r="R947" s="1" t="str">
        <f aca="false">"Q"&amp;ROUNDUP(MONTH(B947)/3,0)</f>
        <v>Q3</v>
      </c>
    </row>
    <row r="948" customFormat="false" ht="15" hidden="false" customHeight="true" outlineLevel="0" collapsed="false">
      <c r="A948" s="1" t="n">
        <v>10947</v>
      </c>
      <c r="B948" s="14" t="n">
        <v>45508</v>
      </c>
      <c r="C948" s="1" t="n">
        <v>1970</v>
      </c>
      <c r="D948" s="1" t="s">
        <v>27</v>
      </c>
      <c r="E948" s="1" t="s">
        <v>28</v>
      </c>
      <c r="F948" s="1" t="n">
        <v>6</v>
      </c>
      <c r="G948" s="15" t="n">
        <v>532.61</v>
      </c>
      <c r="H948" s="16" t="n">
        <v>0.05</v>
      </c>
      <c r="I948" s="1" t="s">
        <v>31</v>
      </c>
      <c r="J948" s="1" t="n">
        <v>3</v>
      </c>
      <c r="K948" s="1" t="n">
        <v>1.5</v>
      </c>
      <c r="L948" s="15" t="n">
        <v>3035.88</v>
      </c>
      <c r="M948" s="15" t="n">
        <f aca="false">F948*G948</f>
        <v>3195.66</v>
      </c>
      <c r="N948" s="15" t="n">
        <f aca="false">M948-L948</f>
        <v>159.78</v>
      </c>
      <c r="O948" s="1" t="n">
        <f aca="false">YEAR(B948)</f>
        <v>2024</v>
      </c>
      <c r="P948" s="1" t="n">
        <f aca="false">MONTH(B948)</f>
        <v>8</v>
      </c>
      <c r="Q948" s="1" t="str">
        <f aca="false">TEXT(B948,"mmm")</f>
        <v>Aug</v>
      </c>
      <c r="R948" s="1" t="str">
        <f aca="false">"Q"&amp;ROUNDUP(MONTH(B948)/3,0)</f>
        <v>Q3</v>
      </c>
    </row>
    <row r="949" customFormat="false" ht="15" hidden="false" customHeight="true" outlineLevel="0" collapsed="false">
      <c r="A949" s="1" t="n">
        <v>10948</v>
      </c>
      <c r="B949" s="14" t="n">
        <v>45509</v>
      </c>
      <c r="C949" s="1" t="n">
        <v>1011</v>
      </c>
      <c r="D949" s="1" t="s">
        <v>34</v>
      </c>
      <c r="E949" s="1" t="s">
        <v>28</v>
      </c>
      <c r="F949" s="1" t="n">
        <v>7</v>
      </c>
      <c r="G949" s="15" t="n">
        <v>438.42</v>
      </c>
      <c r="H949" s="16" t="n">
        <v>0.26</v>
      </c>
      <c r="I949" s="1" t="s">
        <v>33</v>
      </c>
      <c r="J949" s="1" t="n">
        <v>2</v>
      </c>
      <c r="K949" s="1" t="n">
        <v>4.6</v>
      </c>
      <c r="L949" s="15" t="n">
        <v>2271.02</v>
      </c>
      <c r="M949" s="15" t="n">
        <f aca="false">F949*G949</f>
        <v>3068.94</v>
      </c>
      <c r="N949" s="15" t="n">
        <f aca="false">M949-L949</f>
        <v>797.92</v>
      </c>
      <c r="O949" s="1" t="n">
        <f aca="false">YEAR(B949)</f>
        <v>2024</v>
      </c>
      <c r="P949" s="1" t="n">
        <f aca="false">MONTH(B949)</f>
        <v>8</v>
      </c>
      <c r="Q949" s="1" t="str">
        <f aca="false">TEXT(B949,"mmm")</f>
        <v>Aug</v>
      </c>
      <c r="R949" s="1" t="str">
        <f aca="false">"Q"&amp;ROUNDUP(MONTH(B949)/3,0)</f>
        <v>Q3</v>
      </c>
    </row>
    <row r="950" customFormat="false" ht="15" hidden="false" customHeight="true" outlineLevel="0" collapsed="false">
      <c r="A950" s="1" t="n">
        <v>10949</v>
      </c>
      <c r="B950" s="14" t="n">
        <v>45510</v>
      </c>
      <c r="C950" s="1" t="n">
        <v>1329</v>
      </c>
      <c r="D950" s="1" t="s">
        <v>30</v>
      </c>
      <c r="E950" s="1" t="s">
        <v>32</v>
      </c>
      <c r="F950" s="1" t="n">
        <v>6</v>
      </c>
      <c r="G950" s="15" t="n">
        <v>406.79</v>
      </c>
      <c r="H950" s="16" t="n">
        <v>0.07</v>
      </c>
      <c r="I950" s="1" t="s">
        <v>31</v>
      </c>
      <c r="J950" s="1" t="n">
        <v>3</v>
      </c>
      <c r="K950" s="1" t="n">
        <v>2.8</v>
      </c>
      <c r="L950" s="15" t="n">
        <v>2269.89</v>
      </c>
      <c r="M950" s="15" t="n">
        <f aca="false">F950*G950</f>
        <v>2440.74</v>
      </c>
      <c r="N950" s="15" t="n">
        <f aca="false">M950-L950</f>
        <v>170.85</v>
      </c>
      <c r="O950" s="1" t="n">
        <f aca="false">YEAR(B950)</f>
        <v>2024</v>
      </c>
      <c r="P950" s="1" t="n">
        <f aca="false">MONTH(B950)</f>
        <v>8</v>
      </c>
      <c r="Q950" s="1" t="str">
        <f aca="false">TEXT(B950,"mmm")</f>
        <v>Aug</v>
      </c>
      <c r="R950" s="1" t="str">
        <f aca="false">"Q"&amp;ROUNDUP(MONTH(B950)/3,0)</f>
        <v>Q3</v>
      </c>
    </row>
    <row r="951" customFormat="false" ht="15" hidden="false" customHeight="true" outlineLevel="0" collapsed="false">
      <c r="A951" s="1" t="n">
        <v>10950</v>
      </c>
      <c r="B951" s="14" t="n">
        <v>45511</v>
      </c>
      <c r="C951" s="1" t="n">
        <v>1735</v>
      </c>
      <c r="D951" s="1" t="s">
        <v>34</v>
      </c>
      <c r="E951" s="1" t="s">
        <v>32</v>
      </c>
      <c r="F951" s="1" t="n">
        <v>7</v>
      </c>
      <c r="G951" s="15" t="n">
        <v>482.27</v>
      </c>
      <c r="H951" s="16" t="n">
        <v>0.08</v>
      </c>
      <c r="I951" s="1" t="s">
        <v>31</v>
      </c>
      <c r="J951" s="1" t="n">
        <v>4</v>
      </c>
      <c r="K951" s="1" t="n">
        <v>4.1</v>
      </c>
      <c r="L951" s="15" t="n">
        <v>3105.82</v>
      </c>
      <c r="M951" s="15" t="n">
        <f aca="false">F951*G951</f>
        <v>3375.89</v>
      </c>
      <c r="N951" s="15" t="n">
        <f aca="false">M951-L951</f>
        <v>270.07</v>
      </c>
      <c r="O951" s="1" t="n">
        <f aca="false">YEAR(B951)</f>
        <v>2024</v>
      </c>
      <c r="P951" s="1" t="n">
        <f aca="false">MONTH(B951)</f>
        <v>8</v>
      </c>
      <c r="Q951" s="1" t="str">
        <f aca="false">TEXT(B951,"mmm")</f>
        <v>Aug</v>
      </c>
      <c r="R951" s="1" t="str">
        <f aca="false">"Q"&amp;ROUNDUP(MONTH(B951)/3,0)</f>
        <v>Q3</v>
      </c>
    </row>
    <row r="952" customFormat="false" ht="15" hidden="false" customHeight="true" outlineLevel="0" collapsed="false">
      <c r="A952" s="1" t="n">
        <v>10951</v>
      </c>
      <c r="B952" s="14" t="n">
        <v>45512</v>
      </c>
      <c r="C952" s="1" t="n">
        <v>1783</v>
      </c>
      <c r="D952" s="1" t="s">
        <v>34</v>
      </c>
      <c r="E952" s="1" t="s">
        <v>35</v>
      </c>
      <c r="F952" s="1" t="n">
        <v>5</v>
      </c>
      <c r="G952" s="15" t="n">
        <v>165.41</v>
      </c>
      <c r="H952" s="16" t="n">
        <v>0.28</v>
      </c>
      <c r="I952" s="1" t="s">
        <v>31</v>
      </c>
      <c r="J952" s="1" t="n">
        <v>9</v>
      </c>
      <c r="K952" s="1" t="n">
        <v>1.4</v>
      </c>
      <c r="L952" s="15" t="n">
        <v>595.48</v>
      </c>
      <c r="M952" s="15" t="n">
        <f aca="false">F952*G952</f>
        <v>827.05</v>
      </c>
      <c r="N952" s="15" t="n">
        <f aca="false">M952-L952</f>
        <v>231.57</v>
      </c>
      <c r="O952" s="1" t="n">
        <f aca="false">YEAR(B952)</f>
        <v>2024</v>
      </c>
      <c r="P952" s="1" t="n">
        <f aca="false">MONTH(B952)</f>
        <v>8</v>
      </c>
      <c r="Q952" s="1" t="str">
        <f aca="false">TEXT(B952,"mmm")</f>
        <v>Aug</v>
      </c>
      <c r="R952" s="1" t="str">
        <f aca="false">"Q"&amp;ROUNDUP(MONTH(B952)/3,0)</f>
        <v>Q3</v>
      </c>
    </row>
    <row r="953" customFormat="false" ht="15" hidden="false" customHeight="true" outlineLevel="0" collapsed="false">
      <c r="A953" s="1" t="n">
        <v>10952</v>
      </c>
      <c r="B953" s="14" t="n">
        <v>45513</v>
      </c>
      <c r="C953" s="1" t="n">
        <v>1967</v>
      </c>
      <c r="D953" s="1" t="s">
        <v>34</v>
      </c>
      <c r="E953" s="1" t="s">
        <v>36</v>
      </c>
      <c r="F953" s="1" t="n">
        <v>7</v>
      </c>
      <c r="G953" s="15" t="n">
        <v>376.56</v>
      </c>
      <c r="H953" s="16" t="n">
        <v>0.03</v>
      </c>
      <c r="I953" s="1" t="s">
        <v>31</v>
      </c>
      <c r="J953" s="1" t="n">
        <v>6</v>
      </c>
      <c r="K953" s="1" t="n">
        <v>1.2</v>
      </c>
      <c r="L953" s="15" t="n">
        <v>2556.84</v>
      </c>
      <c r="M953" s="15" t="n">
        <f aca="false">F953*G953</f>
        <v>2635.92</v>
      </c>
      <c r="N953" s="15" t="n">
        <f aca="false">M953-L953</f>
        <v>79.0799999999999</v>
      </c>
      <c r="O953" s="1" t="n">
        <f aca="false">YEAR(B953)</f>
        <v>2024</v>
      </c>
      <c r="P953" s="1" t="n">
        <f aca="false">MONTH(B953)</f>
        <v>8</v>
      </c>
      <c r="Q953" s="1" t="str">
        <f aca="false">TEXT(B953,"mmm")</f>
        <v>Aug</v>
      </c>
      <c r="R953" s="1" t="str">
        <f aca="false">"Q"&amp;ROUNDUP(MONTH(B953)/3,0)</f>
        <v>Q3</v>
      </c>
    </row>
    <row r="954" customFormat="false" ht="15" hidden="false" customHeight="true" outlineLevel="0" collapsed="false">
      <c r="A954" s="1" t="n">
        <v>10953</v>
      </c>
      <c r="B954" s="14" t="n">
        <v>45514</v>
      </c>
      <c r="C954" s="1" t="n">
        <v>1357</v>
      </c>
      <c r="D954" s="1" t="s">
        <v>30</v>
      </c>
      <c r="E954" s="1" t="s">
        <v>28</v>
      </c>
      <c r="F954" s="1" t="n">
        <v>7</v>
      </c>
      <c r="G954" s="15" t="n">
        <v>284.14</v>
      </c>
      <c r="H954" s="16" t="n">
        <v>0.15</v>
      </c>
      <c r="I954" s="1" t="s">
        <v>31</v>
      </c>
      <c r="J954" s="1" t="n">
        <v>10</v>
      </c>
      <c r="K954" s="1" t="n">
        <v>3</v>
      </c>
      <c r="L954" s="15" t="n">
        <v>1690.63</v>
      </c>
      <c r="M954" s="15" t="n">
        <f aca="false">F954*G954</f>
        <v>1988.98</v>
      </c>
      <c r="N954" s="15" t="n">
        <f aca="false">M954-L954</f>
        <v>298.35</v>
      </c>
      <c r="O954" s="1" t="n">
        <f aca="false">YEAR(B954)</f>
        <v>2024</v>
      </c>
      <c r="P954" s="1" t="n">
        <f aca="false">MONTH(B954)</f>
        <v>8</v>
      </c>
      <c r="Q954" s="1" t="str">
        <f aca="false">TEXT(B954,"mmm")</f>
        <v>Aug</v>
      </c>
      <c r="R954" s="1" t="str">
        <f aca="false">"Q"&amp;ROUNDUP(MONTH(B954)/3,0)</f>
        <v>Q3</v>
      </c>
    </row>
    <row r="955" customFormat="false" ht="15" hidden="false" customHeight="true" outlineLevel="0" collapsed="false">
      <c r="A955" s="1" t="n">
        <v>10954</v>
      </c>
      <c r="B955" s="14" t="n">
        <v>45515</v>
      </c>
      <c r="C955" s="1" t="n">
        <v>1971</v>
      </c>
      <c r="D955" s="1" t="s">
        <v>34</v>
      </c>
      <c r="E955" s="1" t="s">
        <v>36</v>
      </c>
      <c r="F955" s="1" t="n">
        <v>3</v>
      </c>
      <c r="G955" s="15" t="n">
        <v>472.73</v>
      </c>
      <c r="H955" s="16" t="n">
        <v>0.01</v>
      </c>
      <c r="I955" s="1" t="s">
        <v>31</v>
      </c>
      <c r="J955" s="1" t="n">
        <v>5</v>
      </c>
      <c r="K955" s="1" t="n">
        <v>2.3</v>
      </c>
      <c r="L955" s="15" t="n">
        <v>1404.01</v>
      </c>
      <c r="M955" s="15" t="n">
        <f aca="false">F955*G955</f>
        <v>1418.19</v>
      </c>
      <c r="N955" s="15" t="n">
        <f aca="false">M955-L955</f>
        <v>14.1800000000001</v>
      </c>
      <c r="O955" s="1" t="n">
        <f aca="false">YEAR(B955)</f>
        <v>2024</v>
      </c>
      <c r="P955" s="1" t="n">
        <f aca="false">MONTH(B955)</f>
        <v>8</v>
      </c>
      <c r="Q955" s="1" t="str">
        <f aca="false">TEXT(B955,"mmm")</f>
        <v>Aug</v>
      </c>
      <c r="R955" s="1" t="str">
        <f aca="false">"Q"&amp;ROUNDUP(MONTH(B955)/3,0)</f>
        <v>Q3</v>
      </c>
    </row>
    <row r="956" customFormat="false" ht="15" hidden="false" customHeight="true" outlineLevel="0" collapsed="false">
      <c r="A956" s="1" t="n">
        <v>10955</v>
      </c>
      <c r="B956" s="14" t="n">
        <v>45516</v>
      </c>
      <c r="C956" s="1" t="n">
        <v>1407</v>
      </c>
      <c r="D956" s="1" t="s">
        <v>34</v>
      </c>
      <c r="E956" s="1" t="s">
        <v>32</v>
      </c>
      <c r="F956" s="1" t="n">
        <v>3</v>
      </c>
      <c r="G956" s="15" t="n">
        <v>195.91</v>
      </c>
      <c r="H956" s="16" t="n">
        <v>0.12</v>
      </c>
      <c r="I956" s="1" t="s">
        <v>29</v>
      </c>
      <c r="J956" s="1" t="n">
        <v>9</v>
      </c>
      <c r="K956" s="1" t="n">
        <v>1</v>
      </c>
      <c r="L956" s="15" t="n">
        <v>517.2</v>
      </c>
      <c r="M956" s="15" t="n">
        <f aca="false">F956*G956</f>
        <v>587.73</v>
      </c>
      <c r="N956" s="15" t="n">
        <f aca="false">M956-L956</f>
        <v>70.53</v>
      </c>
      <c r="O956" s="1" t="n">
        <f aca="false">YEAR(B956)</f>
        <v>2024</v>
      </c>
      <c r="P956" s="1" t="n">
        <f aca="false">MONTH(B956)</f>
        <v>8</v>
      </c>
      <c r="Q956" s="1" t="str">
        <f aca="false">TEXT(B956,"mmm")</f>
        <v>Aug</v>
      </c>
      <c r="R956" s="1" t="str">
        <f aca="false">"Q"&amp;ROUNDUP(MONTH(B956)/3,0)</f>
        <v>Q3</v>
      </c>
    </row>
    <row r="957" customFormat="false" ht="15" hidden="false" customHeight="true" outlineLevel="0" collapsed="false">
      <c r="A957" s="1" t="n">
        <v>10956</v>
      </c>
      <c r="B957" s="14" t="n">
        <v>45517</v>
      </c>
      <c r="C957" s="1" t="n">
        <v>1667</v>
      </c>
      <c r="D957" s="1" t="s">
        <v>34</v>
      </c>
      <c r="E957" s="1" t="s">
        <v>32</v>
      </c>
      <c r="F957" s="1" t="n">
        <v>1</v>
      </c>
      <c r="G957" s="15" t="n">
        <v>391.26</v>
      </c>
      <c r="H957" s="16" t="n">
        <v>0.24</v>
      </c>
      <c r="I957" s="1" t="s">
        <v>33</v>
      </c>
      <c r="J957" s="1" t="n">
        <v>8</v>
      </c>
      <c r="K957" s="1" t="n">
        <v>1.7</v>
      </c>
      <c r="L957" s="15" t="n">
        <v>297.36</v>
      </c>
      <c r="M957" s="15" t="n">
        <f aca="false">F957*G957</f>
        <v>391.26</v>
      </c>
      <c r="N957" s="15" t="n">
        <f aca="false">M957-L957</f>
        <v>93.9</v>
      </c>
      <c r="O957" s="1" t="n">
        <f aca="false">YEAR(B957)</f>
        <v>2024</v>
      </c>
      <c r="P957" s="1" t="n">
        <f aca="false">MONTH(B957)</f>
        <v>8</v>
      </c>
      <c r="Q957" s="1" t="str">
        <f aca="false">TEXT(B957,"mmm")</f>
        <v>Aug</v>
      </c>
      <c r="R957" s="1" t="str">
        <f aca="false">"Q"&amp;ROUNDUP(MONTH(B957)/3,0)</f>
        <v>Q3</v>
      </c>
    </row>
    <row r="958" customFormat="false" ht="15" hidden="false" customHeight="true" outlineLevel="0" collapsed="false">
      <c r="A958" s="1" t="n">
        <v>10957</v>
      </c>
      <c r="B958" s="14" t="n">
        <v>45518</v>
      </c>
      <c r="C958" s="1" t="n">
        <v>1372</v>
      </c>
      <c r="D958" s="1" t="s">
        <v>34</v>
      </c>
      <c r="E958" s="1" t="s">
        <v>32</v>
      </c>
      <c r="F958" s="1" t="n">
        <v>5</v>
      </c>
      <c r="G958" s="15" t="n">
        <v>531.09</v>
      </c>
      <c r="H958" s="16" t="n">
        <v>0.03</v>
      </c>
      <c r="I958" s="1" t="s">
        <v>31</v>
      </c>
      <c r="J958" s="1" t="n">
        <v>6</v>
      </c>
      <c r="K958" s="1" t="n">
        <v>1.9</v>
      </c>
      <c r="L958" s="15" t="n">
        <v>2575.79</v>
      </c>
      <c r="M958" s="15" t="n">
        <f aca="false">F958*G958</f>
        <v>2655.45</v>
      </c>
      <c r="N958" s="15" t="n">
        <f aca="false">M958-L958</f>
        <v>79.6600000000003</v>
      </c>
      <c r="O958" s="1" t="n">
        <f aca="false">YEAR(B958)</f>
        <v>2024</v>
      </c>
      <c r="P958" s="1" t="n">
        <f aca="false">MONTH(B958)</f>
        <v>8</v>
      </c>
      <c r="Q958" s="1" t="str">
        <f aca="false">TEXT(B958,"mmm")</f>
        <v>Aug</v>
      </c>
      <c r="R958" s="1" t="str">
        <f aca="false">"Q"&amp;ROUNDUP(MONTH(B958)/3,0)</f>
        <v>Q3</v>
      </c>
    </row>
    <row r="959" customFormat="false" ht="15" hidden="false" customHeight="true" outlineLevel="0" collapsed="false">
      <c r="A959" s="1" t="n">
        <v>10958</v>
      </c>
      <c r="B959" s="14" t="n">
        <v>45519</v>
      </c>
      <c r="C959" s="1" t="n">
        <v>1007</v>
      </c>
      <c r="D959" s="1" t="s">
        <v>27</v>
      </c>
      <c r="E959" s="1" t="s">
        <v>36</v>
      </c>
      <c r="F959" s="1" t="n">
        <v>5</v>
      </c>
      <c r="G959" s="15" t="n">
        <v>250.26</v>
      </c>
      <c r="H959" s="16" t="n">
        <v>0.31</v>
      </c>
      <c r="I959" s="1" t="s">
        <v>33</v>
      </c>
      <c r="J959" s="1" t="n">
        <v>3</v>
      </c>
      <c r="K959" s="1" t="n">
        <v>2.2</v>
      </c>
      <c r="L959" s="15" t="n">
        <v>863.4</v>
      </c>
      <c r="M959" s="15" t="n">
        <f aca="false">F959*G959</f>
        <v>1251.3</v>
      </c>
      <c r="N959" s="15" t="n">
        <f aca="false">M959-L959</f>
        <v>387.9</v>
      </c>
      <c r="O959" s="1" t="n">
        <f aca="false">YEAR(B959)</f>
        <v>2024</v>
      </c>
      <c r="P959" s="1" t="n">
        <f aca="false">MONTH(B959)</f>
        <v>8</v>
      </c>
      <c r="Q959" s="1" t="str">
        <f aca="false">TEXT(B959,"mmm")</f>
        <v>Aug</v>
      </c>
      <c r="R959" s="1" t="str">
        <f aca="false">"Q"&amp;ROUNDUP(MONTH(B959)/3,0)</f>
        <v>Q3</v>
      </c>
    </row>
    <row r="960" customFormat="false" ht="15" hidden="false" customHeight="true" outlineLevel="0" collapsed="false">
      <c r="A960" s="1" t="n">
        <v>10959</v>
      </c>
      <c r="B960" s="14" t="n">
        <v>45520</v>
      </c>
      <c r="C960" s="1" t="n">
        <v>1121</v>
      </c>
      <c r="D960" s="1" t="s">
        <v>37</v>
      </c>
      <c r="E960" s="1" t="s">
        <v>35</v>
      </c>
      <c r="F960" s="1" t="n">
        <v>3</v>
      </c>
      <c r="G960" s="15" t="n">
        <v>53.97</v>
      </c>
      <c r="H960" s="16" t="n">
        <v>0.32</v>
      </c>
      <c r="I960" s="1" t="s">
        <v>33</v>
      </c>
      <c r="J960" s="1" t="n">
        <v>7</v>
      </c>
      <c r="K960" s="1" t="n">
        <v>4.5</v>
      </c>
      <c r="L960" s="15" t="n">
        <v>110.1</v>
      </c>
      <c r="M960" s="15" t="n">
        <f aca="false">F960*G960</f>
        <v>161.91</v>
      </c>
      <c r="N960" s="15" t="n">
        <f aca="false">M960-L960</f>
        <v>51.81</v>
      </c>
      <c r="O960" s="1" t="n">
        <f aca="false">YEAR(B960)</f>
        <v>2024</v>
      </c>
      <c r="P960" s="1" t="n">
        <f aca="false">MONTH(B960)</f>
        <v>8</v>
      </c>
      <c r="Q960" s="1" t="str">
        <f aca="false">TEXT(B960,"mmm")</f>
        <v>Aug</v>
      </c>
      <c r="R960" s="1" t="str">
        <f aca="false">"Q"&amp;ROUNDUP(MONTH(B960)/3,0)</f>
        <v>Q3</v>
      </c>
    </row>
    <row r="961" customFormat="false" ht="15" hidden="false" customHeight="true" outlineLevel="0" collapsed="false">
      <c r="A961" s="1" t="n">
        <v>10960</v>
      </c>
      <c r="B961" s="14" t="n">
        <v>45521</v>
      </c>
      <c r="C961" s="1" t="n">
        <v>1347</v>
      </c>
      <c r="D961" s="1" t="s">
        <v>27</v>
      </c>
      <c r="E961" s="1" t="s">
        <v>35</v>
      </c>
      <c r="F961" s="1" t="n">
        <v>4</v>
      </c>
      <c r="G961" s="15" t="n">
        <v>316.89</v>
      </c>
      <c r="H961" s="16" t="n">
        <v>0.04</v>
      </c>
      <c r="I961" s="1" t="s">
        <v>31</v>
      </c>
      <c r="J961" s="1" t="n">
        <v>10</v>
      </c>
      <c r="K961" s="1" t="n">
        <v>2.7</v>
      </c>
      <c r="L961" s="15" t="n">
        <v>1216.86</v>
      </c>
      <c r="M961" s="15" t="n">
        <f aca="false">F961*G961</f>
        <v>1267.56</v>
      </c>
      <c r="N961" s="15" t="n">
        <f aca="false">M961-L961</f>
        <v>50.7</v>
      </c>
      <c r="O961" s="1" t="n">
        <f aca="false">YEAR(B961)</f>
        <v>2024</v>
      </c>
      <c r="P961" s="1" t="n">
        <f aca="false">MONTH(B961)</f>
        <v>8</v>
      </c>
      <c r="Q961" s="1" t="str">
        <f aca="false">TEXT(B961,"mmm")</f>
        <v>Aug</v>
      </c>
      <c r="R961" s="1" t="str">
        <f aca="false">"Q"&amp;ROUNDUP(MONTH(B961)/3,0)</f>
        <v>Q3</v>
      </c>
    </row>
    <row r="962" customFormat="false" ht="15" hidden="false" customHeight="true" outlineLevel="0" collapsed="false">
      <c r="A962" s="1" t="n">
        <v>10961</v>
      </c>
      <c r="B962" s="14" t="n">
        <v>45522</v>
      </c>
      <c r="C962" s="1" t="n">
        <v>1675</v>
      </c>
      <c r="D962" s="1" t="s">
        <v>30</v>
      </c>
      <c r="E962" s="1" t="s">
        <v>32</v>
      </c>
      <c r="F962" s="1" t="n">
        <v>4</v>
      </c>
      <c r="G962" s="15" t="n">
        <v>217.39</v>
      </c>
      <c r="H962" s="16" t="n">
        <v>0.35</v>
      </c>
      <c r="I962" s="1" t="s">
        <v>33</v>
      </c>
      <c r="J962" s="1" t="n">
        <v>6</v>
      </c>
      <c r="K962" s="1" t="n">
        <v>3.7</v>
      </c>
      <c r="L962" s="15" t="n">
        <v>565.21</v>
      </c>
      <c r="M962" s="15" t="n">
        <f aca="false">F962*G962</f>
        <v>869.56</v>
      </c>
      <c r="N962" s="15" t="n">
        <f aca="false">M962-L962</f>
        <v>304.35</v>
      </c>
      <c r="O962" s="1" t="n">
        <f aca="false">YEAR(B962)</f>
        <v>2024</v>
      </c>
      <c r="P962" s="1" t="n">
        <f aca="false">MONTH(B962)</f>
        <v>8</v>
      </c>
      <c r="Q962" s="1" t="str">
        <f aca="false">TEXT(B962,"mmm")</f>
        <v>Aug</v>
      </c>
      <c r="R962" s="1" t="str">
        <f aca="false">"Q"&amp;ROUNDUP(MONTH(B962)/3,0)</f>
        <v>Q3</v>
      </c>
    </row>
    <row r="963" customFormat="false" ht="15" hidden="false" customHeight="true" outlineLevel="0" collapsed="false">
      <c r="A963" s="1" t="n">
        <v>10962</v>
      </c>
      <c r="B963" s="14" t="n">
        <v>45523</v>
      </c>
      <c r="C963" s="1" t="n">
        <v>1089</v>
      </c>
      <c r="D963" s="1" t="s">
        <v>34</v>
      </c>
      <c r="E963" s="1" t="s">
        <v>28</v>
      </c>
      <c r="F963" s="1" t="n">
        <v>1</v>
      </c>
      <c r="G963" s="15" t="n">
        <v>408.25</v>
      </c>
      <c r="H963" s="16" t="n">
        <v>0.1</v>
      </c>
      <c r="I963" s="1" t="s">
        <v>33</v>
      </c>
      <c r="J963" s="1" t="n">
        <v>11</v>
      </c>
      <c r="K963" s="1" t="n">
        <v>1.1</v>
      </c>
      <c r="L963" s="15" t="n">
        <v>367.42</v>
      </c>
      <c r="M963" s="15" t="n">
        <f aca="false">F963*G963</f>
        <v>408.25</v>
      </c>
      <c r="N963" s="15" t="n">
        <f aca="false">M963-L963</f>
        <v>40.83</v>
      </c>
      <c r="O963" s="1" t="n">
        <f aca="false">YEAR(B963)</f>
        <v>2024</v>
      </c>
      <c r="P963" s="1" t="n">
        <f aca="false">MONTH(B963)</f>
        <v>8</v>
      </c>
      <c r="Q963" s="1" t="str">
        <f aca="false">TEXT(B963,"mmm")</f>
        <v>Aug</v>
      </c>
      <c r="R963" s="1" t="str">
        <f aca="false">"Q"&amp;ROUNDUP(MONTH(B963)/3,0)</f>
        <v>Q3</v>
      </c>
    </row>
    <row r="964" customFormat="false" ht="15" hidden="false" customHeight="true" outlineLevel="0" collapsed="false">
      <c r="A964" s="1" t="n">
        <v>10963</v>
      </c>
      <c r="B964" s="14" t="n">
        <v>45524</v>
      </c>
      <c r="C964" s="1" t="n">
        <v>1647</v>
      </c>
      <c r="D964" s="1" t="s">
        <v>37</v>
      </c>
      <c r="E964" s="1" t="s">
        <v>36</v>
      </c>
      <c r="F964" s="1" t="n">
        <v>4</v>
      </c>
      <c r="G964" s="15" t="n">
        <v>571.35</v>
      </c>
      <c r="H964" s="16" t="n">
        <v>0.03</v>
      </c>
      <c r="I964" s="1" t="s">
        <v>33</v>
      </c>
      <c r="J964" s="1" t="n">
        <v>8</v>
      </c>
      <c r="K964" s="1" t="n">
        <v>4.3</v>
      </c>
      <c r="L964" s="15" t="n">
        <v>2216.84</v>
      </c>
      <c r="M964" s="15" t="n">
        <f aca="false">F964*G964</f>
        <v>2285.4</v>
      </c>
      <c r="N964" s="15" t="n">
        <f aca="false">M964-L964</f>
        <v>68.56</v>
      </c>
      <c r="O964" s="1" t="n">
        <f aca="false">YEAR(B964)</f>
        <v>2024</v>
      </c>
      <c r="P964" s="1" t="n">
        <f aca="false">MONTH(B964)</f>
        <v>8</v>
      </c>
      <c r="Q964" s="1" t="str">
        <f aca="false">TEXT(B964,"mmm")</f>
        <v>Aug</v>
      </c>
      <c r="R964" s="1" t="str">
        <f aca="false">"Q"&amp;ROUNDUP(MONTH(B964)/3,0)</f>
        <v>Q3</v>
      </c>
    </row>
    <row r="965" customFormat="false" ht="15" hidden="false" customHeight="true" outlineLevel="0" collapsed="false">
      <c r="A965" s="1" t="n">
        <v>10964</v>
      </c>
      <c r="B965" s="14" t="n">
        <v>45525</v>
      </c>
      <c r="C965" s="1" t="n">
        <v>1697</v>
      </c>
      <c r="D965" s="1" t="s">
        <v>34</v>
      </c>
      <c r="E965" s="1" t="s">
        <v>32</v>
      </c>
      <c r="F965" s="1" t="n">
        <v>4</v>
      </c>
      <c r="G965" s="15" t="n">
        <v>299.08</v>
      </c>
      <c r="H965" s="16" t="n">
        <v>0</v>
      </c>
      <c r="I965" s="1" t="s">
        <v>33</v>
      </c>
      <c r="J965" s="1" t="n">
        <v>6</v>
      </c>
      <c r="K965" s="1" t="n">
        <v>2</v>
      </c>
      <c r="L965" s="15" t="n">
        <v>1196.32</v>
      </c>
      <c r="M965" s="15" t="n">
        <f aca="false">F965*G965</f>
        <v>1196.32</v>
      </c>
      <c r="N965" s="15" t="n">
        <f aca="false">M965-L965</f>
        <v>0</v>
      </c>
      <c r="O965" s="1" t="n">
        <f aca="false">YEAR(B965)</f>
        <v>2024</v>
      </c>
      <c r="P965" s="1" t="n">
        <f aca="false">MONTH(B965)</f>
        <v>8</v>
      </c>
      <c r="Q965" s="1" t="str">
        <f aca="false">TEXT(B965,"mmm")</f>
        <v>Aug</v>
      </c>
      <c r="R965" s="1" t="str">
        <f aca="false">"Q"&amp;ROUNDUP(MONTH(B965)/3,0)</f>
        <v>Q3</v>
      </c>
    </row>
    <row r="966" customFormat="false" ht="15" hidden="false" customHeight="true" outlineLevel="0" collapsed="false">
      <c r="A966" s="1" t="n">
        <v>10965</v>
      </c>
      <c r="B966" s="14" t="n">
        <v>45526</v>
      </c>
      <c r="C966" s="1" t="n">
        <v>1315</v>
      </c>
      <c r="D966" s="1" t="s">
        <v>34</v>
      </c>
      <c r="E966" s="1" t="s">
        <v>36</v>
      </c>
      <c r="F966" s="1" t="n">
        <v>4</v>
      </c>
      <c r="G966" s="15" t="n">
        <v>287.72</v>
      </c>
      <c r="H966" s="16" t="n">
        <v>0.14</v>
      </c>
      <c r="I966" s="1" t="s">
        <v>33</v>
      </c>
      <c r="J966" s="1" t="n">
        <v>11</v>
      </c>
      <c r="K966" s="1" t="n">
        <v>2.2</v>
      </c>
      <c r="L966" s="15" t="n">
        <v>989.76</v>
      </c>
      <c r="M966" s="15" t="n">
        <f aca="false">F966*G966</f>
        <v>1150.88</v>
      </c>
      <c r="N966" s="15" t="n">
        <f aca="false">M966-L966</f>
        <v>161.12</v>
      </c>
      <c r="O966" s="1" t="n">
        <f aca="false">YEAR(B966)</f>
        <v>2024</v>
      </c>
      <c r="P966" s="1" t="n">
        <f aca="false">MONTH(B966)</f>
        <v>8</v>
      </c>
      <c r="Q966" s="1" t="str">
        <f aca="false">TEXT(B966,"mmm")</f>
        <v>Aug</v>
      </c>
      <c r="R966" s="1" t="str">
        <f aca="false">"Q"&amp;ROUNDUP(MONTH(B966)/3,0)</f>
        <v>Q3</v>
      </c>
    </row>
    <row r="967" customFormat="false" ht="15" hidden="false" customHeight="true" outlineLevel="0" collapsed="false">
      <c r="A967" s="1" t="n">
        <v>10966</v>
      </c>
      <c r="B967" s="14" t="n">
        <v>45527</v>
      </c>
      <c r="C967" s="1" t="n">
        <v>1177</v>
      </c>
      <c r="D967" s="1" t="s">
        <v>34</v>
      </c>
      <c r="E967" s="1" t="s">
        <v>36</v>
      </c>
      <c r="F967" s="1" t="n">
        <v>2</v>
      </c>
      <c r="G967" s="15" t="n">
        <v>397.93</v>
      </c>
      <c r="H967" s="16" t="n">
        <v>0.22</v>
      </c>
      <c r="I967" s="1" t="s">
        <v>31</v>
      </c>
      <c r="J967" s="1" t="n">
        <v>10</v>
      </c>
      <c r="K967" s="1" t="n">
        <v>1.2</v>
      </c>
      <c r="L967" s="15" t="n">
        <v>620.77</v>
      </c>
      <c r="M967" s="15" t="n">
        <f aca="false">F967*G967</f>
        <v>795.86</v>
      </c>
      <c r="N967" s="15" t="n">
        <f aca="false">M967-L967</f>
        <v>175.09</v>
      </c>
      <c r="O967" s="1" t="n">
        <f aca="false">YEAR(B967)</f>
        <v>2024</v>
      </c>
      <c r="P967" s="1" t="n">
        <f aca="false">MONTH(B967)</f>
        <v>8</v>
      </c>
      <c r="Q967" s="1" t="str">
        <f aca="false">TEXT(B967,"mmm")</f>
        <v>Aug</v>
      </c>
      <c r="R967" s="1" t="str">
        <f aca="false">"Q"&amp;ROUNDUP(MONTH(B967)/3,0)</f>
        <v>Q3</v>
      </c>
    </row>
    <row r="968" customFormat="false" ht="15" hidden="false" customHeight="true" outlineLevel="0" collapsed="false">
      <c r="A968" s="1" t="n">
        <v>10967</v>
      </c>
      <c r="B968" s="14" t="n">
        <v>45528</v>
      </c>
      <c r="C968" s="1" t="n">
        <v>1539</v>
      </c>
      <c r="D968" s="1" t="s">
        <v>34</v>
      </c>
      <c r="E968" s="1" t="s">
        <v>35</v>
      </c>
      <c r="F968" s="1" t="n">
        <v>1</v>
      </c>
      <c r="G968" s="15" t="n">
        <v>75.55</v>
      </c>
      <c r="H968" s="16" t="n">
        <v>0.12</v>
      </c>
      <c r="I968" s="1" t="s">
        <v>29</v>
      </c>
      <c r="J968" s="1" t="n">
        <v>4</v>
      </c>
      <c r="K968" s="1" t="n">
        <v>2.6</v>
      </c>
      <c r="L968" s="15" t="n">
        <v>66.48</v>
      </c>
      <c r="M968" s="15" t="n">
        <f aca="false">F968*G968</f>
        <v>75.55</v>
      </c>
      <c r="N968" s="15" t="n">
        <f aca="false">M968-L968</f>
        <v>9.06999999999999</v>
      </c>
      <c r="O968" s="1" t="n">
        <f aca="false">YEAR(B968)</f>
        <v>2024</v>
      </c>
      <c r="P968" s="1" t="n">
        <f aca="false">MONTH(B968)</f>
        <v>8</v>
      </c>
      <c r="Q968" s="1" t="str">
        <f aca="false">TEXT(B968,"mmm")</f>
        <v>Aug</v>
      </c>
      <c r="R968" s="1" t="str">
        <f aca="false">"Q"&amp;ROUNDUP(MONTH(B968)/3,0)</f>
        <v>Q3</v>
      </c>
    </row>
    <row r="969" customFormat="false" ht="15" hidden="false" customHeight="true" outlineLevel="0" collapsed="false">
      <c r="A969" s="1" t="n">
        <v>10968</v>
      </c>
      <c r="B969" s="14" t="n">
        <v>45529</v>
      </c>
      <c r="C969" s="1" t="n">
        <v>1731</v>
      </c>
      <c r="D969" s="1" t="s">
        <v>34</v>
      </c>
      <c r="E969" s="1" t="s">
        <v>32</v>
      </c>
      <c r="F969" s="1" t="n">
        <v>3</v>
      </c>
      <c r="G969" s="15" t="n">
        <v>163.3</v>
      </c>
      <c r="H969" s="16" t="n">
        <v>0.29</v>
      </c>
      <c r="I969" s="1" t="s">
        <v>31</v>
      </c>
      <c r="J969" s="1" t="n">
        <v>10</v>
      </c>
      <c r="K969" s="1" t="n">
        <v>4.4</v>
      </c>
      <c r="L969" s="15" t="n">
        <v>347.83</v>
      </c>
      <c r="M969" s="15" t="n">
        <f aca="false">F969*G969</f>
        <v>489.9</v>
      </c>
      <c r="N969" s="15" t="n">
        <f aca="false">M969-L969</f>
        <v>142.07</v>
      </c>
      <c r="O969" s="1" t="n">
        <f aca="false">YEAR(B969)</f>
        <v>2024</v>
      </c>
      <c r="P969" s="1" t="n">
        <f aca="false">MONTH(B969)</f>
        <v>8</v>
      </c>
      <c r="Q969" s="1" t="str">
        <f aca="false">TEXT(B969,"mmm")</f>
        <v>Aug</v>
      </c>
      <c r="R969" s="1" t="str">
        <f aca="false">"Q"&amp;ROUNDUP(MONTH(B969)/3,0)</f>
        <v>Q3</v>
      </c>
    </row>
    <row r="970" customFormat="false" ht="15" hidden="false" customHeight="true" outlineLevel="0" collapsed="false">
      <c r="A970" s="1" t="n">
        <v>10969</v>
      </c>
      <c r="B970" s="14" t="n">
        <v>45530</v>
      </c>
      <c r="C970" s="1" t="n">
        <v>1868</v>
      </c>
      <c r="D970" s="1" t="s">
        <v>30</v>
      </c>
      <c r="E970" s="1" t="s">
        <v>35</v>
      </c>
      <c r="F970" s="1" t="n">
        <v>4</v>
      </c>
      <c r="G970" s="15" t="n">
        <v>552.6</v>
      </c>
      <c r="H970" s="16" t="n">
        <v>0.25</v>
      </c>
      <c r="I970" s="1" t="s">
        <v>29</v>
      </c>
      <c r="J970" s="1" t="n">
        <v>7</v>
      </c>
      <c r="K970" s="1" t="n">
        <v>2.5</v>
      </c>
      <c r="L970" s="15" t="n">
        <v>1657.8</v>
      </c>
      <c r="M970" s="15" t="n">
        <f aca="false">F970*G970</f>
        <v>2210.4</v>
      </c>
      <c r="N970" s="15" t="n">
        <f aca="false">M970-L970</f>
        <v>552.6</v>
      </c>
      <c r="O970" s="1" t="n">
        <f aca="false">YEAR(B970)</f>
        <v>2024</v>
      </c>
      <c r="P970" s="1" t="n">
        <f aca="false">MONTH(B970)</f>
        <v>8</v>
      </c>
      <c r="Q970" s="1" t="str">
        <f aca="false">TEXT(B970,"mmm")</f>
        <v>Aug</v>
      </c>
      <c r="R970" s="1" t="str">
        <f aca="false">"Q"&amp;ROUNDUP(MONTH(B970)/3,0)</f>
        <v>Q3</v>
      </c>
    </row>
    <row r="971" customFormat="false" ht="15" hidden="false" customHeight="true" outlineLevel="0" collapsed="false">
      <c r="A971" s="1" t="n">
        <v>10970</v>
      </c>
      <c r="B971" s="14" t="n">
        <v>45531</v>
      </c>
      <c r="C971" s="1" t="n">
        <v>1040</v>
      </c>
      <c r="D971" s="1" t="s">
        <v>37</v>
      </c>
      <c r="E971" s="1" t="s">
        <v>32</v>
      </c>
      <c r="F971" s="1" t="n">
        <v>6</v>
      </c>
      <c r="G971" s="15" t="n">
        <v>406.92</v>
      </c>
      <c r="H971" s="16" t="n">
        <v>0.12</v>
      </c>
      <c r="I971" s="1" t="s">
        <v>31</v>
      </c>
      <c r="J971" s="1" t="n">
        <v>7</v>
      </c>
      <c r="K971" s="1" t="n">
        <v>4.6</v>
      </c>
      <c r="L971" s="15" t="n">
        <v>2148.54</v>
      </c>
      <c r="M971" s="15" t="n">
        <f aca="false">F971*G971</f>
        <v>2441.52</v>
      </c>
      <c r="N971" s="15" t="n">
        <f aca="false">M971-L971</f>
        <v>292.98</v>
      </c>
      <c r="O971" s="1" t="n">
        <f aca="false">YEAR(B971)</f>
        <v>2024</v>
      </c>
      <c r="P971" s="1" t="n">
        <f aca="false">MONTH(B971)</f>
        <v>8</v>
      </c>
      <c r="Q971" s="1" t="str">
        <f aca="false">TEXT(B971,"mmm")</f>
        <v>Aug</v>
      </c>
      <c r="R971" s="1" t="str">
        <f aca="false">"Q"&amp;ROUNDUP(MONTH(B971)/3,0)</f>
        <v>Q3</v>
      </c>
    </row>
    <row r="972" customFormat="false" ht="15" hidden="false" customHeight="true" outlineLevel="0" collapsed="false">
      <c r="A972" s="1" t="n">
        <v>10971</v>
      </c>
      <c r="B972" s="14" t="n">
        <v>45532</v>
      </c>
      <c r="C972" s="1" t="n">
        <v>1739</v>
      </c>
      <c r="D972" s="1" t="s">
        <v>34</v>
      </c>
      <c r="E972" s="1" t="s">
        <v>36</v>
      </c>
      <c r="F972" s="1" t="n">
        <v>7</v>
      </c>
      <c r="G972" s="15" t="n">
        <v>22.86</v>
      </c>
      <c r="H972" s="16" t="n">
        <v>0.26</v>
      </c>
      <c r="I972" s="1" t="s">
        <v>31</v>
      </c>
      <c r="J972" s="1" t="n">
        <v>11</v>
      </c>
      <c r="K972" s="1" t="n">
        <v>4.5</v>
      </c>
      <c r="L972" s="15" t="n">
        <v>118.41</v>
      </c>
      <c r="M972" s="15" t="n">
        <f aca="false">F972*G972</f>
        <v>160.02</v>
      </c>
      <c r="N972" s="15" t="n">
        <f aca="false">M972-L972</f>
        <v>41.61</v>
      </c>
      <c r="O972" s="1" t="n">
        <f aca="false">YEAR(B972)</f>
        <v>2024</v>
      </c>
      <c r="P972" s="1" t="n">
        <f aca="false">MONTH(B972)</f>
        <v>8</v>
      </c>
      <c r="Q972" s="1" t="str">
        <f aca="false">TEXT(B972,"mmm")</f>
        <v>Aug</v>
      </c>
      <c r="R972" s="1" t="str">
        <f aca="false">"Q"&amp;ROUNDUP(MONTH(B972)/3,0)</f>
        <v>Q3</v>
      </c>
    </row>
    <row r="973" customFormat="false" ht="15" hidden="false" customHeight="true" outlineLevel="0" collapsed="false">
      <c r="A973" s="1" t="n">
        <v>10972</v>
      </c>
      <c r="B973" s="14" t="n">
        <v>45533</v>
      </c>
      <c r="C973" s="1" t="n">
        <v>1703</v>
      </c>
      <c r="D973" s="1" t="s">
        <v>34</v>
      </c>
      <c r="E973" s="1" t="s">
        <v>35</v>
      </c>
      <c r="F973" s="1" t="n">
        <v>2</v>
      </c>
      <c r="G973" s="15" t="n">
        <v>134.71</v>
      </c>
      <c r="H973" s="16" t="n">
        <v>0.33</v>
      </c>
      <c r="I973" s="1" t="s">
        <v>33</v>
      </c>
      <c r="J973" s="1" t="n">
        <v>8</v>
      </c>
      <c r="K973" s="1" t="n">
        <v>1.2</v>
      </c>
      <c r="L973" s="15" t="n">
        <v>180.51</v>
      </c>
      <c r="M973" s="15" t="n">
        <f aca="false">F973*G973</f>
        <v>269.42</v>
      </c>
      <c r="N973" s="15" t="n">
        <f aca="false">M973-L973</f>
        <v>88.91</v>
      </c>
      <c r="O973" s="1" t="n">
        <f aca="false">YEAR(B973)</f>
        <v>2024</v>
      </c>
      <c r="P973" s="1" t="n">
        <f aca="false">MONTH(B973)</f>
        <v>8</v>
      </c>
      <c r="Q973" s="1" t="str">
        <f aca="false">TEXT(B973,"mmm")</f>
        <v>Aug</v>
      </c>
      <c r="R973" s="1" t="str">
        <f aca="false">"Q"&amp;ROUNDUP(MONTH(B973)/3,0)</f>
        <v>Q3</v>
      </c>
    </row>
    <row r="974" customFormat="false" ht="15" hidden="false" customHeight="true" outlineLevel="0" collapsed="false">
      <c r="A974" s="1" t="n">
        <v>10973</v>
      </c>
      <c r="B974" s="14" t="n">
        <v>45534</v>
      </c>
      <c r="C974" s="1" t="n">
        <v>1922</v>
      </c>
      <c r="D974" s="1" t="s">
        <v>37</v>
      </c>
      <c r="E974" s="1" t="s">
        <v>36</v>
      </c>
      <c r="F974" s="1" t="n">
        <v>4</v>
      </c>
      <c r="G974" s="15" t="n">
        <v>414.46</v>
      </c>
      <c r="H974" s="16" t="n">
        <v>0.03</v>
      </c>
      <c r="I974" s="1" t="s">
        <v>31</v>
      </c>
      <c r="J974" s="1" t="n">
        <v>2</v>
      </c>
      <c r="K974" s="1" t="n">
        <v>2.2</v>
      </c>
      <c r="L974" s="15" t="n">
        <v>1608.1</v>
      </c>
      <c r="M974" s="15" t="n">
        <f aca="false">F974*G974</f>
        <v>1657.84</v>
      </c>
      <c r="N974" s="15" t="n">
        <f aca="false">M974-L974</f>
        <v>49.74</v>
      </c>
      <c r="O974" s="1" t="n">
        <f aca="false">YEAR(B974)</f>
        <v>2024</v>
      </c>
      <c r="P974" s="1" t="n">
        <f aca="false">MONTH(B974)</f>
        <v>8</v>
      </c>
      <c r="Q974" s="1" t="str">
        <f aca="false">TEXT(B974,"mmm")</f>
        <v>Aug</v>
      </c>
      <c r="R974" s="1" t="str">
        <f aca="false">"Q"&amp;ROUNDUP(MONTH(B974)/3,0)</f>
        <v>Q3</v>
      </c>
    </row>
    <row r="975" customFormat="false" ht="15" hidden="false" customHeight="true" outlineLevel="0" collapsed="false">
      <c r="A975" s="1" t="n">
        <v>10974</v>
      </c>
      <c r="B975" s="14" t="n">
        <v>45535</v>
      </c>
      <c r="C975" s="1" t="n">
        <v>1501</v>
      </c>
      <c r="D975" s="1" t="s">
        <v>34</v>
      </c>
      <c r="E975" s="1" t="s">
        <v>32</v>
      </c>
      <c r="F975" s="1" t="n">
        <v>7</v>
      </c>
      <c r="G975" s="15" t="n">
        <v>462.17</v>
      </c>
      <c r="H975" s="16" t="n">
        <v>0.11</v>
      </c>
      <c r="I975" s="1" t="s">
        <v>29</v>
      </c>
      <c r="J975" s="1" t="n">
        <v>11</v>
      </c>
      <c r="K975" s="1" t="n">
        <v>4.6</v>
      </c>
      <c r="L975" s="15" t="n">
        <v>2879.32</v>
      </c>
      <c r="M975" s="15" t="n">
        <f aca="false">F975*G975</f>
        <v>3235.19</v>
      </c>
      <c r="N975" s="15" t="n">
        <f aca="false">M975-L975</f>
        <v>355.87</v>
      </c>
      <c r="O975" s="1" t="n">
        <f aca="false">YEAR(B975)</f>
        <v>2024</v>
      </c>
      <c r="P975" s="1" t="n">
        <f aca="false">MONTH(B975)</f>
        <v>8</v>
      </c>
      <c r="Q975" s="1" t="str">
        <f aca="false">TEXT(B975,"mmm")</f>
        <v>Aug</v>
      </c>
      <c r="R975" s="1" t="str">
        <f aca="false">"Q"&amp;ROUNDUP(MONTH(B975)/3,0)</f>
        <v>Q3</v>
      </c>
    </row>
    <row r="976" customFormat="false" ht="15" hidden="false" customHeight="true" outlineLevel="0" collapsed="false">
      <c r="A976" s="1" t="n">
        <v>10975</v>
      </c>
      <c r="B976" s="14" t="n">
        <v>45536</v>
      </c>
      <c r="C976" s="1" t="n">
        <v>1958</v>
      </c>
      <c r="D976" s="1" t="s">
        <v>34</v>
      </c>
      <c r="E976" s="1" t="s">
        <v>28</v>
      </c>
      <c r="F976" s="1" t="n">
        <v>7</v>
      </c>
      <c r="G976" s="15" t="n">
        <v>506.32</v>
      </c>
      <c r="H976" s="16" t="n">
        <v>0.16</v>
      </c>
      <c r="I976" s="1" t="s">
        <v>31</v>
      </c>
      <c r="J976" s="1" t="n">
        <v>6</v>
      </c>
      <c r="K976" s="1" t="n">
        <v>1.1</v>
      </c>
      <c r="L976" s="15" t="n">
        <v>2977.16</v>
      </c>
      <c r="M976" s="15" t="n">
        <f aca="false">F976*G976</f>
        <v>3544.24</v>
      </c>
      <c r="N976" s="15" t="n">
        <f aca="false">M976-L976</f>
        <v>567.08</v>
      </c>
      <c r="O976" s="1" t="n">
        <f aca="false">YEAR(B976)</f>
        <v>2024</v>
      </c>
      <c r="P976" s="1" t="n">
        <f aca="false">MONTH(B976)</f>
        <v>9</v>
      </c>
      <c r="Q976" s="1" t="str">
        <f aca="false">TEXT(B976,"mmm")</f>
        <v>Sep</v>
      </c>
      <c r="R976" s="1" t="str">
        <f aca="false">"Q"&amp;ROUNDUP(MONTH(B976)/3,0)</f>
        <v>Q3</v>
      </c>
    </row>
    <row r="977" customFormat="false" ht="15" hidden="false" customHeight="true" outlineLevel="0" collapsed="false">
      <c r="A977" s="1" t="n">
        <v>10976</v>
      </c>
      <c r="B977" s="14" t="n">
        <v>45537</v>
      </c>
      <c r="C977" s="1" t="n">
        <v>1144</v>
      </c>
      <c r="D977" s="1" t="s">
        <v>27</v>
      </c>
      <c r="E977" s="1" t="s">
        <v>35</v>
      </c>
      <c r="F977" s="1" t="n">
        <v>2</v>
      </c>
      <c r="G977" s="15" t="n">
        <v>185.92</v>
      </c>
      <c r="H977" s="16" t="n">
        <v>0.17</v>
      </c>
      <c r="I977" s="1" t="s">
        <v>33</v>
      </c>
      <c r="J977" s="1" t="n">
        <v>3</v>
      </c>
      <c r="K977" s="1" t="n">
        <v>4.1</v>
      </c>
      <c r="L977" s="15" t="n">
        <v>308.63</v>
      </c>
      <c r="M977" s="15" t="n">
        <f aca="false">F977*G977</f>
        <v>371.84</v>
      </c>
      <c r="N977" s="15" t="n">
        <f aca="false">M977-L977</f>
        <v>63.21</v>
      </c>
      <c r="O977" s="1" t="n">
        <f aca="false">YEAR(B977)</f>
        <v>2024</v>
      </c>
      <c r="P977" s="1" t="n">
        <f aca="false">MONTH(B977)</f>
        <v>9</v>
      </c>
      <c r="Q977" s="1" t="str">
        <f aca="false">TEXT(B977,"mmm")</f>
        <v>Sep</v>
      </c>
      <c r="R977" s="1" t="str">
        <f aca="false">"Q"&amp;ROUNDUP(MONTH(B977)/3,0)</f>
        <v>Q3</v>
      </c>
    </row>
    <row r="978" customFormat="false" ht="15" hidden="false" customHeight="true" outlineLevel="0" collapsed="false">
      <c r="A978" s="1" t="n">
        <v>10977</v>
      </c>
      <c r="B978" s="14" t="n">
        <v>45538</v>
      </c>
      <c r="C978" s="1" t="n">
        <v>1200</v>
      </c>
      <c r="D978" s="1" t="s">
        <v>34</v>
      </c>
      <c r="E978" s="1" t="s">
        <v>35</v>
      </c>
      <c r="F978" s="1" t="n">
        <v>1</v>
      </c>
      <c r="G978" s="15" t="n">
        <v>559.65</v>
      </c>
      <c r="H978" s="16" t="n">
        <v>0.19</v>
      </c>
      <c r="I978" s="1" t="s">
        <v>31</v>
      </c>
      <c r="J978" s="1" t="n">
        <v>8</v>
      </c>
      <c r="K978" s="1" t="n">
        <v>4.6</v>
      </c>
      <c r="L978" s="15" t="n">
        <v>453.32</v>
      </c>
      <c r="M978" s="15" t="n">
        <f aca="false">F978*G978</f>
        <v>559.65</v>
      </c>
      <c r="N978" s="15" t="n">
        <f aca="false">M978-L978</f>
        <v>106.33</v>
      </c>
      <c r="O978" s="1" t="n">
        <f aca="false">YEAR(B978)</f>
        <v>2024</v>
      </c>
      <c r="P978" s="1" t="n">
        <f aca="false">MONTH(B978)</f>
        <v>9</v>
      </c>
      <c r="Q978" s="1" t="str">
        <f aca="false">TEXT(B978,"mmm")</f>
        <v>Sep</v>
      </c>
      <c r="R978" s="1" t="str">
        <f aca="false">"Q"&amp;ROUNDUP(MONTH(B978)/3,0)</f>
        <v>Q3</v>
      </c>
    </row>
    <row r="979" customFormat="false" ht="15" hidden="false" customHeight="true" outlineLevel="0" collapsed="false">
      <c r="A979" s="1" t="n">
        <v>10978</v>
      </c>
      <c r="B979" s="14" t="n">
        <v>45539</v>
      </c>
      <c r="C979" s="1" t="n">
        <v>1928</v>
      </c>
      <c r="D979" s="1" t="s">
        <v>34</v>
      </c>
      <c r="E979" s="1" t="s">
        <v>36</v>
      </c>
      <c r="F979" s="1" t="n">
        <v>6</v>
      </c>
      <c r="G979" s="15" t="n">
        <v>338.47</v>
      </c>
      <c r="H979" s="16" t="n">
        <v>0.11</v>
      </c>
      <c r="I979" s="1" t="s">
        <v>31</v>
      </c>
      <c r="J979" s="1" t="n">
        <v>4</v>
      </c>
      <c r="K979" s="1" t="n">
        <v>4.1</v>
      </c>
      <c r="L979" s="15" t="n">
        <v>1807.43</v>
      </c>
      <c r="M979" s="15" t="n">
        <f aca="false">F979*G979</f>
        <v>2030.82</v>
      </c>
      <c r="N979" s="15" t="n">
        <f aca="false">M979-L979</f>
        <v>223.39</v>
      </c>
      <c r="O979" s="1" t="n">
        <f aca="false">YEAR(B979)</f>
        <v>2024</v>
      </c>
      <c r="P979" s="1" t="n">
        <f aca="false">MONTH(B979)</f>
        <v>9</v>
      </c>
      <c r="Q979" s="1" t="str">
        <f aca="false">TEXT(B979,"mmm")</f>
        <v>Sep</v>
      </c>
      <c r="R979" s="1" t="str">
        <f aca="false">"Q"&amp;ROUNDUP(MONTH(B979)/3,0)</f>
        <v>Q3</v>
      </c>
    </row>
    <row r="980" customFormat="false" ht="15" hidden="false" customHeight="true" outlineLevel="0" collapsed="false">
      <c r="A980" s="1" t="n">
        <v>10979</v>
      </c>
      <c r="B980" s="14" t="n">
        <v>45540</v>
      </c>
      <c r="C980" s="1" t="n">
        <v>1723</v>
      </c>
      <c r="D980" s="1" t="s">
        <v>30</v>
      </c>
      <c r="E980" s="1" t="s">
        <v>36</v>
      </c>
      <c r="F980" s="1" t="n">
        <v>6</v>
      </c>
      <c r="G980" s="15" t="n">
        <v>422.48</v>
      </c>
      <c r="H980" s="16" t="n">
        <v>0.23</v>
      </c>
      <c r="I980" s="1" t="s">
        <v>31</v>
      </c>
      <c r="J980" s="1" t="n">
        <v>4</v>
      </c>
      <c r="K980" s="1" t="n">
        <v>4</v>
      </c>
      <c r="L980" s="15" t="n">
        <v>1951.86</v>
      </c>
      <c r="M980" s="15" t="n">
        <f aca="false">F980*G980</f>
        <v>2534.88</v>
      </c>
      <c r="N980" s="15" t="n">
        <f aca="false">M980-L980</f>
        <v>583.02</v>
      </c>
      <c r="O980" s="1" t="n">
        <f aca="false">YEAR(B980)</f>
        <v>2024</v>
      </c>
      <c r="P980" s="1" t="n">
        <f aca="false">MONTH(B980)</f>
        <v>9</v>
      </c>
      <c r="Q980" s="1" t="str">
        <f aca="false">TEXT(B980,"mmm")</f>
        <v>Sep</v>
      </c>
      <c r="R980" s="1" t="str">
        <f aca="false">"Q"&amp;ROUNDUP(MONTH(B980)/3,0)</f>
        <v>Q3</v>
      </c>
    </row>
    <row r="981" customFormat="false" ht="15" hidden="false" customHeight="true" outlineLevel="0" collapsed="false">
      <c r="A981" s="1" t="n">
        <v>10980</v>
      </c>
      <c r="B981" s="14" t="n">
        <v>45541</v>
      </c>
      <c r="C981" s="1" t="n">
        <v>1460</v>
      </c>
      <c r="D981" s="1" t="s">
        <v>34</v>
      </c>
      <c r="E981" s="1" t="s">
        <v>28</v>
      </c>
      <c r="F981" s="1" t="n">
        <v>6</v>
      </c>
      <c r="G981" s="15" t="n">
        <v>364.09</v>
      </c>
      <c r="H981" s="16" t="n">
        <v>0.23</v>
      </c>
      <c r="I981" s="1" t="s">
        <v>33</v>
      </c>
      <c r="J981" s="1" t="n">
        <v>2</v>
      </c>
      <c r="K981" s="1" t="n">
        <v>4.4</v>
      </c>
      <c r="L981" s="15" t="n">
        <v>1682.1</v>
      </c>
      <c r="M981" s="15" t="n">
        <f aca="false">F981*G981</f>
        <v>2184.54</v>
      </c>
      <c r="N981" s="15" t="n">
        <f aca="false">M981-L981</f>
        <v>502.44</v>
      </c>
      <c r="O981" s="1" t="n">
        <f aca="false">YEAR(B981)</f>
        <v>2024</v>
      </c>
      <c r="P981" s="1" t="n">
        <f aca="false">MONTH(B981)</f>
        <v>9</v>
      </c>
      <c r="Q981" s="1" t="str">
        <f aca="false">TEXT(B981,"mmm")</f>
        <v>Sep</v>
      </c>
      <c r="R981" s="1" t="str">
        <f aca="false">"Q"&amp;ROUNDUP(MONTH(B981)/3,0)</f>
        <v>Q3</v>
      </c>
    </row>
    <row r="982" customFormat="false" ht="15" hidden="false" customHeight="true" outlineLevel="0" collapsed="false">
      <c r="A982" s="1" t="n">
        <v>10981</v>
      </c>
      <c r="B982" s="14" t="n">
        <v>45542</v>
      </c>
      <c r="C982" s="1" t="n">
        <v>1731</v>
      </c>
      <c r="D982" s="1" t="s">
        <v>30</v>
      </c>
      <c r="E982" s="1" t="s">
        <v>35</v>
      </c>
      <c r="F982" s="1" t="n">
        <v>4</v>
      </c>
      <c r="G982" s="15" t="n">
        <v>86.8</v>
      </c>
      <c r="H982" s="16" t="n">
        <v>0.2</v>
      </c>
      <c r="I982" s="1" t="s">
        <v>33</v>
      </c>
      <c r="J982" s="1" t="n">
        <v>6</v>
      </c>
      <c r="K982" s="1" t="n">
        <v>3.7</v>
      </c>
      <c r="L982" s="15" t="n">
        <v>277.76</v>
      </c>
      <c r="M982" s="15" t="n">
        <f aca="false">F982*G982</f>
        <v>347.2</v>
      </c>
      <c r="N982" s="15" t="n">
        <f aca="false">M982-L982</f>
        <v>69.44</v>
      </c>
      <c r="O982" s="1" t="n">
        <f aca="false">YEAR(B982)</f>
        <v>2024</v>
      </c>
      <c r="P982" s="1" t="n">
        <f aca="false">MONTH(B982)</f>
        <v>9</v>
      </c>
      <c r="Q982" s="1" t="str">
        <f aca="false">TEXT(B982,"mmm")</f>
        <v>Sep</v>
      </c>
      <c r="R982" s="1" t="str">
        <f aca="false">"Q"&amp;ROUNDUP(MONTH(B982)/3,0)</f>
        <v>Q3</v>
      </c>
    </row>
    <row r="983" customFormat="false" ht="15" hidden="false" customHeight="true" outlineLevel="0" collapsed="false">
      <c r="A983" s="1" t="n">
        <v>10982</v>
      </c>
      <c r="B983" s="14" t="n">
        <v>45543</v>
      </c>
      <c r="C983" s="1" t="n">
        <v>1751</v>
      </c>
      <c r="D983" s="1" t="s">
        <v>37</v>
      </c>
      <c r="E983" s="1" t="s">
        <v>32</v>
      </c>
      <c r="F983" s="1" t="n">
        <v>2</v>
      </c>
      <c r="G983" s="15" t="n">
        <v>578.42</v>
      </c>
      <c r="H983" s="16" t="n">
        <v>0.04</v>
      </c>
      <c r="I983" s="1" t="s">
        <v>33</v>
      </c>
      <c r="J983" s="1" t="n">
        <v>6</v>
      </c>
      <c r="K983" s="1" t="n">
        <v>2.7</v>
      </c>
      <c r="L983" s="15" t="n">
        <v>1110.57</v>
      </c>
      <c r="M983" s="15" t="n">
        <f aca="false">F983*G983</f>
        <v>1156.84</v>
      </c>
      <c r="N983" s="15" t="n">
        <f aca="false">M983-L983</f>
        <v>46.27</v>
      </c>
      <c r="O983" s="1" t="n">
        <f aca="false">YEAR(B983)</f>
        <v>2024</v>
      </c>
      <c r="P983" s="1" t="n">
        <f aca="false">MONTH(B983)</f>
        <v>9</v>
      </c>
      <c r="Q983" s="1" t="str">
        <f aca="false">TEXT(B983,"mmm")</f>
        <v>Sep</v>
      </c>
      <c r="R983" s="1" t="str">
        <f aca="false">"Q"&amp;ROUNDUP(MONTH(B983)/3,0)</f>
        <v>Q3</v>
      </c>
    </row>
    <row r="984" customFormat="false" ht="15" hidden="false" customHeight="true" outlineLevel="0" collapsed="false">
      <c r="A984" s="1" t="n">
        <v>10983</v>
      </c>
      <c r="B984" s="14" t="n">
        <v>45544</v>
      </c>
      <c r="C984" s="1" t="n">
        <v>1924</v>
      </c>
      <c r="D984" s="1" t="s">
        <v>34</v>
      </c>
      <c r="E984" s="1" t="s">
        <v>32</v>
      </c>
      <c r="F984" s="1" t="n">
        <v>6</v>
      </c>
      <c r="G984" s="15" t="n">
        <v>86.88</v>
      </c>
      <c r="H984" s="16" t="n">
        <v>0.17</v>
      </c>
      <c r="I984" s="1" t="s">
        <v>29</v>
      </c>
      <c r="J984" s="1" t="n">
        <v>1</v>
      </c>
      <c r="K984" s="1" t="n">
        <v>1.3</v>
      </c>
      <c r="L984" s="15" t="n">
        <v>432.66</v>
      </c>
      <c r="M984" s="15" t="n">
        <f aca="false">F984*G984</f>
        <v>521.28</v>
      </c>
      <c r="N984" s="15" t="n">
        <f aca="false">M984-L984</f>
        <v>88.62</v>
      </c>
      <c r="O984" s="1" t="n">
        <f aca="false">YEAR(B984)</f>
        <v>2024</v>
      </c>
      <c r="P984" s="1" t="n">
        <f aca="false">MONTH(B984)</f>
        <v>9</v>
      </c>
      <c r="Q984" s="1" t="str">
        <f aca="false">TEXT(B984,"mmm")</f>
        <v>Sep</v>
      </c>
      <c r="R984" s="1" t="str">
        <f aca="false">"Q"&amp;ROUNDUP(MONTH(B984)/3,0)</f>
        <v>Q3</v>
      </c>
    </row>
    <row r="985" customFormat="false" ht="15" hidden="false" customHeight="true" outlineLevel="0" collapsed="false">
      <c r="A985" s="1" t="n">
        <v>10984</v>
      </c>
      <c r="B985" s="14" t="n">
        <v>45545</v>
      </c>
      <c r="C985" s="1" t="n">
        <v>1908</v>
      </c>
      <c r="D985" s="1" t="s">
        <v>30</v>
      </c>
      <c r="E985" s="1" t="s">
        <v>35</v>
      </c>
      <c r="F985" s="1" t="n">
        <v>7</v>
      </c>
      <c r="G985" s="15" t="n">
        <v>164.11</v>
      </c>
      <c r="H985" s="16" t="n">
        <v>0.12</v>
      </c>
      <c r="I985" s="1" t="s">
        <v>33</v>
      </c>
      <c r="J985" s="1" t="n">
        <v>8</v>
      </c>
      <c r="K985" s="1" t="n">
        <v>4.2</v>
      </c>
      <c r="L985" s="15" t="n">
        <v>1010.92</v>
      </c>
      <c r="M985" s="15" t="n">
        <f aca="false">F985*G985</f>
        <v>1148.77</v>
      </c>
      <c r="N985" s="15" t="n">
        <f aca="false">M985-L985</f>
        <v>137.85</v>
      </c>
      <c r="O985" s="1" t="n">
        <f aca="false">YEAR(B985)</f>
        <v>2024</v>
      </c>
      <c r="P985" s="1" t="n">
        <f aca="false">MONTH(B985)</f>
        <v>9</v>
      </c>
      <c r="Q985" s="1" t="str">
        <f aca="false">TEXT(B985,"mmm")</f>
        <v>Sep</v>
      </c>
      <c r="R985" s="1" t="str">
        <f aca="false">"Q"&amp;ROUNDUP(MONTH(B985)/3,0)</f>
        <v>Q3</v>
      </c>
    </row>
    <row r="986" customFormat="false" ht="15" hidden="false" customHeight="true" outlineLevel="0" collapsed="false">
      <c r="A986" s="1" t="n">
        <v>10985</v>
      </c>
      <c r="B986" s="14" t="n">
        <v>45546</v>
      </c>
      <c r="C986" s="1" t="n">
        <v>1557</v>
      </c>
      <c r="D986" s="1" t="s">
        <v>30</v>
      </c>
      <c r="E986" s="1" t="s">
        <v>35</v>
      </c>
      <c r="F986" s="1" t="n">
        <v>7</v>
      </c>
      <c r="G986" s="15" t="n">
        <v>490.97</v>
      </c>
      <c r="H986" s="16" t="n">
        <v>0.17</v>
      </c>
      <c r="I986" s="1" t="s">
        <v>29</v>
      </c>
      <c r="J986" s="1" t="n">
        <v>3</v>
      </c>
      <c r="K986" s="1" t="n">
        <v>4.6</v>
      </c>
      <c r="L986" s="15" t="n">
        <v>2852.54</v>
      </c>
      <c r="M986" s="15" t="n">
        <f aca="false">F986*G986</f>
        <v>3436.79</v>
      </c>
      <c r="N986" s="15" t="n">
        <f aca="false">M986-L986</f>
        <v>584.25</v>
      </c>
      <c r="O986" s="1" t="n">
        <f aca="false">YEAR(B986)</f>
        <v>2024</v>
      </c>
      <c r="P986" s="1" t="n">
        <f aca="false">MONTH(B986)</f>
        <v>9</v>
      </c>
      <c r="Q986" s="1" t="str">
        <f aca="false">TEXT(B986,"mmm")</f>
        <v>Sep</v>
      </c>
      <c r="R986" s="1" t="str">
        <f aca="false">"Q"&amp;ROUNDUP(MONTH(B986)/3,0)</f>
        <v>Q3</v>
      </c>
    </row>
    <row r="987" customFormat="false" ht="15" hidden="false" customHeight="true" outlineLevel="0" collapsed="false">
      <c r="A987" s="1" t="n">
        <v>10986</v>
      </c>
      <c r="B987" s="14" t="n">
        <v>45547</v>
      </c>
      <c r="C987" s="1" t="n">
        <v>1546</v>
      </c>
      <c r="D987" s="1" t="s">
        <v>34</v>
      </c>
      <c r="E987" s="1" t="s">
        <v>35</v>
      </c>
      <c r="F987" s="1" t="n">
        <v>5</v>
      </c>
      <c r="G987" s="15" t="n">
        <v>376.88</v>
      </c>
      <c r="H987" s="16" t="n">
        <v>0.32</v>
      </c>
      <c r="I987" s="1" t="s">
        <v>31</v>
      </c>
      <c r="J987" s="1" t="n">
        <v>1</v>
      </c>
      <c r="K987" s="1" t="n">
        <v>3</v>
      </c>
      <c r="L987" s="15" t="n">
        <v>1281.39</v>
      </c>
      <c r="M987" s="15" t="n">
        <f aca="false">F987*G987</f>
        <v>1884.4</v>
      </c>
      <c r="N987" s="15" t="n">
        <f aca="false">M987-L987</f>
        <v>603.01</v>
      </c>
      <c r="O987" s="1" t="n">
        <f aca="false">YEAR(B987)</f>
        <v>2024</v>
      </c>
      <c r="P987" s="1" t="n">
        <f aca="false">MONTH(B987)</f>
        <v>9</v>
      </c>
      <c r="Q987" s="1" t="str">
        <f aca="false">TEXT(B987,"mmm")</f>
        <v>Sep</v>
      </c>
      <c r="R987" s="1" t="str">
        <f aca="false">"Q"&amp;ROUNDUP(MONTH(B987)/3,0)</f>
        <v>Q3</v>
      </c>
    </row>
    <row r="988" customFormat="false" ht="15" hidden="false" customHeight="true" outlineLevel="0" collapsed="false">
      <c r="A988" s="1" t="n">
        <v>10987</v>
      </c>
      <c r="B988" s="14" t="n">
        <v>45548</v>
      </c>
      <c r="C988" s="1" t="n">
        <v>1252</v>
      </c>
      <c r="D988" s="1" t="s">
        <v>30</v>
      </c>
      <c r="E988" s="1" t="s">
        <v>28</v>
      </c>
      <c r="F988" s="1" t="n">
        <v>5</v>
      </c>
      <c r="G988" s="15" t="n">
        <v>505.32</v>
      </c>
      <c r="H988" s="16" t="n">
        <v>0.17</v>
      </c>
      <c r="I988" s="1" t="s">
        <v>31</v>
      </c>
      <c r="J988" s="1" t="n">
        <v>10</v>
      </c>
      <c r="K988" s="1" t="n">
        <v>3.1</v>
      </c>
      <c r="L988" s="15" t="n">
        <v>2097.08</v>
      </c>
      <c r="M988" s="15" t="n">
        <f aca="false">F988*G988</f>
        <v>2526.6</v>
      </c>
      <c r="N988" s="15" t="n">
        <f aca="false">M988-L988</f>
        <v>429.52</v>
      </c>
      <c r="O988" s="1" t="n">
        <f aca="false">YEAR(B988)</f>
        <v>2024</v>
      </c>
      <c r="P988" s="1" t="n">
        <f aca="false">MONTH(B988)</f>
        <v>9</v>
      </c>
      <c r="Q988" s="1" t="str">
        <f aca="false">TEXT(B988,"mmm")</f>
        <v>Sep</v>
      </c>
      <c r="R988" s="1" t="str">
        <f aca="false">"Q"&amp;ROUNDUP(MONTH(B988)/3,0)</f>
        <v>Q3</v>
      </c>
    </row>
    <row r="989" customFormat="false" ht="15" hidden="false" customHeight="true" outlineLevel="0" collapsed="false">
      <c r="A989" s="1" t="n">
        <v>10988</v>
      </c>
      <c r="B989" s="14" t="n">
        <v>45549</v>
      </c>
      <c r="C989" s="1" t="n">
        <v>1389</v>
      </c>
      <c r="D989" s="1" t="s">
        <v>34</v>
      </c>
      <c r="E989" s="1" t="s">
        <v>32</v>
      </c>
      <c r="F989" s="1" t="n">
        <v>2</v>
      </c>
      <c r="G989" s="15" t="n">
        <v>316.71</v>
      </c>
      <c r="H989" s="16" t="n">
        <v>0</v>
      </c>
      <c r="I989" s="1" t="s">
        <v>31</v>
      </c>
      <c r="J989" s="1" t="n">
        <v>1</v>
      </c>
      <c r="K989" s="1" t="n">
        <v>2.6</v>
      </c>
      <c r="L989" s="15" t="n">
        <v>633.42</v>
      </c>
      <c r="M989" s="15" t="n">
        <f aca="false">F989*G989</f>
        <v>633.42</v>
      </c>
      <c r="N989" s="15" t="n">
        <f aca="false">M989-L989</f>
        <v>0</v>
      </c>
      <c r="O989" s="1" t="n">
        <f aca="false">YEAR(B989)</f>
        <v>2024</v>
      </c>
      <c r="P989" s="1" t="n">
        <f aca="false">MONTH(B989)</f>
        <v>9</v>
      </c>
      <c r="Q989" s="1" t="str">
        <f aca="false">TEXT(B989,"mmm")</f>
        <v>Sep</v>
      </c>
      <c r="R989" s="1" t="str">
        <f aca="false">"Q"&amp;ROUNDUP(MONTH(B989)/3,0)</f>
        <v>Q3</v>
      </c>
    </row>
    <row r="990" customFormat="false" ht="15" hidden="false" customHeight="true" outlineLevel="0" collapsed="false">
      <c r="A990" s="1" t="n">
        <v>10989</v>
      </c>
      <c r="B990" s="14" t="n">
        <v>45550</v>
      </c>
      <c r="C990" s="1" t="n">
        <v>1593</v>
      </c>
      <c r="D990" s="1" t="s">
        <v>30</v>
      </c>
      <c r="E990" s="1" t="s">
        <v>32</v>
      </c>
      <c r="F990" s="1" t="n">
        <v>4</v>
      </c>
      <c r="G990" s="15" t="n">
        <v>235.54</v>
      </c>
      <c r="H990" s="16" t="n">
        <v>0.15</v>
      </c>
      <c r="I990" s="1" t="s">
        <v>31</v>
      </c>
      <c r="J990" s="1" t="n">
        <v>1</v>
      </c>
      <c r="K990" s="1" t="n">
        <v>4.4</v>
      </c>
      <c r="L990" s="15" t="n">
        <v>800.84</v>
      </c>
      <c r="M990" s="15" t="n">
        <f aca="false">F990*G990</f>
        <v>942.16</v>
      </c>
      <c r="N990" s="15" t="n">
        <f aca="false">M990-L990</f>
        <v>141.32</v>
      </c>
      <c r="O990" s="1" t="n">
        <f aca="false">YEAR(B990)</f>
        <v>2024</v>
      </c>
      <c r="P990" s="1" t="n">
        <f aca="false">MONTH(B990)</f>
        <v>9</v>
      </c>
      <c r="Q990" s="1" t="str">
        <f aca="false">TEXT(B990,"mmm")</f>
        <v>Sep</v>
      </c>
      <c r="R990" s="1" t="str">
        <f aca="false">"Q"&amp;ROUNDUP(MONTH(B990)/3,0)</f>
        <v>Q3</v>
      </c>
    </row>
    <row r="991" customFormat="false" ht="15" hidden="false" customHeight="true" outlineLevel="0" collapsed="false">
      <c r="A991" s="1" t="n">
        <v>10990</v>
      </c>
      <c r="B991" s="14" t="n">
        <v>45551</v>
      </c>
      <c r="C991" s="1" t="n">
        <v>1882</v>
      </c>
      <c r="D991" s="1" t="s">
        <v>34</v>
      </c>
      <c r="E991" s="1" t="s">
        <v>36</v>
      </c>
      <c r="F991" s="1" t="n">
        <v>4</v>
      </c>
      <c r="G991" s="15" t="n">
        <v>554.28</v>
      </c>
      <c r="H991" s="16" t="n">
        <v>0.29</v>
      </c>
      <c r="I991" s="1" t="s">
        <v>33</v>
      </c>
      <c r="J991" s="1" t="n">
        <v>5</v>
      </c>
      <c r="K991" s="1" t="n">
        <v>1.1</v>
      </c>
      <c r="L991" s="15" t="n">
        <v>1574.16</v>
      </c>
      <c r="M991" s="15" t="n">
        <f aca="false">F991*G991</f>
        <v>2217.12</v>
      </c>
      <c r="N991" s="15" t="n">
        <f aca="false">M991-L991</f>
        <v>642.96</v>
      </c>
      <c r="O991" s="1" t="n">
        <f aca="false">YEAR(B991)</f>
        <v>2024</v>
      </c>
      <c r="P991" s="1" t="n">
        <f aca="false">MONTH(B991)</f>
        <v>9</v>
      </c>
      <c r="Q991" s="1" t="str">
        <f aca="false">TEXT(B991,"mmm")</f>
        <v>Sep</v>
      </c>
      <c r="R991" s="1" t="str">
        <f aca="false">"Q"&amp;ROUNDUP(MONTH(B991)/3,0)</f>
        <v>Q3</v>
      </c>
    </row>
    <row r="992" customFormat="false" ht="15" hidden="false" customHeight="true" outlineLevel="0" collapsed="false">
      <c r="A992" s="1" t="n">
        <v>10991</v>
      </c>
      <c r="B992" s="14" t="n">
        <v>45552</v>
      </c>
      <c r="C992" s="1" t="n">
        <v>1255</v>
      </c>
      <c r="D992" s="1" t="s">
        <v>30</v>
      </c>
      <c r="E992" s="1" t="s">
        <v>36</v>
      </c>
      <c r="F992" s="1" t="n">
        <v>1</v>
      </c>
      <c r="G992" s="15" t="n">
        <v>36.21</v>
      </c>
      <c r="H992" s="16" t="n">
        <v>0.27</v>
      </c>
      <c r="I992" s="1" t="s">
        <v>33</v>
      </c>
      <c r="J992" s="1" t="n">
        <v>5</v>
      </c>
      <c r="K992" s="1" t="n">
        <v>3.5</v>
      </c>
      <c r="L992" s="15" t="n">
        <v>26.43</v>
      </c>
      <c r="M992" s="15" t="n">
        <f aca="false">F992*G992</f>
        <v>36.21</v>
      </c>
      <c r="N992" s="15" t="n">
        <f aca="false">M992-L992</f>
        <v>9.78</v>
      </c>
      <c r="O992" s="1" t="n">
        <f aca="false">YEAR(B992)</f>
        <v>2024</v>
      </c>
      <c r="P992" s="1" t="n">
        <f aca="false">MONTH(B992)</f>
        <v>9</v>
      </c>
      <c r="Q992" s="1" t="str">
        <f aca="false">TEXT(B992,"mmm")</f>
        <v>Sep</v>
      </c>
      <c r="R992" s="1" t="str">
        <f aca="false">"Q"&amp;ROUNDUP(MONTH(B992)/3,0)</f>
        <v>Q3</v>
      </c>
    </row>
    <row r="993" customFormat="false" ht="15" hidden="false" customHeight="true" outlineLevel="0" collapsed="false">
      <c r="A993" s="1" t="n">
        <v>10992</v>
      </c>
      <c r="B993" s="14" t="n">
        <v>45553</v>
      </c>
      <c r="C993" s="1" t="n">
        <v>1708</v>
      </c>
      <c r="D993" s="1" t="s">
        <v>34</v>
      </c>
      <c r="E993" s="1" t="s">
        <v>35</v>
      </c>
      <c r="F993" s="1" t="n">
        <v>1</v>
      </c>
      <c r="G993" s="15" t="n">
        <v>515.84</v>
      </c>
      <c r="H993" s="16" t="n">
        <v>0.18</v>
      </c>
      <c r="I993" s="1" t="s">
        <v>33</v>
      </c>
      <c r="J993" s="1" t="n">
        <v>1</v>
      </c>
      <c r="K993" s="1" t="n">
        <v>4.6</v>
      </c>
      <c r="L993" s="15" t="n">
        <v>422.99</v>
      </c>
      <c r="M993" s="15" t="n">
        <f aca="false">F993*G993</f>
        <v>515.84</v>
      </c>
      <c r="N993" s="15" t="n">
        <f aca="false">M993-L993</f>
        <v>92.85</v>
      </c>
      <c r="O993" s="1" t="n">
        <f aca="false">YEAR(B993)</f>
        <v>2024</v>
      </c>
      <c r="P993" s="1" t="n">
        <f aca="false">MONTH(B993)</f>
        <v>9</v>
      </c>
      <c r="Q993" s="1" t="str">
        <f aca="false">TEXT(B993,"mmm")</f>
        <v>Sep</v>
      </c>
      <c r="R993" s="1" t="str">
        <f aca="false">"Q"&amp;ROUNDUP(MONTH(B993)/3,0)</f>
        <v>Q3</v>
      </c>
    </row>
    <row r="994" customFormat="false" ht="15" hidden="false" customHeight="true" outlineLevel="0" collapsed="false">
      <c r="A994" s="1" t="n">
        <v>10993</v>
      </c>
      <c r="B994" s="14" t="n">
        <v>45554</v>
      </c>
      <c r="C994" s="1" t="n">
        <v>1814</v>
      </c>
      <c r="D994" s="1" t="s">
        <v>37</v>
      </c>
      <c r="E994" s="1" t="s">
        <v>36</v>
      </c>
      <c r="F994" s="1" t="n">
        <v>6</v>
      </c>
      <c r="G994" s="15" t="n">
        <v>150.03</v>
      </c>
      <c r="H994" s="16" t="n">
        <v>0.09</v>
      </c>
      <c r="I994" s="1" t="s">
        <v>33</v>
      </c>
      <c r="J994" s="1" t="n">
        <v>5</v>
      </c>
      <c r="K994" s="1" t="n">
        <v>1.4</v>
      </c>
      <c r="L994" s="15" t="n">
        <v>819.16</v>
      </c>
      <c r="M994" s="15" t="n">
        <f aca="false">F994*G994</f>
        <v>900.18</v>
      </c>
      <c r="N994" s="15" t="n">
        <f aca="false">M994-L994</f>
        <v>81.0200000000001</v>
      </c>
      <c r="O994" s="1" t="n">
        <f aca="false">YEAR(B994)</f>
        <v>2024</v>
      </c>
      <c r="P994" s="1" t="n">
        <f aca="false">MONTH(B994)</f>
        <v>9</v>
      </c>
      <c r="Q994" s="1" t="str">
        <f aca="false">TEXT(B994,"mmm")</f>
        <v>Sep</v>
      </c>
      <c r="R994" s="1" t="str">
        <f aca="false">"Q"&amp;ROUNDUP(MONTH(B994)/3,0)</f>
        <v>Q3</v>
      </c>
    </row>
    <row r="995" customFormat="false" ht="15" hidden="false" customHeight="true" outlineLevel="0" collapsed="false">
      <c r="A995" s="1" t="n">
        <v>10994</v>
      </c>
      <c r="B995" s="14" t="n">
        <v>45555</v>
      </c>
      <c r="C995" s="1" t="n">
        <v>1920</v>
      </c>
      <c r="D995" s="1" t="s">
        <v>34</v>
      </c>
      <c r="E995" s="1" t="s">
        <v>28</v>
      </c>
      <c r="F995" s="1" t="n">
        <v>3</v>
      </c>
      <c r="G995" s="15" t="n">
        <v>511.51</v>
      </c>
      <c r="H995" s="16" t="n">
        <v>0.16</v>
      </c>
      <c r="I995" s="1" t="s">
        <v>29</v>
      </c>
      <c r="J995" s="1" t="n">
        <v>7</v>
      </c>
      <c r="K995" s="1" t="n">
        <v>4.8</v>
      </c>
      <c r="L995" s="15" t="n">
        <v>1289.01</v>
      </c>
      <c r="M995" s="15" t="n">
        <f aca="false">F995*G995</f>
        <v>1534.53</v>
      </c>
      <c r="N995" s="15" t="n">
        <f aca="false">M995-L995</f>
        <v>245.52</v>
      </c>
      <c r="O995" s="1" t="n">
        <f aca="false">YEAR(B995)</f>
        <v>2024</v>
      </c>
      <c r="P995" s="1" t="n">
        <f aca="false">MONTH(B995)</f>
        <v>9</v>
      </c>
      <c r="Q995" s="1" t="str">
        <f aca="false">TEXT(B995,"mmm")</f>
        <v>Sep</v>
      </c>
      <c r="R995" s="1" t="str">
        <f aca="false">"Q"&amp;ROUNDUP(MONTH(B995)/3,0)</f>
        <v>Q3</v>
      </c>
    </row>
    <row r="996" customFormat="false" ht="15" hidden="false" customHeight="true" outlineLevel="0" collapsed="false">
      <c r="A996" s="1" t="n">
        <v>10995</v>
      </c>
      <c r="B996" s="14" t="n">
        <v>45556</v>
      </c>
      <c r="C996" s="1" t="n">
        <v>1449</v>
      </c>
      <c r="D996" s="1" t="s">
        <v>30</v>
      </c>
      <c r="E996" s="1" t="s">
        <v>32</v>
      </c>
      <c r="F996" s="1" t="n">
        <v>7</v>
      </c>
      <c r="G996" s="15" t="n">
        <v>96.43</v>
      </c>
      <c r="H996" s="16" t="n">
        <v>0.2</v>
      </c>
      <c r="I996" s="1" t="s">
        <v>29</v>
      </c>
      <c r="J996" s="1" t="n">
        <v>5</v>
      </c>
      <c r="K996" s="1" t="n">
        <v>4.9</v>
      </c>
      <c r="L996" s="15" t="n">
        <v>540.01</v>
      </c>
      <c r="M996" s="15" t="n">
        <f aca="false">F996*G996</f>
        <v>675.01</v>
      </c>
      <c r="N996" s="15" t="n">
        <f aca="false">M996-L996</f>
        <v>135</v>
      </c>
      <c r="O996" s="1" t="n">
        <f aca="false">YEAR(B996)</f>
        <v>2024</v>
      </c>
      <c r="P996" s="1" t="n">
        <f aca="false">MONTH(B996)</f>
        <v>9</v>
      </c>
      <c r="Q996" s="1" t="str">
        <f aca="false">TEXT(B996,"mmm")</f>
        <v>Sep</v>
      </c>
      <c r="R996" s="1" t="str">
        <f aca="false">"Q"&amp;ROUNDUP(MONTH(B996)/3,0)</f>
        <v>Q3</v>
      </c>
    </row>
    <row r="997" customFormat="false" ht="15" hidden="false" customHeight="true" outlineLevel="0" collapsed="false">
      <c r="A997" s="1" t="n">
        <v>10996</v>
      </c>
      <c r="B997" s="14" t="n">
        <v>45557</v>
      </c>
      <c r="C997" s="1" t="n">
        <v>1009</v>
      </c>
      <c r="D997" s="1" t="s">
        <v>30</v>
      </c>
      <c r="E997" s="1" t="s">
        <v>32</v>
      </c>
      <c r="F997" s="1" t="n">
        <v>1</v>
      </c>
      <c r="G997" s="15" t="n">
        <v>354.43</v>
      </c>
      <c r="H997" s="16" t="n">
        <v>0.35</v>
      </c>
      <c r="I997" s="1" t="s">
        <v>31</v>
      </c>
      <c r="J997" s="1" t="n">
        <v>9</v>
      </c>
      <c r="K997" s="1" t="n">
        <v>4.7</v>
      </c>
      <c r="L997" s="15" t="n">
        <v>230.38</v>
      </c>
      <c r="M997" s="15" t="n">
        <f aca="false">F997*G997</f>
        <v>354.43</v>
      </c>
      <c r="N997" s="15" t="n">
        <f aca="false">M997-L997</f>
        <v>124.05</v>
      </c>
      <c r="O997" s="1" t="n">
        <f aca="false">YEAR(B997)</f>
        <v>2024</v>
      </c>
      <c r="P997" s="1" t="n">
        <f aca="false">MONTH(B997)</f>
        <v>9</v>
      </c>
      <c r="Q997" s="1" t="str">
        <f aca="false">TEXT(B997,"mmm")</f>
        <v>Sep</v>
      </c>
      <c r="R997" s="1" t="str">
        <f aca="false">"Q"&amp;ROUNDUP(MONTH(B997)/3,0)</f>
        <v>Q3</v>
      </c>
    </row>
    <row r="998" customFormat="false" ht="15" hidden="false" customHeight="true" outlineLevel="0" collapsed="false">
      <c r="A998" s="1" t="n">
        <v>10997</v>
      </c>
      <c r="B998" s="14" t="n">
        <v>45558</v>
      </c>
      <c r="C998" s="1" t="n">
        <v>1823</v>
      </c>
      <c r="D998" s="1" t="s">
        <v>37</v>
      </c>
      <c r="E998" s="1" t="s">
        <v>36</v>
      </c>
      <c r="F998" s="1" t="n">
        <v>4</v>
      </c>
      <c r="G998" s="15" t="n">
        <v>534.54</v>
      </c>
      <c r="H998" s="16" t="n">
        <v>0.23</v>
      </c>
      <c r="I998" s="1" t="s">
        <v>31</v>
      </c>
      <c r="J998" s="1" t="n">
        <v>4</v>
      </c>
      <c r="K998" s="1" t="n">
        <v>2.9</v>
      </c>
      <c r="L998" s="15" t="n">
        <v>1646.38</v>
      </c>
      <c r="M998" s="15" t="n">
        <f aca="false">F998*G998</f>
        <v>2138.16</v>
      </c>
      <c r="N998" s="15" t="n">
        <f aca="false">M998-L998</f>
        <v>491.78</v>
      </c>
      <c r="O998" s="1" t="n">
        <f aca="false">YEAR(B998)</f>
        <v>2024</v>
      </c>
      <c r="P998" s="1" t="n">
        <f aca="false">MONTH(B998)</f>
        <v>9</v>
      </c>
      <c r="Q998" s="1" t="str">
        <f aca="false">TEXT(B998,"mmm")</f>
        <v>Sep</v>
      </c>
      <c r="R998" s="1" t="str">
        <f aca="false">"Q"&amp;ROUNDUP(MONTH(B998)/3,0)</f>
        <v>Q3</v>
      </c>
    </row>
    <row r="999" customFormat="false" ht="15" hidden="false" customHeight="true" outlineLevel="0" collapsed="false">
      <c r="A999" s="1" t="n">
        <v>10998</v>
      </c>
      <c r="B999" s="14" t="n">
        <v>45559</v>
      </c>
      <c r="C999" s="1" t="n">
        <v>1797</v>
      </c>
      <c r="D999" s="1" t="s">
        <v>30</v>
      </c>
      <c r="E999" s="1" t="s">
        <v>35</v>
      </c>
      <c r="F999" s="1" t="n">
        <v>7</v>
      </c>
      <c r="G999" s="15" t="n">
        <v>292.02</v>
      </c>
      <c r="H999" s="16" t="n">
        <v>0.24</v>
      </c>
      <c r="I999" s="1" t="s">
        <v>31</v>
      </c>
      <c r="J999" s="1" t="n">
        <v>9</v>
      </c>
      <c r="K999" s="1" t="n">
        <v>2.5</v>
      </c>
      <c r="L999" s="15" t="n">
        <v>1553.55</v>
      </c>
      <c r="M999" s="15" t="n">
        <f aca="false">F999*G999</f>
        <v>2044.14</v>
      </c>
      <c r="N999" s="15" t="n">
        <f aca="false">M999-L999</f>
        <v>490.59</v>
      </c>
      <c r="O999" s="1" t="n">
        <f aca="false">YEAR(B999)</f>
        <v>2024</v>
      </c>
      <c r="P999" s="1" t="n">
        <f aca="false">MONTH(B999)</f>
        <v>9</v>
      </c>
      <c r="Q999" s="1" t="str">
        <f aca="false">TEXT(B999,"mmm")</f>
        <v>Sep</v>
      </c>
      <c r="R999" s="1" t="str">
        <f aca="false">"Q"&amp;ROUNDUP(MONTH(B999)/3,0)</f>
        <v>Q3</v>
      </c>
    </row>
    <row r="1000" customFormat="false" ht="15" hidden="false" customHeight="true" outlineLevel="0" collapsed="false">
      <c r="A1000" s="1" t="n">
        <v>10999</v>
      </c>
      <c r="B1000" s="14" t="n">
        <v>45560</v>
      </c>
      <c r="C1000" s="1" t="n">
        <v>1241</v>
      </c>
      <c r="D1000" s="1" t="s">
        <v>37</v>
      </c>
      <c r="E1000" s="1" t="s">
        <v>36</v>
      </c>
      <c r="F1000" s="1" t="n">
        <v>3</v>
      </c>
      <c r="G1000" s="15" t="n">
        <v>451.74</v>
      </c>
      <c r="H1000" s="16" t="n">
        <v>0.17</v>
      </c>
      <c r="I1000" s="1" t="s">
        <v>31</v>
      </c>
      <c r="J1000" s="1" t="n">
        <v>8</v>
      </c>
      <c r="K1000" s="1" t="n">
        <v>3.8</v>
      </c>
      <c r="L1000" s="15" t="n">
        <v>1124.83</v>
      </c>
      <c r="M1000" s="15" t="n">
        <f aca="false">F1000*G1000</f>
        <v>1355.22</v>
      </c>
      <c r="N1000" s="15" t="n">
        <f aca="false">M1000-L1000</f>
        <v>230.39</v>
      </c>
      <c r="O1000" s="1" t="n">
        <f aca="false">YEAR(B1000)</f>
        <v>2024</v>
      </c>
      <c r="P1000" s="1" t="n">
        <f aca="false">MONTH(B1000)</f>
        <v>9</v>
      </c>
      <c r="Q1000" s="1" t="str">
        <f aca="false">TEXT(B1000,"mmm")</f>
        <v>Sep</v>
      </c>
      <c r="R1000" s="1" t="str">
        <f aca="false">"Q"&amp;ROUNDUP(MONTH(B1000)/3,0)</f>
        <v>Q3</v>
      </c>
    </row>
    <row r="1001" customFormat="false" ht="15" hidden="false" customHeight="true" outlineLevel="0" collapsed="false">
      <c r="A1001" s="1" t="n">
        <v>11000</v>
      </c>
      <c r="B1001" s="14" t="n">
        <v>45561</v>
      </c>
      <c r="C1001" s="1" t="n">
        <v>1250</v>
      </c>
      <c r="D1001" s="1" t="s">
        <v>37</v>
      </c>
      <c r="E1001" s="1" t="s">
        <v>35</v>
      </c>
      <c r="F1001" s="1" t="n">
        <v>1</v>
      </c>
      <c r="G1001" s="15" t="n">
        <v>485.73</v>
      </c>
      <c r="H1001" s="16" t="n">
        <v>0.12</v>
      </c>
      <c r="I1001" s="1" t="s">
        <v>33</v>
      </c>
      <c r="J1001" s="1" t="n">
        <v>1</v>
      </c>
      <c r="K1001" s="1" t="n">
        <v>2.3</v>
      </c>
      <c r="L1001" s="15" t="n">
        <v>427.44</v>
      </c>
      <c r="M1001" s="15" t="n">
        <f aca="false">F1001*G1001</f>
        <v>485.73</v>
      </c>
      <c r="N1001" s="15" t="n">
        <f aca="false">M1001-L1001</f>
        <v>58.29</v>
      </c>
      <c r="O1001" s="1" t="n">
        <f aca="false">YEAR(B1001)</f>
        <v>2024</v>
      </c>
      <c r="P1001" s="1" t="n">
        <f aca="false">MONTH(B1001)</f>
        <v>9</v>
      </c>
      <c r="Q1001" s="1" t="str">
        <f aca="false">TEXT(B1001,"mmm")</f>
        <v>Sep</v>
      </c>
      <c r="R1001" s="1" t="str">
        <f aca="false">"Q"&amp;ROUNDUP(MONTH(B1001)/3,0)</f>
        <v>Q3</v>
      </c>
    </row>
    <row r="1002" customFormat="false" ht="15" hidden="false" customHeight="true" outlineLevel="0" collapsed="false">
      <c r="A1002" s="1" t="n">
        <v>11001</v>
      </c>
      <c r="B1002" s="14" t="n">
        <v>45562</v>
      </c>
      <c r="C1002" s="1" t="n">
        <v>1876</v>
      </c>
      <c r="D1002" s="1" t="s">
        <v>27</v>
      </c>
      <c r="E1002" s="1" t="s">
        <v>28</v>
      </c>
      <c r="F1002" s="1" t="n">
        <v>2</v>
      </c>
      <c r="G1002" s="15" t="n">
        <v>445.85</v>
      </c>
      <c r="H1002" s="16" t="n">
        <v>0.28</v>
      </c>
      <c r="I1002" s="1" t="s">
        <v>33</v>
      </c>
      <c r="J1002" s="1" t="n">
        <v>4</v>
      </c>
      <c r="K1002" s="1" t="n">
        <v>1.3</v>
      </c>
      <c r="L1002" s="15" t="n">
        <v>642.02</v>
      </c>
      <c r="M1002" s="15" t="n">
        <f aca="false">F1002*G1002</f>
        <v>891.7</v>
      </c>
      <c r="N1002" s="15" t="n">
        <f aca="false">M1002-L1002</f>
        <v>249.68</v>
      </c>
      <c r="O1002" s="1" t="n">
        <f aca="false">YEAR(B1002)</f>
        <v>2024</v>
      </c>
      <c r="P1002" s="1" t="n">
        <f aca="false">MONTH(B1002)</f>
        <v>9</v>
      </c>
      <c r="Q1002" s="1" t="str">
        <f aca="false">TEXT(B1002,"mmm")</f>
        <v>Sep</v>
      </c>
      <c r="R1002" s="1" t="str">
        <f aca="false">"Q"&amp;ROUNDUP(MONTH(B1002)/3,0)</f>
        <v>Q3</v>
      </c>
    </row>
    <row r="1003" customFormat="false" ht="15" hidden="false" customHeight="true" outlineLevel="0" collapsed="false">
      <c r="A1003" s="1" t="n">
        <v>11002</v>
      </c>
      <c r="B1003" s="14" t="n">
        <v>45563</v>
      </c>
      <c r="C1003" s="1" t="n">
        <v>1004</v>
      </c>
      <c r="D1003" s="1" t="s">
        <v>34</v>
      </c>
      <c r="E1003" s="1" t="s">
        <v>32</v>
      </c>
      <c r="F1003" s="1" t="n">
        <v>5</v>
      </c>
      <c r="G1003" s="15" t="n">
        <v>556.32</v>
      </c>
      <c r="H1003" s="16" t="n">
        <v>0.17</v>
      </c>
      <c r="I1003" s="1" t="s">
        <v>31</v>
      </c>
      <c r="J1003" s="1" t="n">
        <v>7</v>
      </c>
      <c r="K1003" s="1" t="n">
        <v>4.6</v>
      </c>
      <c r="L1003" s="15" t="n">
        <v>2308.73</v>
      </c>
      <c r="M1003" s="15" t="n">
        <f aca="false">F1003*G1003</f>
        <v>2781.6</v>
      </c>
      <c r="N1003" s="15" t="n">
        <f aca="false">M1003-L1003</f>
        <v>472.87</v>
      </c>
      <c r="O1003" s="1" t="n">
        <f aca="false">YEAR(B1003)</f>
        <v>2024</v>
      </c>
      <c r="P1003" s="1" t="n">
        <f aca="false">MONTH(B1003)</f>
        <v>9</v>
      </c>
      <c r="Q1003" s="1" t="str">
        <f aca="false">TEXT(B1003,"mmm")</f>
        <v>Sep</v>
      </c>
      <c r="R1003" s="1" t="str">
        <f aca="false">"Q"&amp;ROUNDUP(MONTH(B1003)/3,0)</f>
        <v>Q3</v>
      </c>
    </row>
    <row r="1004" customFormat="false" ht="15" hidden="false" customHeight="true" outlineLevel="0" collapsed="false">
      <c r="A1004" s="1" t="n">
        <v>11003</v>
      </c>
      <c r="B1004" s="14" t="n">
        <v>45564</v>
      </c>
      <c r="C1004" s="1" t="n">
        <v>1118</v>
      </c>
      <c r="D1004" s="1" t="s">
        <v>30</v>
      </c>
      <c r="E1004" s="1" t="s">
        <v>28</v>
      </c>
      <c r="F1004" s="1" t="n">
        <v>1</v>
      </c>
      <c r="G1004" s="15" t="n">
        <v>276.4</v>
      </c>
      <c r="H1004" s="16" t="n">
        <v>0.35</v>
      </c>
      <c r="I1004" s="1" t="s">
        <v>33</v>
      </c>
      <c r="J1004" s="1" t="n">
        <v>1</v>
      </c>
      <c r="K1004" s="1" t="n">
        <v>3.5</v>
      </c>
      <c r="L1004" s="15" t="n">
        <v>179.66</v>
      </c>
      <c r="M1004" s="15" t="n">
        <f aca="false">F1004*G1004</f>
        <v>276.4</v>
      </c>
      <c r="N1004" s="15" t="n">
        <f aca="false">M1004-L1004</f>
        <v>96.74</v>
      </c>
      <c r="O1004" s="1" t="n">
        <f aca="false">YEAR(B1004)</f>
        <v>2024</v>
      </c>
      <c r="P1004" s="1" t="n">
        <f aca="false">MONTH(B1004)</f>
        <v>9</v>
      </c>
      <c r="Q1004" s="1" t="str">
        <f aca="false">TEXT(B1004,"mmm")</f>
        <v>Sep</v>
      </c>
      <c r="R1004" s="1" t="str">
        <f aca="false">"Q"&amp;ROUNDUP(MONTH(B1004)/3,0)</f>
        <v>Q3</v>
      </c>
    </row>
    <row r="1005" customFormat="false" ht="15" hidden="false" customHeight="true" outlineLevel="0" collapsed="false">
      <c r="A1005" s="1" t="n">
        <v>11004</v>
      </c>
      <c r="B1005" s="14" t="n">
        <v>45565</v>
      </c>
      <c r="C1005" s="1" t="n">
        <v>1800</v>
      </c>
      <c r="D1005" s="1" t="s">
        <v>37</v>
      </c>
      <c r="E1005" s="1" t="s">
        <v>32</v>
      </c>
      <c r="F1005" s="1" t="n">
        <v>1</v>
      </c>
      <c r="G1005" s="15" t="n">
        <v>116.28</v>
      </c>
      <c r="H1005" s="16" t="n">
        <v>0.16</v>
      </c>
      <c r="I1005" s="1" t="s">
        <v>33</v>
      </c>
      <c r="J1005" s="1" t="n">
        <v>8</v>
      </c>
      <c r="K1005" s="1" t="n">
        <v>1.8</v>
      </c>
      <c r="L1005" s="15" t="n">
        <v>97.68</v>
      </c>
      <c r="M1005" s="15" t="n">
        <f aca="false">F1005*G1005</f>
        <v>116.28</v>
      </c>
      <c r="N1005" s="15" t="n">
        <f aca="false">M1005-L1005</f>
        <v>18.6</v>
      </c>
      <c r="O1005" s="1" t="n">
        <f aca="false">YEAR(B1005)</f>
        <v>2024</v>
      </c>
      <c r="P1005" s="1" t="n">
        <f aca="false">MONTH(B1005)</f>
        <v>9</v>
      </c>
      <c r="Q1005" s="1" t="str">
        <f aca="false">TEXT(B1005,"mmm")</f>
        <v>Sep</v>
      </c>
      <c r="R1005" s="1" t="str">
        <f aca="false">"Q"&amp;ROUNDUP(MONTH(B1005)/3,0)</f>
        <v>Q3</v>
      </c>
    </row>
    <row r="1006" customFormat="false" ht="15" hidden="false" customHeight="true" outlineLevel="0" collapsed="false">
      <c r="A1006" s="1" t="n">
        <v>11005</v>
      </c>
      <c r="B1006" s="14" t="n">
        <v>45566</v>
      </c>
      <c r="C1006" s="1" t="n">
        <v>1373</v>
      </c>
      <c r="D1006" s="1" t="s">
        <v>27</v>
      </c>
      <c r="E1006" s="1" t="s">
        <v>28</v>
      </c>
      <c r="F1006" s="1" t="n">
        <v>2</v>
      </c>
      <c r="G1006" s="15" t="n">
        <v>42.97</v>
      </c>
      <c r="H1006" s="16" t="n">
        <v>0.02</v>
      </c>
      <c r="I1006" s="1" t="s">
        <v>31</v>
      </c>
      <c r="J1006" s="1" t="n">
        <v>11</v>
      </c>
      <c r="K1006" s="1" t="n">
        <v>1.1</v>
      </c>
      <c r="L1006" s="15" t="n">
        <v>84.22</v>
      </c>
      <c r="M1006" s="15" t="n">
        <f aca="false">F1006*G1006</f>
        <v>85.94</v>
      </c>
      <c r="N1006" s="15" t="n">
        <f aca="false">M1006-L1006</f>
        <v>1.72</v>
      </c>
      <c r="O1006" s="1" t="n">
        <f aca="false">YEAR(B1006)</f>
        <v>2024</v>
      </c>
      <c r="P1006" s="1" t="n">
        <f aca="false">MONTH(B1006)</f>
        <v>10</v>
      </c>
      <c r="Q1006" s="1" t="str">
        <f aca="false">TEXT(B1006,"mmm")</f>
        <v>Oct</v>
      </c>
      <c r="R1006" s="1" t="str">
        <f aca="false">"Q"&amp;ROUNDUP(MONTH(B1006)/3,0)</f>
        <v>Q4</v>
      </c>
    </row>
    <row r="1007" customFormat="false" ht="15" hidden="false" customHeight="true" outlineLevel="0" collapsed="false">
      <c r="A1007" s="1" t="n">
        <v>11006</v>
      </c>
      <c r="B1007" s="14" t="n">
        <v>45567</v>
      </c>
      <c r="C1007" s="1" t="n">
        <v>1064</v>
      </c>
      <c r="D1007" s="1" t="s">
        <v>27</v>
      </c>
      <c r="E1007" s="1" t="s">
        <v>36</v>
      </c>
      <c r="F1007" s="1" t="n">
        <v>4</v>
      </c>
      <c r="G1007" s="15" t="n">
        <v>159.18</v>
      </c>
      <c r="H1007" s="16" t="n">
        <v>0.24</v>
      </c>
      <c r="I1007" s="1" t="s">
        <v>31</v>
      </c>
      <c r="J1007" s="1" t="n">
        <v>2</v>
      </c>
      <c r="K1007" s="1" t="n">
        <v>3.9</v>
      </c>
      <c r="L1007" s="15" t="n">
        <v>483.91</v>
      </c>
      <c r="M1007" s="15" t="n">
        <f aca="false">F1007*G1007</f>
        <v>636.72</v>
      </c>
      <c r="N1007" s="15" t="n">
        <f aca="false">M1007-L1007</f>
        <v>152.81</v>
      </c>
      <c r="O1007" s="1" t="n">
        <f aca="false">YEAR(B1007)</f>
        <v>2024</v>
      </c>
      <c r="P1007" s="1" t="n">
        <f aca="false">MONTH(B1007)</f>
        <v>10</v>
      </c>
      <c r="Q1007" s="1" t="str">
        <f aca="false">TEXT(B1007,"mmm")</f>
        <v>Oct</v>
      </c>
      <c r="R1007" s="1" t="str">
        <f aca="false">"Q"&amp;ROUNDUP(MONTH(B1007)/3,0)</f>
        <v>Q4</v>
      </c>
    </row>
    <row r="1008" customFormat="false" ht="15" hidden="false" customHeight="true" outlineLevel="0" collapsed="false">
      <c r="A1008" s="1" t="n">
        <v>11007</v>
      </c>
      <c r="B1008" s="14" t="n">
        <v>45568</v>
      </c>
      <c r="C1008" s="1" t="n">
        <v>1145</v>
      </c>
      <c r="D1008" s="1" t="s">
        <v>30</v>
      </c>
      <c r="E1008" s="1" t="s">
        <v>28</v>
      </c>
      <c r="F1008" s="1" t="n">
        <v>6</v>
      </c>
      <c r="G1008" s="15" t="n">
        <v>98.77</v>
      </c>
      <c r="H1008" s="16" t="n">
        <v>0.02</v>
      </c>
      <c r="I1008" s="1" t="s">
        <v>29</v>
      </c>
      <c r="J1008" s="1" t="n">
        <v>8</v>
      </c>
      <c r="K1008" s="1" t="n">
        <v>4.4</v>
      </c>
      <c r="L1008" s="15" t="n">
        <v>580.77</v>
      </c>
      <c r="M1008" s="15" t="n">
        <f aca="false">F1008*G1008</f>
        <v>592.62</v>
      </c>
      <c r="N1008" s="15" t="n">
        <f aca="false">M1008-L1008</f>
        <v>11.85</v>
      </c>
      <c r="O1008" s="1" t="n">
        <f aca="false">YEAR(B1008)</f>
        <v>2024</v>
      </c>
      <c r="P1008" s="1" t="n">
        <f aca="false">MONTH(B1008)</f>
        <v>10</v>
      </c>
      <c r="Q1008" s="1" t="str">
        <f aca="false">TEXT(B1008,"mmm")</f>
        <v>Oct</v>
      </c>
      <c r="R1008" s="1" t="str">
        <f aca="false">"Q"&amp;ROUNDUP(MONTH(B1008)/3,0)</f>
        <v>Q4</v>
      </c>
    </row>
    <row r="1009" customFormat="false" ht="15" hidden="false" customHeight="true" outlineLevel="0" collapsed="false">
      <c r="A1009" s="1" t="n">
        <v>11008</v>
      </c>
      <c r="B1009" s="14" t="n">
        <v>45569</v>
      </c>
      <c r="C1009" s="1" t="n">
        <v>1223</v>
      </c>
      <c r="D1009" s="1" t="s">
        <v>34</v>
      </c>
      <c r="E1009" s="1" t="s">
        <v>28</v>
      </c>
      <c r="F1009" s="1" t="n">
        <v>2</v>
      </c>
      <c r="G1009" s="15" t="n">
        <v>341.4</v>
      </c>
      <c r="H1009" s="16" t="n">
        <v>0.09</v>
      </c>
      <c r="I1009" s="1" t="s">
        <v>33</v>
      </c>
      <c r="J1009" s="1" t="n">
        <v>11</v>
      </c>
      <c r="K1009" s="1" t="n">
        <v>2.6</v>
      </c>
      <c r="L1009" s="15" t="n">
        <v>621.35</v>
      </c>
      <c r="M1009" s="15" t="n">
        <f aca="false">F1009*G1009</f>
        <v>682.8</v>
      </c>
      <c r="N1009" s="15" t="n">
        <f aca="false">M1009-L1009</f>
        <v>61.4499999999999</v>
      </c>
      <c r="O1009" s="1" t="n">
        <f aca="false">YEAR(B1009)</f>
        <v>2024</v>
      </c>
      <c r="P1009" s="1" t="n">
        <f aca="false">MONTH(B1009)</f>
        <v>10</v>
      </c>
      <c r="Q1009" s="1" t="str">
        <f aca="false">TEXT(B1009,"mmm")</f>
        <v>Oct</v>
      </c>
      <c r="R1009" s="1" t="str">
        <f aca="false">"Q"&amp;ROUNDUP(MONTH(B1009)/3,0)</f>
        <v>Q4</v>
      </c>
    </row>
    <row r="1010" customFormat="false" ht="15" hidden="false" customHeight="true" outlineLevel="0" collapsed="false">
      <c r="A1010" s="1" t="n">
        <v>11009</v>
      </c>
      <c r="B1010" s="14" t="n">
        <v>45570</v>
      </c>
      <c r="C1010" s="1" t="n">
        <v>1238</v>
      </c>
      <c r="D1010" s="1" t="s">
        <v>30</v>
      </c>
      <c r="E1010" s="1" t="s">
        <v>36</v>
      </c>
      <c r="F1010" s="1" t="n">
        <v>6</v>
      </c>
      <c r="G1010" s="15" t="n">
        <v>123.19</v>
      </c>
      <c r="H1010" s="16" t="n">
        <v>0.12</v>
      </c>
      <c r="I1010" s="1" t="s">
        <v>31</v>
      </c>
      <c r="J1010" s="1" t="n">
        <v>4</v>
      </c>
      <c r="K1010" s="1" t="n">
        <v>1.3</v>
      </c>
      <c r="L1010" s="15" t="n">
        <v>650.44</v>
      </c>
      <c r="M1010" s="15" t="n">
        <f aca="false">F1010*G1010</f>
        <v>739.14</v>
      </c>
      <c r="N1010" s="15" t="n">
        <f aca="false">M1010-L1010</f>
        <v>88.6999999999999</v>
      </c>
      <c r="O1010" s="1" t="n">
        <f aca="false">YEAR(B1010)</f>
        <v>2024</v>
      </c>
      <c r="P1010" s="1" t="n">
        <f aca="false">MONTH(B1010)</f>
        <v>10</v>
      </c>
      <c r="Q1010" s="1" t="str">
        <f aca="false">TEXT(B1010,"mmm")</f>
        <v>Oct</v>
      </c>
      <c r="R1010" s="1" t="str">
        <f aca="false">"Q"&amp;ROUNDUP(MONTH(B1010)/3,0)</f>
        <v>Q4</v>
      </c>
    </row>
    <row r="1011" customFormat="false" ht="15" hidden="false" customHeight="true" outlineLevel="0" collapsed="false">
      <c r="A1011" s="1" t="n">
        <v>11010</v>
      </c>
      <c r="B1011" s="14" t="n">
        <v>45571</v>
      </c>
      <c r="C1011" s="1" t="n">
        <v>1176</v>
      </c>
      <c r="D1011" s="1" t="s">
        <v>37</v>
      </c>
      <c r="E1011" s="1" t="s">
        <v>32</v>
      </c>
      <c r="F1011" s="1" t="n">
        <v>1</v>
      </c>
      <c r="G1011" s="15" t="n">
        <v>37.78</v>
      </c>
      <c r="H1011" s="16" t="n">
        <v>0.26</v>
      </c>
      <c r="I1011" s="1" t="s">
        <v>31</v>
      </c>
      <c r="J1011" s="1" t="n">
        <v>8</v>
      </c>
      <c r="K1011" s="1" t="n">
        <v>3.6</v>
      </c>
      <c r="L1011" s="15" t="n">
        <v>27.96</v>
      </c>
      <c r="M1011" s="15" t="n">
        <f aca="false">F1011*G1011</f>
        <v>37.78</v>
      </c>
      <c r="N1011" s="15" t="n">
        <f aca="false">M1011-L1011</f>
        <v>9.82</v>
      </c>
      <c r="O1011" s="1" t="n">
        <f aca="false">YEAR(B1011)</f>
        <v>2024</v>
      </c>
      <c r="P1011" s="1" t="n">
        <f aca="false">MONTH(B1011)</f>
        <v>10</v>
      </c>
      <c r="Q1011" s="1" t="str">
        <f aca="false">TEXT(B1011,"mmm")</f>
        <v>Oct</v>
      </c>
      <c r="R1011" s="1" t="str">
        <f aca="false">"Q"&amp;ROUNDUP(MONTH(B1011)/3,0)</f>
        <v>Q4</v>
      </c>
    </row>
    <row r="1012" customFormat="false" ht="15" hidden="false" customHeight="true" outlineLevel="0" collapsed="false">
      <c r="A1012" s="1" t="n">
        <v>11011</v>
      </c>
      <c r="B1012" s="14" t="n">
        <v>45572</v>
      </c>
      <c r="C1012" s="1" t="n">
        <v>1778</v>
      </c>
      <c r="D1012" s="1" t="s">
        <v>30</v>
      </c>
      <c r="E1012" s="1" t="s">
        <v>32</v>
      </c>
      <c r="F1012" s="1" t="n">
        <v>4</v>
      </c>
      <c r="G1012" s="15" t="n">
        <v>36.05</v>
      </c>
      <c r="H1012" s="16" t="n">
        <v>0.17</v>
      </c>
      <c r="I1012" s="1" t="s">
        <v>31</v>
      </c>
      <c r="J1012" s="1" t="n">
        <v>1</v>
      </c>
      <c r="K1012" s="1" t="n">
        <v>2.2</v>
      </c>
      <c r="L1012" s="15" t="n">
        <v>119.69</v>
      </c>
      <c r="M1012" s="15" t="n">
        <f aca="false">F1012*G1012</f>
        <v>144.2</v>
      </c>
      <c r="N1012" s="15" t="n">
        <f aca="false">M1012-L1012</f>
        <v>24.51</v>
      </c>
      <c r="O1012" s="1" t="n">
        <f aca="false">YEAR(B1012)</f>
        <v>2024</v>
      </c>
      <c r="P1012" s="1" t="n">
        <f aca="false">MONTH(B1012)</f>
        <v>10</v>
      </c>
      <c r="Q1012" s="1" t="str">
        <f aca="false">TEXT(B1012,"mmm")</f>
        <v>Oct</v>
      </c>
      <c r="R1012" s="1" t="str">
        <f aca="false">"Q"&amp;ROUNDUP(MONTH(B1012)/3,0)</f>
        <v>Q4</v>
      </c>
    </row>
    <row r="1013" customFormat="false" ht="15" hidden="false" customHeight="true" outlineLevel="0" collapsed="false">
      <c r="A1013" s="1" t="n">
        <v>11012</v>
      </c>
      <c r="B1013" s="14" t="n">
        <v>45573</v>
      </c>
      <c r="C1013" s="1" t="n">
        <v>1852</v>
      </c>
      <c r="D1013" s="1" t="s">
        <v>30</v>
      </c>
      <c r="E1013" s="1" t="s">
        <v>36</v>
      </c>
      <c r="F1013" s="1" t="n">
        <v>3</v>
      </c>
      <c r="G1013" s="15" t="n">
        <v>501.47</v>
      </c>
      <c r="H1013" s="16" t="n">
        <v>0.01</v>
      </c>
      <c r="I1013" s="1" t="s">
        <v>31</v>
      </c>
      <c r="J1013" s="1" t="n">
        <v>5</v>
      </c>
      <c r="K1013" s="1" t="n">
        <v>1.6</v>
      </c>
      <c r="L1013" s="15" t="n">
        <v>1489.37</v>
      </c>
      <c r="M1013" s="15" t="n">
        <f aca="false">F1013*G1013</f>
        <v>1504.41</v>
      </c>
      <c r="N1013" s="15" t="n">
        <f aca="false">M1013-L1013</f>
        <v>15.0400000000002</v>
      </c>
      <c r="O1013" s="1" t="n">
        <f aca="false">YEAR(B1013)</f>
        <v>2024</v>
      </c>
      <c r="P1013" s="1" t="n">
        <f aca="false">MONTH(B1013)</f>
        <v>10</v>
      </c>
      <c r="Q1013" s="1" t="str">
        <f aca="false">TEXT(B1013,"mmm")</f>
        <v>Oct</v>
      </c>
      <c r="R1013" s="1" t="str">
        <f aca="false">"Q"&amp;ROUNDUP(MONTH(B1013)/3,0)</f>
        <v>Q4</v>
      </c>
    </row>
    <row r="1014" customFormat="false" ht="15" hidden="false" customHeight="true" outlineLevel="0" collapsed="false">
      <c r="A1014" s="1" t="n">
        <v>11013</v>
      </c>
      <c r="B1014" s="14" t="n">
        <v>45574</v>
      </c>
      <c r="C1014" s="1" t="n">
        <v>1281</v>
      </c>
      <c r="D1014" s="1" t="s">
        <v>37</v>
      </c>
      <c r="E1014" s="1" t="s">
        <v>28</v>
      </c>
      <c r="F1014" s="1" t="n">
        <v>1</v>
      </c>
      <c r="G1014" s="15" t="n">
        <v>361</v>
      </c>
      <c r="H1014" s="16" t="n">
        <v>0.22</v>
      </c>
      <c r="I1014" s="1" t="s">
        <v>29</v>
      </c>
      <c r="J1014" s="1" t="n">
        <v>9</v>
      </c>
      <c r="K1014" s="1" t="n">
        <v>3</v>
      </c>
      <c r="L1014" s="15" t="n">
        <v>281.58</v>
      </c>
      <c r="M1014" s="15" t="n">
        <f aca="false">F1014*G1014</f>
        <v>361</v>
      </c>
      <c r="N1014" s="15" t="n">
        <f aca="false">M1014-L1014</f>
        <v>79.42</v>
      </c>
      <c r="O1014" s="1" t="n">
        <f aca="false">YEAR(B1014)</f>
        <v>2024</v>
      </c>
      <c r="P1014" s="1" t="n">
        <f aca="false">MONTH(B1014)</f>
        <v>10</v>
      </c>
      <c r="Q1014" s="1" t="str">
        <f aca="false">TEXT(B1014,"mmm")</f>
        <v>Oct</v>
      </c>
      <c r="R1014" s="1" t="str">
        <f aca="false">"Q"&amp;ROUNDUP(MONTH(B1014)/3,0)</f>
        <v>Q4</v>
      </c>
    </row>
    <row r="1015" customFormat="false" ht="15" hidden="false" customHeight="true" outlineLevel="0" collapsed="false">
      <c r="A1015" s="1" t="n">
        <v>11014</v>
      </c>
      <c r="B1015" s="14" t="n">
        <v>45575</v>
      </c>
      <c r="C1015" s="1" t="n">
        <v>1062</v>
      </c>
      <c r="D1015" s="1" t="s">
        <v>30</v>
      </c>
      <c r="E1015" s="1" t="s">
        <v>28</v>
      </c>
      <c r="F1015" s="1" t="n">
        <v>2</v>
      </c>
      <c r="G1015" s="15" t="n">
        <v>224.48</v>
      </c>
      <c r="H1015" s="16" t="n">
        <v>0.14</v>
      </c>
      <c r="I1015" s="1" t="s">
        <v>31</v>
      </c>
      <c r="J1015" s="1" t="n">
        <v>7</v>
      </c>
      <c r="K1015" s="1" t="n">
        <v>2.9</v>
      </c>
      <c r="L1015" s="15" t="n">
        <v>386.11</v>
      </c>
      <c r="M1015" s="15" t="n">
        <f aca="false">F1015*G1015</f>
        <v>448.96</v>
      </c>
      <c r="N1015" s="15" t="n">
        <f aca="false">M1015-L1015</f>
        <v>62.85</v>
      </c>
      <c r="O1015" s="1" t="n">
        <f aca="false">YEAR(B1015)</f>
        <v>2024</v>
      </c>
      <c r="P1015" s="1" t="n">
        <f aca="false">MONTH(B1015)</f>
        <v>10</v>
      </c>
      <c r="Q1015" s="1" t="str">
        <f aca="false">TEXT(B1015,"mmm")</f>
        <v>Oct</v>
      </c>
      <c r="R1015" s="1" t="str">
        <f aca="false">"Q"&amp;ROUNDUP(MONTH(B1015)/3,0)</f>
        <v>Q4</v>
      </c>
    </row>
    <row r="1016" customFormat="false" ht="15" hidden="false" customHeight="true" outlineLevel="0" collapsed="false">
      <c r="A1016" s="1" t="n">
        <v>11015</v>
      </c>
      <c r="B1016" s="14" t="n">
        <v>45576</v>
      </c>
      <c r="C1016" s="1" t="n">
        <v>1216</v>
      </c>
      <c r="D1016" s="1" t="s">
        <v>27</v>
      </c>
      <c r="E1016" s="1" t="s">
        <v>28</v>
      </c>
      <c r="F1016" s="1" t="n">
        <v>3</v>
      </c>
      <c r="G1016" s="15" t="n">
        <v>538.12</v>
      </c>
      <c r="H1016" s="16" t="n">
        <v>0.32</v>
      </c>
      <c r="I1016" s="1" t="s">
        <v>31</v>
      </c>
      <c r="J1016" s="1" t="n">
        <v>3</v>
      </c>
      <c r="K1016" s="1" t="n">
        <v>3.1</v>
      </c>
      <c r="L1016" s="15" t="n">
        <v>1097.76</v>
      </c>
      <c r="M1016" s="15" t="n">
        <f aca="false">F1016*G1016</f>
        <v>1614.36</v>
      </c>
      <c r="N1016" s="15" t="n">
        <f aca="false">M1016-L1016</f>
        <v>516.6</v>
      </c>
      <c r="O1016" s="1" t="n">
        <f aca="false">YEAR(B1016)</f>
        <v>2024</v>
      </c>
      <c r="P1016" s="1" t="n">
        <f aca="false">MONTH(B1016)</f>
        <v>10</v>
      </c>
      <c r="Q1016" s="1" t="str">
        <f aca="false">TEXT(B1016,"mmm")</f>
        <v>Oct</v>
      </c>
      <c r="R1016" s="1" t="str">
        <f aca="false">"Q"&amp;ROUNDUP(MONTH(B1016)/3,0)</f>
        <v>Q4</v>
      </c>
    </row>
    <row r="1017" customFormat="false" ht="15" hidden="false" customHeight="true" outlineLevel="0" collapsed="false">
      <c r="A1017" s="1" t="n">
        <v>11016</v>
      </c>
      <c r="B1017" s="14" t="n">
        <v>45577</v>
      </c>
      <c r="C1017" s="1" t="n">
        <v>1853</v>
      </c>
      <c r="D1017" s="1" t="s">
        <v>30</v>
      </c>
      <c r="E1017" s="1" t="s">
        <v>35</v>
      </c>
      <c r="F1017" s="1" t="n">
        <v>5</v>
      </c>
      <c r="G1017" s="15" t="n">
        <v>56.07</v>
      </c>
      <c r="H1017" s="16" t="n">
        <v>0.17</v>
      </c>
      <c r="I1017" s="1" t="s">
        <v>31</v>
      </c>
      <c r="J1017" s="1" t="n">
        <v>4</v>
      </c>
      <c r="K1017" s="1" t="n">
        <v>4.3</v>
      </c>
      <c r="L1017" s="15" t="n">
        <v>232.69</v>
      </c>
      <c r="M1017" s="15" t="n">
        <f aca="false">F1017*G1017</f>
        <v>280.35</v>
      </c>
      <c r="N1017" s="15" t="n">
        <f aca="false">M1017-L1017</f>
        <v>47.66</v>
      </c>
      <c r="O1017" s="1" t="n">
        <f aca="false">YEAR(B1017)</f>
        <v>2024</v>
      </c>
      <c r="P1017" s="1" t="n">
        <f aca="false">MONTH(B1017)</f>
        <v>10</v>
      </c>
      <c r="Q1017" s="1" t="str">
        <f aca="false">TEXT(B1017,"mmm")</f>
        <v>Oct</v>
      </c>
      <c r="R1017" s="1" t="str">
        <f aca="false">"Q"&amp;ROUNDUP(MONTH(B1017)/3,0)</f>
        <v>Q4</v>
      </c>
    </row>
    <row r="1018" customFormat="false" ht="15" hidden="false" customHeight="true" outlineLevel="0" collapsed="false">
      <c r="A1018" s="1" t="n">
        <v>11017</v>
      </c>
      <c r="B1018" s="14" t="n">
        <v>45578</v>
      </c>
      <c r="C1018" s="1" t="n">
        <v>1826</v>
      </c>
      <c r="D1018" s="1" t="s">
        <v>34</v>
      </c>
      <c r="E1018" s="1" t="s">
        <v>32</v>
      </c>
      <c r="F1018" s="1" t="n">
        <v>3</v>
      </c>
      <c r="G1018" s="15" t="n">
        <v>588.49</v>
      </c>
      <c r="H1018" s="16" t="n">
        <v>0.25</v>
      </c>
      <c r="I1018" s="1" t="s">
        <v>33</v>
      </c>
      <c r="J1018" s="1" t="n">
        <v>10</v>
      </c>
      <c r="K1018" s="1" t="n">
        <v>2.9</v>
      </c>
      <c r="L1018" s="15" t="n">
        <v>1324.1</v>
      </c>
      <c r="M1018" s="15" t="n">
        <f aca="false">F1018*G1018</f>
        <v>1765.47</v>
      </c>
      <c r="N1018" s="15" t="n">
        <f aca="false">M1018-L1018</f>
        <v>441.37</v>
      </c>
      <c r="O1018" s="1" t="n">
        <f aca="false">YEAR(B1018)</f>
        <v>2024</v>
      </c>
      <c r="P1018" s="1" t="n">
        <f aca="false">MONTH(B1018)</f>
        <v>10</v>
      </c>
      <c r="Q1018" s="1" t="str">
        <f aca="false">TEXT(B1018,"mmm")</f>
        <v>Oct</v>
      </c>
      <c r="R1018" s="1" t="str">
        <f aca="false">"Q"&amp;ROUNDUP(MONTH(B1018)/3,0)</f>
        <v>Q4</v>
      </c>
    </row>
    <row r="1019" customFormat="false" ht="15" hidden="false" customHeight="true" outlineLevel="0" collapsed="false">
      <c r="A1019" s="1" t="n">
        <v>11018</v>
      </c>
      <c r="B1019" s="14" t="n">
        <v>45579</v>
      </c>
      <c r="C1019" s="1" t="n">
        <v>1794</v>
      </c>
      <c r="D1019" s="1" t="s">
        <v>30</v>
      </c>
      <c r="E1019" s="1" t="s">
        <v>28</v>
      </c>
      <c r="F1019" s="1" t="n">
        <v>2</v>
      </c>
      <c r="G1019" s="15" t="n">
        <v>375.53</v>
      </c>
      <c r="H1019" s="16" t="n">
        <v>0.08</v>
      </c>
      <c r="I1019" s="1" t="s">
        <v>31</v>
      </c>
      <c r="J1019" s="1" t="n">
        <v>7</v>
      </c>
      <c r="K1019" s="1" t="n">
        <v>4.6</v>
      </c>
      <c r="L1019" s="15" t="n">
        <v>690.98</v>
      </c>
      <c r="M1019" s="15" t="n">
        <f aca="false">F1019*G1019</f>
        <v>751.06</v>
      </c>
      <c r="N1019" s="15" t="n">
        <f aca="false">M1019-L1019</f>
        <v>60.0799999999999</v>
      </c>
      <c r="O1019" s="1" t="n">
        <f aca="false">YEAR(B1019)</f>
        <v>2024</v>
      </c>
      <c r="P1019" s="1" t="n">
        <f aca="false">MONTH(B1019)</f>
        <v>10</v>
      </c>
      <c r="Q1019" s="1" t="str">
        <f aca="false">TEXT(B1019,"mmm")</f>
        <v>Oct</v>
      </c>
      <c r="R1019" s="1" t="str">
        <f aca="false">"Q"&amp;ROUNDUP(MONTH(B1019)/3,0)</f>
        <v>Q4</v>
      </c>
    </row>
    <row r="1020" customFormat="false" ht="15" hidden="false" customHeight="true" outlineLevel="0" collapsed="false">
      <c r="A1020" s="1" t="n">
        <v>11019</v>
      </c>
      <c r="B1020" s="14" t="n">
        <v>45580</v>
      </c>
      <c r="C1020" s="1" t="n">
        <v>1688</v>
      </c>
      <c r="D1020" s="1" t="s">
        <v>37</v>
      </c>
      <c r="E1020" s="1" t="s">
        <v>32</v>
      </c>
      <c r="F1020" s="1" t="n">
        <v>7</v>
      </c>
      <c r="G1020" s="15" t="n">
        <v>122.33</v>
      </c>
      <c r="H1020" s="16" t="n">
        <v>0.27</v>
      </c>
      <c r="I1020" s="1" t="s">
        <v>31</v>
      </c>
      <c r="J1020" s="1" t="n">
        <v>6</v>
      </c>
      <c r="K1020" s="1" t="n">
        <v>4.4</v>
      </c>
      <c r="L1020" s="15" t="n">
        <v>625.11</v>
      </c>
      <c r="M1020" s="15" t="n">
        <f aca="false">F1020*G1020</f>
        <v>856.31</v>
      </c>
      <c r="N1020" s="15" t="n">
        <f aca="false">M1020-L1020</f>
        <v>231.2</v>
      </c>
      <c r="O1020" s="1" t="n">
        <f aca="false">YEAR(B1020)</f>
        <v>2024</v>
      </c>
      <c r="P1020" s="1" t="n">
        <f aca="false">MONTH(B1020)</f>
        <v>10</v>
      </c>
      <c r="Q1020" s="1" t="str">
        <f aca="false">TEXT(B1020,"mmm")</f>
        <v>Oct</v>
      </c>
      <c r="R1020" s="1" t="str">
        <f aca="false">"Q"&amp;ROUNDUP(MONTH(B1020)/3,0)</f>
        <v>Q4</v>
      </c>
    </row>
    <row r="1021" customFormat="false" ht="15" hidden="false" customHeight="true" outlineLevel="0" collapsed="false">
      <c r="A1021" s="1" t="n">
        <v>11020</v>
      </c>
      <c r="B1021" s="14" t="n">
        <v>45581</v>
      </c>
      <c r="C1021" s="1" t="n">
        <v>1460</v>
      </c>
      <c r="D1021" s="1" t="s">
        <v>34</v>
      </c>
      <c r="E1021" s="1" t="s">
        <v>28</v>
      </c>
      <c r="F1021" s="1" t="n">
        <v>3</v>
      </c>
      <c r="G1021" s="15" t="n">
        <v>412.26</v>
      </c>
      <c r="H1021" s="16" t="n">
        <v>0.25</v>
      </c>
      <c r="I1021" s="1" t="s">
        <v>33</v>
      </c>
      <c r="J1021" s="1" t="n">
        <v>4</v>
      </c>
      <c r="K1021" s="1" t="n">
        <v>3.6</v>
      </c>
      <c r="L1021" s="15" t="n">
        <v>927.58</v>
      </c>
      <c r="M1021" s="15" t="n">
        <f aca="false">F1021*G1021</f>
        <v>1236.78</v>
      </c>
      <c r="N1021" s="15" t="n">
        <f aca="false">M1021-L1021</f>
        <v>309.2</v>
      </c>
      <c r="O1021" s="1" t="n">
        <f aca="false">YEAR(B1021)</f>
        <v>2024</v>
      </c>
      <c r="P1021" s="1" t="n">
        <f aca="false">MONTH(B1021)</f>
        <v>10</v>
      </c>
      <c r="Q1021" s="1" t="str">
        <f aca="false">TEXT(B1021,"mmm")</f>
        <v>Oct</v>
      </c>
      <c r="R1021" s="1" t="str">
        <f aca="false">"Q"&amp;ROUNDUP(MONTH(B1021)/3,0)</f>
        <v>Q4</v>
      </c>
    </row>
    <row r="1022" customFormat="false" ht="15" hidden="false" customHeight="true" outlineLevel="0" collapsed="false">
      <c r="A1022" s="1" t="n">
        <v>11021</v>
      </c>
      <c r="B1022" s="14" t="n">
        <v>45582</v>
      </c>
      <c r="C1022" s="1" t="n">
        <v>1928</v>
      </c>
      <c r="D1022" s="1" t="s">
        <v>34</v>
      </c>
      <c r="E1022" s="1" t="s">
        <v>36</v>
      </c>
      <c r="F1022" s="1" t="n">
        <v>2</v>
      </c>
      <c r="G1022" s="15" t="n">
        <v>461.58</v>
      </c>
      <c r="H1022" s="16" t="n">
        <v>0.32</v>
      </c>
      <c r="I1022" s="1" t="s">
        <v>31</v>
      </c>
      <c r="J1022" s="1" t="n">
        <v>3</v>
      </c>
      <c r="K1022" s="1" t="n">
        <v>1.2</v>
      </c>
      <c r="L1022" s="15" t="n">
        <v>627.75</v>
      </c>
      <c r="M1022" s="15" t="n">
        <f aca="false">F1022*G1022</f>
        <v>923.16</v>
      </c>
      <c r="N1022" s="15" t="n">
        <f aca="false">M1022-L1022</f>
        <v>295.41</v>
      </c>
      <c r="O1022" s="1" t="n">
        <f aca="false">YEAR(B1022)</f>
        <v>2024</v>
      </c>
      <c r="P1022" s="1" t="n">
        <f aca="false">MONTH(B1022)</f>
        <v>10</v>
      </c>
      <c r="Q1022" s="1" t="str">
        <f aca="false">TEXT(B1022,"mmm")</f>
        <v>Oct</v>
      </c>
      <c r="R1022" s="1" t="str">
        <f aca="false">"Q"&amp;ROUNDUP(MONTH(B1022)/3,0)</f>
        <v>Q4</v>
      </c>
    </row>
    <row r="1023" customFormat="false" ht="15" hidden="false" customHeight="true" outlineLevel="0" collapsed="false">
      <c r="A1023" s="1" t="n">
        <v>11022</v>
      </c>
      <c r="B1023" s="14" t="n">
        <v>45583</v>
      </c>
      <c r="C1023" s="1" t="n">
        <v>1609</v>
      </c>
      <c r="D1023" s="1" t="s">
        <v>27</v>
      </c>
      <c r="E1023" s="1" t="s">
        <v>36</v>
      </c>
      <c r="F1023" s="1" t="n">
        <v>7</v>
      </c>
      <c r="G1023" s="15" t="n">
        <v>266.17</v>
      </c>
      <c r="H1023" s="16" t="n">
        <v>0.01</v>
      </c>
      <c r="I1023" s="1" t="s">
        <v>31</v>
      </c>
      <c r="J1023" s="1" t="n">
        <v>11</v>
      </c>
      <c r="K1023" s="1" t="n">
        <v>4.5</v>
      </c>
      <c r="L1023" s="15" t="n">
        <v>1844.56</v>
      </c>
      <c r="M1023" s="15" t="n">
        <f aca="false">F1023*G1023</f>
        <v>1863.19</v>
      </c>
      <c r="N1023" s="15" t="n">
        <f aca="false">M1023-L1023</f>
        <v>18.6300000000001</v>
      </c>
      <c r="O1023" s="1" t="n">
        <f aca="false">YEAR(B1023)</f>
        <v>2024</v>
      </c>
      <c r="P1023" s="1" t="n">
        <f aca="false">MONTH(B1023)</f>
        <v>10</v>
      </c>
      <c r="Q1023" s="1" t="str">
        <f aca="false">TEXT(B1023,"mmm")</f>
        <v>Oct</v>
      </c>
      <c r="R1023" s="1" t="str">
        <f aca="false">"Q"&amp;ROUNDUP(MONTH(B1023)/3,0)</f>
        <v>Q4</v>
      </c>
    </row>
    <row r="1024" customFormat="false" ht="15" hidden="false" customHeight="true" outlineLevel="0" collapsed="false">
      <c r="A1024" s="1" t="n">
        <v>11023</v>
      </c>
      <c r="B1024" s="14" t="n">
        <v>45584</v>
      </c>
      <c r="C1024" s="1" t="n">
        <v>1104</v>
      </c>
      <c r="D1024" s="1" t="s">
        <v>34</v>
      </c>
      <c r="E1024" s="1" t="s">
        <v>32</v>
      </c>
      <c r="F1024" s="1" t="n">
        <v>1</v>
      </c>
      <c r="G1024" s="15" t="n">
        <v>519.06</v>
      </c>
      <c r="H1024" s="16" t="n">
        <v>0.16</v>
      </c>
      <c r="I1024" s="1" t="s">
        <v>31</v>
      </c>
      <c r="J1024" s="1" t="n">
        <v>2</v>
      </c>
      <c r="K1024" s="1" t="n">
        <v>4.6</v>
      </c>
      <c r="L1024" s="15" t="n">
        <v>436.01</v>
      </c>
      <c r="M1024" s="15" t="n">
        <f aca="false">F1024*G1024</f>
        <v>519.06</v>
      </c>
      <c r="N1024" s="15" t="n">
        <f aca="false">M1024-L1024</f>
        <v>83.05</v>
      </c>
      <c r="O1024" s="1" t="n">
        <f aca="false">YEAR(B1024)</f>
        <v>2024</v>
      </c>
      <c r="P1024" s="1" t="n">
        <f aca="false">MONTH(B1024)</f>
        <v>10</v>
      </c>
      <c r="Q1024" s="1" t="str">
        <f aca="false">TEXT(B1024,"mmm")</f>
        <v>Oct</v>
      </c>
      <c r="R1024" s="1" t="str">
        <f aca="false">"Q"&amp;ROUNDUP(MONTH(B1024)/3,0)</f>
        <v>Q4</v>
      </c>
    </row>
    <row r="1025" customFormat="false" ht="15" hidden="false" customHeight="true" outlineLevel="0" collapsed="false">
      <c r="A1025" s="1" t="n">
        <v>11024</v>
      </c>
      <c r="B1025" s="14" t="n">
        <v>45585</v>
      </c>
      <c r="C1025" s="1" t="n">
        <v>1098</v>
      </c>
      <c r="D1025" s="1" t="s">
        <v>30</v>
      </c>
      <c r="E1025" s="1" t="s">
        <v>32</v>
      </c>
      <c r="F1025" s="1" t="n">
        <v>7</v>
      </c>
      <c r="G1025" s="15" t="n">
        <v>103.18</v>
      </c>
      <c r="H1025" s="16" t="n">
        <v>0.24</v>
      </c>
      <c r="I1025" s="1" t="s">
        <v>33</v>
      </c>
      <c r="J1025" s="1" t="n">
        <v>10</v>
      </c>
      <c r="K1025" s="1" t="n">
        <v>2.5</v>
      </c>
      <c r="L1025" s="15" t="n">
        <v>548.92</v>
      </c>
      <c r="M1025" s="15" t="n">
        <f aca="false">F1025*G1025</f>
        <v>722.26</v>
      </c>
      <c r="N1025" s="15" t="n">
        <f aca="false">M1025-L1025</f>
        <v>173.34</v>
      </c>
      <c r="O1025" s="1" t="n">
        <f aca="false">YEAR(B1025)</f>
        <v>2024</v>
      </c>
      <c r="P1025" s="1" t="n">
        <f aca="false">MONTH(B1025)</f>
        <v>10</v>
      </c>
      <c r="Q1025" s="1" t="str">
        <f aca="false">TEXT(B1025,"mmm")</f>
        <v>Oct</v>
      </c>
      <c r="R1025" s="1" t="str">
        <f aca="false">"Q"&amp;ROUNDUP(MONTH(B1025)/3,0)</f>
        <v>Q4</v>
      </c>
    </row>
    <row r="1026" customFormat="false" ht="15" hidden="false" customHeight="true" outlineLevel="0" collapsed="false">
      <c r="A1026" s="1" t="n">
        <v>11025</v>
      </c>
      <c r="B1026" s="14" t="n">
        <v>45586</v>
      </c>
      <c r="C1026" s="1" t="n">
        <v>1510</v>
      </c>
      <c r="D1026" s="1" t="s">
        <v>30</v>
      </c>
      <c r="E1026" s="1" t="s">
        <v>36</v>
      </c>
      <c r="F1026" s="1" t="n">
        <v>4</v>
      </c>
      <c r="G1026" s="15" t="n">
        <v>178.12</v>
      </c>
      <c r="H1026" s="16" t="n">
        <v>0.03</v>
      </c>
      <c r="I1026" s="1" t="s">
        <v>29</v>
      </c>
      <c r="J1026" s="1" t="n">
        <v>9</v>
      </c>
      <c r="K1026" s="1" t="n">
        <v>3.1</v>
      </c>
      <c r="L1026" s="15" t="n">
        <v>691.11</v>
      </c>
      <c r="M1026" s="15" t="n">
        <f aca="false">F1026*G1026</f>
        <v>712.48</v>
      </c>
      <c r="N1026" s="15" t="n">
        <f aca="false">M1026-L1026</f>
        <v>21.37</v>
      </c>
      <c r="O1026" s="1" t="n">
        <f aca="false">YEAR(B1026)</f>
        <v>2024</v>
      </c>
      <c r="P1026" s="1" t="n">
        <f aca="false">MONTH(B1026)</f>
        <v>10</v>
      </c>
      <c r="Q1026" s="1" t="str">
        <f aca="false">TEXT(B1026,"mmm")</f>
        <v>Oct</v>
      </c>
      <c r="R1026" s="1" t="str">
        <f aca="false">"Q"&amp;ROUNDUP(MONTH(B1026)/3,0)</f>
        <v>Q4</v>
      </c>
    </row>
    <row r="1027" customFormat="false" ht="15" hidden="false" customHeight="true" outlineLevel="0" collapsed="false">
      <c r="A1027" s="1" t="n">
        <v>11026</v>
      </c>
      <c r="B1027" s="14" t="n">
        <v>45587</v>
      </c>
      <c r="C1027" s="1" t="n">
        <v>1384</v>
      </c>
      <c r="D1027" s="1" t="s">
        <v>30</v>
      </c>
      <c r="E1027" s="1" t="s">
        <v>35</v>
      </c>
      <c r="F1027" s="1" t="n">
        <v>5</v>
      </c>
      <c r="G1027" s="15" t="n">
        <v>69.69</v>
      </c>
      <c r="H1027" s="16" t="n">
        <v>0.14</v>
      </c>
      <c r="I1027" s="1" t="s">
        <v>31</v>
      </c>
      <c r="J1027" s="1" t="n">
        <v>3</v>
      </c>
      <c r="K1027" s="1" t="n">
        <v>2.1</v>
      </c>
      <c r="L1027" s="15" t="n">
        <v>299.67</v>
      </c>
      <c r="M1027" s="15" t="n">
        <f aca="false">F1027*G1027</f>
        <v>348.45</v>
      </c>
      <c r="N1027" s="15" t="n">
        <f aca="false">M1027-L1027</f>
        <v>48.78</v>
      </c>
      <c r="O1027" s="1" t="n">
        <f aca="false">YEAR(B1027)</f>
        <v>2024</v>
      </c>
      <c r="P1027" s="1" t="n">
        <f aca="false">MONTH(B1027)</f>
        <v>10</v>
      </c>
      <c r="Q1027" s="1" t="str">
        <f aca="false">TEXT(B1027,"mmm")</f>
        <v>Oct</v>
      </c>
      <c r="R1027" s="1" t="str">
        <f aca="false">"Q"&amp;ROUNDUP(MONTH(B1027)/3,0)</f>
        <v>Q4</v>
      </c>
    </row>
    <row r="1028" customFormat="false" ht="15" hidden="false" customHeight="true" outlineLevel="0" collapsed="false">
      <c r="A1028" s="1" t="n">
        <v>11027</v>
      </c>
      <c r="B1028" s="14" t="n">
        <v>45588</v>
      </c>
      <c r="C1028" s="1" t="n">
        <v>1404</v>
      </c>
      <c r="D1028" s="1" t="s">
        <v>30</v>
      </c>
      <c r="E1028" s="1" t="s">
        <v>36</v>
      </c>
      <c r="F1028" s="1" t="n">
        <v>7</v>
      </c>
      <c r="G1028" s="15" t="n">
        <v>138.36</v>
      </c>
      <c r="H1028" s="16" t="n">
        <v>0.33</v>
      </c>
      <c r="I1028" s="1" t="s">
        <v>31</v>
      </c>
      <c r="J1028" s="1" t="n">
        <v>7</v>
      </c>
      <c r="K1028" s="1" t="n">
        <v>1.1</v>
      </c>
      <c r="L1028" s="15" t="n">
        <v>648.91</v>
      </c>
      <c r="M1028" s="15" t="n">
        <f aca="false">F1028*G1028</f>
        <v>968.52</v>
      </c>
      <c r="N1028" s="15" t="n">
        <f aca="false">M1028-L1028</f>
        <v>319.61</v>
      </c>
      <c r="O1028" s="1" t="n">
        <f aca="false">YEAR(B1028)</f>
        <v>2024</v>
      </c>
      <c r="P1028" s="1" t="n">
        <f aca="false">MONTH(B1028)</f>
        <v>10</v>
      </c>
      <c r="Q1028" s="1" t="str">
        <f aca="false">TEXT(B1028,"mmm")</f>
        <v>Oct</v>
      </c>
      <c r="R1028" s="1" t="str">
        <f aca="false">"Q"&amp;ROUNDUP(MONTH(B1028)/3,0)</f>
        <v>Q4</v>
      </c>
    </row>
    <row r="1029" customFormat="false" ht="15" hidden="false" customHeight="true" outlineLevel="0" collapsed="false">
      <c r="A1029" s="1" t="n">
        <v>11028</v>
      </c>
      <c r="B1029" s="14" t="n">
        <v>45589</v>
      </c>
      <c r="C1029" s="1" t="n">
        <v>1822</v>
      </c>
      <c r="D1029" s="1" t="s">
        <v>34</v>
      </c>
      <c r="E1029" s="1" t="s">
        <v>28</v>
      </c>
      <c r="F1029" s="1" t="n">
        <v>4</v>
      </c>
      <c r="G1029" s="15" t="n">
        <v>154.66</v>
      </c>
      <c r="H1029" s="16" t="n">
        <v>0.15</v>
      </c>
      <c r="I1029" s="1" t="s">
        <v>31</v>
      </c>
      <c r="J1029" s="1" t="n">
        <v>1</v>
      </c>
      <c r="K1029" s="1" t="n">
        <v>2.9</v>
      </c>
      <c r="L1029" s="15" t="n">
        <v>525.84</v>
      </c>
      <c r="M1029" s="15" t="n">
        <f aca="false">F1029*G1029</f>
        <v>618.64</v>
      </c>
      <c r="N1029" s="15" t="n">
        <f aca="false">M1029-L1029</f>
        <v>92.8</v>
      </c>
      <c r="O1029" s="1" t="n">
        <f aca="false">YEAR(B1029)</f>
        <v>2024</v>
      </c>
      <c r="P1029" s="1" t="n">
        <f aca="false">MONTH(B1029)</f>
        <v>10</v>
      </c>
      <c r="Q1029" s="1" t="str">
        <f aca="false">TEXT(B1029,"mmm")</f>
        <v>Oct</v>
      </c>
      <c r="R1029" s="1" t="str">
        <f aca="false">"Q"&amp;ROUNDUP(MONTH(B1029)/3,0)</f>
        <v>Q4</v>
      </c>
    </row>
    <row r="1030" customFormat="false" ht="15" hidden="false" customHeight="true" outlineLevel="0" collapsed="false">
      <c r="A1030" s="1" t="n">
        <v>11029</v>
      </c>
      <c r="B1030" s="14" t="n">
        <v>45590</v>
      </c>
      <c r="C1030" s="1" t="n">
        <v>1517</v>
      </c>
      <c r="D1030" s="1" t="s">
        <v>30</v>
      </c>
      <c r="E1030" s="1" t="s">
        <v>35</v>
      </c>
      <c r="F1030" s="1" t="n">
        <v>4</v>
      </c>
      <c r="G1030" s="15" t="n">
        <v>551.82</v>
      </c>
      <c r="H1030" s="16" t="n">
        <v>0.34</v>
      </c>
      <c r="I1030" s="1" t="s">
        <v>33</v>
      </c>
      <c r="J1030" s="1" t="n">
        <v>8</v>
      </c>
      <c r="K1030" s="1" t="n">
        <v>1.5</v>
      </c>
      <c r="L1030" s="15" t="n">
        <v>1456.8</v>
      </c>
      <c r="M1030" s="15" t="n">
        <f aca="false">F1030*G1030</f>
        <v>2207.28</v>
      </c>
      <c r="N1030" s="15" t="n">
        <f aca="false">M1030-L1030</f>
        <v>750.48</v>
      </c>
      <c r="O1030" s="1" t="n">
        <f aca="false">YEAR(B1030)</f>
        <v>2024</v>
      </c>
      <c r="P1030" s="1" t="n">
        <f aca="false">MONTH(B1030)</f>
        <v>10</v>
      </c>
      <c r="Q1030" s="1" t="str">
        <f aca="false">TEXT(B1030,"mmm")</f>
        <v>Oct</v>
      </c>
      <c r="R1030" s="1" t="str">
        <f aca="false">"Q"&amp;ROUNDUP(MONTH(B1030)/3,0)</f>
        <v>Q4</v>
      </c>
    </row>
    <row r="1031" customFormat="false" ht="15" hidden="false" customHeight="true" outlineLevel="0" collapsed="false">
      <c r="A1031" s="1" t="n">
        <v>11030</v>
      </c>
      <c r="B1031" s="14" t="n">
        <v>45591</v>
      </c>
      <c r="C1031" s="1" t="n">
        <v>1475</v>
      </c>
      <c r="D1031" s="1" t="s">
        <v>30</v>
      </c>
      <c r="E1031" s="1" t="s">
        <v>36</v>
      </c>
      <c r="F1031" s="1" t="n">
        <v>4</v>
      </c>
      <c r="G1031" s="15" t="n">
        <v>60.69</v>
      </c>
      <c r="H1031" s="16" t="n">
        <v>0.02</v>
      </c>
      <c r="I1031" s="1" t="s">
        <v>33</v>
      </c>
      <c r="J1031" s="1" t="n">
        <v>1</v>
      </c>
      <c r="K1031" s="1" t="n">
        <v>1.7</v>
      </c>
      <c r="L1031" s="15" t="n">
        <v>237.9</v>
      </c>
      <c r="M1031" s="15" t="n">
        <f aca="false">F1031*G1031</f>
        <v>242.76</v>
      </c>
      <c r="N1031" s="15" t="n">
        <f aca="false">M1031-L1031</f>
        <v>4.85999999999999</v>
      </c>
      <c r="O1031" s="1" t="n">
        <f aca="false">YEAR(B1031)</f>
        <v>2024</v>
      </c>
      <c r="P1031" s="1" t="n">
        <f aca="false">MONTH(B1031)</f>
        <v>10</v>
      </c>
      <c r="Q1031" s="1" t="str">
        <f aca="false">TEXT(B1031,"mmm")</f>
        <v>Oct</v>
      </c>
      <c r="R1031" s="1" t="str">
        <f aca="false">"Q"&amp;ROUNDUP(MONTH(B1031)/3,0)</f>
        <v>Q4</v>
      </c>
    </row>
    <row r="1032" customFormat="false" ht="15" hidden="false" customHeight="true" outlineLevel="0" collapsed="false">
      <c r="A1032" s="1" t="n">
        <v>11031</v>
      </c>
      <c r="B1032" s="14" t="n">
        <v>45592</v>
      </c>
      <c r="C1032" s="1" t="n">
        <v>1976</v>
      </c>
      <c r="D1032" s="1" t="s">
        <v>37</v>
      </c>
      <c r="E1032" s="1" t="s">
        <v>35</v>
      </c>
      <c r="F1032" s="1" t="n">
        <v>7</v>
      </c>
      <c r="G1032" s="15" t="n">
        <v>265.04</v>
      </c>
      <c r="H1032" s="16" t="n">
        <v>0.25</v>
      </c>
      <c r="I1032" s="1" t="s">
        <v>33</v>
      </c>
      <c r="J1032" s="1" t="n">
        <v>2</v>
      </c>
      <c r="K1032" s="1" t="n">
        <v>2.9</v>
      </c>
      <c r="L1032" s="15" t="n">
        <v>1391.46</v>
      </c>
      <c r="M1032" s="15" t="n">
        <f aca="false">F1032*G1032</f>
        <v>1855.28</v>
      </c>
      <c r="N1032" s="15" t="n">
        <f aca="false">M1032-L1032</f>
        <v>463.82</v>
      </c>
      <c r="O1032" s="1" t="n">
        <f aca="false">YEAR(B1032)</f>
        <v>2024</v>
      </c>
      <c r="P1032" s="1" t="n">
        <f aca="false">MONTH(B1032)</f>
        <v>10</v>
      </c>
      <c r="Q1032" s="1" t="str">
        <f aca="false">TEXT(B1032,"mmm")</f>
        <v>Oct</v>
      </c>
      <c r="R1032" s="1" t="str">
        <f aca="false">"Q"&amp;ROUNDUP(MONTH(B1032)/3,0)</f>
        <v>Q4</v>
      </c>
    </row>
    <row r="1033" customFormat="false" ht="15" hidden="false" customHeight="true" outlineLevel="0" collapsed="false">
      <c r="A1033" s="1" t="n">
        <v>11032</v>
      </c>
      <c r="B1033" s="14" t="n">
        <v>45593</v>
      </c>
      <c r="C1033" s="1" t="n">
        <v>1708</v>
      </c>
      <c r="D1033" s="1" t="s">
        <v>34</v>
      </c>
      <c r="E1033" s="1" t="s">
        <v>35</v>
      </c>
      <c r="F1033" s="1" t="n">
        <v>2</v>
      </c>
      <c r="G1033" s="15" t="n">
        <v>326.45</v>
      </c>
      <c r="H1033" s="16" t="n">
        <v>0.2</v>
      </c>
      <c r="I1033" s="1" t="s">
        <v>33</v>
      </c>
      <c r="J1033" s="1" t="n">
        <v>1</v>
      </c>
      <c r="K1033" s="1" t="n">
        <v>4.5</v>
      </c>
      <c r="L1033" s="15" t="n">
        <v>522.32</v>
      </c>
      <c r="M1033" s="15" t="n">
        <f aca="false">F1033*G1033</f>
        <v>652.9</v>
      </c>
      <c r="N1033" s="15" t="n">
        <f aca="false">M1033-L1033</f>
        <v>130.58</v>
      </c>
      <c r="O1033" s="1" t="n">
        <f aca="false">YEAR(B1033)</f>
        <v>2024</v>
      </c>
      <c r="P1033" s="1" t="n">
        <f aca="false">MONTH(B1033)</f>
        <v>10</v>
      </c>
      <c r="Q1033" s="1" t="str">
        <f aca="false">TEXT(B1033,"mmm")</f>
        <v>Oct</v>
      </c>
      <c r="R1033" s="1" t="str">
        <f aca="false">"Q"&amp;ROUNDUP(MONTH(B1033)/3,0)</f>
        <v>Q4</v>
      </c>
    </row>
    <row r="1034" customFormat="false" ht="15" hidden="false" customHeight="true" outlineLevel="0" collapsed="false">
      <c r="A1034" s="1" t="n">
        <v>11033</v>
      </c>
      <c r="B1034" s="14" t="n">
        <v>45594</v>
      </c>
      <c r="C1034" s="1" t="n">
        <v>1862</v>
      </c>
      <c r="D1034" s="1" t="s">
        <v>30</v>
      </c>
      <c r="E1034" s="1" t="s">
        <v>35</v>
      </c>
      <c r="F1034" s="1" t="n">
        <v>2</v>
      </c>
      <c r="G1034" s="15" t="n">
        <v>540.74</v>
      </c>
      <c r="H1034" s="16" t="n">
        <v>0.18</v>
      </c>
      <c r="I1034" s="1" t="s">
        <v>29</v>
      </c>
      <c r="J1034" s="1" t="n">
        <v>4</v>
      </c>
      <c r="K1034" s="1" t="n">
        <v>4.4</v>
      </c>
      <c r="L1034" s="15" t="n">
        <v>886.81</v>
      </c>
      <c r="M1034" s="15" t="n">
        <f aca="false">F1034*G1034</f>
        <v>1081.48</v>
      </c>
      <c r="N1034" s="15" t="n">
        <f aca="false">M1034-L1034</f>
        <v>194.67</v>
      </c>
      <c r="O1034" s="1" t="n">
        <f aca="false">YEAR(B1034)</f>
        <v>2024</v>
      </c>
      <c r="P1034" s="1" t="n">
        <f aca="false">MONTH(B1034)</f>
        <v>10</v>
      </c>
      <c r="Q1034" s="1" t="str">
        <f aca="false">TEXT(B1034,"mmm")</f>
        <v>Oct</v>
      </c>
      <c r="R1034" s="1" t="str">
        <f aca="false">"Q"&amp;ROUNDUP(MONTH(B1034)/3,0)</f>
        <v>Q4</v>
      </c>
    </row>
    <row r="1035" customFormat="false" ht="15" hidden="false" customHeight="true" outlineLevel="0" collapsed="false">
      <c r="A1035" s="1" t="n">
        <v>11034</v>
      </c>
      <c r="B1035" s="14" t="n">
        <v>45595</v>
      </c>
      <c r="C1035" s="1" t="n">
        <v>1644</v>
      </c>
      <c r="D1035" s="1" t="s">
        <v>34</v>
      </c>
      <c r="E1035" s="1" t="s">
        <v>32</v>
      </c>
      <c r="F1035" s="1" t="n">
        <v>5</v>
      </c>
      <c r="G1035" s="15" t="n">
        <v>598.65</v>
      </c>
      <c r="H1035" s="16" t="n">
        <v>0.34</v>
      </c>
      <c r="I1035" s="1" t="s">
        <v>29</v>
      </c>
      <c r="J1035" s="1" t="n">
        <v>2</v>
      </c>
      <c r="K1035" s="1" t="n">
        <v>4.9</v>
      </c>
      <c r="L1035" s="15" t="n">
        <v>1975.54</v>
      </c>
      <c r="M1035" s="15" t="n">
        <f aca="false">F1035*G1035</f>
        <v>2993.25</v>
      </c>
      <c r="N1035" s="15" t="n">
        <f aca="false">M1035-L1035</f>
        <v>1017.71</v>
      </c>
      <c r="O1035" s="1" t="n">
        <f aca="false">YEAR(B1035)</f>
        <v>2024</v>
      </c>
      <c r="P1035" s="1" t="n">
        <f aca="false">MONTH(B1035)</f>
        <v>10</v>
      </c>
      <c r="Q1035" s="1" t="str">
        <f aca="false">TEXT(B1035,"mmm")</f>
        <v>Oct</v>
      </c>
      <c r="R1035" s="1" t="str">
        <f aca="false">"Q"&amp;ROUNDUP(MONTH(B1035)/3,0)</f>
        <v>Q4</v>
      </c>
    </row>
    <row r="1036" customFormat="false" ht="15" hidden="false" customHeight="true" outlineLevel="0" collapsed="false">
      <c r="A1036" s="1" t="n">
        <v>11035</v>
      </c>
      <c r="B1036" s="14" t="n">
        <v>45596</v>
      </c>
      <c r="C1036" s="1" t="n">
        <v>1869</v>
      </c>
      <c r="D1036" s="1" t="s">
        <v>34</v>
      </c>
      <c r="E1036" s="1" t="s">
        <v>36</v>
      </c>
      <c r="F1036" s="1" t="n">
        <v>2</v>
      </c>
      <c r="G1036" s="15" t="n">
        <v>455.73</v>
      </c>
      <c r="H1036" s="16" t="n">
        <v>0.05</v>
      </c>
      <c r="I1036" s="1" t="s">
        <v>33</v>
      </c>
      <c r="J1036" s="1" t="n">
        <v>1</v>
      </c>
      <c r="K1036" s="1" t="n">
        <v>2.9</v>
      </c>
      <c r="L1036" s="15" t="n">
        <v>865.89</v>
      </c>
      <c r="M1036" s="15" t="n">
        <f aca="false">F1036*G1036</f>
        <v>911.46</v>
      </c>
      <c r="N1036" s="15" t="n">
        <f aca="false">M1036-L1036</f>
        <v>45.5700000000001</v>
      </c>
      <c r="O1036" s="1" t="n">
        <f aca="false">YEAR(B1036)</f>
        <v>2024</v>
      </c>
      <c r="P1036" s="1" t="n">
        <f aca="false">MONTH(B1036)</f>
        <v>10</v>
      </c>
      <c r="Q1036" s="1" t="str">
        <f aca="false">TEXT(B1036,"mmm")</f>
        <v>Oct</v>
      </c>
      <c r="R1036" s="1" t="str">
        <f aca="false">"Q"&amp;ROUNDUP(MONTH(B1036)/3,0)</f>
        <v>Q4</v>
      </c>
    </row>
    <row r="1037" customFormat="false" ht="15" hidden="false" customHeight="true" outlineLevel="0" collapsed="false">
      <c r="A1037" s="1" t="n">
        <v>11036</v>
      </c>
      <c r="B1037" s="14" t="n">
        <v>45597</v>
      </c>
      <c r="C1037" s="1" t="n">
        <v>1770</v>
      </c>
      <c r="D1037" s="1" t="s">
        <v>34</v>
      </c>
      <c r="E1037" s="1" t="s">
        <v>32</v>
      </c>
      <c r="F1037" s="1" t="n">
        <v>6</v>
      </c>
      <c r="G1037" s="15" t="n">
        <v>582.91</v>
      </c>
      <c r="H1037" s="16" t="n">
        <v>0.31</v>
      </c>
      <c r="I1037" s="1" t="s">
        <v>33</v>
      </c>
      <c r="J1037" s="1" t="n">
        <v>1</v>
      </c>
      <c r="K1037" s="1" t="n">
        <v>3.2</v>
      </c>
      <c r="L1037" s="15" t="n">
        <v>2413.25</v>
      </c>
      <c r="M1037" s="15" t="n">
        <f aca="false">F1037*G1037</f>
        <v>3497.46</v>
      </c>
      <c r="N1037" s="15" t="n">
        <f aca="false">M1037-L1037</f>
        <v>1084.21</v>
      </c>
      <c r="O1037" s="1" t="n">
        <f aca="false">YEAR(B1037)</f>
        <v>2024</v>
      </c>
      <c r="P1037" s="1" t="n">
        <f aca="false">MONTH(B1037)</f>
        <v>11</v>
      </c>
      <c r="Q1037" s="1" t="str">
        <f aca="false">TEXT(B1037,"mmm")</f>
        <v>Nov</v>
      </c>
      <c r="R1037" s="1" t="str">
        <f aca="false">"Q"&amp;ROUNDUP(MONTH(B1037)/3,0)</f>
        <v>Q4</v>
      </c>
    </row>
    <row r="1038" customFormat="false" ht="15" hidden="false" customHeight="true" outlineLevel="0" collapsed="false">
      <c r="A1038" s="1" t="n">
        <v>11037</v>
      </c>
      <c r="B1038" s="14" t="n">
        <v>45598</v>
      </c>
      <c r="C1038" s="1" t="n">
        <v>1436</v>
      </c>
      <c r="D1038" s="1" t="s">
        <v>34</v>
      </c>
      <c r="E1038" s="1" t="s">
        <v>32</v>
      </c>
      <c r="F1038" s="1" t="n">
        <v>2</v>
      </c>
      <c r="G1038" s="15" t="n">
        <v>475.45</v>
      </c>
      <c r="H1038" s="16" t="n">
        <v>0.24</v>
      </c>
      <c r="I1038" s="1" t="s">
        <v>31</v>
      </c>
      <c r="J1038" s="1" t="n">
        <v>2</v>
      </c>
      <c r="K1038" s="1" t="n">
        <v>4.3</v>
      </c>
      <c r="L1038" s="15" t="n">
        <v>722.68</v>
      </c>
      <c r="M1038" s="15" t="n">
        <f aca="false">F1038*G1038</f>
        <v>950.9</v>
      </c>
      <c r="N1038" s="15" t="n">
        <f aca="false">M1038-L1038</f>
        <v>228.22</v>
      </c>
      <c r="O1038" s="1" t="n">
        <f aca="false">YEAR(B1038)</f>
        <v>2024</v>
      </c>
      <c r="P1038" s="1" t="n">
        <f aca="false">MONTH(B1038)</f>
        <v>11</v>
      </c>
      <c r="Q1038" s="1" t="str">
        <f aca="false">TEXT(B1038,"mmm")</f>
        <v>Nov</v>
      </c>
      <c r="R1038" s="1" t="str">
        <f aca="false">"Q"&amp;ROUNDUP(MONTH(B1038)/3,0)</f>
        <v>Q4</v>
      </c>
    </row>
    <row r="1039" customFormat="false" ht="15" hidden="false" customHeight="true" outlineLevel="0" collapsed="false">
      <c r="A1039" s="1" t="n">
        <v>11038</v>
      </c>
      <c r="B1039" s="14" t="n">
        <v>45599</v>
      </c>
      <c r="C1039" s="1" t="n">
        <v>1022</v>
      </c>
      <c r="D1039" s="1" t="s">
        <v>37</v>
      </c>
      <c r="E1039" s="1" t="s">
        <v>28</v>
      </c>
      <c r="F1039" s="1" t="n">
        <v>2</v>
      </c>
      <c r="G1039" s="15" t="n">
        <v>578.47</v>
      </c>
      <c r="H1039" s="16" t="n">
        <v>0.09</v>
      </c>
      <c r="I1039" s="1" t="s">
        <v>33</v>
      </c>
      <c r="J1039" s="1" t="n">
        <v>6</v>
      </c>
      <c r="K1039" s="1" t="n">
        <v>3.8</v>
      </c>
      <c r="L1039" s="15" t="n">
        <v>1052.82</v>
      </c>
      <c r="M1039" s="15" t="n">
        <f aca="false">F1039*G1039</f>
        <v>1156.94</v>
      </c>
      <c r="N1039" s="15" t="n">
        <f aca="false">M1039-L1039</f>
        <v>104.12</v>
      </c>
      <c r="O1039" s="1" t="n">
        <f aca="false">YEAR(B1039)</f>
        <v>2024</v>
      </c>
      <c r="P1039" s="1" t="n">
        <f aca="false">MONTH(B1039)</f>
        <v>11</v>
      </c>
      <c r="Q1039" s="1" t="str">
        <f aca="false">TEXT(B1039,"mmm")</f>
        <v>Nov</v>
      </c>
      <c r="R1039" s="1" t="str">
        <f aca="false">"Q"&amp;ROUNDUP(MONTH(B1039)/3,0)</f>
        <v>Q4</v>
      </c>
    </row>
    <row r="1040" customFormat="false" ht="15" hidden="false" customHeight="true" outlineLevel="0" collapsed="false">
      <c r="A1040" s="1" t="n">
        <v>11039</v>
      </c>
      <c r="B1040" s="14" t="n">
        <v>45600</v>
      </c>
      <c r="C1040" s="1" t="n">
        <v>1996</v>
      </c>
      <c r="D1040" s="1" t="s">
        <v>34</v>
      </c>
      <c r="E1040" s="1" t="s">
        <v>28</v>
      </c>
      <c r="F1040" s="1" t="n">
        <v>2</v>
      </c>
      <c r="G1040" s="15" t="n">
        <v>428.75</v>
      </c>
      <c r="H1040" s="16" t="n">
        <v>0.32</v>
      </c>
      <c r="I1040" s="1" t="s">
        <v>33</v>
      </c>
      <c r="J1040" s="1" t="n">
        <v>2</v>
      </c>
      <c r="K1040" s="1" t="n">
        <v>1.7</v>
      </c>
      <c r="L1040" s="15" t="n">
        <v>583.1</v>
      </c>
      <c r="M1040" s="15" t="n">
        <f aca="false">F1040*G1040</f>
        <v>857.5</v>
      </c>
      <c r="N1040" s="15" t="n">
        <f aca="false">M1040-L1040</f>
        <v>274.4</v>
      </c>
      <c r="O1040" s="1" t="n">
        <f aca="false">YEAR(B1040)</f>
        <v>2024</v>
      </c>
      <c r="P1040" s="1" t="n">
        <f aca="false">MONTH(B1040)</f>
        <v>11</v>
      </c>
      <c r="Q1040" s="1" t="str">
        <f aca="false">TEXT(B1040,"mmm")</f>
        <v>Nov</v>
      </c>
      <c r="R1040" s="1" t="str">
        <f aca="false">"Q"&amp;ROUNDUP(MONTH(B1040)/3,0)</f>
        <v>Q4</v>
      </c>
    </row>
    <row r="1041" customFormat="false" ht="15" hidden="false" customHeight="true" outlineLevel="0" collapsed="false">
      <c r="A1041" s="1" t="n">
        <v>11040</v>
      </c>
      <c r="B1041" s="14" t="n">
        <v>45601</v>
      </c>
      <c r="C1041" s="1" t="n">
        <v>1564</v>
      </c>
      <c r="D1041" s="1" t="s">
        <v>27</v>
      </c>
      <c r="E1041" s="1" t="s">
        <v>35</v>
      </c>
      <c r="F1041" s="1" t="n">
        <v>1</v>
      </c>
      <c r="G1041" s="15" t="n">
        <v>61.66</v>
      </c>
      <c r="H1041" s="16" t="n">
        <v>0.15</v>
      </c>
      <c r="I1041" s="1" t="s">
        <v>33</v>
      </c>
      <c r="J1041" s="1" t="n">
        <v>11</v>
      </c>
      <c r="K1041" s="1" t="n">
        <v>2.6</v>
      </c>
      <c r="L1041" s="15" t="n">
        <v>52.41</v>
      </c>
      <c r="M1041" s="15" t="n">
        <f aca="false">F1041*G1041</f>
        <v>61.66</v>
      </c>
      <c r="N1041" s="15" t="n">
        <f aca="false">M1041-L1041</f>
        <v>9.25</v>
      </c>
      <c r="O1041" s="1" t="n">
        <f aca="false">YEAR(B1041)</f>
        <v>2024</v>
      </c>
      <c r="P1041" s="1" t="n">
        <f aca="false">MONTH(B1041)</f>
        <v>11</v>
      </c>
      <c r="Q1041" s="1" t="str">
        <f aca="false">TEXT(B1041,"mmm")</f>
        <v>Nov</v>
      </c>
      <c r="R1041" s="1" t="str">
        <f aca="false">"Q"&amp;ROUNDUP(MONTH(B1041)/3,0)</f>
        <v>Q4</v>
      </c>
    </row>
    <row r="1042" customFormat="false" ht="15" hidden="false" customHeight="true" outlineLevel="0" collapsed="false">
      <c r="A1042" s="1" t="n">
        <v>11041</v>
      </c>
      <c r="B1042" s="14" t="n">
        <v>45602</v>
      </c>
      <c r="C1042" s="1" t="n">
        <v>1676</v>
      </c>
      <c r="D1042" s="1" t="s">
        <v>27</v>
      </c>
      <c r="E1042" s="1" t="s">
        <v>35</v>
      </c>
      <c r="F1042" s="1" t="n">
        <v>5</v>
      </c>
      <c r="G1042" s="15" t="n">
        <v>250.12</v>
      </c>
      <c r="H1042" s="16" t="n">
        <v>0.28</v>
      </c>
      <c r="I1042" s="1" t="s">
        <v>31</v>
      </c>
      <c r="J1042" s="1" t="n">
        <v>2</v>
      </c>
      <c r="K1042" s="1" t="n">
        <v>4.7</v>
      </c>
      <c r="L1042" s="15" t="n">
        <v>900.43</v>
      </c>
      <c r="M1042" s="15" t="n">
        <f aca="false">F1042*G1042</f>
        <v>1250.6</v>
      </c>
      <c r="N1042" s="15" t="n">
        <f aca="false">M1042-L1042</f>
        <v>350.17</v>
      </c>
      <c r="O1042" s="1" t="n">
        <f aca="false">YEAR(B1042)</f>
        <v>2024</v>
      </c>
      <c r="P1042" s="1" t="n">
        <f aca="false">MONTH(B1042)</f>
        <v>11</v>
      </c>
      <c r="Q1042" s="1" t="str">
        <f aca="false">TEXT(B1042,"mmm")</f>
        <v>Nov</v>
      </c>
      <c r="R1042" s="1" t="str">
        <f aca="false">"Q"&amp;ROUNDUP(MONTH(B1042)/3,0)</f>
        <v>Q4</v>
      </c>
    </row>
    <row r="1043" customFormat="false" ht="15" hidden="false" customHeight="true" outlineLevel="0" collapsed="false">
      <c r="A1043" s="1" t="n">
        <v>11042</v>
      </c>
      <c r="B1043" s="14" t="n">
        <v>45603</v>
      </c>
      <c r="C1043" s="1" t="n">
        <v>1713</v>
      </c>
      <c r="D1043" s="1" t="s">
        <v>30</v>
      </c>
      <c r="E1043" s="1" t="s">
        <v>28</v>
      </c>
      <c r="F1043" s="1" t="n">
        <v>6</v>
      </c>
      <c r="G1043" s="15" t="n">
        <v>393.26</v>
      </c>
      <c r="H1043" s="16" t="n">
        <v>0.14</v>
      </c>
      <c r="I1043" s="1" t="s">
        <v>33</v>
      </c>
      <c r="J1043" s="1" t="n">
        <v>8</v>
      </c>
      <c r="K1043" s="1" t="n">
        <v>1.6</v>
      </c>
      <c r="L1043" s="15" t="n">
        <v>2029.22</v>
      </c>
      <c r="M1043" s="15" t="n">
        <f aca="false">F1043*G1043</f>
        <v>2359.56</v>
      </c>
      <c r="N1043" s="15" t="n">
        <f aca="false">M1043-L1043</f>
        <v>330.34</v>
      </c>
      <c r="O1043" s="1" t="n">
        <f aca="false">YEAR(B1043)</f>
        <v>2024</v>
      </c>
      <c r="P1043" s="1" t="n">
        <f aca="false">MONTH(B1043)</f>
        <v>11</v>
      </c>
      <c r="Q1043" s="1" t="str">
        <f aca="false">TEXT(B1043,"mmm")</f>
        <v>Nov</v>
      </c>
      <c r="R1043" s="1" t="str">
        <f aca="false">"Q"&amp;ROUNDUP(MONTH(B1043)/3,0)</f>
        <v>Q4</v>
      </c>
    </row>
    <row r="1044" customFormat="false" ht="15" hidden="false" customHeight="true" outlineLevel="0" collapsed="false">
      <c r="A1044" s="1" t="n">
        <v>11043</v>
      </c>
      <c r="B1044" s="14" t="n">
        <v>45604</v>
      </c>
      <c r="C1044" s="1" t="n">
        <v>1457</v>
      </c>
      <c r="D1044" s="1" t="s">
        <v>34</v>
      </c>
      <c r="E1044" s="1" t="s">
        <v>28</v>
      </c>
      <c r="F1044" s="1" t="n">
        <v>2</v>
      </c>
      <c r="G1044" s="15" t="n">
        <v>220.17</v>
      </c>
      <c r="H1044" s="16" t="n">
        <v>0.3</v>
      </c>
      <c r="I1044" s="1" t="s">
        <v>33</v>
      </c>
      <c r="J1044" s="1" t="n">
        <v>5</v>
      </c>
      <c r="K1044" s="1" t="n">
        <v>1.8</v>
      </c>
      <c r="L1044" s="15" t="n">
        <v>308.24</v>
      </c>
      <c r="M1044" s="15" t="n">
        <f aca="false">F1044*G1044</f>
        <v>440.34</v>
      </c>
      <c r="N1044" s="15" t="n">
        <f aca="false">M1044-L1044</f>
        <v>132.1</v>
      </c>
      <c r="O1044" s="1" t="n">
        <f aca="false">YEAR(B1044)</f>
        <v>2024</v>
      </c>
      <c r="P1044" s="1" t="n">
        <f aca="false">MONTH(B1044)</f>
        <v>11</v>
      </c>
      <c r="Q1044" s="1" t="str">
        <f aca="false">TEXT(B1044,"mmm")</f>
        <v>Nov</v>
      </c>
      <c r="R1044" s="1" t="str">
        <f aca="false">"Q"&amp;ROUNDUP(MONTH(B1044)/3,0)</f>
        <v>Q4</v>
      </c>
    </row>
    <row r="1045" customFormat="false" ht="15" hidden="false" customHeight="true" outlineLevel="0" collapsed="false">
      <c r="A1045" s="1" t="n">
        <v>11044</v>
      </c>
      <c r="B1045" s="14" t="n">
        <v>45605</v>
      </c>
      <c r="C1045" s="1" t="n">
        <v>1082</v>
      </c>
      <c r="D1045" s="1" t="s">
        <v>30</v>
      </c>
      <c r="E1045" s="1" t="s">
        <v>36</v>
      </c>
      <c r="F1045" s="1" t="n">
        <v>5</v>
      </c>
      <c r="G1045" s="15" t="n">
        <v>174.93</v>
      </c>
      <c r="H1045" s="16" t="n">
        <v>0.22</v>
      </c>
      <c r="I1045" s="1" t="s">
        <v>33</v>
      </c>
      <c r="J1045" s="1" t="n">
        <v>8</v>
      </c>
      <c r="K1045" s="1" t="n">
        <v>2.6</v>
      </c>
      <c r="L1045" s="15" t="n">
        <v>682.23</v>
      </c>
      <c r="M1045" s="15" t="n">
        <f aca="false">F1045*G1045</f>
        <v>874.65</v>
      </c>
      <c r="N1045" s="15" t="n">
        <f aca="false">M1045-L1045</f>
        <v>192.42</v>
      </c>
      <c r="O1045" s="1" t="n">
        <f aca="false">YEAR(B1045)</f>
        <v>2024</v>
      </c>
      <c r="P1045" s="1" t="n">
        <f aca="false">MONTH(B1045)</f>
        <v>11</v>
      </c>
      <c r="Q1045" s="1" t="str">
        <f aca="false">TEXT(B1045,"mmm")</f>
        <v>Nov</v>
      </c>
      <c r="R1045" s="1" t="str">
        <f aca="false">"Q"&amp;ROUNDUP(MONTH(B1045)/3,0)</f>
        <v>Q4</v>
      </c>
    </row>
    <row r="1046" customFormat="false" ht="15" hidden="false" customHeight="true" outlineLevel="0" collapsed="false">
      <c r="A1046" s="1" t="n">
        <v>11045</v>
      </c>
      <c r="B1046" s="14" t="n">
        <v>45606</v>
      </c>
      <c r="C1046" s="1" t="n">
        <v>1144</v>
      </c>
      <c r="D1046" s="1" t="s">
        <v>37</v>
      </c>
      <c r="E1046" s="1" t="s">
        <v>35</v>
      </c>
      <c r="F1046" s="1" t="n">
        <v>3</v>
      </c>
      <c r="G1046" s="15" t="n">
        <v>352.78</v>
      </c>
      <c r="H1046" s="16" t="n">
        <v>0.05</v>
      </c>
      <c r="I1046" s="1" t="s">
        <v>31</v>
      </c>
      <c r="J1046" s="1" t="n">
        <v>8</v>
      </c>
      <c r="K1046" s="1" t="n">
        <v>4.8</v>
      </c>
      <c r="L1046" s="15" t="n">
        <v>1005.42</v>
      </c>
      <c r="M1046" s="15" t="n">
        <f aca="false">F1046*G1046</f>
        <v>1058.34</v>
      </c>
      <c r="N1046" s="15" t="n">
        <f aca="false">M1046-L1046</f>
        <v>52.92</v>
      </c>
      <c r="O1046" s="1" t="n">
        <f aca="false">YEAR(B1046)</f>
        <v>2024</v>
      </c>
      <c r="P1046" s="1" t="n">
        <f aca="false">MONTH(B1046)</f>
        <v>11</v>
      </c>
      <c r="Q1046" s="1" t="str">
        <f aca="false">TEXT(B1046,"mmm")</f>
        <v>Nov</v>
      </c>
      <c r="R1046" s="1" t="str">
        <f aca="false">"Q"&amp;ROUNDUP(MONTH(B1046)/3,0)</f>
        <v>Q4</v>
      </c>
    </row>
    <row r="1047" customFormat="false" ht="15" hidden="false" customHeight="true" outlineLevel="0" collapsed="false">
      <c r="A1047" s="1" t="n">
        <v>11046</v>
      </c>
      <c r="B1047" s="14" t="n">
        <v>45607</v>
      </c>
      <c r="C1047" s="1" t="n">
        <v>1084</v>
      </c>
      <c r="D1047" s="1" t="s">
        <v>30</v>
      </c>
      <c r="E1047" s="1" t="s">
        <v>35</v>
      </c>
      <c r="F1047" s="1" t="n">
        <v>1</v>
      </c>
      <c r="G1047" s="15" t="n">
        <v>561.1</v>
      </c>
      <c r="H1047" s="16" t="n">
        <v>0.23</v>
      </c>
      <c r="I1047" s="1" t="s">
        <v>31</v>
      </c>
      <c r="J1047" s="1" t="n">
        <v>2</v>
      </c>
      <c r="K1047" s="1" t="n">
        <v>1.5</v>
      </c>
      <c r="L1047" s="15" t="n">
        <v>432.05</v>
      </c>
      <c r="M1047" s="15" t="n">
        <f aca="false">F1047*G1047</f>
        <v>561.1</v>
      </c>
      <c r="N1047" s="15" t="n">
        <f aca="false">M1047-L1047</f>
        <v>129.05</v>
      </c>
      <c r="O1047" s="1" t="n">
        <f aca="false">YEAR(B1047)</f>
        <v>2024</v>
      </c>
      <c r="P1047" s="1" t="n">
        <f aca="false">MONTH(B1047)</f>
        <v>11</v>
      </c>
      <c r="Q1047" s="1" t="str">
        <f aca="false">TEXT(B1047,"mmm")</f>
        <v>Nov</v>
      </c>
      <c r="R1047" s="1" t="str">
        <f aca="false">"Q"&amp;ROUNDUP(MONTH(B1047)/3,0)</f>
        <v>Q4</v>
      </c>
    </row>
    <row r="1048" customFormat="false" ht="15" hidden="false" customHeight="true" outlineLevel="0" collapsed="false">
      <c r="A1048" s="1" t="n">
        <v>11047</v>
      </c>
      <c r="B1048" s="14" t="n">
        <v>45608</v>
      </c>
      <c r="C1048" s="1" t="n">
        <v>1077</v>
      </c>
      <c r="D1048" s="1" t="s">
        <v>34</v>
      </c>
      <c r="E1048" s="1" t="s">
        <v>28</v>
      </c>
      <c r="F1048" s="1" t="n">
        <v>7</v>
      </c>
      <c r="G1048" s="15" t="n">
        <v>35.46</v>
      </c>
      <c r="H1048" s="16" t="n">
        <v>0.07</v>
      </c>
      <c r="I1048" s="1" t="s">
        <v>31</v>
      </c>
      <c r="J1048" s="1" t="n">
        <v>7</v>
      </c>
      <c r="K1048" s="1" t="n">
        <v>3.7</v>
      </c>
      <c r="L1048" s="15" t="n">
        <v>230.84</v>
      </c>
      <c r="M1048" s="15" t="n">
        <f aca="false">F1048*G1048</f>
        <v>248.22</v>
      </c>
      <c r="N1048" s="15" t="n">
        <f aca="false">M1048-L1048</f>
        <v>17.38</v>
      </c>
      <c r="O1048" s="1" t="n">
        <f aca="false">YEAR(B1048)</f>
        <v>2024</v>
      </c>
      <c r="P1048" s="1" t="n">
        <f aca="false">MONTH(B1048)</f>
        <v>11</v>
      </c>
      <c r="Q1048" s="1" t="str">
        <f aca="false">TEXT(B1048,"mmm")</f>
        <v>Nov</v>
      </c>
      <c r="R1048" s="1" t="str">
        <f aca="false">"Q"&amp;ROUNDUP(MONTH(B1048)/3,0)</f>
        <v>Q4</v>
      </c>
    </row>
    <row r="1049" customFormat="false" ht="15" hidden="false" customHeight="true" outlineLevel="0" collapsed="false">
      <c r="A1049" s="1" t="n">
        <v>11048</v>
      </c>
      <c r="B1049" s="14" t="n">
        <v>45609</v>
      </c>
      <c r="C1049" s="1" t="n">
        <v>1456</v>
      </c>
      <c r="D1049" s="1" t="s">
        <v>30</v>
      </c>
      <c r="E1049" s="1" t="s">
        <v>36</v>
      </c>
      <c r="F1049" s="1" t="n">
        <v>2</v>
      </c>
      <c r="G1049" s="15" t="n">
        <v>465</v>
      </c>
      <c r="H1049" s="16" t="n">
        <v>0.14</v>
      </c>
      <c r="I1049" s="1" t="s">
        <v>29</v>
      </c>
      <c r="J1049" s="1" t="n">
        <v>9</v>
      </c>
      <c r="K1049" s="1" t="n">
        <v>1.5</v>
      </c>
      <c r="L1049" s="15" t="n">
        <v>799.8</v>
      </c>
      <c r="M1049" s="15" t="n">
        <f aca="false">F1049*G1049</f>
        <v>930</v>
      </c>
      <c r="N1049" s="15" t="n">
        <f aca="false">M1049-L1049</f>
        <v>130.2</v>
      </c>
      <c r="O1049" s="1" t="n">
        <f aca="false">YEAR(B1049)</f>
        <v>2024</v>
      </c>
      <c r="P1049" s="1" t="n">
        <f aca="false">MONTH(B1049)</f>
        <v>11</v>
      </c>
      <c r="Q1049" s="1" t="str">
        <f aca="false">TEXT(B1049,"mmm")</f>
        <v>Nov</v>
      </c>
      <c r="R1049" s="1" t="str">
        <f aca="false">"Q"&amp;ROUNDUP(MONTH(B1049)/3,0)</f>
        <v>Q4</v>
      </c>
    </row>
    <row r="1050" customFormat="false" ht="15" hidden="false" customHeight="true" outlineLevel="0" collapsed="false">
      <c r="A1050" s="1" t="n">
        <v>11049</v>
      </c>
      <c r="B1050" s="14" t="n">
        <v>45610</v>
      </c>
      <c r="C1050" s="1" t="n">
        <v>1877</v>
      </c>
      <c r="D1050" s="1" t="s">
        <v>37</v>
      </c>
      <c r="E1050" s="1" t="s">
        <v>28</v>
      </c>
      <c r="F1050" s="1" t="n">
        <v>6</v>
      </c>
      <c r="G1050" s="15" t="n">
        <v>437.8</v>
      </c>
      <c r="H1050" s="16" t="n">
        <v>0.06</v>
      </c>
      <c r="I1050" s="1" t="s">
        <v>33</v>
      </c>
      <c r="J1050" s="1" t="n">
        <v>8</v>
      </c>
      <c r="K1050" s="1" t="n">
        <v>3.1</v>
      </c>
      <c r="L1050" s="15" t="n">
        <v>2469.19</v>
      </c>
      <c r="M1050" s="15" t="n">
        <f aca="false">F1050*G1050</f>
        <v>2626.8</v>
      </c>
      <c r="N1050" s="15" t="n">
        <f aca="false">M1050-L1050</f>
        <v>157.61</v>
      </c>
      <c r="O1050" s="1" t="n">
        <f aca="false">YEAR(B1050)</f>
        <v>2024</v>
      </c>
      <c r="P1050" s="1" t="n">
        <f aca="false">MONTH(B1050)</f>
        <v>11</v>
      </c>
      <c r="Q1050" s="1" t="str">
        <f aca="false">TEXT(B1050,"mmm")</f>
        <v>Nov</v>
      </c>
      <c r="R1050" s="1" t="str">
        <f aca="false">"Q"&amp;ROUNDUP(MONTH(B1050)/3,0)</f>
        <v>Q4</v>
      </c>
    </row>
    <row r="1051" customFormat="false" ht="15" hidden="false" customHeight="true" outlineLevel="0" collapsed="false">
      <c r="A1051" s="1" t="n">
        <v>11050</v>
      </c>
      <c r="B1051" s="14" t="n">
        <v>45611</v>
      </c>
      <c r="C1051" s="1" t="n">
        <v>1000</v>
      </c>
      <c r="D1051" s="1" t="s">
        <v>37</v>
      </c>
      <c r="E1051" s="1" t="s">
        <v>28</v>
      </c>
      <c r="F1051" s="1" t="n">
        <v>1</v>
      </c>
      <c r="G1051" s="15" t="n">
        <v>578.91</v>
      </c>
      <c r="H1051" s="16" t="n">
        <v>0.01</v>
      </c>
      <c r="I1051" s="1" t="s">
        <v>31</v>
      </c>
      <c r="J1051" s="1" t="n">
        <v>9</v>
      </c>
      <c r="K1051" s="1" t="n">
        <v>3.1</v>
      </c>
      <c r="L1051" s="15" t="n">
        <v>573.12</v>
      </c>
      <c r="M1051" s="15" t="n">
        <f aca="false">F1051*G1051</f>
        <v>578.91</v>
      </c>
      <c r="N1051" s="15" t="n">
        <f aca="false">M1051-L1051</f>
        <v>5.78999999999996</v>
      </c>
      <c r="O1051" s="1" t="n">
        <f aca="false">YEAR(B1051)</f>
        <v>2024</v>
      </c>
      <c r="P1051" s="1" t="n">
        <f aca="false">MONTH(B1051)</f>
        <v>11</v>
      </c>
      <c r="Q1051" s="1" t="str">
        <f aca="false">TEXT(B1051,"mmm")</f>
        <v>Nov</v>
      </c>
      <c r="R1051" s="1" t="str">
        <f aca="false">"Q"&amp;ROUNDUP(MONTH(B1051)/3,0)</f>
        <v>Q4</v>
      </c>
    </row>
    <row r="1052" customFormat="false" ht="15" hidden="false" customHeight="true" outlineLevel="0" collapsed="false">
      <c r="A1052" s="1" t="n">
        <v>11051</v>
      </c>
      <c r="B1052" s="14" t="n">
        <v>45612</v>
      </c>
      <c r="C1052" s="1" t="n">
        <v>1050</v>
      </c>
      <c r="D1052" s="1" t="s">
        <v>34</v>
      </c>
      <c r="E1052" s="1" t="s">
        <v>32</v>
      </c>
      <c r="F1052" s="1" t="n">
        <v>6</v>
      </c>
      <c r="G1052" s="15" t="n">
        <v>559.47</v>
      </c>
      <c r="H1052" s="16" t="n">
        <v>0.07</v>
      </c>
      <c r="I1052" s="1" t="s">
        <v>31</v>
      </c>
      <c r="J1052" s="1" t="n">
        <v>8</v>
      </c>
      <c r="K1052" s="1" t="n">
        <v>1.2</v>
      </c>
      <c r="L1052" s="15" t="n">
        <v>3121.84</v>
      </c>
      <c r="M1052" s="15" t="n">
        <f aca="false">F1052*G1052</f>
        <v>3356.82</v>
      </c>
      <c r="N1052" s="15" t="n">
        <f aca="false">M1052-L1052</f>
        <v>234.98</v>
      </c>
      <c r="O1052" s="1" t="n">
        <f aca="false">YEAR(B1052)</f>
        <v>2024</v>
      </c>
      <c r="P1052" s="1" t="n">
        <f aca="false">MONTH(B1052)</f>
        <v>11</v>
      </c>
      <c r="Q1052" s="1" t="str">
        <f aca="false">TEXT(B1052,"mmm")</f>
        <v>Nov</v>
      </c>
      <c r="R1052" s="1" t="str">
        <f aca="false">"Q"&amp;ROUNDUP(MONTH(B1052)/3,0)</f>
        <v>Q4</v>
      </c>
    </row>
    <row r="1053" customFormat="false" ht="15" hidden="false" customHeight="true" outlineLevel="0" collapsed="false">
      <c r="A1053" s="1" t="n">
        <v>11052</v>
      </c>
      <c r="B1053" s="14" t="n">
        <v>45613</v>
      </c>
      <c r="C1053" s="1" t="n">
        <v>1684</v>
      </c>
      <c r="D1053" s="1" t="s">
        <v>37</v>
      </c>
      <c r="E1053" s="1" t="s">
        <v>35</v>
      </c>
      <c r="F1053" s="1" t="n">
        <v>7</v>
      </c>
      <c r="G1053" s="15" t="n">
        <v>460.91</v>
      </c>
      <c r="H1053" s="16" t="n">
        <v>0.19</v>
      </c>
      <c r="I1053" s="1" t="s">
        <v>33</v>
      </c>
      <c r="J1053" s="1" t="n">
        <v>4</v>
      </c>
      <c r="K1053" s="1" t="n">
        <v>4.8</v>
      </c>
      <c r="L1053" s="15" t="n">
        <v>2613.36</v>
      </c>
      <c r="M1053" s="15" t="n">
        <f aca="false">F1053*G1053</f>
        <v>3226.37</v>
      </c>
      <c r="N1053" s="15" t="n">
        <f aca="false">M1053-L1053</f>
        <v>613.01</v>
      </c>
      <c r="O1053" s="1" t="n">
        <f aca="false">YEAR(B1053)</f>
        <v>2024</v>
      </c>
      <c r="P1053" s="1" t="n">
        <f aca="false">MONTH(B1053)</f>
        <v>11</v>
      </c>
      <c r="Q1053" s="1" t="str">
        <f aca="false">TEXT(B1053,"mmm")</f>
        <v>Nov</v>
      </c>
      <c r="R1053" s="1" t="str">
        <f aca="false">"Q"&amp;ROUNDUP(MONTH(B1053)/3,0)</f>
        <v>Q4</v>
      </c>
    </row>
    <row r="1054" customFormat="false" ht="15" hidden="false" customHeight="true" outlineLevel="0" collapsed="false">
      <c r="A1054" s="1" t="n">
        <v>11053</v>
      </c>
      <c r="B1054" s="14" t="n">
        <v>45614</v>
      </c>
      <c r="C1054" s="1" t="n">
        <v>1716</v>
      </c>
      <c r="D1054" s="1" t="s">
        <v>34</v>
      </c>
      <c r="E1054" s="1" t="s">
        <v>36</v>
      </c>
      <c r="F1054" s="1" t="n">
        <v>7</v>
      </c>
      <c r="G1054" s="15" t="n">
        <v>319.44</v>
      </c>
      <c r="H1054" s="16" t="n">
        <v>0.17</v>
      </c>
      <c r="I1054" s="1" t="s">
        <v>31</v>
      </c>
      <c r="J1054" s="1" t="n">
        <v>10</v>
      </c>
      <c r="K1054" s="1" t="n">
        <v>4.2</v>
      </c>
      <c r="L1054" s="15" t="n">
        <v>1855.95</v>
      </c>
      <c r="M1054" s="15" t="n">
        <f aca="false">F1054*G1054</f>
        <v>2236.08</v>
      </c>
      <c r="N1054" s="15" t="n">
        <f aca="false">M1054-L1054</f>
        <v>380.13</v>
      </c>
      <c r="O1054" s="1" t="n">
        <f aca="false">YEAR(B1054)</f>
        <v>2024</v>
      </c>
      <c r="P1054" s="1" t="n">
        <f aca="false">MONTH(B1054)</f>
        <v>11</v>
      </c>
      <c r="Q1054" s="1" t="str">
        <f aca="false">TEXT(B1054,"mmm")</f>
        <v>Nov</v>
      </c>
      <c r="R1054" s="1" t="str">
        <f aca="false">"Q"&amp;ROUNDUP(MONTH(B1054)/3,0)</f>
        <v>Q4</v>
      </c>
    </row>
    <row r="1055" customFormat="false" ht="15" hidden="false" customHeight="true" outlineLevel="0" collapsed="false">
      <c r="A1055" s="1" t="n">
        <v>11054</v>
      </c>
      <c r="B1055" s="14" t="n">
        <v>45615</v>
      </c>
      <c r="C1055" s="1" t="n">
        <v>1771</v>
      </c>
      <c r="D1055" s="1" t="s">
        <v>34</v>
      </c>
      <c r="E1055" s="1" t="s">
        <v>32</v>
      </c>
      <c r="F1055" s="1" t="n">
        <v>1</v>
      </c>
      <c r="G1055" s="15" t="n">
        <v>134.5</v>
      </c>
      <c r="H1055" s="16" t="n">
        <v>0.18</v>
      </c>
      <c r="I1055" s="1" t="s">
        <v>29</v>
      </c>
      <c r="J1055" s="1" t="n">
        <v>7</v>
      </c>
      <c r="K1055" s="1" t="n">
        <v>2.2</v>
      </c>
      <c r="L1055" s="15" t="n">
        <v>110.29</v>
      </c>
      <c r="M1055" s="15" t="n">
        <f aca="false">F1055*G1055</f>
        <v>134.5</v>
      </c>
      <c r="N1055" s="15" t="n">
        <f aca="false">M1055-L1055</f>
        <v>24.21</v>
      </c>
      <c r="O1055" s="1" t="n">
        <f aca="false">YEAR(B1055)</f>
        <v>2024</v>
      </c>
      <c r="P1055" s="1" t="n">
        <f aca="false">MONTH(B1055)</f>
        <v>11</v>
      </c>
      <c r="Q1055" s="1" t="str">
        <f aca="false">TEXT(B1055,"mmm")</f>
        <v>Nov</v>
      </c>
      <c r="R1055" s="1" t="str">
        <f aca="false">"Q"&amp;ROUNDUP(MONTH(B1055)/3,0)</f>
        <v>Q4</v>
      </c>
    </row>
    <row r="1056" customFormat="false" ht="15" hidden="false" customHeight="true" outlineLevel="0" collapsed="false">
      <c r="A1056" s="1" t="n">
        <v>11055</v>
      </c>
      <c r="B1056" s="14" t="n">
        <v>45616</v>
      </c>
      <c r="C1056" s="1" t="n">
        <v>1445</v>
      </c>
      <c r="D1056" s="1" t="s">
        <v>27</v>
      </c>
      <c r="E1056" s="1" t="s">
        <v>35</v>
      </c>
      <c r="F1056" s="1" t="n">
        <v>3</v>
      </c>
      <c r="G1056" s="15" t="n">
        <v>333.96</v>
      </c>
      <c r="H1056" s="16" t="n">
        <v>0.09</v>
      </c>
      <c r="I1056" s="1" t="s">
        <v>33</v>
      </c>
      <c r="J1056" s="1" t="n">
        <v>9</v>
      </c>
      <c r="K1056" s="1" t="n">
        <v>1.5</v>
      </c>
      <c r="L1056" s="15" t="n">
        <v>911.71</v>
      </c>
      <c r="M1056" s="15" t="n">
        <f aca="false">F1056*G1056</f>
        <v>1001.88</v>
      </c>
      <c r="N1056" s="15" t="n">
        <f aca="false">M1056-L1056</f>
        <v>90.1699999999999</v>
      </c>
      <c r="O1056" s="1" t="n">
        <f aca="false">YEAR(B1056)</f>
        <v>2024</v>
      </c>
      <c r="P1056" s="1" t="n">
        <f aca="false">MONTH(B1056)</f>
        <v>11</v>
      </c>
      <c r="Q1056" s="1" t="str">
        <f aca="false">TEXT(B1056,"mmm")</f>
        <v>Nov</v>
      </c>
      <c r="R1056" s="1" t="str">
        <f aca="false">"Q"&amp;ROUNDUP(MONTH(B1056)/3,0)</f>
        <v>Q4</v>
      </c>
    </row>
    <row r="1057" customFormat="false" ht="15" hidden="false" customHeight="true" outlineLevel="0" collapsed="false">
      <c r="A1057" s="1" t="n">
        <v>11056</v>
      </c>
      <c r="B1057" s="14" t="n">
        <v>45617</v>
      </c>
      <c r="C1057" s="1" t="n">
        <v>1448</v>
      </c>
      <c r="D1057" s="1" t="s">
        <v>34</v>
      </c>
      <c r="E1057" s="1" t="s">
        <v>28</v>
      </c>
      <c r="F1057" s="1" t="n">
        <v>5</v>
      </c>
      <c r="G1057" s="15" t="n">
        <v>462.73</v>
      </c>
      <c r="H1057" s="16" t="n">
        <v>0.24</v>
      </c>
      <c r="I1057" s="1" t="s">
        <v>31</v>
      </c>
      <c r="J1057" s="1" t="n">
        <v>9</v>
      </c>
      <c r="K1057" s="1" t="n">
        <v>2.4</v>
      </c>
      <c r="L1057" s="15" t="n">
        <v>1758.37</v>
      </c>
      <c r="M1057" s="15" t="n">
        <f aca="false">F1057*G1057</f>
        <v>2313.65</v>
      </c>
      <c r="N1057" s="15" t="n">
        <f aca="false">M1057-L1057</f>
        <v>555.28</v>
      </c>
      <c r="O1057" s="1" t="n">
        <f aca="false">YEAR(B1057)</f>
        <v>2024</v>
      </c>
      <c r="P1057" s="1" t="n">
        <f aca="false">MONTH(B1057)</f>
        <v>11</v>
      </c>
      <c r="Q1057" s="1" t="str">
        <f aca="false">TEXT(B1057,"mmm")</f>
        <v>Nov</v>
      </c>
      <c r="R1057" s="1" t="str">
        <f aca="false">"Q"&amp;ROUNDUP(MONTH(B1057)/3,0)</f>
        <v>Q4</v>
      </c>
    </row>
    <row r="1058" customFormat="false" ht="15" hidden="false" customHeight="true" outlineLevel="0" collapsed="false">
      <c r="A1058" s="1" t="n">
        <v>11057</v>
      </c>
      <c r="B1058" s="14" t="n">
        <v>45618</v>
      </c>
      <c r="C1058" s="1" t="n">
        <v>1880</v>
      </c>
      <c r="D1058" s="1" t="s">
        <v>34</v>
      </c>
      <c r="E1058" s="1" t="s">
        <v>36</v>
      </c>
      <c r="F1058" s="1" t="n">
        <v>1</v>
      </c>
      <c r="G1058" s="15" t="n">
        <v>538.97</v>
      </c>
      <c r="H1058" s="16" t="n">
        <v>0.25</v>
      </c>
      <c r="I1058" s="1" t="s">
        <v>33</v>
      </c>
      <c r="J1058" s="1" t="n">
        <v>4</v>
      </c>
      <c r="K1058" s="1" t="n">
        <v>4.6</v>
      </c>
      <c r="L1058" s="15" t="n">
        <v>404.23</v>
      </c>
      <c r="M1058" s="15" t="n">
        <f aca="false">F1058*G1058</f>
        <v>538.97</v>
      </c>
      <c r="N1058" s="15" t="n">
        <f aca="false">M1058-L1058</f>
        <v>134.74</v>
      </c>
      <c r="O1058" s="1" t="n">
        <f aca="false">YEAR(B1058)</f>
        <v>2024</v>
      </c>
      <c r="P1058" s="1" t="n">
        <f aca="false">MONTH(B1058)</f>
        <v>11</v>
      </c>
      <c r="Q1058" s="1" t="str">
        <f aca="false">TEXT(B1058,"mmm")</f>
        <v>Nov</v>
      </c>
      <c r="R1058" s="1" t="str">
        <f aca="false">"Q"&amp;ROUNDUP(MONTH(B1058)/3,0)</f>
        <v>Q4</v>
      </c>
    </row>
    <row r="1059" customFormat="false" ht="15" hidden="false" customHeight="true" outlineLevel="0" collapsed="false">
      <c r="A1059" s="1" t="n">
        <v>11058</v>
      </c>
      <c r="B1059" s="14" t="n">
        <v>45619</v>
      </c>
      <c r="C1059" s="1" t="n">
        <v>1487</v>
      </c>
      <c r="D1059" s="1" t="s">
        <v>34</v>
      </c>
      <c r="E1059" s="1" t="s">
        <v>35</v>
      </c>
      <c r="F1059" s="1" t="n">
        <v>4</v>
      </c>
      <c r="G1059" s="15" t="n">
        <v>476.98</v>
      </c>
      <c r="H1059" s="16" t="n">
        <v>0.13</v>
      </c>
      <c r="I1059" s="1" t="s">
        <v>31</v>
      </c>
      <c r="J1059" s="1" t="n">
        <v>7</v>
      </c>
      <c r="K1059" s="1" t="n">
        <v>1.5</v>
      </c>
      <c r="L1059" s="15" t="n">
        <v>1659.89</v>
      </c>
      <c r="M1059" s="15" t="n">
        <f aca="false">F1059*G1059</f>
        <v>1907.92</v>
      </c>
      <c r="N1059" s="15" t="n">
        <f aca="false">M1059-L1059</f>
        <v>248.03</v>
      </c>
      <c r="O1059" s="1" t="n">
        <f aca="false">YEAR(B1059)</f>
        <v>2024</v>
      </c>
      <c r="P1059" s="1" t="n">
        <f aca="false">MONTH(B1059)</f>
        <v>11</v>
      </c>
      <c r="Q1059" s="1" t="str">
        <f aca="false">TEXT(B1059,"mmm")</f>
        <v>Nov</v>
      </c>
      <c r="R1059" s="1" t="str">
        <f aca="false">"Q"&amp;ROUNDUP(MONTH(B1059)/3,0)</f>
        <v>Q4</v>
      </c>
    </row>
    <row r="1060" customFormat="false" ht="15" hidden="false" customHeight="true" outlineLevel="0" collapsed="false">
      <c r="A1060" s="1" t="n">
        <v>11059</v>
      </c>
      <c r="B1060" s="14" t="n">
        <v>45620</v>
      </c>
      <c r="C1060" s="1" t="n">
        <v>1799</v>
      </c>
      <c r="D1060" s="1" t="s">
        <v>27</v>
      </c>
      <c r="E1060" s="1" t="s">
        <v>28</v>
      </c>
      <c r="F1060" s="1" t="n">
        <v>7</v>
      </c>
      <c r="G1060" s="15" t="n">
        <v>129.23</v>
      </c>
      <c r="H1060" s="16" t="n">
        <v>0.31</v>
      </c>
      <c r="I1060" s="1" t="s">
        <v>29</v>
      </c>
      <c r="J1060" s="1" t="n">
        <v>6</v>
      </c>
      <c r="K1060" s="1" t="n">
        <v>2.4</v>
      </c>
      <c r="L1060" s="15" t="n">
        <v>624.18</v>
      </c>
      <c r="M1060" s="15" t="n">
        <f aca="false">F1060*G1060</f>
        <v>904.61</v>
      </c>
      <c r="N1060" s="15" t="n">
        <f aca="false">M1060-L1060</f>
        <v>280.43</v>
      </c>
      <c r="O1060" s="1" t="n">
        <f aca="false">YEAR(B1060)</f>
        <v>2024</v>
      </c>
      <c r="P1060" s="1" t="n">
        <f aca="false">MONTH(B1060)</f>
        <v>11</v>
      </c>
      <c r="Q1060" s="1" t="str">
        <f aca="false">TEXT(B1060,"mmm")</f>
        <v>Nov</v>
      </c>
      <c r="R1060" s="1" t="str">
        <f aca="false">"Q"&amp;ROUNDUP(MONTH(B1060)/3,0)</f>
        <v>Q4</v>
      </c>
    </row>
    <row r="1061" customFormat="false" ht="15" hidden="false" customHeight="true" outlineLevel="0" collapsed="false">
      <c r="A1061" s="1" t="n">
        <v>11060</v>
      </c>
      <c r="B1061" s="14" t="n">
        <v>45621</v>
      </c>
      <c r="C1061" s="1" t="n">
        <v>1033</v>
      </c>
      <c r="D1061" s="1" t="s">
        <v>37</v>
      </c>
      <c r="E1061" s="1" t="s">
        <v>32</v>
      </c>
      <c r="F1061" s="1" t="n">
        <v>3</v>
      </c>
      <c r="G1061" s="15" t="n">
        <v>365.82</v>
      </c>
      <c r="H1061" s="16" t="n">
        <v>0.23</v>
      </c>
      <c r="I1061" s="1" t="s">
        <v>31</v>
      </c>
      <c r="J1061" s="1" t="n">
        <v>3</v>
      </c>
      <c r="K1061" s="1" t="n">
        <v>3</v>
      </c>
      <c r="L1061" s="15" t="n">
        <v>845.04</v>
      </c>
      <c r="M1061" s="15" t="n">
        <f aca="false">F1061*G1061</f>
        <v>1097.46</v>
      </c>
      <c r="N1061" s="15" t="n">
        <f aca="false">M1061-L1061</f>
        <v>252.42</v>
      </c>
      <c r="O1061" s="1" t="n">
        <f aca="false">YEAR(B1061)</f>
        <v>2024</v>
      </c>
      <c r="P1061" s="1" t="n">
        <f aca="false">MONTH(B1061)</f>
        <v>11</v>
      </c>
      <c r="Q1061" s="1" t="str">
        <f aca="false">TEXT(B1061,"mmm")</f>
        <v>Nov</v>
      </c>
      <c r="R1061" s="1" t="str">
        <f aca="false">"Q"&amp;ROUNDUP(MONTH(B1061)/3,0)</f>
        <v>Q4</v>
      </c>
    </row>
    <row r="1062" customFormat="false" ht="15" hidden="false" customHeight="true" outlineLevel="0" collapsed="false">
      <c r="A1062" s="1" t="n">
        <v>11061</v>
      </c>
      <c r="B1062" s="14" t="n">
        <v>45622</v>
      </c>
      <c r="C1062" s="1" t="n">
        <v>1347</v>
      </c>
      <c r="D1062" s="1" t="s">
        <v>30</v>
      </c>
      <c r="E1062" s="1" t="s">
        <v>36</v>
      </c>
      <c r="F1062" s="1" t="n">
        <v>7</v>
      </c>
      <c r="G1062" s="15" t="n">
        <v>209.32</v>
      </c>
      <c r="H1062" s="16" t="n">
        <v>0.25</v>
      </c>
      <c r="I1062" s="1" t="s">
        <v>29</v>
      </c>
      <c r="J1062" s="1" t="n">
        <v>10</v>
      </c>
      <c r="K1062" s="1" t="n">
        <v>1.1</v>
      </c>
      <c r="L1062" s="15" t="n">
        <v>1098.93</v>
      </c>
      <c r="M1062" s="15" t="n">
        <f aca="false">F1062*G1062</f>
        <v>1465.24</v>
      </c>
      <c r="N1062" s="15" t="n">
        <f aca="false">M1062-L1062</f>
        <v>366.31</v>
      </c>
      <c r="O1062" s="1" t="n">
        <f aca="false">YEAR(B1062)</f>
        <v>2024</v>
      </c>
      <c r="P1062" s="1" t="n">
        <f aca="false">MONTH(B1062)</f>
        <v>11</v>
      </c>
      <c r="Q1062" s="1" t="str">
        <f aca="false">TEXT(B1062,"mmm")</f>
        <v>Nov</v>
      </c>
      <c r="R1062" s="1" t="str">
        <f aca="false">"Q"&amp;ROUNDUP(MONTH(B1062)/3,0)</f>
        <v>Q4</v>
      </c>
    </row>
    <row r="1063" customFormat="false" ht="15" hidden="false" customHeight="true" outlineLevel="0" collapsed="false">
      <c r="A1063" s="1" t="n">
        <v>11062</v>
      </c>
      <c r="B1063" s="14" t="n">
        <v>45623</v>
      </c>
      <c r="C1063" s="1" t="n">
        <v>1094</v>
      </c>
      <c r="D1063" s="1" t="s">
        <v>37</v>
      </c>
      <c r="E1063" s="1" t="s">
        <v>35</v>
      </c>
      <c r="F1063" s="1" t="n">
        <v>4</v>
      </c>
      <c r="G1063" s="15" t="n">
        <v>20.39</v>
      </c>
      <c r="H1063" s="16" t="n">
        <v>0.1</v>
      </c>
      <c r="I1063" s="1" t="s">
        <v>33</v>
      </c>
      <c r="J1063" s="1" t="n">
        <v>6</v>
      </c>
      <c r="K1063" s="1" t="n">
        <v>2.1</v>
      </c>
      <c r="L1063" s="15" t="n">
        <v>73.4</v>
      </c>
      <c r="M1063" s="15" t="n">
        <f aca="false">F1063*G1063</f>
        <v>81.56</v>
      </c>
      <c r="N1063" s="15" t="n">
        <f aca="false">M1063-L1063</f>
        <v>8.16</v>
      </c>
      <c r="O1063" s="1" t="n">
        <f aca="false">YEAR(B1063)</f>
        <v>2024</v>
      </c>
      <c r="P1063" s="1" t="n">
        <f aca="false">MONTH(B1063)</f>
        <v>11</v>
      </c>
      <c r="Q1063" s="1" t="str">
        <f aca="false">TEXT(B1063,"mmm")</f>
        <v>Nov</v>
      </c>
      <c r="R1063" s="1" t="str">
        <f aca="false">"Q"&amp;ROUNDUP(MONTH(B1063)/3,0)</f>
        <v>Q4</v>
      </c>
    </row>
    <row r="1064" customFormat="false" ht="15" hidden="false" customHeight="true" outlineLevel="0" collapsed="false">
      <c r="A1064" s="1" t="n">
        <v>11063</v>
      </c>
      <c r="B1064" s="14" t="n">
        <v>45624</v>
      </c>
      <c r="C1064" s="1" t="n">
        <v>1071</v>
      </c>
      <c r="D1064" s="1" t="s">
        <v>34</v>
      </c>
      <c r="E1064" s="1" t="s">
        <v>32</v>
      </c>
      <c r="F1064" s="1" t="n">
        <v>3</v>
      </c>
      <c r="G1064" s="15" t="n">
        <v>132.13</v>
      </c>
      <c r="H1064" s="16" t="n">
        <v>0</v>
      </c>
      <c r="I1064" s="1" t="s">
        <v>29</v>
      </c>
      <c r="J1064" s="1" t="n">
        <v>8</v>
      </c>
      <c r="K1064" s="1" t="n">
        <v>3.4</v>
      </c>
      <c r="L1064" s="15" t="n">
        <v>396.39</v>
      </c>
      <c r="M1064" s="15" t="n">
        <f aca="false">F1064*G1064</f>
        <v>396.39</v>
      </c>
      <c r="N1064" s="15" t="n">
        <f aca="false">M1064-L1064</f>
        <v>0</v>
      </c>
      <c r="O1064" s="1" t="n">
        <f aca="false">YEAR(B1064)</f>
        <v>2024</v>
      </c>
      <c r="P1064" s="1" t="n">
        <f aca="false">MONTH(B1064)</f>
        <v>11</v>
      </c>
      <c r="Q1064" s="1" t="str">
        <f aca="false">TEXT(B1064,"mmm")</f>
        <v>Nov</v>
      </c>
      <c r="R1064" s="1" t="str">
        <f aca="false">"Q"&amp;ROUNDUP(MONTH(B1064)/3,0)</f>
        <v>Q4</v>
      </c>
    </row>
    <row r="1065" customFormat="false" ht="15" hidden="false" customHeight="true" outlineLevel="0" collapsed="false">
      <c r="A1065" s="1" t="n">
        <v>11064</v>
      </c>
      <c r="B1065" s="14" t="n">
        <v>45625</v>
      </c>
      <c r="C1065" s="1" t="n">
        <v>1550</v>
      </c>
      <c r="D1065" s="1" t="s">
        <v>30</v>
      </c>
      <c r="E1065" s="1" t="s">
        <v>28</v>
      </c>
      <c r="F1065" s="1" t="n">
        <v>7</v>
      </c>
      <c r="G1065" s="15" t="n">
        <v>81.23</v>
      </c>
      <c r="H1065" s="16" t="n">
        <v>0.3</v>
      </c>
      <c r="I1065" s="1" t="s">
        <v>31</v>
      </c>
      <c r="J1065" s="1" t="n">
        <v>2</v>
      </c>
      <c r="K1065" s="1" t="n">
        <v>2.3</v>
      </c>
      <c r="L1065" s="15" t="n">
        <v>398.03</v>
      </c>
      <c r="M1065" s="15" t="n">
        <f aca="false">F1065*G1065</f>
        <v>568.61</v>
      </c>
      <c r="N1065" s="15" t="n">
        <f aca="false">M1065-L1065</f>
        <v>170.58</v>
      </c>
      <c r="O1065" s="1" t="n">
        <f aca="false">YEAR(B1065)</f>
        <v>2024</v>
      </c>
      <c r="P1065" s="1" t="n">
        <f aca="false">MONTH(B1065)</f>
        <v>11</v>
      </c>
      <c r="Q1065" s="1" t="str">
        <f aca="false">TEXT(B1065,"mmm")</f>
        <v>Nov</v>
      </c>
      <c r="R1065" s="1" t="str">
        <f aca="false">"Q"&amp;ROUNDUP(MONTH(B1065)/3,0)</f>
        <v>Q4</v>
      </c>
    </row>
    <row r="1066" customFormat="false" ht="15" hidden="false" customHeight="true" outlineLevel="0" collapsed="false">
      <c r="A1066" s="1" t="n">
        <v>11065</v>
      </c>
      <c r="B1066" s="14" t="n">
        <v>45626</v>
      </c>
      <c r="C1066" s="1" t="n">
        <v>1153</v>
      </c>
      <c r="D1066" s="1" t="s">
        <v>30</v>
      </c>
      <c r="E1066" s="1" t="s">
        <v>28</v>
      </c>
      <c r="F1066" s="1" t="n">
        <v>4</v>
      </c>
      <c r="G1066" s="15" t="n">
        <v>507.99</v>
      </c>
      <c r="H1066" s="16" t="n">
        <v>0.29</v>
      </c>
      <c r="I1066" s="1" t="s">
        <v>31</v>
      </c>
      <c r="J1066" s="1" t="n">
        <v>3</v>
      </c>
      <c r="K1066" s="1" t="n">
        <v>4.5</v>
      </c>
      <c r="L1066" s="15" t="n">
        <v>1442.69</v>
      </c>
      <c r="M1066" s="15" t="n">
        <f aca="false">F1066*G1066</f>
        <v>2031.96</v>
      </c>
      <c r="N1066" s="15" t="n">
        <f aca="false">M1066-L1066</f>
        <v>589.27</v>
      </c>
      <c r="O1066" s="1" t="n">
        <f aca="false">YEAR(B1066)</f>
        <v>2024</v>
      </c>
      <c r="P1066" s="1" t="n">
        <f aca="false">MONTH(B1066)</f>
        <v>11</v>
      </c>
      <c r="Q1066" s="1" t="str">
        <f aca="false">TEXT(B1066,"mmm")</f>
        <v>Nov</v>
      </c>
      <c r="R1066" s="1" t="str">
        <f aca="false">"Q"&amp;ROUNDUP(MONTH(B1066)/3,0)</f>
        <v>Q4</v>
      </c>
    </row>
    <row r="1067" customFormat="false" ht="15" hidden="false" customHeight="true" outlineLevel="0" collapsed="false">
      <c r="A1067" s="1" t="n">
        <v>11066</v>
      </c>
      <c r="B1067" s="14" t="n">
        <v>45627</v>
      </c>
      <c r="C1067" s="1" t="n">
        <v>1249</v>
      </c>
      <c r="D1067" s="1" t="s">
        <v>34</v>
      </c>
      <c r="E1067" s="1" t="s">
        <v>35</v>
      </c>
      <c r="F1067" s="1" t="n">
        <v>4</v>
      </c>
      <c r="G1067" s="15" t="n">
        <v>166.23</v>
      </c>
      <c r="H1067" s="16" t="n">
        <v>0.04</v>
      </c>
      <c r="I1067" s="1" t="s">
        <v>33</v>
      </c>
      <c r="J1067" s="1" t="n">
        <v>8</v>
      </c>
      <c r="K1067" s="1" t="n">
        <v>4.7</v>
      </c>
      <c r="L1067" s="15" t="n">
        <v>638.32</v>
      </c>
      <c r="M1067" s="15" t="n">
        <f aca="false">F1067*G1067</f>
        <v>664.92</v>
      </c>
      <c r="N1067" s="15" t="n">
        <f aca="false">M1067-L1067</f>
        <v>26.5999999999999</v>
      </c>
      <c r="O1067" s="1" t="n">
        <f aca="false">YEAR(B1067)</f>
        <v>2024</v>
      </c>
      <c r="P1067" s="1" t="n">
        <f aca="false">MONTH(B1067)</f>
        <v>12</v>
      </c>
      <c r="Q1067" s="1" t="str">
        <f aca="false">TEXT(B1067,"mmm")</f>
        <v>Dec</v>
      </c>
      <c r="R1067" s="1" t="str">
        <f aca="false">"Q"&amp;ROUNDUP(MONTH(B1067)/3,0)</f>
        <v>Q4</v>
      </c>
    </row>
    <row r="1068" customFormat="false" ht="15" hidden="false" customHeight="true" outlineLevel="0" collapsed="false">
      <c r="A1068" s="1" t="n">
        <v>11067</v>
      </c>
      <c r="B1068" s="14" t="n">
        <v>45628</v>
      </c>
      <c r="C1068" s="1" t="n">
        <v>1673</v>
      </c>
      <c r="D1068" s="1" t="s">
        <v>30</v>
      </c>
      <c r="E1068" s="1" t="s">
        <v>28</v>
      </c>
      <c r="F1068" s="1" t="n">
        <v>7</v>
      </c>
      <c r="G1068" s="15" t="n">
        <v>181.55</v>
      </c>
      <c r="H1068" s="16" t="n">
        <v>0.13</v>
      </c>
      <c r="I1068" s="1" t="s">
        <v>33</v>
      </c>
      <c r="J1068" s="1" t="n">
        <v>4</v>
      </c>
      <c r="K1068" s="1" t="n">
        <v>2.8</v>
      </c>
      <c r="L1068" s="15" t="n">
        <v>1105.64</v>
      </c>
      <c r="M1068" s="15" t="n">
        <f aca="false">F1068*G1068</f>
        <v>1270.85</v>
      </c>
      <c r="N1068" s="15" t="n">
        <f aca="false">M1068-L1068</f>
        <v>165.21</v>
      </c>
      <c r="O1068" s="1" t="n">
        <f aca="false">YEAR(B1068)</f>
        <v>2024</v>
      </c>
      <c r="P1068" s="1" t="n">
        <f aca="false">MONTH(B1068)</f>
        <v>12</v>
      </c>
      <c r="Q1068" s="1" t="str">
        <f aca="false">TEXT(B1068,"mmm")</f>
        <v>Dec</v>
      </c>
      <c r="R1068" s="1" t="str">
        <f aca="false">"Q"&amp;ROUNDUP(MONTH(B1068)/3,0)</f>
        <v>Q4</v>
      </c>
    </row>
    <row r="1069" customFormat="false" ht="15" hidden="false" customHeight="true" outlineLevel="0" collapsed="false">
      <c r="A1069" s="1" t="n">
        <v>11068</v>
      </c>
      <c r="B1069" s="14" t="n">
        <v>45629</v>
      </c>
      <c r="C1069" s="1" t="n">
        <v>1437</v>
      </c>
      <c r="D1069" s="1" t="s">
        <v>27</v>
      </c>
      <c r="E1069" s="1" t="s">
        <v>36</v>
      </c>
      <c r="F1069" s="1" t="n">
        <v>7</v>
      </c>
      <c r="G1069" s="15" t="n">
        <v>576.56</v>
      </c>
      <c r="H1069" s="16" t="n">
        <v>0.23</v>
      </c>
      <c r="I1069" s="1" t="s">
        <v>31</v>
      </c>
      <c r="J1069" s="1" t="n">
        <v>4</v>
      </c>
      <c r="K1069" s="1" t="n">
        <v>3.1</v>
      </c>
      <c r="L1069" s="15" t="n">
        <v>3107.66</v>
      </c>
      <c r="M1069" s="15" t="n">
        <f aca="false">F1069*G1069</f>
        <v>4035.92</v>
      </c>
      <c r="N1069" s="15" t="n">
        <f aca="false">M1069-L1069</f>
        <v>928.26</v>
      </c>
      <c r="O1069" s="1" t="n">
        <f aca="false">YEAR(B1069)</f>
        <v>2024</v>
      </c>
      <c r="P1069" s="1" t="n">
        <f aca="false">MONTH(B1069)</f>
        <v>12</v>
      </c>
      <c r="Q1069" s="1" t="str">
        <f aca="false">TEXT(B1069,"mmm")</f>
        <v>Dec</v>
      </c>
      <c r="R1069" s="1" t="str">
        <f aca="false">"Q"&amp;ROUNDUP(MONTH(B1069)/3,0)</f>
        <v>Q4</v>
      </c>
    </row>
    <row r="1070" customFormat="false" ht="15" hidden="false" customHeight="true" outlineLevel="0" collapsed="false">
      <c r="A1070" s="1" t="n">
        <v>11069</v>
      </c>
      <c r="B1070" s="14" t="n">
        <v>45630</v>
      </c>
      <c r="C1070" s="1" t="n">
        <v>1117</v>
      </c>
      <c r="D1070" s="1" t="s">
        <v>34</v>
      </c>
      <c r="E1070" s="1" t="s">
        <v>35</v>
      </c>
      <c r="F1070" s="1" t="n">
        <v>6</v>
      </c>
      <c r="G1070" s="15" t="n">
        <v>236.77</v>
      </c>
      <c r="H1070" s="16" t="n">
        <v>0.23</v>
      </c>
      <c r="I1070" s="1" t="s">
        <v>31</v>
      </c>
      <c r="J1070" s="1" t="n">
        <v>2</v>
      </c>
      <c r="K1070" s="1" t="n">
        <v>3.5</v>
      </c>
      <c r="L1070" s="15" t="n">
        <v>1093.88</v>
      </c>
      <c r="M1070" s="15" t="n">
        <f aca="false">F1070*G1070</f>
        <v>1420.62</v>
      </c>
      <c r="N1070" s="15" t="n">
        <f aca="false">M1070-L1070</f>
        <v>326.74</v>
      </c>
      <c r="O1070" s="1" t="n">
        <f aca="false">YEAR(B1070)</f>
        <v>2024</v>
      </c>
      <c r="P1070" s="1" t="n">
        <f aca="false">MONTH(B1070)</f>
        <v>12</v>
      </c>
      <c r="Q1070" s="1" t="str">
        <f aca="false">TEXT(B1070,"mmm")</f>
        <v>Dec</v>
      </c>
      <c r="R1070" s="1" t="str">
        <f aca="false">"Q"&amp;ROUNDUP(MONTH(B1070)/3,0)</f>
        <v>Q4</v>
      </c>
    </row>
    <row r="1071" customFormat="false" ht="15" hidden="false" customHeight="true" outlineLevel="0" collapsed="false">
      <c r="A1071" s="1" t="n">
        <v>11070</v>
      </c>
      <c r="B1071" s="14" t="n">
        <v>45631</v>
      </c>
      <c r="C1071" s="1" t="n">
        <v>1770</v>
      </c>
      <c r="D1071" s="1" t="s">
        <v>34</v>
      </c>
      <c r="E1071" s="1" t="s">
        <v>32</v>
      </c>
      <c r="F1071" s="1" t="n">
        <v>1</v>
      </c>
      <c r="G1071" s="15" t="n">
        <v>20.61</v>
      </c>
      <c r="H1071" s="16" t="n">
        <v>0.3</v>
      </c>
      <c r="I1071" s="1" t="s">
        <v>31</v>
      </c>
      <c r="J1071" s="1" t="n">
        <v>11</v>
      </c>
      <c r="K1071" s="1" t="n">
        <v>3.7</v>
      </c>
      <c r="L1071" s="15" t="n">
        <v>14.43</v>
      </c>
      <c r="M1071" s="15" t="n">
        <f aca="false">F1071*G1071</f>
        <v>20.61</v>
      </c>
      <c r="N1071" s="15" t="n">
        <f aca="false">M1071-L1071</f>
        <v>6.18</v>
      </c>
      <c r="O1071" s="1" t="n">
        <f aca="false">YEAR(B1071)</f>
        <v>2024</v>
      </c>
      <c r="P1071" s="1" t="n">
        <f aca="false">MONTH(B1071)</f>
        <v>12</v>
      </c>
      <c r="Q1071" s="1" t="str">
        <f aca="false">TEXT(B1071,"mmm")</f>
        <v>Dec</v>
      </c>
      <c r="R1071" s="1" t="str">
        <f aca="false">"Q"&amp;ROUNDUP(MONTH(B1071)/3,0)</f>
        <v>Q4</v>
      </c>
    </row>
    <row r="1072" customFormat="false" ht="15" hidden="false" customHeight="true" outlineLevel="0" collapsed="false">
      <c r="A1072" s="1" t="n">
        <v>11071</v>
      </c>
      <c r="B1072" s="14" t="n">
        <v>45632</v>
      </c>
      <c r="C1072" s="1" t="n">
        <v>1890</v>
      </c>
      <c r="D1072" s="1" t="s">
        <v>34</v>
      </c>
      <c r="E1072" s="1" t="s">
        <v>35</v>
      </c>
      <c r="F1072" s="1" t="n">
        <v>1</v>
      </c>
      <c r="G1072" s="15" t="n">
        <v>181.05</v>
      </c>
      <c r="H1072" s="16" t="n">
        <v>0.05</v>
      </c>
      <c r="I1072" s="1" t="s">
        <v>33</v>
      </c>
      <c r="J1072" s="1" t="n">
        <v>10</v>
      </c>
      <c r="K1072" s="1" t="n">
        <v>1.3</v>
      </c>
      <c r="L1072" s="15" t="n">
        <v>172</v>
      </c>
      <c r="M1072" s="15" t="n">
        <f aca="false">F1072*G1072</f>
        <v>181.05</v>
      </c>
      <c r="N1072" s="15" t="n">
        <f aca="false">M1072-L1072</f>
        <v>9.05000000000001</v>
      </c>
      <c r="O1072" s="1" t="n">
        <f aca="false">YEAR(B1072)</f>
        <v>2024</v>
      </c>
      <c r="P1072" s="1" t="n">
        <f aca="false">MONTH(B1072)</f>
        <v>12</v>
      </c>
      <c r="Q1072" s="1" t="str">
        <f aca="false">TEXT(B1072,"mmm")</f>
        <v>Dec</v>
      </c>
      <c r="R1072" s="1" t="str">
        <f aca="false">"Q"&amp;ROUNDUP(MONTH(B1072)/3,0)</f>
        <v>Q4</v>
      </c>
    </row>
    <row r="1073" customFormat="false" ht="15" hidden="false" customHeight="true" outlineLevel="0" collapsed="false">
      <c r="A1073" s="1" t="n">
        <v>11072</v>
      </c>
      <c r="B1073" s="14" t="n">
        <v>45633</v>
      </c>
      <c r="C1073" s="1" t="n">
        <v>1305</v>
      </c>
      <c r="D1073" s="1" t="s">
        <v>34</v>
      </c>
      <c r="E1073" s="1" t="s">
        <v>35</v>
      </c>
      <c r="F1073" s="1" t="n">
        <v>3</v>
      </c>
      <c r="G1073" s="15" t="n">
        <v>84.79</v>
      </c>
      <c r="H1073" s="16" t="n">
        <v>0.15</v>
      </c>
      <c r="I1073" s="1" t="s">
        <v>31</v>
      </c>
      <c r="J1073" s="1" t="n">
        <v>1</v>
      </c>
      <c r="K1073" s="1" t="n">
        <v>1.2</v>
      </c>
      <c r="L1073" s="15" t="n">
        <v>216.21</v>
      </c>
      <c r="M1073" s="15" t="n">
        <f aca="false">F1073*G1073</f>
        <v>254.37</v>
      </c>
      <c r="N1073" s="15" t="n">
        <f aca="false">M1073-L1073</f>
        <v>38.16</v>
      </c>
      <c r="O1073" s="1" t="n">
        <f aca="false">YEAR(B1073)</f>
        <v>2024</v>
      </c>
      <c r="P1073" s="1" t="n">
        <f aca="false">MONTH(B1073)</f>
        <v>12</v>
      </c>
      <c r="Q1073" s="1" t="str">
        <f aca="false">TEXT(B1073,"mmm")</f>
        <v>Dec</v>
      </c>
      <c r="R1073" s="1" t="str">
        <f aca="false">"Q"&amp;ROUNDUP(MONTH(B1073)/3,0)</f>
        <v>Q4</v>
      </c>
    </row>
    <row r="1074" customFormat="false" ht="15" hidden="false" customHeight="true" outlineLevel="0" collapsed="false">
      <c r="A1074" s="1" t="n">
        <v>11073</v>
      </c>
      <c r="B1074" s="14" t="n">
        <v>45634</v>
      </c>
      <c r="C1074" s="1" t="n">
        <v>1267</v>
      </c>
      <c r="D1074" s="1" t="s">
        <v>27</v>
      </c>
      <c r="E1074" s="1" t="s">
        <v>32</v>
      </c>
      <c r="F1074" s="1" t="n">
        <v>5</v>
      </c>
      <c r="G1074" s="15" t="n">
        <v>75.14</v>
      </c>
      <c r="H1074" s="16" t="n">
        <v>0.03</v>
      </c>
      <c r="I1074" s="1" t="s">
        <v>31</v>
      </c>
      <c r="J1074" s="1" t="n">
        <v>7</v>
      </c>
      <c r="K1074" s="1" t="n">
        <v>4.5</v>
      </c>
      <c r="L1074" s="15" t="n">
        <v>364.43</v>
      </c>
      <c r="M1074" s="15" t="n">
        <f aca="false">F1074*G1074</f>
        <v>375.7</v>
      </c>
      <c r="N1074" s="15" t="n">
        <f aca="false">M1074-L1074</f>
        <v>11.27</v>
      </c>
      <c r="O1074" s="1" t="n">
        <f aca="false">YEAR(B1074)</f>
        <v>2024</v>
      </c>
      <c r="P1074" s="1" t="n">
        <f aca="false">MONTH(B1074)</f>
        <v>12</v>
      </c>
      <c r="Q1074" s="1" t="str">
        <f aca="false">TEXT(B1074,"mmm")</f>
        <v>Dec</v>
      </c>
      <c r="R1074" s="1" t="str">
        <f aca="false">"Q"&amp;ROUNDUP(MONTH(B1074)/3,0)</f>
        <v>Q4</v>
      </c>
    </row>
    <row r="1075" customFormat="false" ht="15" hidden="false" customHeight="true" outlineLevel="0" collapsed="false">
      <c r="A1075" s="1" t="n">
        <v>11074</v>
      </c>
      <c r="B1075" s="14" t="n">
        <v>45635</v>
      </c>
      <c r="C1075" s="1" t="n">
        <v>1960</v>
      </c>
      <c r="D1075" s="1" t="s">
        <v>30</v>
      </c>
      <c r="E1075" s="1" t="s">
        <v>28</v>
      </c>
      <c r="F1075" s="1" t="n">
        <v>7</v>
      </c>
      <c r="G1075" s="15" t="n">
        <v>60.33</v>
      </c>
      <c r="H1075" s="16" t="n">
        <v>0.14</v>
      </c>
      <c r="I1075" s="1" t="s">
        <v>31</v>
      </c>
      <c r="J1075" s="1" t="n">
        <v>4</v>
      </c>
      <c r="K1075" s="1" t="n">
        <v>1.9</v>
      </c>
      <c r="L1075" s="15" t="n">
        <v>363.19</v>
      </c>
      <c r="M1075" s="15" t="n">
        <f aca="false">F1075*G1075</f>
        <v>422.31</v>
      </c>
      <c r="N1075" s="15" t="n">
        <f aca="false">M1075-L1075</f>
        <v>59.12</v>
      </c>
      <c r="O1075" s="1" t="n">
        <f aca="false">YEAR(B1075)</f>
        <v>2024</v>
      </c>
      <c r="P1075" s="1" t="n">
        <f aca="false">MONTH(B1075)</f>
        <v>12</v>
      </c>
      <c r="Q1075" s="1" t="str">
        <f aca="false">TEXT(B1075,"mmm")</f>
        <v>Dec</v>
      </c>
      <c r="R1075" s="1" t="str">
        <f aca="false">"Q"&amp;ROUNDUP(MONTH(B1075)/3,0)</f>
        <v>Q4</v>
      </c>
    </row>
    <row r="1076" customFormat="false" ht="15" hidden="false" customHeight="true" outlineLevel="0" collapsed="false">
      <c r="A1076" s="1" t="n">
        <v>11075</v>
      </c>
      <c r="B1076" s="14" t="n">
        <v>45636</v>
      </c>
      <c r="C1076" s="1" t="n">
        <v>1053</v>
      </c>
      <c r="D1076" s="1" t="s">
        <v>30</v>
      </c>
      <c r="E1076" s="1" t="s">
        <v>32</v>
      </c>
      <c r="F1076" s="1" t="n">
        <v>6</v>
      </c>
      <c r="G1076" s="15" t="n">
        <v>362.06</v>
      </c>
      <c r="H1076" s="16" t="n">
        <v>0.01</v>
      </c>
      <c r="I1076" s="1" t="s">
        <v>31</v>
      </c>
      <c r="J1076" s="1" t="n">
        <v>6</v>
      </c>
      <c r="K1076" s="1" t="n">
        <v>3.3</v>
      </c>
      <c r="L1076" s="15" t="n">
        <v>2150.64</v>
      </c>
      <c r="M1076" s="15" t="n">
        <f aca="false">F1076*G1076</f>
        <v>2172.36</v>
      </c>
      <c r="N1076" s="15" t="n">
        <f aca="false">M1076-L1076</f>
        <v>21.7200000000003</v>
      </c>
      <c r="O1076" s="1" t="n">
        <f aca="false">YEAR(B1076)</f>
        <v>2024</v>
      </c>
      <c r="P1076" s="1" t="n">
        <f aca="false">MONTH(B1076)</f>
        <v>12</v>
      </c>
      <c r="Q1076" s="1" t="str">
        <f aca="false">TEXT(B1076,"mmm")</f>
        <v>Dec</v>
      </c>
      <c r="R1076" s="1" t="str">
        <f aca="false">"Q"&amp;ROUNDUP(MONTH(B1076)/3,0)</f>
        <v>Q4</v>
      </c>
    </row>
    <row r="1077" customFormat="false" ht="15" hidden="false" customHeight="true" outlineLevel="0" collapsed="false">
      <c r="A1077" s="1" t="n">
        <v>11076</v>
      </c>
      <c r="B1077" s="14" t="n">
        <v>45637</v>
      </c>
      <c r="C1077" s="1" t="n">
        <v>1235</v>
      </c>
      <c r="D1077" s="1" t="s">
        <v>37</v>
      </c>
      <c r="E1077" s="1" t="s">
        <v>36</v>
      </c>
      <c r="F1077" s="1" t="n">
        <v>1</v>
      </c>
      <c r="G1077" s="15" t="n">
        <v>125.77</v>
      </c>
      <c r="H1077" s="16" t="n">
        <v>0.31</v>
      </c>
      <c r="I1077" s="1" t="s">
        <v>31</v>
      </c>
      <c r="J1077" s="1" t="n">
        <v>8</v>
      </c>
      <c r="K1077" s="1" t="n">
        <v>3.5</v>
      </c>
      <c r="L1077" s="15" t="n">
        <v>86.78</v>
      </c>
      <c r="M1077" s="15" t="n">
        <f aca="false">F1077*G1077</f>
        <v>125.77</v>
      </c>
      <c r="N1077" s="15" t="n">
        <f aca="false">M1077-L1077</f>
        <v>38.99</v>
      </c>
      <c r="O1077" s="1" t="n">
        <f aca="false">YEAR(B1077)</f>
        <v>2024</v>
      </c>
      <c r="P1077" s="1" t="n">
        <f aca="false">MONTH(B1077)</f>
        <v>12</v>
      </c>
      <c r="Q1077" s="1" t="str">
        <f aca="false">TEXT(B1077,"mmm")</f>
        <v>Dec</v>
      </c>
      <c r="R1077" s="1" t="str">
        <f aca="false">"Q"&amp;ROUNDUP(MONTH(B1077)/3,0)</f>
        <v>Q4</v>
      </c>
    </row>
    <row r="1078" customFormat="false" ht="15" hidden="false" customHeight="true" outlineLevel="0" collapsed="false">
      <c r="A1078" s="1" t="n">
        <v>11077</v>
      </c>
      <c r="B1078" s="14" t="n">
        <v>45638</v>
      </c>
      <c r="C1078" s="1" t="n">
        <v>1388</v>
      </c>
      <c r="D1078" s="1" t="s">
        <v>34</v>
      </c>
      <c r="E1078" s="1" t="s">
        <v>28</v>
      </c>
      <c r="F1078" s="1" t="n">
        <v>1</v>
      </c>
      <c r="G1078" s="15" t="n">
        <v>226.33</v>
      </c>
      <c r="H1078" s="16" t="n">
        <v>0.18</v>
      </c>
      <c r="I1078" s="1" t="s">
        <v>29</v>
      </c>
      <c r="J1078" s="1" t="n">
        <v>11</v>
      </c>
      <c r="K1078" s="1" t="n">
        <v>1.7</v>
      </c>
      <c r="L1078" s="15" t="n">
        <v>185.59</v>
      </c>
      <c r="M1078" s="15" t="n">
        <f aca="false">F1078*G1078</f>
        <v>226.33</v>
      </c>
      <c r="N1078" s="15" t="n">
        <f aca="false">M1078-L1078</f>
        <v>40.74</v>
      </c>
      <c r="O1078" s="1" t="n">
        <f aca="false">YEAR(B1078)</f>
        <v>2024</v>
      </c>
      <c r="P1078" s="1" t="n">
        <f aca="false">MONTH(B1078)</f>
        <v>12</v>
      </c>
      <c r="Q1078" s="1" t="str">
        <f aca="false">TEXT(B1078,"mmm")</f>
        <v>Dec</v>
      </c>
      <c r="R1078" s="1" t="str">
        <f aca="false">"Q"&amp;ROUNDUP(MONTH(B1078)/3,0)</f>
        <v>Q4</v>
      </c>
    </row>
    <row r="1079" customFormat="false" ht="15" hidden="false" customHeight="true" outlineLevel="0" collapsed="false">
      <c r="A1079" s="1" t="n">
        <v>11078</v>
      </c>
      <c r="B1079" s="14" t="n">
        <v>45639</v>
      </c>
      <c r="C1079" s="1" t="n">
        <v>1989</v>
      </c>
      <c r="D1079" s="1" t="s">
        <v>30</v>
      </c>
      <c r="E1079" s="1" t="s">
        <v>35</v>
      </c>
      <c r="F1079" s="1" t="n">
        <v>6</v>
      </c>
      <c r="G1079" s="15" t="n">
        <v>519.28</v>
      </c>
      <c r="H1079" s="16" t="n">
        <v>0.3</v>
      </c>
      <c r="I1079" s="1" t="s">
        <v>31</v>
      </c>
      <c r="J1079" s="1" t="n">
        <v>7</v>
      </c>
      <c r="K1079" s="1" t="n">
        <v>4</v>
      </c>
      <c r="L1079" s="15" t="n">
        <v>2180.98</v>
      </c>
      <c r="M1079" s="15" t="n">
        <f aca="false">F1079*G1079</f>
        <v>3115.68</v>
      </c>
      <c r="N1079" s="15" t="n">
        <f aca="false">M1079-L1079</f>
        <v>934.7</v>
      </c>
      <c r="O1079" s="1" t="n">
        <f aca="false">YEAR(B1079)</f>
        <v>2024</v>
      </c>
      <c r="P1079" s="1" t="n">
        <f aca="false">MONTH(B1079)</f>
        <v>12</v>
      </c>
      <c r="Q1079" s="1" t="str">
        <f aca="false">TEXT(B1079,"mmm")</f>
        <v>Dec</v>
      </c>
      <c r="R1079" s="1" t="str">
        <f aca="false">"Q"&amp;ROUNDUP(MONTH(B1079)/3,0)</f>
        <v>Q4</v>
      </c>
    </row>
    <row r="1080" customFormat="false" ht="15" hidden="false" customHeight="true" outlineLevel="0" collapsed="false">
      <c r="A1080" s="1" t="n">
        <v>11079</v>
      </c>
      <c r="B1080" s="14" t="n">
        <v>45640</v>
      </c>
      <c r="C1080" s="1" t="n">
        <v>1733</v>
      </c>
      <c r="D1080" s="1" t="s">
        <v>30</v>
      </c>
      <c r="E1080" s="1" t="s">
        <v>28</v>
      </c>
      <c r="F1080" s="1" t="n">
        <v>2</v>
      </c>
      <c r="G1080" s="15" t="n">
        <v>263.24</v>
      </c>
      <c r="H1080" s="16" t="n">
        <v>0.02</v>
      </c>
      <c r="I1080" s="1" t="s">
        <v>29</v>
      </c>
      <c r="J1080" s="1" t="n">
        <v>7</v>
      </c>
      <c r="K1080" s="1" t="n">
        <v>4.5</v>
      </c>
      <c r="L1080" s="15" t="n">
        <v>515.95</v>
      </c>
      <c r="M1080" s="15" t="n">
        <f aca="false">F1080*G1080</f>
        <v>526.48</v>
      </c>
      <c r="N1080" s="15" t="n">
        <f aca="false">M1080-L1080</f>
        <v>10.53</v>
      </c>
      <c r="O1080" s="1" t="n">
        <f aca="false">YEAR(B1080)</f>
        <v>2024</v>
      </c>
      <c r="P1080" s="1" t="n">
        <f aca="false">MONTH(B1080)</f>
        <v>12</v>
      </c>
      <c r="Q1080" s="1" t="str">
        <f aca="false">TEXT(B1080,"mmm")</f>
        <v>Dec</v>
      </c>
      <c r="R1080" s="1" t="str">
        <f aca="false">"Q"&amp;ROUNDUP(MONTH(B1080)/3,0)</f>
        <v>Q4</v>
      </c>
    </row>
    <row r="1081" customFormat="false" ht="15" hidden="false" customHeight="true" outlineLevel="0" collapsed="false">
      <c r="A1081" s="1" t="n">
        <v>11080</v>
      </c>
      <c r="B1081" s="14" t="n">
        <v>45641</v>
      </c>
      <c r="C1081" s="1" t="n">
        <v>1762</v>
      </c>
      <c r="D1081" s="1" t="s">
        <v>30</v>
      </c>
      <c r="E1081" s="1" t="s">
        <v>28</v>
      </c>
      <c r="F1081" s="1" t="n">
        <v>6</v>
      </c>
      <c r="G1081" s="15" t="n">
        <v>550.68</v>
      </c>
      <c r="H1081" s="16" t="n">
        <v>0.08</v>
      </c>
      <c r="I1081" s="1" t="s">
        <v>31</v>
      </c>
      <c r="J1081" s="1" t="n">
        <v>6</v>
      </c>
      <c r="K1081" s="1" t="n">
        <v>2.1</v>
      </c>
      <c r="L1081" s="15" t="n">
        <v>3039.75</v>
      </c>
      <c r="M1081" s="15" t="n">
        <f aca="false">F1081*G1081</f>
        <v>3304.08</v>
      </c>
      <c r="N1081" s="15" t="n">
        <f aca="false">M1081-L1081</f>
        <v>264.33</v>
      </c>
      <c r="O1081" s="1" t="n">
        <f aca="false">YEAR(B1081)</f>
        <v>2024</v>
      </c>
      <c r="P1081" s="1" t="n">
        <f aca="false">MONTH(B1081)</f>
        <v>12</v>
      </c>
      <c r="Q1081" s="1" t="str">
        <f aca="false">TEXT(B1081,"mmm")</f>
        <v>Dec</v>
      </c>
      <c r="R1081" s="1" t="str">
        <f aca="false">"Q"&amp;ROUNDUP(MONTH(B1081)/3,0)</f>
        <v>Q4</v>
      </c>
    </row>
    <row r="1082" customFormat="false" ht="15" hidden="false" customHeight="true" outlineLevel="0" collapsed="false">
      <c r="A1082" s="1" t="n">
        <v>11081</v>
      </c>
      <c r="B1082" s="14" t="n">
        <v>45642</v>
      </c>
      <c r="C1082" s="1" t="n">
        <v>1824</v>
      </c>
      <c r="D1082" s="1" t="s">
        <v>27</v>
      </c>
      <c r="E1082" s="1" t="s">
        <v>36</v>
      </c>
      <c r="F1082" s="1" t="n">
        <v>1</v>
      </c>
      <c r="G1082" s="15" t="n">
        <v>306.29</v>
      </c>
      <c r="H1082" s="16" t="n">
        <v>0.09</v>
      </c>
      <c r="I1082" s="1" t="s">
        <v>31</v>
      </c>
      <c r="J1082" s="1" t="n">
        <v>11</v>
      </c>
      <c r="K1082" s="1" t="n">
        <v>4.5</v>
      </c>
      <c r="L1082" s="15" t="n">
        <v>278.72</v>
      </c>
      <c r="M1082" s="15" t="n">
        <f aca="false">F1082*G1082</f>
        <v>306.29</v>
      </c>
      <c r="N1082" s="15" t="n">
        <f aca="false">M1082-L1082</f>
        <v>27.57</v>
      </c>
      <c r="O1082" s="1" t="n">
        <f aca="false">YEAR(B1082)</f>
        <v>2024</v>
      </c>
      <c r="P1082" s="1" t="n">
        <f aca="false">MONTH(B1082)</f>
        <v>12</v>
      </c>
      <c r="Q1082" s="1" t="str">
        <f aca="false">TEXT(B1082,"mmm")</f>
        <v>Dec</v>
      </c>
      <c r="R1082" s="1" t="str">
        <f aca="false">"Q"&amp;ROUNDUP(MONTH(B1082)/3,0)</f>
        <v>Q4</v>
      </c>
    </row>
    <row r="1083" customFormat="false" ht="15" hidden="false" customHeight="true" outlineLevel="0" collapsed="false">
      <c r="A1083" s="1" t="n">
        <v>11082</v>
      </c>
      <c r="B1083" s="14" t="n">
        <v>45643</v>
      </c>
      <c r="C1083" s="1" t="n">
        <v>1400</v>
      </c>
      <c r="D1083" s="1" t="s">
        <v>37</v>
      </c>
      <c r="E1083" s="1" t="s">
        <v>28</v>
      </c>
      <c r="F1083" s="1" t="n">
        <v>5</v>
      </c>
      <c r="G1083" s="15" t="n">
        <v>248.32</v>
      </c>
      <c r="H1083" s="16" t="n">
        <v>0.14</v>
      </c>
      <c r="I1083" s="1" t="s">
        <v>31</v>
      </c>
      <c r="J1083" s="1" t="n">
        <v>4</v>
      </c>
      <c r="K1083" s="1" t="n">
        <v>1.3</v>
      </c>
      <c r="L1083" s="15" t="n">
        <v>1067.78</v>
      </c>
      <c r="M1083" s="15" t="n">
        <f aca="false">F1083*G1083</f>
        <v>1241.6</v>
      </c>
      <c r="N1083" s="15" t="n">
        <f aca="false">M1083-L1083</f>
        <v>173.82</v>
      </c>
      <c r="O1083" s="1" t="n">
        <f aca="false">YEAR(B1083)</f>
        <v>2024</v>
      </c>
      <c r="P1083" s="1" t="n">
        <f aca="false">MONTH(B1083)</f>
        <v>12</v>
      </c>
      <c r="Q1083" s="1" t="str">
        <f aca="false">TEXT(B1083,"mmm")</f>
        <v>Dec</v>
      </c>
      <c r="R1083" s="1" t="str">
        <f aca="false">"Q"&amp;ROUNDUP(MONTH(B1083)/3,0)</f>
        <v>Q4</v>
      </c>
    </row>
    <row r="1084" customFormat="false" ht="15" hidden="false" customHeight="true" outlineLevel="0" collapsed="false">
      <c r="A1084" s="1" t="n">
        <v>11083</v>
      </c>
      <c r="B1084" s="14" t="n">
        <v>45644</v>
      </c>
      <c r="C1084" s="1" t="n">
        <v>1623</v>
      </c>
      <c r="D1084" s="1" t="s">
        <v>30</v>
      </c>
      <c r="E1084" s="1" t="s">
        <v>28</v>
      </c>
      <c r="F1084" s="1" t="n">
        <v>2</v>
      </c>
      <c r="G1084" s="15" t="n">
        <v>453.98</v>
      </c>
      <c r="H1084" s="16" t="n">
        <v>0.28</v>
      </c>
      <c r="I1084" s="1" t="s">
        <v>33</v>
      </c>
      <c r="J1084" s="1" t="n">
        <v>4</v>
      </c>
      <c r="K1084" s="1" t="n">
        <v>4.2</v>
      </c>
      <c r="L1084" s="15" t="n">
        <v>653.73</v>
      </c>
      <c r="M1084" s="15" t="n">
        <f aca="false">F1084*G1084</f>
        <v>907.96</v>
      </c>
      <c r="N1084" s="15" t="n">
        <f aca="false">M1084-L1084</f>
        <v>254.23</v>
      </c>
      <c r="O1084" s="1" t="n">
        <f aca="false">YEAR(B1084)</f>
        <v>2024</v>
      </c>
      <c r="P1084" s="1" t="n">
        <f aca="false">MONTH(B1084)</f>
        <v>12</v>
      </c>
      <c r="Q1084" s="1" t="str">
        <f aca="false">TEXT(B1084,"mmm")</f>
        <v>Dec</v>
      </c>
      <c r="R1084" s="1" t="str">
        <f aca="false">"Q"&amp;ROUNDUP(MONTH(B1084)/3,0)</f>
        <v>Q4</v>
      </c>
    </row>
    <row r="1085" customFormat="false" ht="15" hidden="false" customHeight="true" outlineLevel="0" collapsed="false">
      <c r="A1085" s="1" t="n">
        <v>11084</v>
      </c>
      <c r="B1085" s="14" t="n">
        <v>45645</v>
      </c>
      <c r="C1085" s="1" t="n">
        <v>1766</v>
      </c>
      <c r="D1085" s="1" t="s">
        <v>37</v>
      </c>
      <c r="E1085" s="1" t="s">
        <v>28</v>
      </c>
      <c r="F1085" s="1" t="n">
        <v>4</v>
      </c>
      <c r="G1085" s="15" t="n">
        <v>57.81</v>
      </c>
      <c r="H1085" s="16" t="n">
        <v>0.14</v>
      </c>
      <c r="I1085" s="1" t="s">
        <v>33</v>
      </c>
      <c r="J1085" s="1" t="n">
        <v>9</v>
      </c>
      <c r="K1085" s="1" t="n">
        <v>3.6</v>
      </c>
      <c r="L1085" s="15" t="n">
        <v>198.87</v>
      </c>
      <c r="M1085" s="15" t="n">
        <f aca="false">F1085*G1085</f>
        <v>231.24</v>
      </c>
      <c r="N1085" s="15" t="n">
        <f aca="false">M1085-L1085</f>
        <v>32.37</v>
      </c>
      <c r="O1085" s="1" t="n">
        <f aca="false">YEAR(B1085)</f>
        <v>2024</v>
      </c>
      <c r="P1085" s="1" t="n">
        <f aca="false">MONTH(B1085)</f>
        <v>12</v>
      </c>
      <c r="Q1085" s="1" t="str">
        <f aca="false">TEXT(B1085,"mmm")</f>
        <v>Dec</v>
      </c>
      <c r="R1085" s="1" t="str">
        <f aca="false">"Q"&amp;ROUNDUP(MONTH(B1085)/3,0)</f>
        <v>Q4</v>
      </c>
    </row>
    <row r="1086" customFormat="false" ht="15" hidden="false" customHeight="true" outlineLevel="0" collapsed="false">
      <c r="A1086" s="1" t="n">
        <v>11085</v>
      </c>
      <c r="B1086" s="14" t="n">
        <v>45646</v>
      </c>
      <c r="C1086" s="1" t="n">
        <v>1302</v>
      </c>
      <c r="D1086" s="1" t="s">
        <v>34</v>
      </c>
      <c r="E1086" s="1" t="s">
        <v>35</v>
      </c>
      <c r="F1086" s="1" t="n">
        <v>6</v>
      </c>
      <c r="G1086" s="15" t="n">
        <v>67.34</v>
      </c>
      <c r="H1086" s="16" t="n">
        <v>0.07</v>
      </c>
      <c r="I1086" s="1" t="s">
        <v>33</v>
      </c>
      <c r="J1086" s="1" t="n">
        <v>11</v>
      </c>
      <c r="K1086" s="1" t="n">
        <v>3.3</v>
      </c>
      <c r="L1086" s="15" t="n">
        <v>375.76</v>
      </c>
      <c r="M1086" s="15" t="n">
        <f aca="false">F1086*G1086</f>
        <v>404.04</v>
      </c>
      <c r="N1086" s="15" t="n">
        <f aca="false">M1086-L1086</f>
        <v>28.28</v>
      </c>
      <c r="O1086" s="1" t="n">
        <f aca="false">YEAR(B1086)</f>
        <v>2024</v>
      </c>
      <c r="P1086" s="1" t="n">
        <f aca="false">MONTH(B1086)</f>
        <v>12</v>
      </c>
      <c r="Q1086" s="1" t="str">
        <f aca="false">TEXT(B1086,"mmm")</f>
        <v>Dec</v>
      </c>
      <c r="R1086" s="1" t="str">
        <f aca="false">"Q"&amp;ROUNDUP(MONTH(B1086)/3,0)</f>
        <v>Q4</v>
      </c>
    </row>
    <row r="1087" customFormat="false" ht="15" hidden="false" customHeight="true" outlineLevel="0" collapsed="false">
      <c r="A1087" s="1" t="n">
        <v>11086</v>
      </c>
      <c r="B1087" s="14" t="n">
        <v>45647</v>
      </c>
      <c r="C1087" s="1" t="n">
        <v>1918</v>
      </c>
      <c r="D1087" s="1" t="s">
        <v>34</v>
      </c>
      <c r="E1087" s="1" t="s">
        <v>28</v>
      </c>
      <c r="F1087" s="1" t="n">
        <v>4</v>
      </c>
      <c r="G1087" s="15" t="n">
        <v>396.4</v>
      </c>
      <c r="H1087" s="16" t="n">
        <v>0.02</v>
      </c>
      <c r="I1087" s="1" t="s">
        <v>31</v>
      </c>
      <c r="J1087" s="1" t="n">
        <v>5</v>
      </c>
      <c r="K1087" s="1" t="n">
        <v>1.9</v>
      </c>
      <c r="L1087" s="15" t="n">
        <v>1553.89</v>
      </c>
      <c r="M1087" s="15" t="n">
        <f aca="false">F1087*G1087</f>
        <v>1585.6</v>
      </c>
      <c r="N1087" s="15" t="n">
        <f aca="false">M1087-L1087</f>
        <v>31.7099999999998</v>
      </c>
      <c r="O1087" s="1" t="n">
        <f aca="false">YEAR(B1087)</f>
        <v>2024</v>
      </c>
      <c r="P1087" s="1" t="n">
        <f aca="false">MONTH(B1087)</f>
        <v>12</v>
      </c>
      <c r="Q1087" s="1" t="str">
        <f aca="false">TEXT(B1087,"mmm")</f>
        <v>Dec</v>
      </c>
      <c r="R1087" s="1" t="str">
        <f aca="false">"Q"&amp;ROUNDUP(MONTH(B1087)/3,0)</f>
        <v>Q4</v>
      </c>
    </row>
    <row r="1088" customFormat="false" ht="15" hidden="false" customHeight="true" outlineLevel="0" collapsed="false">
      <c r="A1088" s="1" t="n">
        <v>11087</v>
      </c>
      <c r="B1088" s="14" t="n">
        <v>45648</v>
      </c>
      <c r="C1088" s="1" t="n">
        <v>1206</v>
      </c>
      <c r="D1088" s="1" t="s">
        <v>34</v>
      </c>
      <c r="E1088" s="1" t="s">
        <v>32</v>
      </c>
      <c r="F1088" s="1" t="n">
        <v>2</v>
      </c>
      <c r="G1088" s="15" t="n">
        <v>299.86</v>
      </c>
      <c r="H1088" s="16" t="n">
        <v>0.03</v>
      </c>
      <c r="I1088" s="1" t="s">
        <v>29</v>
      </c>
      <c r="J1088" s="1" t="n">
        <v>9</v>
      </c>
      <c r="K1088" s="1" t="n">
        <v>2.4</v>
      </c>
      <c r="L1088" s="15" t="n">
        <v>581.73</v>
      </c>
      <c r="M1088" s="15" t="n">
        <f aca="false">F1088*G1088</f>
        <v>599.72</v>
      </c>
      <c r="N1088" s="15" t="n">
        <f aca="false">M1088-L1088</f>
        <v>17.99</v>
      </c>
      <c r="O1088" s="1" t="n">
        <f aca="false">YEAR(B1088)</f>
        <v>2024</v>
      </c>
      <c r="P1088" s="1" t="n">
        <f aca="false">MONTH(B1088)</f>
        <v>12</v>
      </c>
      <c r="Q1088" s="1" t="str">
        <f aca="false">TEXT(B1088,"mmm")</f>
        <v>Dec</v>
      </c>
      <c r="R1088" s="1" t="str">
        <f aca="false">"Q"&amp;ROUNDUP(MONTH(B1088)/3,0)</f>
        <v>Q4</v>
      </c>
    </row>
    <row r="1089" customFormat="false" ht="15" hidden="false" customHeight="true" outlineLevel="0" collapsed="false">
      <c r="A1089" s="1" t="n">
        <v>11088</v>
      </c>
      <c r="B1089" s="14" t="n">
        <v>45649</v>
      </c>
      <c r="C1089" s="1" t="n">
        <v>1228</v>
      </c>
      <c r="D1089" s="1" t="s">
        <v>34</v>
      </c>
      <c r="E1089" s="1" t="s">
        <v>28</v>
      </c>
      <c r="F1089" s="1" t="n">
        <v>2</v>
      </c>
      <c r="G1089" s="15" t="n">
        <v>477.39</v>
      </c>
      <c r="H1089" s="16" t="n">
        <v>0.27</v>
      </c>
      <c r="I1089" s="1" t="s">
        <v>29</v>
      </c>
      <c r="J1089" s="1" t="n">
        <v>11</v>
      </c>
      <c r="K1089" s="1" t="n">
        <v>4.6</v>
      </c>
      <c r="L1089" s="15" t="n">
        <v>696.99</v>
      </c>
      <c r="M1089" s="15" t="n">
        <f aca="false">F1089*G1089</f>
        <v>954.78</v>
      </c>
      <c r="N1089" s="15" t="n">
        <f aca="false">M1089-L1089</f>
        <v>257.79</v>
      </c>
      <c r="O1089" s="1" t="n">
        <f aca="false">YEAR(B1089)</f>
        <v>2024</v>
      </c>
      <c r="P1089" s="1" t="n">
        <f aca="false">MONTH(B1089)</f>
        <v>12</v>
      </c>
      <c r="Q1089" s="1" t="str">
        <f aca="false">TEXT(B1089,"mmm")</f>
        <v>Dec</v>
      </c>
      <c r="R1089" s="1" t="str">
        <f aca="false">"Q"&amp;ROUNDUP(MONTH(B1089)/3,0)</f>
        <v>Q4</v>
      </c>
    </row>
    <row r="1090" customFormat="false" ht="15" hidden="false" customHeight="true" outlineLevel="0" collapsed="false">
      <c r="A1090" s="1" t="n">
        <v>11089</v>
      </c>
      <c r="B1090" s="14" t="n">
        <v>45650</v>
      </c>
      <c r="C1090" s="1" t="n">
        <v>1852</v>
      </c>
      <c r="D1090" s="1" t="s">
        <v>30</v>
      </c>
      <c r="E1090" s="1" t="s">
        <v>36</v>
      </c>
      <c r="F1090" s="1" t="n">
        <v>2</v>
      </c>
      <c r="G1090" s="15" t="n">
        <v>551.02</v>
      </c>
      <c r="H1090" s="16" t="n">
        <v>0.16</v>
      </c>
      <c r="I1090" s="1" t="s">
        <v>31</v>
      </c>
      <c r="J1090" s="1" t="n">
        <v>9</v>
      </c>
      <c r="K1090" s="1" t="n">
        <v>2.9</v>
      </c>
      <c r="L1090" s="15" t="n">
        <v>925.71</v>
      </c>
      <c r="M1090" s="15" t="n">
        <f aca="false">F1090*G1090</f>
        <v>1102.04</v>
      </c>
      <c r="N1090" s="15" t="n">
        <f aca="false">M1090-L1090</f>
        <v>176.33</v>
      </c>
      <c r="O1090" s="1" t="n">
        <f aca="false">YEAR(B1090)</f>
        <v>2024</v>
      </c>
      <c r="P1090" s="1" t="n">
        <f aca="false">MONTH(B1090)</f>
        <v>12</v>
      </c>
      <c r="Q1090" s="1" t="str">
        <f aca="false">TEXT(B1090,"mmm")</f>
        <v>Dec</v>
      </c>
      <c r="R1090" s="1" t="str">
        <f aca="false">"Q"&amp;ROUNDUP(MONTH(B1090)/3,0)</f>
        <v>Q4</v>
      </c>
    </row>
    <row r="1091" customFormat="false" ht="15" hidden="false" customHeight="true" outlineLevel="0" collapsed="false">
      <c r="A1091" s="1" t="n">
        <v>11090</v>
      </c>
      <c r="B1091" s="14" t="n">
        <v>45651</v>
      </c>
      <c r="C1091" s="1" t="n">
        <v>1909</v>
      </c>
      <c r="D1091" s="1" t="s">
        <v>30</v>
      </c>
      <c r="E1091" s="1" t="s">
        <v>28</v>
      </c>
      <c r="F1091" s="1" t="n">
        <v>3</v>
      </c>
      <c r="G1091" s="15" t="n">
        <v>242.19</v>
      </c>
      <c r="H1091" s="16" t="n">
        <v>0.25</v>
      </c>
      <c r="I1091" s="1" t="s">
        <v>33</v>
      </c>
      <c r="J1091" s="1" t="n">
        <v>4</v>
      </c>
      <c r="K1091" s="1" t="n">
        <v>3.4</v>
      </c>
      <c r="L1091" s="15" t="n">
        <v>544.93</v>
      </c>
      <c r="M1091" s="15" t="n">
        <f aca="false">F1091*G1091</f>
        <v>726.57</v>
      </c>
      <c r="N1091" s="15" t="n">
        <f aca="false">M1091-L1091</f>
        <v>181.64</v>
      </c>
      <c r="O1091" s="1" t="n">
        <f aca="false">YEAR(B1091)</f>
        <v>2024</v>
      </c>
      <c r="P1091" s="1" t="n">
        <f aca="false">MONTH(B1091)</f>
        <v>12</v>
      </c>
      <c r="Q1091" s="1" t="str">
        <f aca="false">TEXT(B1091,"mmm")</f>
        <v>Dec</v>
      </c>
      <c r="R1091" s="1" t="str">
        <f aca="false">"Q"&amp;ROUNDUP(MONTH(B1091)/3,0)</f>
        <v>Q4</v>
      </c>
    </row>
    <row r="1092" customFormat="false" ht="15" hidden="false" customHeight="true" outlineLevel="0" collapsed="false">
      <c r="A1092" s="1" t="n">
        <v>11091</v>
      </c>
      <c r="B1092" s="14" t="n">
        <v>45652</v>
      </c>
      <c r="C1092" s="1" t="n">
        <v>1577</v>
      </c>
      <c r="D1092" s="1" t="s">
        <v>27</v>
      </c>
      <c r="E1092" s="1" t="s">
        <v>28</v>
      </c>
      <c r="F1092" s="1" t="n">
        <v>6</v>
      </c>
      <c r="G1092" s="15" t="n">
        <v>363.9</v>
      </c>
      <c r="H1092" s="16" t="n">
        <v>0.24</v>
      </c>
      <c r="I1092" s="1" t="s">
        <v>33</v>
      </c>
      <c r="J1092" s="1" t="n">
        <v>2</v>
      </c>
      <c r="K1092" s="1" t="n">
        <v>4.7</v>
      </c>
      <c r="L1092" s="15" t="n">
        <v>1659.38</v>
      </c>
      <c r="M1092" s="15" t="n">
        <f aca="false">F1092*G1092</f>
        <v>2183.4</v>
      </c>
      <c r="N1092" s="15" t="n">
        <f aca="false">M1092-L1092</f>
        <v>524.02</v>
      </c>
      <c r="O1092" s="1" t="n">
        <f aca="false">YEAR(B1092)</f>
        <v>2024</v>
      </c>
      <c r="P1092" s="1" t="n">
        <f aca="false">MONTH(B1092)</f>
        <v>12</v>
      </c>
      <c r="Q1092" s="1" t="str">
        <f aca="false">TEXT(B1092,"mmm")</f>
        <v>Dec</v>
      </c>
      <c r="R1092" s="1" t="str">
        <f aca="false">"Q"&amp;ROUNDUP(MONTH(B1092)/3,0)</f>
        <v>Q4</v>
      </c>
    </row>
    <row r="1093" customFormat="false" ht="15" hidden="false" customHeight="true" outlineLevel="0" collapsed="false">
      <c r="A1093" s="1" t="n">
        <v>11092</v>
      </c>
      <c r="B1093" s="14" t="n">
        <v>45653</v>
      </c>
      <c r="C1093" s="1" t="n">
        <v>1074</v>
      </c>
      <c r="D1093" s="1" t="s">
        <v>30</v>
      </c>
      <c r="E1093" s="1" t="s">
        <v>35</v>
      </c>
      <c r="F1093" s="1" t="n">
        <v>7</v>
      </c>
      <c r="G1093" s="15" t="n">
        <v>307.91</v>
      </c>
      <c r="H1093" s="16" t="n">
        <v>0.05</v>
      </c>
      <c r="I1093" s="1" t="s">
        <v>31</v>
      </c>
      <c r="J1093" s="1" t="n">
        <v>2</v>
      </c>
      <c r="K1093" s="1" t="n">
        <v>2.9</v>
      </c>
      <c r="L1093" s="15" t="n">
        <v>2047.6</v>
      </c>
      <c r="M1093" s="15" t="n">
        <f aca="false">F1093*G1093</f>
        <v>2155.37</v>
      </c>
      <c r="N1093" s="15" t="n">
        <f aca="false">M1093-L1093</f>
        <v>107.77</v>
      </c>
      <c r="O1093" s="1" t="n">
        <f aca="false">YEAR(B1093)</f>
        <v>2024</v>
      </c>
      <c r="P1093" s="1" t="n">
        <f aca="false">MONTH(B1093)</f>
        <v>12</v>
      </c>
      <c r="Q1093" s="1" t="str">
        <f aca="false">TEXT(B1093,"mmm")</f>
        <v>Dec</v>
      </c>
      <c r="R1093" s="1" t="str">
        <f aca="false">"Q"&amp;ROUNDUP(MONTH(B1093)/3,0)</f>
        <v>Q4</v>
      </c>
    </row>
    <row r="1094" customFormat="false" ht="15" hidden="false" customHeight="true" outlineLevel="0" collapsed="false">
      <c r="A1094" s="1" t="n">
        <v>11093</v>
      </c>
      <c r="B1094" s="14" t="n">
        <v>45654</v>
      </c>
      <c r="C1094" s="1" t="n">
        <v>1434</v>
      </c>
      <c r="D1094" s="1" t="s">
        <v>30</v>
      </c>
      <c r="E1094" s="1" t="s">
        <v>32</v>
      </c>
      <c r="F1094" s="1" t="n">
        <v>5</v>
      </c>
      <c r="G1094" s="15" t="n">
        <v>589.24</v>
      </c>
      <c r="H1094" s="16" t="n">
        <v>0.05</v>
      </c>
      <c r="I1094" s="1" t="s">
        <v>31</v>
      </c>
      <c r="J1094" s="1" t="n">
        <v>9</v>
      </c>
      <c r="K1094" s="1" t="n">
        <v>2.6</v>
      </c>
      <c r="L1094" s="15" t="n">
        <v>2798.89</v>
      </c>
      <c r="M1094" s="15" t="n">
        <f aca="false">F1094*G1094</f>
        <v>2946.2</v>
      </c>
      <c r="N1094" s="15" t="n">
        <f aca="false">M1094-L1094</f>
        <v>147.31</v>
      </c>
      <c r="O1094" s="1" t="n">
        <f aca="false">YEAR(B1094)</f>
        <v>2024</v>
      </c>
      <c r="P1094" s="1" t="n">
        <f aca="false">MONTH(B1094)</f>
        <v>12</v>
      </c>
      <c r="Q1094" s="1" t="str">
        <f aca="false">TEXT(B1094,"mmm")</f>
        <v>Dec</v>
      </c>
      <c r="R1094" s="1" t="str">
        <f aca="false">"Q"&amp;ROUNDUP(MONTH(B1094)/3,0)</f>
        <v>Q4</v>
      </c>
    </row>
    <row r="1095" customFormat="false" ht="15" hidden="false" customHeight="true" outlineLevel="0" collapsed="false">
      <c r="A1095" s="1" t="n">
        <v>11094</v>
      </c>
      <c r="B1095" s="14" t="n">
        <v>45655</v>
      </c>
      <c r="C1095" s="1" t="n">
        <v>1102</v>
      </c>
      <c r="D1095" s="1" t="s">
        <v>34</v>
      </c>
      <c r="E1095" s="1" t="s">
        <v>28</v>
      </c>
      <c r="F1095" s="1" t="n">
        <v>5</v>
      </c>
      <c r="G1095" s="15" t="n">
        <v>501.18</v>
      </c>
      <c r="H1095" s="16" t="n">
        <v>0.26</v>
      </c>
      <c r="I1095" s="1" t="s">
        <v>33</v>
      </c>
      <c r="J1095" s="1" t="n">
        <v>9</v>
      </c>
      <c r="K1095" s="1" t="n">
        <v>4.6</v>
      </c>
      <c r="L1095" s="15" t="n">
        <v>1854.37</v>
      </c>
      <c r="M1095" s="15" t="n">
        <f aca="false">F1095*G1095</f>
        <v>2505.9</v>
      </c>
      <c r="N1095" s="15" t="n">
        <f aca="false">M1095-L1095</f>
        <v>651.53</v>
      </c>
      <c r="O1095" s="1" t="n">
        <f aca="false">YEAR(B1095)</f>
        <v>2024</v>
      </c>
      <c r="P1095" s="1" t="n">
        <f aca="false">MONTH(B1095)</f>
        <v>12</v>
      </c>
      <c r="Q1095" s="1" t="str">
        <f aca="false">TEXT(B1095,"mmm")</f>
        <v>Dec</v>
      </c>
      <c r="R1095" s="1" t="str">
        <f aca="false">"Q"&amp;ROUNDUP(MONTH(B1095)/3,0)</f>
        <v>Q4</v>
      </c>
    </row>
    <row r="1096" customFormat="false" ht="15" hidden="false" customHeight="true" outlineLevel="0" collapsed="false">
      <c r="A1096" s="1" t="n">
        <v>11095</v>
      </c>
      <c r="B1096" s="14" t="n">
        <v>45656</v>
      </c>
      <c r="C1096" s="1" t="n">
        <v>1421</v>
      </c>
      <c r="D1096" s="1" t="s">
        <v>34</v>
      </c>
      <c r="E1096" s="1" t="s">
        <v>32</v>
      </c>
      <c r="F1096" s="1" t="n">
        <v>4</v>
      </c>
      <c r="G1096" s="15" t="n">
        <v>548.37</v>
      </c>
      <c r="H1096" s="16" t="n">
        <v>0.25</v>
      </c>
      <c r="I1096" s="1" t="s">
        <v>29</v>
      </c>
      <c r="J1096" s="1" t="n">
        <v>3</v>
      </c>
      <c r="K1096" s="1" t="n">
        <v>4.6</v>
      </c>
      <c r="L1096" s="15" t="n">
        <v>1645.11</v>
      </c>
      <c r="M1096" s="15" t="n">
        <f aca="false">F1096*G1096</f>
        <v>2193.48</v>
      </c>
      <c r="N1096" s="15" t="n">
        <f aca="false">M1096-L1096</f>
        <v>548.37</v>
      </c>
      <c r="O1096" s="1" t="n">
        <f aca="false">YEAR(B1096)</f>
        <v>2024</v>
      </c>
      <c r="P1096" s="1" t="n">
        <f aca="false">MONTH(B1096)</f>
        <v>12</v>
      </c>
      <c r="Q1096" s="1" t="str">
        <f aca="false">TEXT(B1096,"mmm")</f>
        <v>Dec</v>
      </c>
      <c r="R1096" s="1" t="str">
        <f aca="false">"Q"&amp;ROUNDUP(MONTH(B1096)/3,0)</f>
        <v>Q4</v>
      </c>
    </row>
    <row r="1097" customFormat="false" ht="15" hidden="false" customHeight="true" outlineLevel="0" collapsed="false">
      <c r="A1097" s="1" t="n">
        <v>11096</v>
      </c>
      <c r="B1097" s="14" t="n">
        <v>45657</v>
      </c>
      <c r="C1097" s="1" t="n">
        <v>1703</v>
      </c>
      <c r="D1097" s="1" t="s">
        <v>30</v>
      </c>
      <c r="E1097" s="1" t="s">
        <v>36</v>
      </c>
      <c r="F1097" s="1" t="n">
        <v>4</v>
      </c>
      <c r="G1097" s="15" t="n">
        <v>163.79</v>
      </c>
      <c r="H1097" s="16" t="n">
        <v>0.13</v>
      </c>
      <c r="I1097" s="1" t="s">
        <v>31</v>
      </c>
      <c r="J1097" s="1" t="n">
        <v>5</v>
      </c>
      <c r="K1097" s="1" t="n">
        <v>2.4</v>
      </c>
      <c r="L1097" s="15" t="n">
        <v>569.99</v>
      </c>
      <c r="M1097" s="15" t="n">
        <f aca="false">F1097*G1097</f>
        <v>655.16</v>
      </c>
      <c r="N1097" s="15" t="n">
        <f aca="false">M1097-L1097</f>
        <v>85.17</v>
      </c>
      <c r="O1097" s="1" t="n">
        <f aca="false">YEAR(B1097)</f>
        <v>2024</v>
      </c>
      <c r="P1097" s="1" t="n">
        <f aca="false">MONTH(B1097)</f>
        <v>12</v>
      </c>
      <c r="Q1097" s="1" t="str">
        <f aca="false">TEXT(B1097,"mmm")</f>
        <v>Dec</v>
      </c>
      <c r="R1097" s="1" t="str">
        <f aca="false">"Q"&amp;ROUNDUP(MONTH(B1097)/3,0)</f>
        <v>Q4</v>
      </c>
    </row>
    <row r="1098" customFormat="false" ht="15" hidden="false" customHeight="true" outlineLevel="0" collapsed="false">
      <c r="A1098" s="1" t="n">
        <v>11097</v>
      </c>
      <c r="B1098" s="14" t="n">
        <v>45658</v>
      </c>
      <c r="C1098" s="1" t="n">
        <v>1763</v>
      </c>
      <c r="D1098" s="1" t="s">
        <v>30</v>
      </c>
      <c r="E1098" s="1" t="s">
        <v>35</v>
      </c>
      <c r="F1098" s="1" t="n">
        <v>7</v>
      </c>
      <c r="G1098" s="15" t="n">
        <v>466.93</v>
      </c>
      <c r="H1098" s="16" t="n">
        <v>0.03</v>
      </c>
      <c r="I1098" s="1" t="s">
        <v>33</v>
      </c>
      <c r="J1098" s="1" t="n">
        <v>5</v>
      </c>
      <c r="K1098" s="1" t="n">
        <v>3.4</v>
      </c>
      <c r="L1098" s="15" t="n">
        <v>3170.45</v>
      </c>
      <c r="M1098" s="15" t="n">
        <f aca="false">F1098*G1098</f>
        <v>3268.51</v>
      </c>
      <c r="N1098" s="15" t="n">
        <f aca="false">M1098-L1098</f>
        <v>98.0600000000004</v>
      </c>
      <c r="O1098" s="1" t="n">
        <f aca="false">YEAR(B1098)</f>
        <v>2025</v>
      </c>
      <c r="P1098" s="1" t="n">
        <f aca="false">MONTH(B1098)</f>
        <v>1</v>
      </c>
      <c r="Q1098" s="1" t="str">
        <f aca="false">TEXT(B1098,"mmm")</f>
        <v>Jan</v>
      </c>
      <c r="R1098" s="1" t="str">
        <f aca="false">"Q"&amp;ROUNDUP(MONTH(B1098)/3,0)</f>
        <v>Q1</v>
      </c>
    </row>
    <row r="1099" customFormat="false" ht="15" hidden="false" customHeight="true" outlineLevel="0" collapsed="false">
      <c r="A1099" s="1" t="n">
        <v>11098</v>
      </c>
      <c r="B1099" s="14" t="n">
        <v>45659</v>
      </c>
      <c r="C1099" s="1" t="n">
        <v>1737</v>
      </c>
      <c r="D1099" s="1" t="s">
        <v>37</v>
      </c>
      <c r="E1099" s="1" t="s">
        <v>32</v>
      </c>
      <c r="F1099" s="1" t="n">
        <v>4</v>
      </c>
      <c r="G1099" s="15" t="n">
        <v>170.3</v>
      </c>
      <c r="H1099" s="16" t="n">
        <v>0</v>
      </c>
      <c r="I1099" s="1" t="s">
        <v>29</v>
      </c>
      <c r="J1099" s="1" t="n">
        <v>2</v>
      </c>
      <c r="K1099" s="1" t="n">
        <v>4.9</v>
      </c>
      <c r="L1099" s="15" t="n">
        <v>681.2</v>
      </c>
      <c r="M1099" s="15" t="n">
        <f aca="false">F1099*G1099</f>
        <v>681.2</v>
      </c>
      <c r="N1099" s="15" t="n">
        <f aca="false">M1099-L1099</f>
        <v>0</v>
      </c>
      <c r="O1099" s="1" t="n">
        <f aca="false">YEAR(B1099)</f>
        <v>2025</v>
      </c>
      <c r="P1099" s="1" t="n">
        <f aca="false">MONTH(B1099)</f>
        <v>1</v>
      </c>
      <c r="Q1099" s="1" t="str">
        <f aca="false">TEXT(B1099,"mmm")</f>
        <v>Jan</v>
      </c>
      <c r="R1099" s="1" t="str">
        <f aca="false">"Q"&amp;ROUNDUP(MONTH(B1099)/3,0)</f>
        <v>Q1</v>
      </c>
    </row>
    <row r="1100" customFormat="false" ht="15" hidden="false" customHeight="true" outlineLevel="0" collapsed="false">
      <c r="A1100" s="1" t="n">
        <v>11099</v>
      </c>
      <c r="B1100" s="14" t="n">
        <v>45660</v>
      </c>
      <c r="C1100" s="1" t="n">
        <v>1805</v>
      </c>
      <c r="D1100" s="1" t="s">
        <v>34</v>
      </c>
      <c r="E1100" s="1" t="s">
        <v>35</v>
      </c>
      <c r="F1100" s="1" t="n">
        <v>6</v>
      </c>
      <c r="G1100" s="15" t="n">
        <v>137.11</v>
      </c>
      <c r="H1100" s="16" t="n">
        <v>0.1</v>
      </c>
      <c r="I1100" s="1" t="s">
        <v>31</v>
      </c>
      <c r="J1100" s="1" t="n">
        <v>2</v>
      </c>
      <c r="K1100" s="1" t="n">
        <v>1.2</v>
      </c>
      <c r="L1100" s="15" t="n">
        <v>740.39</v>
      </c>
      <c r="M1100" s="15" t="n">
        <f aca="false">F1100*G1100</f>
        <v>822.66</v>
      </c>
      <c r="N1100" s="15" t="n">
        <f aca="false">M1100-L1100</f>
        <v>82.2700000000001</v>
      </c>
      <c r="O1100" s="1" t="n">
        <f aca="false">YEAR(B1100)</f>
        <v>2025</v>
      </c>
      <c r="P1100" s="1" t="n">
        <f aca="false">MONTH(B1100)</f>
        <v>1</v>
      </c>
      <c r="Q1100" s="1" t="str">
        <f aca="false">TEXT(B1100,"mmm")</f>
        <v>Jan</v>
      </c>
      <c r="R1100" s="1" t="str">
        <f aca="false">"Q"&amp;ROUNDUP(MONTH(B1100)/3,0)</f>
        <v>Q1</v>
      </c>
    </row>
    <row r="1101" customFormat="false" ht="15" hidden="false" customHeight="true" outlineLevel="0" collapsed="false">
      <c r="A1101" s="1" t="n">
        <v>11100</v>
      </c>
      <c r="B1101" s="14" t="n">
        <v>45661</v>
      </c>
      <c r="C1101" s="1" t="n">
        <v>1305</v>
      </c>
      <c r="D1101" s="1" t="s">
        <v>34</v>
      </c>
      <c r="E1101" s="1" t="s">
        <v>28</v>
      </c>
      <c r="F1101" s="1" t="n">
        <v>1</v>
      </c>
      <c r="G1101" s="15" t="n">
        <v>567.4</v>
      </c>
      <c r="H1101" s="16" t="n">
        <v>0</v>
      </c>
      <c r="I1101" s="1" t="s">
        <v>31</v>
      </c>
      <c r="J1101" s="1" t="n">
        <v>10</v>
      </c>
      <c r="K1101" s="1" t="n">
        <v>1.2</v>
      </c>
      <c r="L1101" s="15" t="n">
        <v>567.4</v>
      </c>
      <c r="M1101" s="15" t="n">
        <f aca="false">F1101*G1101</f>
        <v>567.4</v>
      </c>
      <c r="N1101" s="15" t="n">
        <f aca="false">M1101-L1101</f>
        <v>0</v>
      </c>
      <c r="O1101" s="1" t="n">
        <f aca="false">YEAR(B1101)</f>
        <v>2025</v>
      </c>
      <c r="P1101" s="1" t="n">
        <f aca="false">MONTH(B1101)</f>
        <v>1</v>
      </c>
      <c r="Q1101" s="1" t="str">
        <f aca="false">TEXT(B1101,"mmm")</f>
        <v>Jan</v>
      </c>
      <c r="R1101" s="1" t="str">
        <f aca="false">"Q"&amp;ROUNDUP(MONTH(B1101)/3,0)</f>
        <v>Q1</v>
      </c>
    </row>
    <row r="1102" customFormat="false" ht="15" hidden="false" customHeight="true" outlineLevel="0" collapsed="false">
      <c r="A1102" s="1" t="n">
        <v>11101</v>
      </c>
      <c r="B1102" s="14" t="n">
        <v>45662</v>
      </c>
      <c r="C1102" s="1" t="n">
        <v>1097</v>
      </c>
      <c r="D1102" s="1" t="s">
        <v>30</v>
      </c>
      <c r="E1102" s="1" t="s">
        <v>36</v>
      </c>
      <c r="F1102" s="1" t="n">
        <v>4</v>
      </c>
      <c r="G1102" s="15" t="n">
        <v>26.29</v>
      </c>
      <c r="H1102" s="16" t="n">
        <v>0.08</v>
      </c>
      <c r="I1102" s="1" t="s">
        <v>33</v>
      </c>
      <c r="J1102" s="1" t="n">
        <v>1</v>
      </c>
      <c r="K1102" s="1" t="n">
        <v>3.1</v>
      </c>
      <c r="L1102" s="15" t="n">
        <v>96.75</v>
      </c>
      <c r="M1102" s="15" t="n">
        <f aca="false">F1102*G1102</f>
        <v>105.16</v>
      </c>
      <c r="N1102" s="15" t="n">
        <f aca="false">M1102-L1102</f>
        <v>8.41</v>
      </c>
      <c r="O1102" s="1" t="n">
        <f aca="false">YEAR(B1102)</f>
        <v>2025</v>
      </c>
      <c r="P1102" s="1" t="n">
        <f aca="false">MONTH(B1102)</f>
        <v>1</v>
      </c>
      <c r="Q1102" s="1" t="str">
        <f aca="false">TEXT(B1102,"mmm")</f>
        <v>Jan</v>
      </c>
      <c r="R1102" s="1" t="str">
        <f aca="false">"Q"&amp;ROUNDUP(MONTH(B1102)/3,0)</f>
        <v>Q1</v>
      </c>
    </row>
    <row r="1103" customFormat="false" ht="15" hidden="false" customHeight="true" outlineLevel="0" collapsed="false">
      <c r="A1103" s="1" t="n">
        <v>11102</v>
      </c>
      <c r="B1103" s="14" t="n">
        <v>45663</v>
      </c>
      <c r="C1103" s="1" t="n">
        <v>1849</v>
      </c>
      <c r="D1103" s="1" t="s">
        <v>34</v>
      </c>
      <c r="E1103" s="1" t="s">
        <v>35</v>
      </c>
      <c r="F1103" s="1" t="n">
        <v>2</v>
      </c>
      <c r="G1103" s="15" t="n">
        <v>579.75</v>
      </c>
      <c r="H1103" s="16" t="n">
        <v>0.15</v>
      </c>
      <c r="I1103" s="1" t="s">
        <v>31</v>
      </c>
      <c r="J1103" s="1" t="n">
        <v>2</v>
      </c>
      <c r="K1103" s="1" t="n">
        <v>2.2</v>
      </c>
      <c r="L1103" s="15" t="n">
        <v>985.58</v>
      </c>
      <c r="M1103" s="15" t="n">
        <f aca="false">F1103*G1103</f>
        <v>1159.5</v>
      </c>
      <c r="N1103" s="15" t="n">
        <f aca="false">M1103-L1103</f>
        <v>173.92</v>
      </c>
      <c r="O1103" s="1" t="n">
        <f aca="false">YEAR(B1103)</f>
        <v>2025</v>
      </c>
      <c r="P1103" s="1" t="n">
        <f aca="false">MONTH(B1103)</f>
        <v>1</v>
      </c>
      <c r="Q1103" s="1" t="str">
        <f aca="false">TEXT(B1103,"mmm")</f>
        <v>Jan</v>
      </c>
      <c r="R1103" s="1" t="str">
        <f aca="false">"Q"&amp;ROUNDUP(MONTH(B1103)/3,0)</f>
        <v>Q1</v>
      </c>
    </row>
    <row r="1104" customFormat="false" ht="15" hidden="false" customHeight="true" outlineLevel="0" collapsed="false">
      <c r="A1104" s="1" t="n">
        <v>11103</v>
      </c>
      <c r="B1104" s="14" t="n">
        <v>45664</v>
      </c>
      <c r="C1104" s="1" t="n">
        <v>1797</v>
      </c>
      <c r="D1104" s="1" t="s">
        <v>34</v>
      </c>
      <c r="E1104" s="1" t="s">
        <v>28</v>
      </c>
      <c r="F1104" s="1" t="n">
        <v>4</v>
      </c>
      <c r="G1104" s="15" t="n">
        <v>102.32</v>
      </c>
      <c r="H1104" s="16" t="n">
        <v>0.04</v>
      </c>
      <c r="I1104" s="1" t="s">
        <v>31</v>
      </c>
      <c r="J1104" s="1" t="n">
        <v>11</v>
      </c>
      <c r="K1104" s="1" t="n">
        <v>3.3</v>
      </c>
      <c r="L1104" s="15" t="n">
        <v>392.91</v>
      </c>
      <c r="M1104" s="15" t="n">
        <f aca="false">F1104*G1104</f>
        <v>409.28</v>
      </c>
      <c r="N1104" s="15" t="n">
        <f aca="false">M1104-L1104</f>
        <v>16.3699999999999</v>
      </c>
      <c r="O1104" s="1" t="n">
        <f aca="false">YEAR(B1104)</f>
        <v>2025</v>
      </c>
      <c r="P1104" s="1" t="n">
        <f aca="false">MONTH(B1104)</f>
        <v>1</v>
      </c>
      <c r="Q1104" s="1" t="str">
        <f aca="false">TEXT(B1104,"mmm")</f>
        <v>Jan</v>
      </c>
      <c r="R1104" s="1" t="str">
        <f aca="false">"Q"&amp;ROUNDUP(MONTH(B1104)/3,0)</f>
        <v>Q1</v>
      </c>
    </row>
    <row r="1105" customFormat="false" ht="15" hidden="false" customHeight="true" outlineLevel="0" collapsed="false">
      <c r="A1105" s="1" t="n">
        <v>11104</v>
      </c>
      <c r="B1105" s="14" t="n">
        <v>45665</v>
      </c>
      <c r="C1105" s="1" t="n">
        <v>1334</v>
      </c>
      <c r="D1105" s="1" t="s">
        <v>37</v>
      </c>
      <c r="E1105" s="1" t="s">
        <v>32</v>
      </c>
      <c r="F1105" s="1" t="n">
        <v>2</v>
      </c>
      <c r="G1105" s="15" t="n">
        <v>494.37</v>
      </c>
      <c r="H1105" s="16" t="n">
        <v>0.04</v>
      </c>
      <c r="I1105" s="1" t="s">
        <v>31</v>
      </c>
      <c r="J1105" s="1" t="n">
        <v>7</v>
      </c>
      <c r="K1105" s="1" t="n">
        <v>3.9</v>
      </c>
      <c r="L1105" s="15" t="n">
        <v>949.19</v>
      </c>
      <c r="M1105" s="15" t="n">
        <f aca="false">F1105*G1105</f>
        <v>988.74</v>
      </c>
      <c r="N1105" s="15" t="n">
        <f aca="false">M1105-L1105</f>
        <v>39.55</v>
      </c>
      <c r="O1105" s="1" t="n">
        <f aca="false">YEAR(B1105)</f>
        <v>2025</v>
      </c>
      <c r="P1105" s="1" t="n">
        <f aca="false">MONTH(B1105)</f>
        <v>1</v>
      </c>
      <c r="Q1105" s="1" t="str">
        <f aca="false">TEXT(B1105,"mmm")</f>
        <v>Jan</v>
      </c>
      <c r="R1105" s="1" t="str">
        <f aca="false">"Q"&amp;ROUNDUP(MONTH(B1105)/3,0)</f>
        <v>Q1</v>
      </c>
    </row>
    <row r="1106" customFormat="false" ht="15" hidden="false" customHeight="true" outlineLevel="0" collapsed="false">
      <c r="A1106" s="1" t="n">
        <v>11105</v>
      </c>
      <c r="B1106" s="14" t="n">
        <v>45666</v>
      </c>
      <c r="C1106" s="1" t="n">
        <v>1858</v>
      </c>
      <c r="D1106" s="1" t="s">
        <v>34</v>
      </c>
      <c r="E1106" s="1" t="s">
        <v>36</v>
      </c>
      <c r="F1106" s="1" t="n">
        <v>3</v>
      </c>
      <c r="G1106" s="15" t="n">
        <v>176.41</v>
      </c>
      <c r="H1106" s="16" t="n">
        <v>0.31</v>
      </c>
      <c r="I1106" s="1" t="s">
        <v>31</v>
      </c>
      <c r="J1106" s="1" t="n">
        <v>1</v>
      </c>
      <c r="K1106" s="1" t="n">
        <v>1.3</v>
      </c>
      <c r="L1106" s="15" t="n">
        <v>365.17</v>
      </c>
      <c r="M1106" s="15" t="n">
        <f aca="false">F1106*G1106</f>
        <v>529.23</v>
      </c>
      <c r="N1106" s="15" t="n">
        <f aca="false">M1106-L1106</f>
        <v>164.06</v>
      </c>
      <c r="O1106" s="1" t="n">
        <f aca="false">YEAR(B1106)</f>
        <v>2025</v>
      </c>
      <c r="P1106" s="1" t="n">
        <f aca="false">MONTH(B1106)</f>
        <v>1</v>
      </c>
      <c r="Q1106" s="1" t="str">
        <f aca="false">TEXT(B1106,"mmm")</f>
        <v>Jan</v>
      </c>
      <c r="R1106" s="1" t="str">
        <f aca="false">"Q"&amp;ROUNDUP(MONTH(B1106)/3,0)</f>
        <v>Q1</v>
      </c>
    </row>
    <row r="1107" customFormat="false" ht="15" hidden="false" customHeight="true" outlineLevel="0" collapsed="false">
      <c r="A1107" s="1" t="n">
        <v>11106</v>
      </c>
      <c r="B1107" s="14" t="n">
        <v>45667</v>
      </c>
      <c r="C1107" s="1" t="n">
        <v>1434</v>
      </c>
      <c r="D1107" s="1" t="s">
        <v>30</v>
      </c>
      <c r="E1107" s="1" t="s">
        <v>36</v>
      </c>
      <c r="F1107" s="1" t="n">
        <v>1</v>
      </c>
      <c r="G1107" s="15" t="n">
        <v>220.16</v>
      </c>
      <c r="H1107" s="16" t="n">
        <v>0.2</v>
      </c>
      <c r="I1107" s="1" t="s">
        <v>29</v>
      </c>
      <c r="J1107" s="1" t="n">
        <v>1</v>
      </c>
      <c r="K1107" s="1" t="n">
        <v>4.5</v>
      </c>
      <c r="L1107" s="15" t="n">
        <v>176.13</v>
      </c>
      <c r="M1107" s="15" t="n">
        <f aca="false">F1107*G1107</f>
        <v>220.16</v>
      </c>
      <c r="N1107" s="15" t="n">
        <f aca="false">M1107-L1107</f>
        <v>44.03</v>
      </c>
      <c r="O1107" s="1" t="n">
        <f aca="false">YEAR(B1107)</f>
        <v>2025</v>
      </c>
      <c r="P1107" s="1" t="n">
        <f aca="false">MONTH(B1107)</f>
        <v>1</v>
      </c>
      <c r="Q1107" s="1" t="str">
        <f aca="false">TEXT(B1107,"mmm")</f>
        <v>Jan</v>
      </c>
      <c r="R1107" s="1" t="str">
        <f aca="false">"Q"&amp;ROUNDUP(MONTH(B1107)/3,0)</f>
        <v>Q1</v>
      </c>
    </row>
    <row r="1108" customFormat="false" ht="15" hidden="false" customHeight="true" outlineLevel="0" collapsed="false">
      <c r="A1108" s="1" t="n">
        <v>11107</v>
      </c>
      <c r="B1108" s="14" t="n">
        <v>45668</v>
      </c>
      <c r="C1108" s="1" t="n">
        <v>1446</v>
      </c>
      <c r="D1108" s="1" t="s">
        <v>34</v>
      </c>
      <c r="E1108" s="1" t="s">
        <v>32</v>
      </c>
      <c r="F1108" s="1" t="n">
        <v>1</v>
      </c>
      <c r="G1108" s="15" t="n">
        <v>141.8</v>
      </c>
      <c r="H1108" s="16" t="n">
        <v>0.33</v>
      </c>
      <c r="I1108" s="1" t="s">
        <v>33</v>
      </c>
      <c r="J1108" s="1" t="n">
        <v>9</v>
      </c>
      <c r="K1108" s="1" t="n">
        <v>2.1</v>
      </c>
      <c r="L1108" s="15" t="n">
        <v>95.01</v>
      </c>
      <c r="M1108" s="15" t="n">
        <f aca="false">F1108*G1108</f>
        <v>141.8</v>
      </c>
      <c r="N1108" s="15" t="n">
        <f aca="false">M1108-L1108</f>
        <v>46.79</v>
      </c>
      <c r="O1108" s="1" t="n">
        <f aca="false">YEAR(B1108)</f>
        <v>2025</v>
      </c>
      <c r="P1108" s="1" t="n">
        <f aca="false">MONTH(B1108)</f>
        <v>1</v>
      </c>
      <c r="Q1108" s="1" t="str">
        <f aca="false">TEXT(B1108,"mmm")</f>
        <v>Jan</v>
      </c>
      <c r="R1108" s="1" t="str">
        <f aca="false">"Q"&amp;ROUNDUP(MONTH(B1108)/3,0)</f>
        <v>Q1</v>
      </c>
    </row>
    <row r="1109" customFormat="false" ht="15" hidden="false" customHeight="true" outlineLevel="0" collapsed="false">
      <c r="A1109" s="1" t="n">
        <v>11108</v>
      </c>
      <c r="B1109" s="14" t="n">
        <v>45669</v>
      </c>
      <c r="C1109" s="1" t="n">
        <v>1993</v>
      </c>
      <c r="D1109" s="1" t="s">
        <v>34</v>
      </c>
      <c r="E1109" s="1" t="s">
        <v>32</v>
      </c>
      <c r="F1109" s="1" t="n">
        <v>7</v>
      </c>
      <c r="G1109" s="15" t="n">
        <v>357.53</v>
      </c>
      <c r="H1109" s="16" t="n">
        <v>0.12</v>
      </c>
      <c r="I1109" s="1" t="s">
        <v>31</v>
      </c>
      <c r="J1109" s="1" t="n">
        <v>2</v>
      </c>
      <c r="K1109" s="1" t="n">
        <v>2.5</v>
      </c>
      <c r="L1109" s="15" t="n">
        <v>2202.38</v>
      </c>
      <c r="M1109" s="15" t="n">
        <f aca="false">F1109*G1109</f>
        <v>2502.71</v>
      </c>
      <c r="N1109" s="15" t="n">
        <f aca="false">M1109-L1109</f>
        <v>300.33</v>
      </c>
      <c r="O1109" s="1" t="n">
        <f aca="false">YEAR(B1109)</f>
        <v>2025</v>
      </c>
      <c r="P1109" s="1" t="n">
        <f aca="false">MONTH(B1109)</f>
        <v>1</v>
      </c>
      <c r="Q1109" s="1" t="str">
        <f aca="false">TEXT(B1109,"mmm")</f>
        <v>Jan</v>
      </c>
      <c r="R1109" s="1" t="str">
        <f aca="false">"Q"&amp;ROUNDUP(MONTH(B1109)/3,0)</f>
        <v>Q1</v>
      </c>
    </row>
    <row r="1110" customFormat="false" ht="15" hidden="false" customHeight="true" outlineLevel="0" collapsed="false">
      <c r="A1110" s="1" t="n">
        <v>11109</v>
      </c>
      <c r="B1110" s="14" t="n">
        <v>45670</v>
      </c>
      <c r="C1110" s="1" t="n">
        <v>1307</v>
      </c>
      <c r="D1110" s="1" t="s">
        <v>30</v>
      </c>
      <c r="E1110" s="1" t="s">
        <v>36</v>
      </c>
      <c r="F1110" s="1" t="n">
        <v>6</v>
      </c>
      <c r="G1110" s="15" t="n">
        <v>218.64</v>
      </c>
      <c r="H1110" s="16" t="n">
        <v>0.24</v>
      </c>
      <c r="I1110" s="1" t="s">
        <v>33</v>
      </c>
      <c r="J1110" s="1" t="n">
        <v>11</v>
      </c>
      <c r="K1110" s="1" t="n">
        <v>2.3</v>
      </c>
      <c r="L1110" s="15" t="n">
        <v>997</v>
      </c>
      <c r="M1110" s="15" t="n">
        <f aca="false">F1110*G1110</f>
        <v>1311.84</v>
      </c>
      <c r="N1110" s="15" t="n">
        <f aca="false">M1110-L1110</f>
        <v>314.84</v>
      </c>
      <c r="O1110" s="1" t="n">
        <f aca="false">YEAR(B1110)</f>
        <v>2025</v>
      </c>
      <c r="P1110" s="1" t="n">
        <f aca="false">MONTH(B1110)</f>
        <v>1</v>
      </c>
      <c r="Q1110" s="1" t="str">
        <f aca="false">TEXT(B1110,"mmm")</f>
        <v>Jan</v>
      </c>
      <c r="R1110" s="1" t="str">
        <f aca="false">"Q"&amp;ROUNDUP(MONTH(B1110)/3,0)</f>
        <v>Q1</v>
      </c>
    </row>
    <row r="1111" customFormat="false" ht="15" hidden="false" customHeight="true" outlineLevel="0" collapsed="false">
      <c r="A1111" s="1" t="n">
        <v>11110</v>
      </c>
      <c r="B1111" s="14" t="n">
        <v>45671</v>
      </c>
      <c r="C1111" s="1" t="n">
        <v>1248</v>
      </c>
      <c r="D1111" s="1" t="s">
        <v>37</v>
      </c>
      <c r="E1111" s="1" t="s">
        <v>35</v>
      </c>
      <c r="F1111" s="1" t="n">
        <v>6</v>
      </c>
      <c r="G1111" s="15" t="n">
        <v>399.57</v>
      </c>
      <c r="H1111" s="16" t="n">
        <v>0.07</v>
      </c>
      <c r="I1111" s="1" t="s">
        <v>29</v>
      </c>
      <c r="J1111" s="1" t="n">
        <v>4</v>
      </c>
      <c r="K1111" s="1" t="n">
        <v>4.4</v>
      </c>
      <c r="L1111" s="15" t="n">
        <v>2229.6</v>
      </c>
      <c r="M1111" s="15" t="n">
        <f aca="false">F1111*G1111</f>
        <v>2397.42</v>
      </c>
      <c r="N1111" s="15" t="n">
        <f aca="false">M1111-L1111</f>
        <v>167.82</v>
      </c>
      <c r="O1111" s="1" t="n">
        <f aca="false">YEAR(B1111)</f>
        <v>2025</v>
      </c>
      <c r="P1111" s="1" t="n">
        <f aca="false">MONTH(B1111)</f>
        <v>1</v>
      </c>
      <c r="Q1111" s="1" t="str">
        <f aca="false">TEXT(B1111,"mmm")</f>
        <v>Jan</v>
      </c>
      <c r="R1111" s="1" t="str">
        <f aca="false">"Q"&amp;ROUNDUP(MONTH(B1111)/3,0)</f>
        <v>Q1</v>
      </c>
    </row>
    <row r="1112" customFormat="false" ht="15" hidden="false" customHeight="true" outlineLevel="0" collapsed="false">
      <c r="A1112" s="1" t="n">
        <v>11111</v>
      </c>
      <c r="B1112" s="14" t="n">
        <v>45672</v>
      </c>
      <c r="C1112" s="1" t="n">
        <v>1165</v>
      </c>
      <c r="D1112" s="1" t="s">
        <v>30</v>
      </c>
      <c r="E1112" s="1" t="s">
        <v>36</v>
      </c>
      <c r="F1112" s="1" t="n">
        <v>5</v>
      </c>
      <c r="G1112" s="15" t="n">
        <v>24.15</v>
      </c>
      <c r="H1112" s="16" t="n">
        <v>0.22</v>
      </c>
      <c r="I1112" s="1" t="s">
        <v>31</v>
      </c>
      <c r="J1112" s="1" t="n">
        <v>11</v>
      </c>
      <c r="K1112" s="1" t="n">
        <v>1.7</v>
      </c>
      <c r="L1112" s="15" t="n">
        <v>94.18</v>
      </c>
      <c r="M1112" s="15" t="n">
        <f aca="false">F1112*G1112</f>
        <v>120.75</v>
      </c>
      <c r="N1112" s="15" t="n">
        <f aca="false">M1112-L1112</f>
        <v>26.57</v>
      </c>
      <c r="O1112" s="1" t="n">
        <f aca="false">YEAR(B1112)</f>
        <v>2025</v>
      </c>
      <c r="P1112" s="1" t="n">
        <f aca="false">MONTH(B1112)</f>
        <v>1</v>
      </c>
      <c r="Q1112" s="1" t="str">
        <f aca="false">TEXT(B1112,"mmm")</f>
        <v>Jan</v>
      </c>
      <c r="R1112" s="1" t="str">
        <f aca="false">"Q"&amp;ROUNDUP(MONTH(B1112)/3,0)</f>
        <v>Q1</v>
      </c>
    </row>
    <row r="1113" customFormat="false" ht="15" hidden="false" customHeight="true" outlineLevel="0" collapsed="false">
      <c r="A1113" s="1" t="n">
        <v>11112</v>
      </c>
      <c r="B1113" s="14" t="n">
        <v>45673</v>
      </c>
      <c r="C1113" s="1" t="n">
        <v>1480</v>
      </c>
      <c r="D1113" s="1" t="s">
        <v>37</v>
      </c>
      <c r="E1113" s="1" t="s">
        <v>32</v>
      </c>
      <c r="F1113" s="1" t="n">
        <v>3</v>
      </c>
      <c r="G1113" s="15" t="n">
        <v>52.66</v>
      </c>
      <c r="H1113" s="16" t="n">
        <v>0.05</v>
      </c>
      <c r="I1113" s="1" t="s">
        <v>31</v>
      </c>
      <c r="J1113" s="1" t="n">
        <v>3</v>
      </c>
      <c r="K1113" s="1" t="n">
        <v>1.1</v>
      </c>
      <c r="L1113" s="15" t="n">
        <v>150.08</v>
      </c>
      <c r="M1113" s="15" t="n">
        <f aca="false">F1113*G1113</f>
        <v>157.98</v>
      </c>
      <c r="N1113" s="15" t="n">
        <f aca="false">M1113-L1113</f>
        <v>7.89999999999998</v>
      </c>
      <c r="O1113" s="1" t="n">
        <f aca="false">YEAR(B1113)</f>
        <v>2025</v>
      </c>
      <c r="P1113" s="1" t="n">
        <f aca="false">MONTH(B1113)</f>
        <v>1</v>
      </c>
      <c r="Q1113" s="1" t="str">
        <f aca="false">TEXT(B1113,"mmm")</f>
        <v>Jan</v>
      </c>
      <c r="R1113" s="1" t="str">
        <f aca="false">"Q"&amp;ROUNDUP(MONTH(B1113)/3,0)</f>
        <v>Q1</v>
      </c>
    </row>
    <row r="1114" customFormat="false" ht="15" hidden="false" customHeight="true" outlineLevel="0" collapsed="false">
      <c r="A1114" s="1" t="n">
        <v>11113</v>
      </c>
      <c r="B1114" s="14" t="n">
        <v>45674</v>
      </c>
      <c r="C1114" s="1" t="n">
        <v>1983</v>
      </c>
      <c r="D1114" s="1" t="s">
        <v>34</v>
      </c>
      <c r="E1114" s="1" t="s">
        <v>35</v>
      </c>
      <c r="F1114" s="1" t="n">
        <v>7</v>
      </c>
      <c r="G1114" s="15" t="n">
        <v>73.3</v>
      </c>
      <c r="H1114" s="16" t="n">
        <v>0</v>
      </c>
      <c r="I1114" s="1" t="s">
        <v>29</v>
      </c>
      <c r="J1114" s="1" t="n">
        <v>11</v>
      </c>
      <c r="K1114" s="1" t="n">
        <v>4.9</v>
      </c>
      <c r="L1114" s="15" t="n">
        <v>513.1</v>
      </c>
      <c r="M1114" s="15" t="n">
        <f aca="false">F1114*G1114</f>
        <v>513.1</v>
      </c>
      <c r="N1114" s="15" t="n">
        <f aca="false">M1114-L1114</f>
        <v>0</v>
      </c>
      <c r="O1114" s="1" t="n">
        <f aca="false">YEAR(B1114)</f>
        <v>2025</v>
      </c>
      <c r="P1114" s="1" t="n">
        <f aca="false">MONTH(B1114)</f>
        <v>1</v>
      </c>
      <c r="Q1114" s="1" t="str">
        <f aca="false">TEXT(B1114,"mmm")</f>
        <v>Jan</v>
      </c>
      <c r="R1114" s="1" t="str">
        <f aca="false">"Q"&amp;ROUNDUP(MONTH(B1114)/3,0)</f>
        <v>Q1</v>
      </c>
    </row>
    <row r="1115" customFormat="false" ht="15" hidden="false" customHeight="true" outlineLevel="0" collapsed="false">
      <c r="A1115" s="1" t="n">
        <v>11114</v>
      </c>
      <c r="B1115" s="14" t="n">
        <v>45675</v>
      </c>
      <c r="C1115" s="1" t="n">
        <v>1334</v>
      </c>
      <c r="D1115" s="1" t="s">
        <v>37</v>
      </c>
      <c r="E1115" s="1" t="s">
        <v>28</v>
      </c>
      <c r="F1115" s="1" t="n">
        <v>6</v>
      </c>
      <c r="G1115" s="15" t="n">
        <v>260.11</v>
      </c>
      <c r="H1115" s="16" t="n">
        <v>0.33</v>
      </c>
      <c r="I1115" s="1" t="s">
        <v>29</v>
      </c>
      <c r="J1115" s="1" t="n">
        <v>4</v>
      </c>
      <c r="K1115" s="1" t="n">
        <v>4.9</v>
      </c>
      <c r="L1115" s="15" t="n">
        <v>1045.64</v>
      </c>
      <c r="M1115" s="15" t="n">
        <f aca="false">F1115*G1115</f>
        <v>1560.66</v>
      </c>
      <c r="N1115" s="15" t="n">
        <f aca="false">M1115-L1115</f>
        <v>515.02</v>
      </c>
      <c r="O1115" s="1" t="n">
        <f aca="false">YEAR(B1115)</f>
        <v>2025</v>
      </c>
      <c r="P1115" s="1" t="n">
        <f aca="false">MONTH(B1115)</f>
        <v>1</v>
      </c>
      <c r="Q1115" s="1" t="str">
        <f aca="false">TEXT(B1115,"mmm")</f>
        <v>Jan</v>
      </c>
      <c r="R1115" s="1" t="str">
        <f aca="false">"Q"&amp;ROUNDUP(MONTH(B1115)/3,0)</f>
        <v>Q1</v>
      </c>
    </row>
    <row r="1116" customFormat="false" ht="15" hidden="false" customHeight="true" outlineLevel="0" collapsed="false">
      <c r="A1116" s="1" t="n">
        <v>11115</v>
      </c>
      <c r="B1116" s="14" t="n">
        <v>45676</v>
      </c>
      <c r="C1116" s="1" t="n">
        <v>1541</v>
      </c>
      <c r="D1116" s="1" t="s">
        <v>34</v>
      </c>
      <c r="E1116" s="1" t="s">
        <v>36</v>
      </c>
      <c r="F1116" s="1" t="n">
        <v>2</v>
      </c>
      <c r="G1116" s="15" t="n">
        <v>491.66</v>
      </c>
      <c r="H1116" s="16" t="n">
        <v>0.19</v>
      </c>
      <c r="I1116" s="1" t="s">
        <v>31</v>
      </c>
      <c r="J1116" s="1" t="n">
        <v>11</v>
      </c>
      <c r="K1116" s="1" t="n">
        <v>2</v>
      </c>
      <c r="L1116" s="15" t="n">
        <v>796.49</v>
      </c>
      <c r="M1116" s="15" t="n">
        <f aca="false">F1116*G1116</f>
        <v>983.32</v>
      </c>
      <c r="N1116" s="15" t="n">
        <f aca="false">M1116-L1116</f>
        <v>186.83</v>
      </c>
      <c r="O1116" s="1" t="n">
        <f aca="false">YEAR(B1116)</f>
        <v>2025</v>
      </c>
      <c r="P1116" s="1" t="n">
        <f aca="false">MONTH(B1116)</f>
        <v>1</v>
      </c>
      <c r="Q1116" s="1" t="str">
        <f aca="false">TEXT(B1116,"mmm")</f>
        <v>Jan</v>
      </c>
      <c r="R1116" s="1" t="str">
        <f aca="false">"Q"&amp;ROUNDUP(MONTH(B1116)/3,0)</f>
        <v>Q1</v>
      </c>
    </row>
    <row r="1117" customFormat="false" ht="15" hidden="false" customHeight="true" outlineLevel="0" collapsed="false">
      <c r="A1117" s="1" t="n">
        <v>11116</v>
      </c>
      <c r="B1117" s="14" t="n">
        <v>45677</v>
      </c>
      <c r="C1117" s="1" t="n">
        <v>1758</v>
      </c>
      <c r="D1117" s="1" t="s">
        <v>37</v>
      </c>
      <c r="E1117" s="1" t="s">
        <v>32</v>
      </c>
      <c r="F1117" s="1" t="n">
        <v>3</v>
      </c>
      <c r="G1117" s="15" t="n">
        <v>534.58</v>
      </c>
      <c r="H1117" s="16" t="n">
        <v>0.32</v>
      </c>
      <c r="I1117" s="1" t="s">
        <v>31</v>
      </c>
      <c r="J1117" s="1" t="n">
        <v>11</v>
      </c>
      <c r="K1117" s="1" t="n">
        <v>1</v>
      </c>
      <c r="L1117" s="15" t="n">
        <v>1090.54</v>
      </c>
      <c r="M1117" s="15" t="n">
        <f aca="false">F1117*G1117</f>
        <v>1603.74</v>
      </c>
      <c r="N1117" s="15" t="n">
        <f aca="false">M1117-L1117</f>
        <v>513.2</v>
      </c>
      <c r="O1117" s="1" t="n">
        <f aca="false">YEAR(B1117)</f>
        <v>2025</v>
      </c>
      <c r="P1117" s="1" t="n">
        <f aca="false">MONTH(B1117)</f>
        <v>1</v>
      </c>
      <c r="Q1117" s="1" t="str">
        <f aca="false">TEXT(B1117,"mmm")</f>
        <v>Jan</v>
      </c>
      <c r="R1117" s="1" t="str">
        <f aca="false">"Q"&amp;ROUNDUP(MONTH(B1117)/3,0)</f>
        <v>Q1</v>
      </c>
    </row>
    <row r="1118" customFormat="false" ht="15" hidden="false" customHeight="true" outlineLevel="0" collapsed="false">
      <c r="A1118" s="1" t="n">
        <v>11117</v>
      </c>
      <c r="B1118" s="14" t="n">
        <v>45678</v>
      </c>
      <c r="C1118" s="1" t="n">
        <v>1105</v>
      </c>
      <c r="D1118" s="1" t="s">
        <v>30</v>
      </c>
      <c r="E1118" s="1" t="s">
        <v>28</v>
      </c>
      <c r="F1118" s="1" t="n">
        <v>1</v>
      </c>
      <c r="G1118" s="15" t="n">
        <v>158.21</v>
      </c>
      <c r="H1118" s="16" t="n">
        <v>0.12</v>
      </c>
      <c r="I1118" s="1" t="s">
        <v>31</v>
      </c>
      <c r="J1118" s="1" t="n">
        <v>7</v>
      </c>
      <c r="K1118" s="1" t="n">
        <v>3.6</v>
      </c>
      <c r="L1118" s="15" t="n">
        <v>139.22</v>
      </c>
      <c r="M1118" s="15" t="n">
        <f aca="false">F1118*G1118</f>
        <v>158.21</v>
      </c>
      <c r="N1118" s="15" t="n">
        <f aca="false">M1118-L1118</f>
        <v>18.99</v>
      </c>
      <c r="O1118" s="1" t="n">
        <f aca="false">YEAR(B1118)</f>
        <v>2025</v>
      </c>
      <c r="P1118" s="1" t="n">
        <f aca="false">MONTH(B1118)</f>
        <v>1</v>
      </c>
      <c r="Q1118" s="1" t="str">
        <f aca="false">TEXT(B1118,"mmm")</f>
        <v>Jan</v>
      </c>
      <c r="R1118" s="1" t="str">
        <f aca="false">"Q"&amp;ROUNDUP(MONTH(B1118)/3,0)</f>
        <v>Q1</v>
      </c>
    </row>
    <row r="1119" customFormat="false" ht="15" hidden="false" customHeight="true" outlineLevel="0" collapsed="false">
      <c r="A1119" s="1" t="n">
        <v>11118</v>
      </c>
      <c r="B1119" s="14" t="n">
        <v>45679</v>
      </c>
      <c r="C1119" s="1" t="n">
        <v>1562</v>
      </c>
      <c r="D1119" s="1" t="s">
        <v>27</v>
      </c>
      <c r="E1119" s="1" t="s">
        <v>36</v>
      </c>
      <c r="F1119" s="1" t="n">
        <v>2</v>
      </c>
      <c r="G1119" s="15" t="n">
        <v>351.01</v>
      </c>
      <c r="H1119" s="16" t="n">
        <v>0.11</v>
      </c>
      <c r="I1119" s="1" t="s">
        <v>31</v>
      </c>
      <c r="J1119" s="1" t="n">
        <v>10</v>
      </c>
      <c r="K1119" s="1" t="n">
        <v>3.6</v>
      </c>
      <c r="L1119" s="15" t="n">
        <v>624.8</v>
      </c>
      <c r="M1119" s="15" t="n">
        <f aca="false">F1119*G1119</f>
        <v>702.02</v>
      </c>
      <c r="N1119" s="15" t="n">
        <f aca="false">M1119-L1119</f>
        <v>77.22</v>
      </c>
      <c r="O1119" s="1" t="n">
        <f aca="false">YEAR(B1119)</f>
        <v>2025</v>
      </c>
      <c r="P1119" s="1" t="n">
        <f aca="false">MONTH(B1119)</f>
        <v>1</v>
      </c>
      <c r="Q1119" s="1" t="str">
        <f aca="false">TEXT(B1119,"mmm")</f>
        <v>Jan</v>
      </c>
      <c r="R1119" s="1" t="str">
        <f aca="false">"Q"&amp;ROUNDUP(MONTH(B1119)/3,0)</f>
        <v>Q1</v>
      </c>
    </row>
    <row r="1120" customFormat="false" ht="15" hidden="false" customHeight="true" outlineLevel="0" collapsed="false">
      <c r="A1120" s="1" t="n">
        <v>11119</v>
      </c>
      <c r="B1120" s="14" t="n">
        <v>45680</v>
      </c>
      <c r="C1120" s="1" t="n">
        <v>1080</v>
      </c>
      <c r="D1120" s="1" t="s">
        <v>30</v>
      </c>
      <c r="E1120" s="1" t="s">
        <v>36</v>
      </c>
      <c r="F1120" s="1" t="n">
        <v>7</v>
      </c>
      <c r="G1120" s="15" t="n">
        <v>464.49</v>
      </c>
      <c r="H1120" s="16" t="n">
        <v>0.14</v>
      </c>
      <c r="I1120" s="1" t="s">
        <v>33</v>
      </c>
      <c r="J1120" s="1" t="n">
        <v>2</v>
      </c>
      <c r="K1120" s="1" t="n">
        <v>4.8</v>
      </c>
      <c r="L1120" s="15" t="n">
        <v>2796.23</v>
      </c>
      <c r="M1120" s="15" t="n">
        <f aca="false">F1120*G1120</f>
        <v>3251.43</v>
      </c>
      <c r="N1120" s="15" t="n">
        <f aca="false">M1120-L1120</f>
        <v>455.2</v>
      </c>
      <c r="O1120" s="1" t="n">
        <f aca="false">YEAR(B1120)</f>
        <v>2025</v>
      </c>
      <c r="P1120" s="1" t="n">
        <f aca="false">MONTH(B1120)</f>
        <v>1</v>
      </c>
      <c r="Q1120" s="1" t="str">
        <f aca="false">TEXT(B1120,"mmm")</f>
        <v>Jan</v>
      </c>
      <c r="R1120" s="1" t="str">
        <f aca="false">"Q"&amp;ROUNDUP(MONTH(B1120)/3,0)</f>
        <v>Q1</v>
      </c>
    </row>
    <row r="1121" customFormat="false" ht="15" hidden="false" customHeight="true" outlineLevel="0" collapsed="false">
      <c r="A1121" s="1" t="n">
        <v>11120</v>
      </c>
      <c r="B1121" s="14" t="n">
        <v>45681</v>
      </c>
      <c r="C1121" s="1" t="n">
        <v>1132</v>
      </c>
      <c r="D1121" s="1" t="s">
        <v>34</v>
      </c>
      <c r="E1121" s="1" t="s">
        <v>35</v>
      </c>
      <c r="F1121" s="1" t="n">
        <v>7</v>
      </c>
      <c r="G1121" s="15" t="n">
        <v>183.97</v>
      </c>
      <c r="H1121" s="16" t="n">
        <v>0.25</v>
      </c>
      <c r="I1121" s="1" t="s">
        <v>31</v>
      </c>
      <c r="J1121" s="1" t="n">
        <v>2</v>
      </c>
      <c r="K1121" s="1" t="n">
        <v>2.2</v>
      </c>
      <c r="L1121" s="15" t="n">
        <v>965.84</v>
      </c>
      <c r="M1121" s="15" t="n">
        <f aca="false">F1121*G1121</f>
        <v>1287.79</v>
      </c>
      <c r="N1121" s="15" t="n">
        <f aca="false">M1121-L1121</f>
        <v>321.95</v>
      </c>
      <c r="O1121" s="1" t="n">
        <f aca="false">YEAR(B1121)</f>
        <v>2025</v>
      </c>
      <c r="P1121" s="1" t="n">
        <f aca="false">MONTH(B1121)</f>
        <v>1</v>
      </c>
      <c r="Q1121" s="1" t="str">
        <f aca="false">TEXT(B1121,"mmm")</f>
        <v>Jan</v>
      </c>
      <c r="R1121" s="1" t="str">
        <f aca="false">"Q"&amp;ROUNDUP(MONTH(B1121)/3,0)</f>
        <v>Q1</v>
      </c>
    </row>
    <row r="1122" customFormat="false" ht="15" hidden="false" customHeight="true" outlineLevel="0" collapsed="false">
      <c r="A1122" s="1" t="n">
        <v>11121</v>
      </c>
      <c r="B1122" s="14" t="n">
        <v>45682</v>
      </c>
      <c r="C1122" s="1" t="n">
        <v>1796</v>
      </c>
      <c r="D1122" s="1" t="s">
        <v>34</v>
      </c>
      <c r="E1122" s="1" t="s">
        <v>32</v>
      </c>
      <c r="F1122" s="1" t="n">
        <v>3</v>
      </c>
      <c r="G1122" s="15" t="n">
        <v>254.27</v>
      </c>
      <c r="H1122" s="16" t="n">
        <v>0.2</v>
      </c>
      <c r="I1122" s="1" t="s">
        <v>31</v>
      </c>
      <c r="J1122" s="1" t="n">
        <v>9</v>
      </c>
      <c r="K1122" s="1" t="n">
        <v>1.8</v>
      </c>
      <c r="L1122" s="15" t="n">
        <v>610.25</v>
      </c>
      <c r="M1122" s="15" t="n">
        <f aca="false">F1122*G1122</f>
        <v>762.81</v>
      </c>
      <c r="N1122" s="15" t="n">
        <f aca="false">M1122-L1122</f>
        <v>152.56</v>
      </c>
      <c r="O1122" s="1" t="n">
        <f aca="false">YEAR(B1122)</f>
        <v>2025</v>
      </c>
      <c r="P1122" s="1" t="n">
        <f aca="false">MONTH(B1122)</f>
        <v>1</v>
      </c>
      <c r="Q1122" s="1" t="str">
        <f aca="false">TEXT(B1122,"mmm")</f>
        <v>Jan</v>
      </c>
      <c r="R1122" s="1" t="str">
        <f aca="false">"Q"&amp;ROUNDUP(MONTH(B1122)/3,0)</f>
        <v>Q1</v>
      </c>
    </row>
    <row r="1123" customFormat="false" ht="15" hidden="false" customHeight="true" outlineLevel="0" collapsed="false">
      <c r="A1123" s="1" t="n">
        <v>11122</v>
      </c>
      <c r="B1123" s="14" t="n">
        <v>45683</v>
      </c>
      <c r="C1123" s="1" t="n">
        <v>1899</v>
      </c>
      <c r="D1123" s="1" t="s">
        <v>37</v>
      </c>
      <c r="E1123" s="1" t="s">
        <v>28</v>
      </c>
      <c r="F1123" s="1" t="n">
        <v>1</v>
      </c>
      <c r="G1123" s="15" t="n">
        <v>321.52</v>
      </c>
      <c r="H1123" s="16" t="n">
        <v>0.32</v>
      </c>
      <c r="I1123" s="1" t="s">
        <v>33</v>
      </c>
      <c r="J1123" s="1" t="n">
        <v>6</v>
      </c>
      <c r="K1123" s="1" t="n">
        <v>3.5</v>
      </c>
      <c r="L1123" s="15" t="n">
        <v>218.63</v>
      </c>
      <c r="M1123" s="15" t="n">
        <f aca="false">F1123*G1123</f>
        <v>321.52</v>
      </c>
      <c r="N1123" s="15" t="n">
        <f aca="false">M1123-L1123</f>
        <v>102.89</v>
      </c>
      <c r="O1123" s="1" t="n">
        <f aca="false">YEAR(B1123)</f>
        <v>2025</v>
      </c>
      <c r="P1123" s="1" t="n">
        <f aca="false">MONTH(B1123)</f>
        <v>1</v>
      </c>
      <c r="Q1123" s="1" t="str">
        <f aca="false">TEXT(B1123,"mmm")</f>
        <v>Jan</v>
      </c>
      <c r="R1123" s="1" t="str">
        <f aca="false">"Q"&amp;ROUNDUP(MONTH(B1123)/3,0)</f>
        <v>Q1</v>
      </c>
    </row>
    <row r="1124" customFormat="false" ht="15" hidden="false" customHeight="true" outlineLevel="0" collapsed="false">
      <c r="A1124" s="1" t="n">
        <v>11123</v>
      </c>
      <c r="B1124" s="14" t="n">
        <v>45684</v>
      </c>
      <c r="C1124" s="1" t="n">
        <v>1137</v>
      </c>
      <c r="D1124" s="1" t="s">
        <v>30</v>
      </c>
      <c r="E1124" s="1" t="s">
        <v>36</v>
      </c>
      <c r="F1124" s="1" t="n">
        <v>6</v>
      </c>
      <c r="G1124" s="15" t="n">
        <v>93.9</v>
      </c>
      <c r="H1124" s="16" t="n">
        <v>0.01</v>
      </c>
      <c r="I1124" s="1" t="s">
        <v>29</v>
      </c>
      <c r="J1124" s="1" t="n">
        <v>11</v>
      </c>
      <c r="K1124" s="1" t="n">
        <v>3.3</v>
      </c>
      <c r="L1124" s="15" t="n">
        <v>557.77</v>
      </c>
      <c r="M1124" s="15" t="n">
        <f aca="false">F1124*G1124</f>
        <v>563.4</v>
      </c>
      <c r="N1124" s="15" t="n">
        <f aca="false">M1124-L1124</f>
        <v>5.63000000000011</v>
      </c>
      <c r="O1124" s="1" t="n">
        <f aca="false">YEAR(B1124)</f>
        <v>2025</v>
      </c>
      <c r="P1124" s="1" t="n">
        <f aca="false">MONTH(B1124)</f>
        <v>1</v>
      </c>
      <c r="Q1124" s="1" t="str">
        <f aca="false">TEXT(B1124,"mmm")</f>
        <v>Jan</v>
      </c>
      <c r="R1124" s="1" t="str">
        <f aca="false">"Q"&amp;ROUNDUP(MONTH(B1124)/3,0)</f>
        <v>Q1</v>
      </c>
    </row>
    <row r="1125" customFormat="false" ht="15" hidden="false" customHeight="true" outlineLevel="0" collapsed="false">
      <c r="A1125" s="1" t="n">
        <v>11124</v>
      </c>
      <c r="B1125" s="14" t="n">
        <v>45685</v>
      </c>
      <c r="C1125" s="1" t="n">
        <v>1183</v>
      </c>
      <c r="D1125" s="1" t="s">
        <v>37</v>
      </c>
      <c r="E1125" s="1" t="s">
        <v>35</v>
      </c>
      <c r="F1125" s="1" t="n">
        <v>2</v>
      </c>
      <c r="G1125" s="15" t="n">
        <v>30.2</v>
      </c>
      <c r="H1125" s="16" t="n">
        <v>0.25</v>
      </c>
      <c r="I1125" s="1" t="s">
        <v>31</v>
      </c>
      <c r="J1125" s="1" t="n">
        <v>7</v>
      </c>
      <c r="K1125" s="1" t="n">
        <v>3.9</v>
      </c>
      <c r="L1125" s="15" t="n">
        <v>45.3</v>
      </c>
      <c r="M1125" s="15" t="n">
        <f aca="false">F1125*G1125</f>
        <v>60.4</v>
      </c>
      <c r="N1125" s="15" t="n">
        <f aca="false">M1125-L1125</f>
        <v>15.1</v>
      </c>
      <c r="O1125" s="1" t="n">
        <f aca="false">YEAR(B1125)</f>
        <v>2025</v>
      </c>
      <c r="P1125" s="1" t="n">
        <f aca="false">MONTH(B1125)</f>
        <v>1</v>
      </c>
      <c r="Q1125" s="1" t="str">
        <f aca="false">TEXT(B1125,"mmm")</f>
        <v>Jan</v>
      </c>
      <c r="R1125" s="1" t="str">
        <f aca="false">"Q"&amp;ROUNDUP(MONTH(B1125)/3,0)</f>
        <v>Q1</v>
      </c>
    </row>
    <row r="1126" customFormat="false" ht="15" hidden="false" customHeight="true" outlineLevel="0" collapsed="false">
      <c r="A1126" s="1" t="n">
        <v>11125</v>
      </c>
      <c r="B1126" s="14" t="n">
        <v>45686</v>
      </c>
      <c r="C1126" s="1" t="n">
        <v>1400</v>
      </c>
      <c r="D1126" s="1" t="s">
        <v>34</v>
      </c>
      <c r="E1126" s="1" t="s">
        <v>28</v>
      </c>
      <c r="F1126" s="1" t="n">
        <v>2</v>
      </c>
      <c r="G1126" s="15" t="n">
        <v>104.39</v>
      </c>
      <c r="H1126" s="16" t="n">
        <v>0.12</v>
      </c>
      <c r="I1126" s="1" t="s">
        <v>31</v>
      </c>
      <c r="J1126" s="1" t="n">
        <v>5</v>
      </c>
      <c r="K1126" s="1" t="n">
        <v>4.5</v>
      </c>
      <c r="L1126" s="15" t="n">
        <v>183.73</v>
      </c>
      <c r="M1126" s="15" t="n">
        <f aca="false">F1126*G1126</f>
        <v>208.78</v>
      </c>
      <c r="N1126" s="15" t="n">
        <f aca="false">M1126-L1126</f>
        <v>25.05</v>
      </c>
      <c r="O1126" s="1" t="n">
        <f aca="false">YEAR(B1126)</f>
        <v>2025</v>
      </c>
      <c r="P1126" s="1" t="n">
        <f aca="false">MONTH(B1126)</f>
        <v>1</v>
      </c>
      <c r="Q1126" s="1" t="str">
        <f aca="false">TEXT(B1126,"mmm")</f>
        <v>Jan</v>
      </c>
      <c r="R1126" s="1" t="str">
        <f aca="false">"Q"&amp;ROUNDUP(MONTH(B1126)/3,0)</f>
        <v>Q1</v>
      </c>
    </row>
    <row r="1127" customFormat="false" ht="15" hidden="false" customHeight="true" outlineLevel="0" collapsed="false">
      <c r="A1127" s="1" t="n">
        <v>11126</v>
      </c>
      <c r="B1127" s="14" t="n">
        <v>45687</v>
      </c>
      <c r="C1127" s="1" t="n">
        <v>1329</v>
      </c>
      <c r="D1127" s="1" t="s">
        <v>34</v>
      </c>
      <c r="E1127" s="1" t="s">
        <v>28</v>
      </c>
      <c r="F1127" s="1" t="n">
        <v>1</v>
      </c>
      <c r="G1127" s="15" t="n">
        <v>381.71</v>
      </c>
      <c r="H1127" s="16" t="n">
        <v>0.06</v>
      </c>
      <c r="I1127" s="1" t="s">
        <v>29</v>
      </c>
      <c r="J1127" s="1" t="n">
        <v>5</v>
      </c>
      <c r="K1127" s="1" t="n">
        <v>3.2</v>
      </c>
      <c r="L1127" s="15" t="n">
        <v>358.81</v>
      </c>
      <c r="M1127" s="15" t="n">
        <f aca="false">F1127*G1127</f>
        <v>381.71</v>
      </c>
      <c r="N1127" s="15" t="n">
        <f aca="false">M1127-L1127</f>
        <v>22.9</v>
      </c>
      <c r="O1127" s="1" t="n">
        <f aca="false">YEAR(B1127)</f>
        <v>2025</v>
      </c>
      <c r="P1127" s="1" t="n">
        <f aca="false">MONTH(B1127)</f>
        <v>1</v>
      </c>
      <c r="Q1127" s="1" t="str">
        <f aca="false">TEXT(B1127,"mmm")</f>
        <v>Jan</v>
      </c>
      <c r="R1127" s="1" t="str">
        <f aca="false">"Q"&amp;ROUNDUP(MONTH(B1127)/3,0)</f>
        <v>Q1</v>
      </c>
    </row>
    <row r="1128" customFormat="false" ht="15" hidden="false" customHeight="true" outlineLevel="0" collapsed="false">
      <c r="A1128" s="1" t="n">
        <v>11127</v>
      </c>
      <c r="B1128" s="14" t="n">
        <v>45688</v>
      </c>
      <c r="C1128" s="1" t="n">
        <v>1784</v>
      </c>
      <c r="D1128" s="1" t="s">
        <v>34</v>
      </c>
      <c r="E1128" s="1" t="s">
        <v>36</v>
      </c>
      <c r="F1128" s="1" t="n">
        <v>2</v>
      </c>
      <c r="G1128" s="15" t="n">
        <v>58.07</v>
      </c>
      <c r="H1128" s="16" t="n">
        <v>0.18</v>
      </c>
      <c r="I1128" s="1" t="s">
        <v>33</v>
      </c>
      <c r="J1128" s="1" t="n">
        <v>4</v>
      </c>
      <c r="K1128" s="1" t="n">
        <v>1.6</v>
      </c>
      <c r="L1128" s="15" t="n">
        <v>95.23</v>
      </c>
      <c r="M1128" s="15" t="n">
        <f aca="false">F1128*G1128</f>
        <v>116.14</v>
      </c>
      <c r="N1128" s="15" t="n">
        <f aca="false">M1128-L1128</f>
        <v>20.91</v>
      </c>
      <c r="O1128" s="1" t="n">
        <f aca="false">YEAR(B1128)</f>
        <v>2025</v>
      </c>
      <c r="P1128" s="1" t="n">
        <f aca="false">MONTH(B1128)</f>
        <v>1</v>
      </c>
      <c r="Q1128" s="1" t="str">
        <f aca="false">TEXT(B1128,"mmm")</f>
        <v>Jan</v>
      </c>
      <c r="R1128" s="1" t="str">
        <f aca="false">"Q"&amp;ROUNDUP(MONTH(B1128)/3,0)</f>
        <v>Q1</v>
      </c>
    </row>
    <row r="1129" customFormat="false" ht="15" hidden="false" customHeight="true" outlineLevel="0" collapsed="false">
      <c r="A1129" s="1" t="n">
        <v>11128</v>
      </c>
      <c r="B1129" s="14" t="n">
        <v>45689</v>
      </c>
      <c r="C1129" s="1" t="n">
        <v>1507</v>
      </c>
      <c r="D1129" s="1" t="s">
        <v>27</v>
      </c>
      <c r="E1129" s="1" t="s">
        <v>28</v>
      </c>
      <c r="F1129" s="1" t="n">
        <v>6</v>
      </c>
      <c r="G1129" s="15" t="n">
        <v>125.97</v>
      </c>
      <c r="H1129" s="16" t="n">
        <v>0.18</v>
      </c>
      <c r="I1129" s="1" t="s">
        <v>31</v>
      </c>
      <c r="J1129" s="1" t="n">
        <v>8</v>
      </c>
      <c r="K1129" s="1" t="n">
        <v>3.4</v>
      </c>
      <c r="L1129" s="15" t="n">
        <v>619.77</v>
      </c>
      <c r="M1129" s="15" t="n">
        <f aca="false">F1129*G1129</f>
        <v>755.82</v>
      </c>
      <c r="N1129" s="15" t="n">
        <f aca="false">M1129-L1129</f>
        <v>136.05</v>
      </c>
      <c r="O1129" s="1" t="n">
        <f aca="false">YEAR(B1129)</f>
        <v>2025</v>
      </c>
      <c r="P1129" s="1" t="n">
        <f aca="false">MONTH(B1129)</f>
        <v>2</v>
      </c>
      <c r="Q1129" s="1" t="str">
        <f aca="false">TEXT(B1129,"mmm")</f>
        <v>Feb</v>
      </c>
      <c r="R1129" s="1" t="str">
        <f aca="false">"Q"&amp;ROUNDUP(MONTH(B1129)/3,0)</f>
        <v>Q1</v>
      </c>
    </row>
    <row r="1130" customFormat="false" ht="15" hidden="false" customHeight="true" outlineLevel="0" collapsed="false">
      <c r="A1130" s="1" t="n">
        <v>11129</v>
      </c>
      <c r="B1130" s="14" t="n">
        <v>45690</v>
      </c>
      <c r="C1130" s="1" t="n">
        <v>1851</v>
      </c>
      <c r="D1130" s="1" t="s">
        <v>37</v>
      </c>
      <c r="E1130" s="1" t="s">
        <v>36</v>
      </c>
      <c r="F1130" s="1" t="n">
        <v>6</v>
      </c>
      <c r="G1130" s="15" t="n">
        <v>212.64</v>
      </c>
      <c r="H1130" s="16" t="n">
        <v>0.05</v>
      </c>
      <c r="I1130" s="1" t="s">
        <v>31</v>
      </c>
      <c r="J1130" s="1" t="n">
        <v>7</v>
      </c>
      <c r="K1130" s="1" t="n">
        <v>2.5</v>
      </c>
      <c r="L1130" s="15" t="n">
        <v>1212.05</v>
      </c>
      <c r="M1130" s="15" t="n">
        <f aca="false">F1130*G1130</f>
        <v>1275.84</v>
      </c>
      <c r="N1130" s="15" t="n">
        <f aca="false">M1130-L1130</f>
        <v>63.79</v>
      </c>
      <c r="O1130" s="1" t="n">
        <f aca="false">YEAR(B1130)</f>
        <v>2025</v>
      </c>
      <c r="P1130" s="1" t="n">
        <f aca="false">MONTH(B1130)</f>
        <v>2</v>
      </c>
      <c r="Q1130" s="1" t="str">
        <f aca="false">TEXT(B1130,"mmm")</f>
        <v>Feb</v>
      </c>
      <c r="R1130" s="1" t="str">
        <f aca="false">"Q"&amp;ROUNDUP(MONTH(B1130)/3,0)</f>
        <v>Q1</v>
      </c>
    </row>
    <row r="1131" customFormat="false" ht="15" hidden="false" customHeight="true" outlineLevel="0" collapsed="false">
      <c r="A1131" s="1" t="n">
        <v>11130</v>
      </c>
      <c r="B1131" s="14" t="n">
        <v>45691</v>
      </c>
      <c r="C1131" s="1" t="n">
        <v>1983</v>
      </c>
      <c r="D1131" s="1" t="s">
        <v>27</v>
      </c>
      <c r="E1131" s="1" t="s">
        <v>35</v>
      </c>
      <c r="F1131" s="1" t="n">
        <v>6</v>
      </c>
      <c r="G1131" s="15" t="n">
        <v>60.55</v>
      </c>
      <c r="H1131" s="16" t="n">
        <v>0.07</v>
      </c>
      <c r="I1131" s="1" t="s">
        <v>31</v>
      </c>
      <c r="J1131" s="1" t="n">
        <v>10</v>
      </c>
      <c r="K1131" s="1" t="n">
        <v>2.8</v>
      </c>
      <c r="L1131" s="15" t="n">
        <v>337.87</v>
      </c>
      <c r="M1131" s="15" t="n">
        <f aca="false">F1131*G1131</f>
        <v>363.3</v>
      </c>
      <c r="N1131" s="15" t="n">
        <f aca="false">M1131-L1131</f>
        <v>25.43</v>
      </c>
      <c r="O1131" s="1" t="n">
        <f aca="false">YEAR(B1131)</f>
        <v>2025</v>
      </c>
      <c r="P1131" s="1" t="n">
        <f aca="false">MONTH(B1131)</f>
        <v>2</v>
      </c>
      <c r="Q1131" s="1" t="str">
        <f aca="false">TEXT(B1131,"mmm")</f>
        <v>Feb</v>
      </c>
      <c r="R1131" s="1" t="str">
        <f aca="false">"Q"&amp;ROUNDUP(MONTH(B1131)/3,0)</f>
        <v>Q1</v>
      </c>
    </row>
    <row r="1132" customFormat="false" ht="15" hidden="false" customHeight="true" outlineLevel="0" collapsed="false">
      <c r="A1132" s="1" t="n">
        <v>11131</v>
      </c>
      <c r="B1132" s="14" t="n">
        <v>45692</v>
      </c>
      <c r="C1132" s="1" t="n">
        <v>1068</v>
      </c>
      <c r="D1132" s="1" t="s">
        <v>34</v>
      </c>
      <c r="E1132" s="1" t="s">
        <v>35</v>
      </c>
      <c r="F1132" s="1" t="n">
        <v>1</v>
      </c>
      <c r="G1132" s="15" t="n">
        <v>127.14</v>
      </c>
      <c r="H1132" s="16" t="n">
        <v>0.14</v>
      </c>
      <c r="I1132" s="1" t="s">
        <v>33</v>
      </c>
      <c r="J1132" s="1" t="n">
        <v>2</v>
      </c>
      <c r="K1132" s="1" t="n">
        <v>4.8</v>
      </c>
      <c r="L1132" s="15" t="n">
        <v>109.34</v>
      </c>
      <c r="M1132" s="15" t="n">
        <f aca="false">F1132*G1132</f>
        <v>127.14</v>
      </c>
      <c r="N1132" s="15" t="n">
        <f aca="false">M1132-L1132</f>
        <v>17.8</v>
      </c>
      <c r="O1132" s="1" t="n">
        <f aca="false">YEAR(B1132)</f>
        <v>2025</v>
      </c>
      <c r="P1132" s="1" t="n">
        <f aca="false">MONTH(B1132)</f>
        <v>2</v>
      </c>
      <c r="Q1132" s="1" t="str">
        <f aca="false">TEXT(B1132,"mmm")</f>
        <v>Feb</v>
      </c>
      <c r="R1132" s="1" t="str">
        <f aca="false">"Q"&amp;ROUNDUP(MONTH(B1132)/3,0)</f>
        <v>Q1</v>
      </c>
    </row>
    <row r="1133" customFormat="false" ht="15" hidden="false" customHeight="true" outlineLevel="0" collapsed="false">
      <c r="A1133" s="1" t="n">
        <v>11132</v>
      </c>
      <c r="B1133" s="14" t="n">
        <v>45693</v>
      </c>
      <c r="C1133" s="1" t="n">
        <v>1545</v>
      </c>
      <c r="D1133" s="1" t="s">
        <v>30</v>
      </c>
      <c r="E1133" s="1" t="s">
        <v>28</v>
      </c>
      <c r="F1133" s="1" t="n">
        <v>4</v>
      </c>
      <c r="G1133" s="15" t="n">
        <v>548.09</v>
      </c>
      <c r="H1133" s="16" t="n">
        <v>0.14</v>
      </c>
      <c r="I1133" s="1" t="s">
        <v>31</v>
      </c>
      <c r="J1133" s="1" t="n">
        <v>2</v>
      </c>
      <c r="K1133" s="1" t="n">
        <v>3.2</v>
      </c>
      <c r="L1133" s="15" t="n">
        <v>1885.43</v>
      </c>
      <c r="M1133" s="15" t="n">
        <f aca="false">F1133*G1133</f>
        <v>2192.36</v>
      </c>
      <c r="N1133" s="15" t="n">
        <f aca="false">M1133-L1133</f>
        <v>306.93</v>
      </c>
      <c r="O1133" s="1" t="n">
        <f aca="false">YEAR(B1133)</f>
        <v>2025</v>
      </c>
      <c r="P1133" s="1" t="n">
        <f aca="false">MONTH(B1133)</f>
        <v>2</v>
      </c>
      <c r="Q1133" s="1" t="str">
        <f aca="false">TEXT(B1133,"mmm")</f>
        <v>Feb</v>
      </c>
      <c r="R1133" s="1" t="str">
        <f aca="false">"Q"&amp;ROUNDUP(MONTH(B1133)/3,0)</f>
        <v>Q1</v>
      </c>
    </row>
    <row r="1134" customFormat="false" ht="15" hidden="false" customHeight="true" outlineLevel="0" collapsed="false">
      <c r="A1134" s="1" t="n">
        <v>11133</v>
      </c>
      <c r="B1134" s="14" t="n">
        <v>45694</v>
      </c>
      <c r="C1134" s="1" t="n">
        <v>1773</v>
      </c>
      <c r="D1134" s="1" t="s">
        <v>37</v>
      </c>
      <c r="E1134" s="1" t="s">
        <v>36</v>
      </c>
      <c r="F1134" s="1" t="n">
        <v>4</v>
      </c>
      <c r="G1134" s="15" t="n">
        <v>26.29</v>
      </c>
      <c r="H1134" s="16" t="n">
        <v>0.11</v>
      </c>
      <c r="I1134" s="1" t="s">
        <v>31</v>
      </c>
      <c r="J1134" s="1" t="n">
        <v>6</v>
      </c>
      <c r="K1134" s="1" t="n">
        <v>1.6</v>
      </c>
      <c r="L1134" s="15" t="n">
        <v>93.59</v>
      </c>
      <c r="M1134" s="15" t="n">
        <f aca="false">F1134*G1134</f>
        <v>105.16</v>
      </c>
      <c r="N1134" s="15" t="n">
        <f aca="false">M1134-L1134</f>
        <v>11.57</v>
      </c>
      <c r="O1134" s="1" t="n">
        <f aca="false">YEAR(B1134)</f>
        <v>2025</v>
      </c>
      <c r="P1134" s="1" t="n">
        <f aca="false">MONTH(B1134)</f>
        <v>2</v>
      </c>
      <c r="Q1134" s="1" t="str">
        <f aca="false">TEXT(B1134,"mmm")</f>
        <v>Feb</v>
      </c>
      <c r="R1134" s="1" t="str">
        <f aca="false">"Q"&amp;ROUNDUP(MONTH(B1134)/3,0)</f>
        <v>Q1</v>
      </c>
    </row>
    <row r="1135" customFormat="false" ht="15" hidden="false" customHeight="true" outlineLevel="0" collapsed="false">
      <c r="A1135" s="1" t="n">
        <v>11134</v>
      </c>
      <c r="B1135" s="14" t="n">
        <v>45695</v>
      </c>
      <c r="C1135" s="1" t="n">
        <v>1052</v>
      </c>
      <c r="D1135" s="1" t="s">
        <v>34</v>
      </c>
      <c r="E1135" s="1" t="s">
        <v>32</v>
      </c>
      <c r="F1135" s="1" t="n">
        <v>7</v>
      </c>
      <c r="G1135" s="15" t="n">
        <v>397.26</v>
      </c>
      <c r="H1135" s="16" t="n">
        <v>0.05</v>
      </c>
      <c r="I1135" s="1" t="s">
        <v>31</v>
      </c>
      <c r="J1135" s="1" t="n">
        <v>11</v>
      </c>
      <c r="K1135" s="1" t="n">
        <v>2.8</v>
      </c>
      <c r="L1135" s="15" t="n">
        <v>2641.78</v>
      </c>
      <c r="M1135" s="15" t="n">
        <f aca="false">F1135*G1135</f>
        <v>2780.82</v>
      </c>
      <c r="N1135" s="15" t="n">
        <f aca="false">M1135-L1135</f>
        <v>139.04</v>
      </c>
      <c r="O1135" s="1" t="n">
        <f aca="false">YEAR(B1135)</f>
        <v>2025</v>
      </c>
      <c r="P1135" s="1" t="n">
        <f aca="false">MONTH(B1135)</f>
        <v>2</v>
      </c>
      <c r="Q1135" s="1" t="str">
        <f aca="false">TEXT(B1135,"mmm")</f>
        <v>Feb</v>
      </c>
      <c r="R1135" s="1" t="str">
        <f aca="false">"Q"&amp;ROUNDUP(MONTH(B1135)/3,0)</f>
        <v>Q1</v>
      </c>
    </row>
    <row r="1136" customFormat="false" ht="15" hidden="false" customHeight="true" outlineLevel="0" collapsed="false">
      <c r="A1136" s="1" t="n">
        <v>11135</v>
      </c>
      <c r="B1136" s="14" t="n">
        <v>45696</v>
      </c>
      <c r="C1136" s="1" t="n">
        <v>1449</v>
      </c>
      <c r="D1136" s="1" t="s">
        <v>37</v>
      </c>
      <c r="E1136" s="1" t="s">
        <v>35</v>
      </c>
      <c r="F1136" s="1" t="n">
        <v>7</v>
      </c>
      <c r="G1136" s="15" t="n">
        <v>239.88</v>
      </c>
      <c r="H1136" s="16" t="n">
        <v>0</v>
      </c>
      <c r="I1136" s="1" t="s">
        <v>31</v>
      </c>
      <c r="J1136" s="1" t="n">
        <v>1</v>
      </c>
      <c r="K1136" s="1" t="n">
        <v>1.9</v>
      </c>
      <c r="L1136" s="15" t="n">
        <v>1679.16</v>
      </c>
      <c r="M1136" s="15" t="n">
        <f aca="false">F1136*G1136</f>
        <v>1679.16</v>
      </c>
      <c r="N1136" s="15" t="n">
        <f aca="false">M1136-L1136</f>
        <v>0</v>
      </c>
      <c r="O1136" s="1" t="n">
        <f aca="false">YEAR(B1136)</f>
        <v>2025</v>
      </c>
      <c r="P1136" s="1" t="n">
        <f aca="false">MONTH(B1136)</f>
        <v>2</v>
      </c>
      <c r="Q1136" s="1" t="str">
        <f aca="false">TEXT(B1136,"mmm")</f>
        <v>Feb</v>
      </c>
      <c r="R1136" s="1" t="str">
        <f aca="false">"Q"&amp;ROUNDUP(MONTH(B1136)/3,0)</f>
        <v>Q1</v>
      </c>
    </row>
    <row r="1137" customFormat="false" ht="15" hidden="false" customHeight="true" outlineLevel="0" collapsed="false">
      <c r="A1137" s="1" t="n">
        <v>11136</v>
      </c>
      <c r="B1137" s="14" t="n">
        <v>45697</v>
      </c>
      <c r="C1137" s="1" t="n">
        <v>1204</v>
      </c>
      <c r="D1137" s="1" t="s">
        <v>27</v>
      </c>
      <c r="E1137" s="1" t="s">
        <v>36</v>
      </c>
      <c r="F1137" s="1" t="n">
        <v>2</v>
      </c>
      <c r="G1137" s="15" t="n">
        <v>408.5</v>
      </c>
      <c r="H1137" s="16" t="n">
        <v>0.34</v>
      </c>
      <c r="I1137" s="1" t="s">
        <v>33</v>
      </c>
      <c r="J1137" s="1" t="n">
        <v>7</v>
      </c>
      <c r="K1137" s="1" t="n">
        <v>1.5</v>
      </c>
      <c r="L1137" s="15" t="n">
        <v>539.22</v>
      </c>
      <c r="M1137" s="15" t="n">
        <f aca="false">F1137*G1137</f>
        <v>817</v>
      </c>
      <c r="N1137" s="15" t="n">
        <f aca="false">M1137-L1137</f>
        <v>277.78</v>
      </c>
      <c r="O1137" s="1" t="n">
        <f aca="false">YEAR(B1137)</f>
        <v>2025</v>
      </c>
      <c r="P1137" s="1" t="n">
        <f aca="false">MONTH(B1137)</f>
        <v>2</v>
      </c>
      <c r="Q1137" s="1" t="str">
        <f aca="false">TEXT(B1137,"mmm")</f>
        <v>Feb</v>
      </c>
      <c r="R1137" s="1" t="str">
        <f aca="false">"Q"&amp;ROUNDUP(MONTH(B1137)/3,0)</f>
        <v>Q1</v>
      </c>
    </row>
    <row r="1138" customFormat="false" ht="15" hidden="false" customHeight="true" outlineLevel="0" collapsed="false">
      <c r="A1138" s="1" t="n">
        <v>11137</v>
      </c>
      <c r="B1138" s="14" t="n">
        <v>45698</v>
      </c>
      <c r="C1138" s="1" t="n">
        <v>1125</v>
      </c>
      <c r="D1138" s="1" t="s">
        <v>27</v>
      </c>
      <c r="E1138" s="1" t="s">
        <v>36</v>
      </c>
      <c r="F1138" s="1" t="n">
        <v>6</v>
      </c>
      <c r="G1138" s="15" t="n">
        <v>359.38</v>
      </c>
      <c r="H1138" s="16" t="n">
        <v>0.33</v>
      </c>
      <c r="I1138" s="1" t="s">
        <v>31</v>
      </c>
      <c r="J1138" s="1" t="n">
        <v>8</v>
      </c>
      <c r="K1138" s="1" t="n">
        <v>3.8</v>
      </c>
      <c r="L1138" s="15" t="n">
        <v>1444.71</v>
      </c>
      <c r="M1138" s="15" t="n">
        <f aca="false">F1138*G1138</f>
        <v>2156.28</v>
      </c>
      <c r="N1138" s="15" t="n">
        <f aca="false">M1138-L1138</f>
        <v>711.57</v>
      </c>
      <c r="O1138" s="1" t="n">
        <f aca="false">YEAR(B1138)</f>
        <v>2025</v>
      </c>
      <c r="P1138" s="1" t="n">
        <f aca="false">MONTH(B1138)</f>
        <v>2</v>
      </c>
      <c r="Q1138" s="1" t="str">
        <f aca="false">TEXT(B1138,"mmm")</f>
        <v>Feb</v>
      </c>
      <c r="R1138" s="1" t="str">
        <f aca="false">"Q"&amp;ROUNDUP(MONTH(B1138)/3,0)</f>
        <v>Q1</v>
      </c>
    </row>
    <row r="1139" customFormat="false" ht="15" hidden="false" customHeight="true" outlineLevel="0" collapsed="false">
      <c r="A1139" s="1" t="n">
        <v>11138</v>
      </c>
      <c r="B1139" s="14" t="n">
        <v>45699</v>
      </c>
      <c r="C1139" s="1" t="n">
        <v>1746</v>
      </c>
      <c r="D1139" s="1" t="s">
        <v>37</v>
      </c>
      <c r="E1139" s="1" t="s">
        <v>36</v>
      </c>
      <c r="F1139" s="1" t="n">
        <v>2</v>
      </c>
      <c r="G1139" s="15" t="n">
        <v>145.75</v>
      </c>
      <c r="H1139" s="16" t="n">
        <v>0.17</v>
      </c>
      <c r="I1139" s="1" t="s">
        <v>31</v>
      </c>
      <c r="J1139" s="1" t="n">
        <v>10</v>
      </c>
      <c r="K1139" s="1" t="n">
        <v>3.5</v>
      </c>
      <c r="L1139" s="15" t="n">
        <v>241.94</v>
      </c>
      <c r="M1139" s="15" t="n">
        <f aca="false">F1139*G1139</f>
        <v>291.5</v>
      </c>
      <c r="N1139" s="15" t="n">
        <f aca="false">M1139-L1139</f>
        <v>49.56</v>
      </c>
      <c r="O1139" s="1" t="n">
        <f aca="false">YEAR(B1139)</f>
        <v>2025</v>
      </c>
      <c r="P1139" s="1" t="n">
        <f aca="false">MONTH(B1139)</f>
        <v>2</v>
      </c>
      <c r="Q1139" s="1" t="str">
        <f aca="false">TEXT(B1139,"mmm")</f>
        <v>Feb</v>
      </c>
      <c r="R1139" s="1" t="str">
        <f aca="false">"Q"&amp;ROUNDUP(MONTH(B1139)/3,0)</f>
        <v>Q1</v>
      </c>
    </row>
    <row r="1140" customFormat="false" ht="15" hidden="false" customHeight="true" outlineLevel="0" collapsed="false">
      <c r="A1140" s="1" t="n">
        <v>11139</v>
      </c>
      <c r="B1140" s="14" t="n">
        <v>45700</v>
      </c>
      <c r="C1140" s="1" t="n">
        <v>1042</v>
      </c>
      <c r="D1140" s="1" t="s">
        <v>34</v>
      </c>
      <c r="E1140" s="1" t="s">
        <v>28</v>
      </c>
      <c r="F1140" s="1" t="n">
        <v>1</v>
      </c>
      <c r="G1140" s="15" t="n">
        <v>510.62</v>
      </c>
      <c r="H1140" s="16" t="n">
        <v>0.35</v>
      </c>
      <c r="I1140" s="1" t="s">
        <v>29</v>
      </c>
      <c r="J1140" s="1" t="n">
        <v>8</v>
      </c>
      <c r="K1140" s="1" t="n">
        <v>3</v>
      </c>
      <c r="L1140" s="15" t="n">
        <v>331.9</v>
      </c>
      <c r="M1140" s="15" t="n">
        <f aca="false">F1140*G1140</f>
        <v>510.62</v>
      </c>
      <c r="N1140" s="15" t="n">
        <f aca="false">M1140-L1140</f>
        <v>178.72</v>
      </c>
      <c r="O1140" s="1" t="n">
        <f aca="false">YEAR(B1140)</f>
        <v>2025</v>
      </c>
      <c r="P1140" s="1" t="n">
        <f aca="false">MONTH(B1140)</f>
        <v>2</v>
      </c>
      <c r="Q1140" s="1" t="str">
        <f aca="false">TEXT(B1140,"mmm")</f>
        <v>Feb</v>
      </c>
      <c r="R1140" s="1" t="str">
        <f aca="false">"Q"&amp;ROUNDUP(MONTH(B1140)/3,0)</f>
        <v>Q1</v>
      </c>
    </row>
    <row r="1141" customFormat="false" ht="15" hidden="false" customHeight="true" outlineLevel="0" collapsed="false">
      <c r="A1141" s="1" t="n">
        <v>11140</v>
      </c>
      <c r="B1141" s="14" t="n">
        <v>45701</v>
      </c>
      <c r="C1141" s="1" t="n">
        <v>1751</v>
      </c>
      <c r="D1141" s="1" t="s">
        <v>34</v>
      </c>
      <c r="E1141" s="1" t="s">
        <v>32</v>
      </c>
      <c r="F1141" s="1" t="n">
        <v>2</v>
      </c>
      <c r="G1141" s="15" t="n">
        <v>302.79</v>
      </c>
      <c r="H1141" s="16" t="n">
        <v>0.24</v>
      </c>
      <c r="I1141" s="1" t="s">
        <v>33</v>
      </c>
      <c r="J1141" s="1" t="n">
        <v>3</v>
      </c>
      <c r="K1141" s="1" t="n">
        <v>2.7</v>
      </c>
      <c r="L1141" s="15" t="n">
        <v>460.24</v>
      </c>
      <c r="M1141" s="15" t="n">
        <f aca="false">F1141*G1141</f>
        <v>605.58</v>
      </c>
      <c r="N1141" s="15" t="n">
        <f aca="false">M1141-L1141</f>
        <v>145.34</v>
      </c>
      <c r="O1141" s="1" t="n">
        <f aca="false">YEAR(B1141)</f>
        <v>2025</v>
      </c>
      <c r="P1141" s="1" t="n">
        <f aca="false">MONTH(B1141)</f>
        <v>2</v>
      </c>
      <c r="Q1141" s="1" t="str">
        <f aca="false">TEXT(B1141,"mmm")</f>
        <v>Feb</v>
      </c>
      <c r="R1141" s="1" t="str">
        <f aca="false">"Q"&amp;ROUNDUP(MONTH(B1141)/3,0)</f>
        <v>Q1</v>
      </c>
    </row>
    <row r="1142" customFormat="false" ht="15" hidden="false" customHeight="true" outlineLevel="0" collapsed="false">
      <c r="A1142" s="1" t="n">
        <v>11141</v>
      </c>
      <c r="B1142" s="14" t="n">
        <v>45702</v>
      </c>
      <c r="C1142" s="1" t="n">
        <v>1970</v>
      </c>
      <c r="D1142" s="1" t="s">
        <v>27</v>
      </c>
      <c r="E1142" s="1" t="s">
        <v>28</v>
      </c>
      <c r="F1142" s="1" t="n">
        <v>5</v>
      </c>
      <c r="G1142" s="15" t="n">
        <v>496.18</v>
      </c>
      <c r="H1142" s="16" t="n">
        <v>0.02</v>
      </c>
      <c r="I1142" s="1" t="s">
        <v>31</v>
      </c>
      <c r="J1142" s="1" t="n">
        <v>7</v>
      </c>
      <c r="K1142" s="1" t="n">
        <v>2.3</v>
      </c>
      <c r="L1142" s="15" t="n">
        <v>2431.28</v>
      </c>
      <c r="M1142" s="15" t="n">
        <f aca="false">F1142*G1142</f>
        <v>2480.9</v>
      </c>
      <c r="N1142" s="15" t="n">
        <f aca="false">M1142-L1142</f>
        <v>49.6199999999999</v>
      </c>
      <c r="O1142" s="1" t="n">
        <f aca="false">YEAR(B1142)</f>
        <v>2025</v>
      </c>
      <c r="P1142" s="1" t="n">
        <f aca="false">MONTH(B1142)</f>
        <v>2</v>
      </c>
      <c r="Q1142" s="1" t="str">
        <f aca="false">TEXT(B1142,"mmm")</f>
        <v>Feb</v>
      </c>
      <c r="R1142" s="1" t="str">
        <f aca="false">"Q"&amp;ROUNDUP(MONTH(B1142)/3,0)</f>
        <v>Q1</v>
      </c>
    </row>
    <row r="1143" customFormat="false" ht="15" hidden="false" customHeight="true" outlineLevel="0" collapsed="false">
      <c r="A1143" s="1" t="n">
        <v>11142</v>
      </c>
      <c r="B1143" s="14" t="n">
        <v>45703</v>
      </c>
      <c r="C1143" s="1" t="n">
        <v>1882</v>
      </c>
      <c r="D1143" s="1" t="s">
        <v>34</v>
      </c>
      <c r="E1143" s="1" t="s">
        <v>35</v>
      </c>
      <c r="F1143" s="1" t="n">
        <v>4</v>
      </c>
      <c r="G1143" s="15" t="n">
        <v>252.52</v>
      </c>
      <c r="H1143" s="16" t="n">
        <v>0.04</v>
      </c>
      <c r="I1143" s="1" t="s">
        <v>33</v>
      </c>
      <c r="J1143" s="1" t="n">
        <v>1</v>
      </c>
      <c r="K1143" s="1" t="n">
        <v>1.4</v>
      </c>
      <c r="L1143" s="15" t="n">
        <v>969.68</v>
      </c>
      <c r="M1143" s="15" t="n">
        <f aca="false">F1143*G1143</f>
        <v>1010.08</v>
      </c>
      <c r="N1143" s="15" t="n">
        <f aca="false">M1143-L1143</f>
        <v>40.4000000000001</v>
      </c>
      <c r="O1143" s="1" t="n">
        <f aca="false">YEAR(B1143)</f>
        <v>2025</v>
      </c>
      <c r="P1143" s="1" t="n">
        <f aca="false">MONTH(B1143)</f>
        <v>2</v>
      </c>
      <c r="Q1143" s="1" t="str">
        <f aca="false">TEXT(B1143,"mmm")</f>
        <v>Feb</v>
      </c>
      <c r="R1143" s="1" t="str">
        <f aca="false">"Q"&amp;ROUNDUP(MONTH(B1143)/3,0)</f>
        <v>Q1</v>
      </c>
    </row>
    <row r="1144" customFormat="false" ht="15" hidden="false" customHeight="true" outlineLevel="0" collapsed="false">
      <c r="A1144" s="1" t="n">
        <v>11143</v>
      </c>
      <c r="B1144" s="14" t="n">
        <v>45704</v>
      </c>
      <c r="C1144" s="1" t="n">
        <v>1110</v>
      </c>
      <c r="D1144" s="1" t="s">
        <v>37</v>
      </c>
      <c r="E1144" s="1" t="s">
        <v>28</v>
      </c>
      <c r="F1144" s="1" t="n">
        <v>2</v>
      </c>
      <c r="G1144" s="15" t="n">
        <v>591.04</v>
      </c>
      <c r="H1144" s="16" t="n">
        <v>0.32</v>
      </c>
      <c r="I1144" s="1" t="s">
        <v>31</v>
      </c>
      <c r="J1144" s="1" t="n">
        <v>11</v>
      </c>
      <c r="K1144" s="1" t="n">
        <v>2.2</v>
      </c>
      <c r="L1144" s="15" t="n">
        <v>803.81</v>
      </c>
      <c r="M1144" s="15" t="n">
        <f aca="false">F1144*G1144</f>
        <v>1182.08</v>
      </c>
      <c r="N1144" s="15" t="n">
        <f aca="false">M1144-L1144</f>
        <v>378.27</v>
      </c>
      <c r="O1144" s="1" t="n">
        <f aca="false">YEAR(B1144)</f>
        <v>2025</v>
      </c>
      <c r="P1144" s="1" t="n">
        <f aca="false">MONTH(B1144)</f>
        <v>2</v>
      </c>
      <c r="Q1144" s="1" t="str">
        <f aca="false">TEXT(B1144,"mmm")</f>
        <v>Feb</v>
      </c>
      <c r="R1144" s="1" t="str">
        <f aca="false">"Q"&amp;ROUNDUP(MONTH(B1144)/3,0)</f>
        <v>Q1</v>
      </c>
    </row>
    <row r="1145" customFormat="false" ht="15" hidden="false" customHeight="true" outlineLevel="0" collapsed="false">
      <c r="A1145" s="1" t="n">
        <v>11144</v>
      </c>
      <c r="B1145" s="14" t="n">
        <v>45705</v>
      </c>
      <c r="C1145" s="1" t="n">
        <v>1760</v>
      </c>
      <c r="D1145" s="1" t="s">
        <v>37</v>
      </c>
      <c r="E1145" s="1" t="s">
        <v>36</v>
      </c>
      <c r="F1145" s="1" t="n">
        <v>2</v>
      </c>
      <c r="G1145" s="15" t="n">
        <v>465.74</v>
      </c>
      <c r="H1145" s="16" t="n">
        <v>0.22</v>
      </c>
      <c r="I1145" s="1" t="s">
        <v>33</v>
      </c>
      <c r="J1145" s="1" t="n">
        <v>3</v>
      </c>
      <c r="K1145" s="1" t="n">
        <v>4.4</v>
      </c>
      <c r="L1145" s="15" t="n">
        <v>726.55</v>
      </c>
      <c r="M1145" s="15" t="n">
        <f aca="false">F1145*G1145</f>
        <v>931.48</v>
      </c>
      <c r="N1145" s="15" t="n">
        <f aca="false">M1145-L1145</f>
        <v>204.93</v>
      </c>
      <c r="O1145" s="1" t="n">
        <f aca="false">YEAR(B1145)</f>
        <v>2025</v>
      </c>
      <c r="P1145" s="1" t="n">
        <f aca="false">MONTH(B1145)</f>
        <v>2</v>
      </c>
      <c r="Q1145" s="1" t="str">
        <f aca="false">TEXT(B1145,"mmm")</f>
        <v>Feb</v>
      </c>
      <c r="R1145" s="1" t="str">
        <f aca="false">"Q"&amp;ROUNDUP(MONTH(B1145)/3,0)</f>
        <v>Q1</v>
      </c>
    </row>
    <row r="1146" customFormat="false" ht="15" hidden="false" customHeight="true" outlineLevel="0" collapsed="false">
      <c r="A1146" s="1" t="n">
        <v>11145</v>
      </c>
      <c r="B1146" s="14" t="n">
        <v>45706</v>
      </c>
      <c r="C1146" s="1" t="n">
        <v>1662</v>
      </c>
      <c r="D1146" s="1" t="s">
        <v>30</v>
      </c>
      <c r="E1146" s="1" t="s">
        <v>28</v>
      </c>
      <c r="F1146" s="1" t="n">
        <v>3</v>
      </c>
      <c r="G1146" s="15" t="n">
        <v>580.08</v>
      </c>
      <c r="H1146" s="16" t="n">
        <v>0.3</v>
      </c>
      <c r="I1146" s="1" t="s">
        <v>33</v>
      </c>
      <c r="J1146" s="1" t="n">
        <v>6</v>
      </c>
      <c r="K1146" s="1" t="n">
        <v>4.1</v>
      </c>
      <c r="L1146" s="15" t="n">
        <v>1218.17</v>
      </c>
      <c r="M1146" s="15" t="n">
        <f aca="false">F1146*G1146</f>
        <v>1740.24</v>
      </c>
      <c r="N1146" s="15" t="n">
        <f aca="false">M1146-L1146</f>
        <v>522.07</v>
      </c>
      <c r="O1146" s="1" t="n">
        <f aca="false">YEAR(B1146)</f>
        <v>2025</v>
      </c>
      <c r="P1146" s="1" t="n">
        <f aca="false">MONTH(B1146)</f>
        <v>2</v>
      </c>
      <c r="Q1146" s="1" t="str">
        <f aca="false">TEXT(B1146,"mmm")</f>
        <v>Feb</v>
      </c>
      <c r="R1146" s="1" t="str">
        <f aca="false">"Q"&amp;ROUNDUP(MONTH(B1146)/3,0)</f>
        <v>Q1</v>
      </c>
    </row>
    <row r="1147" customFormat="false" ht="15" hidden="false" customHeight="true" outlineLevel="0" collapsed="false">
      <c r="A1147" s="1" t="n">
        <v>11146</v>
      </c>
      <c r="B1147" s="14" t="n">
        <v>45707</v>
      </c>
      <c r="C1147" s="1" t="n">
        <v>1182</v>
      </c>
      <c r="D1147" s="1" t="s">
        <v>27</v>
      </c>
      <c r="E1147" s="1" t="s">
        <v>36</v>
      </c>
      <c r="F1147" s="1" t="n">
        <v>2</v>
      </c>
      <c r="G1147" s="15" t="n">
        <v>315.88</v>
      </c>
      <c r="H1147" s="16" t="n">
        <v>0.31</v>
      </c>
      <c r="I1147" s="1" t="s">
        <v>33</v>
      </c>
      <c r="J1147" s="1" t="n">
        <v>9</v>
      </c>
      <c r="K1147" s="1" t="n">
        <v>4.9</v>
      </c>
      <c r="L1147" s="15" t="n">
        <v>435.91</v>
      </c>
      <c r="M1147" s="15" t="n">
        <f aca="false">F1147*G1147</f>
        <v>631.76</v>
      </c>
      <c r="N1147" s="15" t="n">
        <f aca="false">M1147-L1147</f>
        <v>195.85</v>
      </c>
      <c r="O1147" s="1" t="n">
        <f aca="false">YEAR(B1147)</f>
        <v>2025</v>
      </c>
      <c r="P1147" s="1" t="n">
        <f aca="false">MONTH(B1147)</f>
        <v>2</v>
      </c>
      <c r="Q1147" s="1" t="str">
        <f aca="false">TEXT(B1147,"mmm")</f>
        <v>Feb</v>
      </c>
      <c r="R1147" s="1" t="str">
        <f aca="false">"Q"&amp;ROUNDUP(MONTH(B1147)/3,0)</f>
        <v>Q1</v>
      </c>
    </row>
    <row r="1148" customFormat="false" ht="15" hidden="false" customHeight="true" outlineLevel="0" collapsed="false">
      <c r="A1148" s="1" t="n">
        <v>11147</v>
      </c>
      <c r="B1148" s="14" t="n">
        <v>45708</v>
      </c>
      <c r="C1148" s="1" t="n">
        <v>1847</v>
      </c>
      <c r="D1148" s="1" t="s">
        <v>34</v>
      </c>
      <c r="E1148" s="1" t="s">
        <v>32</v>
      </c>
      <c r="F1148" s="1" t="n">
        <v>5</v>
      </c>
      <c r="G1148" s="15" t="n">
        <v>292.11</v>
      </c>
      <c r="H1148" s="16" t="n">
        <v>0.16</v>
      </c>
      <c r="I1148" s="1" t="s">
        <v>33</v>
      </c>
      <c r="J1148" s="1" t="n">
        <v>5</v>
      </c>
      <c r="K1148" s="1" t="n">
        <v>3.6</v>
      </c>
      <c r="L1148" s="15" t="n">
        <v>1226.86</v>
      </c>
      <c r="M1148" s="15" t="n">
        <f aca="false">F1148*G1148</f>
        <v>1460.55</v>
      </c>
      <c r="N1148" s="15" t="n">
        <f aca="false">M1148-L1148</f>
        <v>233.69</v>
      </c>
      <c r="O1148" s="1" t="n">
        <f aca="false">YEAR(B1148)</f>
        <v>2025</v>
      </c>
      <c r="P1148" s="1" t="n">
        <f aca="false">MONTH(B1148)</f>
        <v>2</v>
      </c>
      <c r="Q1148" s="1" t="str">
        <f aca="false">TEXT(B1148,"mmm")</f>
        <v>Feb</v>
      </c>
      <c r="R1148" s="1" t="str">
        <f aca="false">"Q"&amp;ROUNDUP(MONTH(B1148)/3,0)</f>
        <v>Q1</v>
      </c>
    </row>
    <row r="1149" customFormat="false" ht="15" hidden="false" customHeight="true" outlineLevel="0" collapsed="false">
      <c r="A1149" s="1" t="n">
        <v>11148</v>
      </c>
      <c r="B1149" s="14" t="n">
        <v>45709</v>
      </c>
      <c r="C1149" s="1" t="n">
        <v>1094</v>
      </c>
      <c r="D1149" s="1" t="s">
        <v>34</v>
      </c>
      <c r="E1149" s="1" t="s">
        <v>28</v>
      </c>
      <c r="F1149" s="1" t="n">
        <v>4</v>
      </c>
      <c r="G1149" s="15" t="n">
        <v>456.94</v>
      </c>
      <c r="H1149" s="16" t="n">
        <v>0.02</v>
      </c>
      <c r="I1149" s="1" t="s">
        <v>31</v>
      </c>
      <c r="J1149" s="1" t="n">
        <v>5</v>
      </c>
      <c r="K1149" s="1" t="n">
        <v>3.2</v>
      </c>
      <c r="L1149" s="15" t="n">
        <v>1791.2</v>
      </c>
      <c r="M1149" s="15" t="n">
        <f aca="false">F1149*G1149</f>
        <v>1827.76</v>
      </c>
      <c r="N1149" s="15" t="n">
        <f aca="false">M1149-L1149</f>
        <v>36.5599999999999</v>
      </c>
      <c r="O1149" s="1" t="n">
        <f aca="false">YEAR(B1149)</f>
        <v>2025</v>
      </c>
      <c r="P1149" s="1" t="n">
        <f aca="false">MONTH(B1149)</f>
        <v>2</v>
      </c>
      <c r="Q1149" s="1" t="str">
        <f aca="false">TEXT(B1149,"mmm")</f>
        <v>Feb</v>
      </c>
      <c r="R1149" s="1" t="str">
        <f aca="false">"Q"&amp;ROUNDUP(MONTH(B1149)/3,0)</f>
        <v>Q1</v>
      </c>
    </row>
    <row r="1150" customFormat="false" ht="15" hidden="false" customHeight="true" outlineLevel="0" collapsed="false">
      <c r="A1150" s="1" t="n">
        <v>11149</v>
      </c>
      <c r="B1150" s="14" t="n">
        <v>45710</v>
      </c>
      <c r="C1150" s="1" t="n">
        <v>1970</v>
      </c>
      <c r="D1150" s="1" t="s">
        <v>34</v>
      </c>
      <c r="E1150" s="1" t="s">
        <v>28</v>
      </c>
      <c r="F1150" s="1" t="n">
        <v>3</v>
      </c>
      <c r="G1150" s="15" t="n">
        <v>529.97</v>
      </c>
      <c r="H1150" s="16" t="n">
        <v>0.07</v>
      </c>
      <c r="I1150" s="1" t="s">
        <v>33</v>
      </c>
      <c r="J1150" s="1" t="n">
        <v>9</v>
      </c>
      <c r="K1150" s="1" t="n">
        <v>2.2</v>
      </c>
      <c r="L1150" s="15" t="n">
        <v>1478.62</v>
      </c>
      <c r="M1150" s="15" t="n">
        <f aca="false">F1150*G1150</f>
        <v>1589.91</v>
      </c>
      <c r="N1150" s="15" t="n">
        <f aca="false">M1150-L1150</f>
        <v>111.29</v>
      </c>
      <c r="O1150" s="1" t="n">
        <f aca="false">YEAR(B1150)</f>
        <v>2025</v>
      </c>
      <c r="P1150" s="1" t="n">
        <f aca="false">MONTH(B1150)</f>
        <v>2</v>
      </c>
      <c r="Q1150" s="1" t="str">
        <f aca="false">TEXT(B1150,"mmm")</f>
        <v>Feb</v>
      </c>
      <c r="R1150" s="1" t="str">
        <f aca="false">"Q"&amp;ROUNDUP(MONTH(B1150)/3,0)</f>
        <v>Q1</v>
      </c>
    </row>
    <row r="1151" customFormat="false" ht="15" hidden="false" customHeight="true" outlineLevel="0" collapsed="false">
      <c r="A1151" s="1" t="n">
        <v>11150</v>
      </c>
      <c r="B1151" s="14" t="n">
        <v>45711</v>
      </c>
      <c r="C1151" s="1" t="n">
        <v>1373</v>
      </c>
      <c r="D1151" s="1" t="s">
        <v>30</v>
      </c>
      <c r="E1151" s="1" t="s">
        <v>28</v>
      </c>
      <c r="F1151" s="1" t="n">
        <v>1</v>
      </c>
      <c r="G1151" s="15" t="n">
        <v>579.03</v>
      </c>
      <c r="H1151" s="16" t="n">
        <v>0.02</v>
      </c>
      <c r="I1151" s="1" t="s">
        <v>31</v>
      </c>
      <c r="J1151" s="1" t="n">
        <v>9</v>
      </c>
      <c r="K1151" s="1" t="n">
        <v>1.3</v>
      </c>
      <c r="L1151" s="15" t="n">
        <v>567.45</v>
      </c>
      <c r="M1151" s="15" t="n">
        <f aca="false">F1151*G1151</f>
        <v>579.03</v>
      </c>
      <c r="N1151" s="15" t="n">
        <f aca="false">M1151-L1151</f>
        <v>11.5799999999999</v>
      </c>
      <c r="O1151" s="1" t="n">
        <f aca="false">YEAR(B1151)</f>
        <v>2025</v>
      </c>
      <c r="P1151" s="1" t="n">
        <f aca="false">MONTH(B1151)</f>
        <v>2</v>
      </c>
      <c r="Q1151" s="1" t="str">
        <f aca="false">TEXT(B1151,"mmm")</f>
        <v>Feb</v>
      </c>
      <c r="R1151" s="1" t="str">
        <f aca="false">"Q"&amp;ROUNDUP(MONTH(B1151)/3,0)</f>
        <v>Q1</v>
      </c>
    </row>
    <row r="1152" customFormat="false" ht="15" hidden="false" customHeight="true" outlineLevel="0" collapsed="false">
      <c r="A1152" s="1" t="n">
        <v>11151</v>
      </c>
      <c r="B1152" s="14" t="n">
        <v>45712</v>
      </c>
      <c r="C1152" s="1" t="n">
        <v>1911</v>
      </c>
      <c r="D1152" s="1" t="s">
        <v>34</v>
      </c>
      <c r="E1152" s="1" t="s">
        <v>36</v>
      </c>
      <c r="F1152" s="1" t="n">
        <v>7</v>
      </c>
      <c r="G1152" s="15" t="n">
        <v>204.86</v>
      </c>
      <c r="H1152" s="16" t="n">
        <v>0.07</v>
      </c>
      <c r="I1152" s="1" t="s">
        <v>31</v>
      </c>
      <c r="J1152" s="1" t="n">
        <v>6</v>
      </c>
      <c r="K1152" s="1" t="n">
        <v>3.5</v>
      </c>
      <c r="L1152" s="15" t="n">
        <v>1333.64</v>
      </c>
      <c r="M1152" s="15" t="n">
        <f aca="false">F1152*G1152</f>
        <v>1434.02</v>
      </c>
      <c r="N1152" s="15" t="n">
        <f aca="false">M1152-L1152</f>
        <v>100.38</v>
      </c>
      <c r="O1152" s="1" t="n">
        <f aca="false">YEAR(B1152)</f>
        <v>2025</v>
      </c>
      <c r="P1152" s="1" t="n">
        <f aca="false">MONTH(B1152)</f>
        <v>2</v>
      </c>
      <c r="Q1152" s="1" t="str">
        <f aca="false">TEXT(B1152,"mmm")</f>
        <v>Feb</v>
      </c>
      <c r="R1152" s="1" t="str">
        <f aca="false">"Q"&amp;ROUNDUP(MONTH(B1152)/3,0)</f>
        <v>Q1</v>
      </c>
    </row>
    <row r="1153" customFormat="false" ht="15" hidden="false" customHeight="true" outlineLevel="0" collapsed="false">
      <c r="A1153" s="1" t="n">
        <v>11152</v>
      </c>
      <c r="B1153" s="14" t="n">
        <v>45713</v>
      </c>
      <c r="C1153" s="1" t="n">
        <v>1519</v>
      </c>
      <c r="D1153" s="1" t="s">
        <v>34</v>
      </c>
      <c r="E1153" s="1" t="s">
        <v>36</v>
      </c>
      <c r="F1153" s="1" t="n">
        <v>1</v>
      </c>
      <c r="G1153" s="15" t="n">
        <v>482.24</v>
      </c>
      <c r="H1153" s="16" t="n">
        <v>0.14</v>
      </c>
      <c r="I1153" s="1" t="s">
        <v>29</v>
      </c>
      <c r="J1153" s="1" t="n">
        <v>5</v>
      </c>
      <c r="K1153" s="1" t="n">
        <v>3</v>
      </c>
      <c r="L1153" s="15" t="n">
        <v>414.73</v>
      </c>
      <c r="M1153" s="15" t="n">
        <f aca="false">F1153*G1153</f>
        <v>482.24</v>
      </c>
      <c r="N1153" s="15" t="n">
        <f aca="false">M1153-L1153</f>
        <v>67.51</v>
      </c>
      <c r="O1153" s="1" t="n">
        <f aca="false">YEAR(B1153)</f>
        <v>2025</v>
      </c>
      <c r="P1153" s="1" t="n">
        <f aca="false">MONTH(B1153)</f>
        <v>2</v>
      </c>
      <c r="Q1153" s="1" t="str">
        <f aca="false">TEXT(B1153,"mmm")</f>
        <v>Feb</v>
      </c>
      <c r="R1153" s="1" t="str">
        <f aca="false">"Q"&amp;ROUNDUP(MONTH(B1153)/3,0)</f>
        <v>Q1</v>
      </c>
    </row>
    <row r="1154" customFormat="false" ht="15" hidden="false" customHeight="true" outlineLevel="0" collapsed="false">
      <c r="A1154" s="1" t="n">
        <v>11153</v>
      </c>
      <c r="B1154" s="14" t="n">
        <v>45714</v>
      </c>
      <c r="C1154" s="1" t="n">
        <v>1899</v>
      </c>
      <c r="D1154" s="1" t="s">
        <v>37</v>
      </c>
      <c r="E1154" s="1" t="s">
        <v>28</v>
      </c>
      <c r="F1154" s="1" t="n">
        <v>4</v>
      </c>
      <c r="G1154" s="15" t="n">
        <v>138.23</v>
      </c>
      <c r="H1154" s="16" t="n">
        <v>0.04</v>
      </c>
      <c r="I1154" s="1" t="s">
        <v>33</v>
      </c>
      <c r="J1154" s="1" t="n">
        <v>10</v>
      </c>
      <c r="K1154" s="1" t="n">
        <v>4</v>
      </c>
      <c r="L1154" s="15" t="n">
        <v>530.8</v>
      </c>
      <c r="M1154" s="15" t="n">
        <f aca="false">F1154*G1154</f>
        <v>552.92</v>
      </c>
      <c r="N1154" s="15" t="n">
        <f aca="false">M1154-L1154</f>
        <v>22.12</v>
      </c>
      <c r="O1154" s="1" t="n">
        <f aca="false">YEAR(B1154)</f>
        <v>2025</v>
      </c>
      <c r="P1154" s="1" t="n">
        <f aca="false">MONTH(B1154)</f>
        <v>2</v>
      </c>
      <c r="Q1154" s="1" t="str">
        <f aca="false">TEXT(B1154,"mmm")</f>
        <v>Feb</v>
      </c>
      <c r="R1154" s="1" t="str">
        <f aca="false">"Q"&amp;ROUNDUP(MONTH(B1154)/3,0)</f>
        <v>Q1</v>
      </c>
    </row>
    <row r="1155" customFormat="false" ht="15" hidden="false" customHeight="true" outlineLevel="0" collapsed="false">
      <c r="A1155" s="1" t="n">
        <v>11154</v>
      </c>
      <c r="B1155" s="14" t="n">
        <v>45715</v>
      </c>
      <c r="C1155" s="1" t="n">
        <v>1359</v>
      </c>
      <c r="D1155" s="1" t="s">
        <v>27</v>
      </c>
      <c r="E1155" s="1" t="s">
        <v>28</v>
      </c>
      <c r="F1155" s="1" t="n">
        <v>7</v>
      </c>
      <c r="G1155" s="15" t="n">
        <v>334.16</v>
      </c>
      <c r="H1155" s="16" t="n">
        <v>0.06</v>
      </c>
      <c r="I1155" s="1" t="s">
        <v>29</v>
      </c>
      <c r="J1155" s="1" t="n">
        <v>2</v>
      </c>
      <c r="K1155" s="1" t="n">
        <v>2.6</v>
      </c>
      <c r="L1155" s="15" t="n">
        <v>2198.77</v>
      </c>
      <c r="M1155" s="15" t="n">
        <f aca="false">F1155*G1155</f>
        <v>2339.12</v>
      </c>
      <c r="N1155" s="15" t="n">
        <f aca="false">M1155-L1155</f>
        <v>140.35</v>
      </c>
      <c r="O1155" s="1" t="n">
        <f aca="false">YEAR(B1155)</f>
        <v>2025</v>
      </c>
      <c r="P1155" s="1" t="n">
        <f aca="false">MONTH(B1155)</f>
        <v>2</v>
      </c>
      <c r="Q1155" s="1" t="str">
        <f aca="false">TEXT(B1155,"mmm")</f>
        <v>Feb</v>
      </c>
      <c r="R1155" s="1" t="str">
        <f aca="false">"Q"&amp;ROUNDUP(MONTH(B1155)/3,0)</f>
        <v>Q1</v>
      </c>
    </row>
    <row r="1156" customFormat="false" ht="15" hidden="false" customHeight="true" outlineLevel="0" collapsed="false">
      <c r="A1156" s="1" t="n">
        <v>11155</v>
      </c>
      <c r="B1156" s="14" t="n">
        <v>45716</v>
      </c>
      <c r="C1156" s="1" t="n">
        <v>1899</v>
      </c>
      <c r="D1156" s="1" t="s">
        <v>34</v>
      </c>
      <c r="E1156" s="1" t="s">
        <v>32</v>
      </c>
      <c r="F1156" s="1" t="n">
        <v>1</v>
      </c>
      <c r="G1156" s="15" t="n">
        <v>120.21</v>
      </c>
      <c r="H1156" s="16" t="n">
        <v>0.16</v>
      </c>
      <c r="I1156" s="1" t="s">
        <v>31</v>
      </c>
      <c r="J1156" s="1" t="n">
        <v>11</v>
      </c>
      <c r="K1156" s="1" t="n">
        <v>4.9</v>
      </c>
      <c r="L1156" s="15" t="n">
        <v>100.98</v>
      </c>
      <c r="M1156" s="15" t="n">
        <f aca="false">F1156*G1156</f>
        <v>120.21</v>
      </c>
      <c r="N1156" s="15" t="n">
        <f aca="false">M1156-L1156</f>
        <v>19.23</v>
      </c>
      <c r="O1156" s="1" t="n">
        <f aca="false">YEAR(B1156)</f>
        <v>2025</v>
      </c>
      <c r="P1156" s="1" t="n">
        <f aca="false">MONTH(B1156)</f>
        <v>2</v>
      </c>
      <c r="Q1156" s="1" t="str">
        <f aca="false">TEXT(B1156,"mmm")</f>
        <v>Feb</v>
      </c>
      <c r="R1156" s="1" t="str">
        <f aca="false">"Q"&amp;ROUNDUP(MONTH(B1156)/3,0)</f>
        <v>Q1</v>
      </c>
    </row>
    <row r="1157" customFormat="false" ht="15" hidden="false" customHeight="true" outlineLevel="0" collapsed="false">
      <c r="A1157" s="1" t="n">
        <v>11156</v>
      </c>
      <c r="B1157" s="14" t="n">
        <v>45717</v>
      </c>
      <c r="C1157" s="1" t="n">
        <v>1695</v>
      </c>
      <c r="D1157" s="1" t="s">
        <v>30</v>
      </c>
      <c r="E1157" s="1" t="s">
        <v>32</v>
      </c>
      <c r="F1157" s="1" t="n">
        <v>5</v>
      </c>
      <c r="G1157" s="15" t="n">
        <v>218.23</v>
      </c>
      <c r="H1157" s="16" t="n">
        <v>0.12</v>
      </c>
      <c r="I1157" s="1" t="s">
        <v>33</v>
      </c>
      <c r="J1157" s="1" t="n">
        <v>8</v>
      </c>
      <c r="K1157" s="1" t="n">
        <v>2.6</v>
      </c>
      <c r="L1157" s="15" t="n">
        <v>960.21</v>
      </c>
      <c r="M1157" s="15" t="n">
        <f aca="false">F1157*G1157</f>
        <v>1091.15</v>
      </c>
      <c r="N1157" s="15" t="n">
        <f aca="false">M1157-L1157</f>
        <v>130.94</v>
      </c>
      <c r="O1157" s="1" t="n">
        <f aca="false">YEAR(B1157)</f>
        <v>2025</v>
      </c>
      <c r="P1157" s="1" t="n">
        <f aca="false">MONTH(B1157)</f>
        <v>3</v>
      </c>
      <c r="Q1157" s="1" t="str">
        <f aca="false">TEXT(B1157,"mmm")</f>
        <v>Mar</v>
      </c>
      <c r="R1157" s="1" t="str">
        <f aca="false">"Q"&amp;ROUNDUP(MONTH(B1157)/3,0)</f>
        <v>Q1</v>
      </c>
    </row>
    <row r="1158" customFormat="false" ht="15" hidden="false" customHeight="true" outlineLevel="0" collapsed="false">
      <c r="A1158" s="1" t="n">
        <v>11157</v>
      </c>
      <c r="B1158" s="14" t="n">
        <v>45718</v>
      </c>
      <c r="C1158" s="1" t="n">
        <v>1280</v>
      </c>
      <c r="D1158" s="1" t="s">
        <v>27</v>
      </c>
      <c r="E1158" s="1" t="s">
        <v>35</v>
      </c>
      <c r="F1158" s="1" t="n">
        <v>2</v>
      </c>
      <c r="G1158" s="15" t="n">
        <v>559.84</v>
      </c>
      <c r="H1158" s="16" t="n">
        <v>0.16</v>
      </c>
      <c r="I1158" s="1" t="s">
        <v>31</v>
      </c>
      <c r="J1158" s="1" t="n">
        <v>8</v>
      </c>
      <c r="K1158" s="1" t="n">
        <v>2.3</v>
      </c>
      <c r="L1158" s="15" t="n">
        <v>940.53</v>
      </c>
      <c r="M1158" s="15" t="n">
        <f aca="false">F1158*G1158</f>
        <v>1119.68</v>
      </c>
      <c r="N1158" s="15" t="n">
        <f aca="false">M1158-L1158</f>
        <v>179.15</v>
      </c>
      <c r="O1158" s="1" t="n">
        <f aca="false">YEAR(B1158)</f>
        <v>2025</v>
      </c>
      <c r="P1158" s="1" t="n">
        <f aca="false">MONTH(B1158)</f>
        <v>3</v>
      </c>
      <c r="Q1158" s="1" t="str">
        <f aca="false">TEXT(B1158,"mmm")</f>
        <v>Mar</v>
      </c>
      <c r="R1158" s="1" t="str">
        <f aca="false">"Q"&amp;ROUNDUP(MONTH(B1158)/3,0)</f>
        <v>Q1</v>
      </c>
    </row>
    <row r="1159" customFormat="false" ht="15" hidden="false" customHeight="true" outlineLevel="0" collapsed="false">
      <c r="A1159" s="1" t="n">
        <v>11158</v>
      </c>
      <c r="B1159" s="14" t="n">
        <v>45719</v>
      </c>
      <c r="C1159" s="1" t="n">
        <v>1194</v>
      </c>
      <c r="D1159" s="1" t="s">
        <v>34</v>
      </c>
      <c r="E1159" s="1" t="s">
        <v>32</v>
      </c>
      <c r="F1159" s="1" t="n">
        <v>4</v>
      </c>
      <c r="G1159" s="15" t="n">
        <v>100.46</v>
      </c>
      <c r="H1159" s="16" t="n">
        <v>0.15</v>
      </c>
      <c r="I1159" s="1" t="s">
        <v>33</v>
      </c>
      <c r="J1159" s="1" t="n">
        <v>7</v>
      </c>
      <c r="K1159" s="1" t="n">
        <v>4.5</v>
      </c>
      <c r="L1159" s="15" t="n">
        <v>341.56</v>
      </c>
      <c r="M1159" s="15" t="n">
        <f aca="false">F1159*G1159</f>
        <v>401.84</v>
      </c>
      <c r="N1159" s="15" t="n">
        <f aca="false">M1159-L1159</f>
        <v>60.28</v>
      </c>
      <c r="O1159" s="1" t="n">
        <f aca="false">YEAR(B1159)</f>
        <v>2025</v>
      </c>
      <c r="P1159" s="1" t="n">
        <f aca="false">MONTH(B1159)</f>
        <v>3</v>
      </c>
      <c r="Q1159" s="1" t="str">
        <f aca="false">TEXT(B1159,"mmm")</f>
        <v>Mar</v>
      </c>
      <c r="R1159" s="1" t="str">
        <f aca="false">"Q"&amp;ROUNDUP(MONTH(B1159)/3,0)</f>
        <v>Q1</v>
      </c>
    </row>
    <row r="1160" customFormat="false" ht="15" hidden="false" customHeight="true" outlineLevel="0" collapsed="false">
      <c r="A1160" s="1" t="n">
        <v>11159</v>
      </c>
      <c r="B1160" s="14" t="n">
        <v>45720</v>
      </c>
      <c r="C1160" s="1" t="n">
        <v>1863</v>
      </c>
      <c r="D1160" s="1" t="s">
        <v>34</v>
      </c>
      <c r="E1160" s="1" t="s">
        <v>32</v>
      </c>
      <c r="F1160" s="1" t="n">
        <v>7</v>
      </c>
      <c r="G1160" s="15" t="n">
        <v>384.95</v>
      </c>
      <c r="H1160" s="16" t="n">
        <v>0.23</v>
      </c>
      <c r="I1160" s="1" t="s">
        <v>31</v>
      </c>
      <c r="J1160" s="1" t="n">
        <v>8</v>
      </c>
      <c r="K1160" s="1" t="n">
        <v>2.6</v>
      </c>
      <c r="L1160" s="15" t="n">
        <v>2074.88</v>
      </c>
      <c r="M1160" s="15" t="n">
        <f aca="false">F1160*G1160</f>
        <v>2694.65</v>
      </c>
      <c r="N1160" s="15" t="n">
        <f aca="false">M1160-L1160</f>
        <v>619.77</v>
      </c>
      <c r="O1160" s="1" t="n">
        <f aca="false">YEAR(B1160)</f>
        <v>2025</v>
      </c>
      <c r="P1160" s="1" t="n">
        <f aca="false">MONTH(B1160)</f>
        <v>3</v>
      </c>
      <c r="Q1160" s="1" t="str">
        <f aca="false">TEXT(B1160,"mmm")</f>
        <v>Mar</v>
      </c>
      <c r="R1160" s="1" t="str">
        <f aca="false">"Q"&amp;ROUNDUP(MONTH(B1160)/3,0)</f>
        <v>Q1</v>
      </c>
    </row>
    <row r="1161" customFormat="false" ht="15" hidden="false" customHeight="true" outlineLevel="0" collapsed="false">
      <c r="A1161" s="1" t="n">
        <v>11160</v>
      </c>
      <c r="B1161" s="14" t="n">
        <v>45721</v>
      </c>
      <c r="C1161" s="1" t="n">
        <v>1194</v>
      </c>
      <c r="D1161" s="1" t="s">
        <v>34</v>
      </c>
      <c r="E1161" s="1" t="s">
        <v>32</v>
      </c>
      <c r="F1161" s="1" t="n">
        <v>3</v>
      </c>
      <c r="G1161" s="15" t="n">
        <v>361.88</v>
      </c>
      <c r="H1161" s="16" t="n">
        <v>0.33</v>
      </c>
      <c r="I1161" s="1" t="s">
        <v>31</v>
      </c>
      <c r="J1161" s="1" t="n">
        <v>3</v>
      </c>
      <c r="K1161" s="1" t="n">
        <v>4.5</v>
      </c>
      <c r="L1161" s="15" t="n">
        <v>727.38</v>
      </c>
      <c r="M1161" s="15" t="n">
        <f aca="false">F1161*G1161</f>
        <v>1085.64</v>
      </c>
      <c r="N1161" s="15" t="n">
        <f aca="false">M1161-L1161</f>
        <v>358.26</v>
      </c>
      <c r="O1161" s="1" t="n">
        <f aca="false">YEAR(B1161)</f>
        <v>2025</v>
      </c>
      <c r="P1161" s="1" t="n">
        <f aca="false">MONTH(B1161)</f>
        <v>3</v>
      </c>
      <c r="Q1161" s="1" t="str">
        <f aca="false">TEXT(B1161,"mmm")</f>
        <v>Mar</v>
      </c>
      <c r="R1161" s="1" t="str">
        <f aca="false">"Q"&amp;ROUNDUP(MONTH(B1161)/3,0)</f>
        <v>Q1</v>
      </c>
    </row>
    <row r="1162" customFormat="false" ht="15" hidden="false" customHeight="true" outlineLevel="0" collapsed="false">
      <c r="A1162" s="1" t="n">
        <v>11161</v>
      </c>
      <c r="B1162" s="14" t="n">
        <v>45722</v>
      </c>
      <c r="C1162" s="1" t="n">
        <v>1666</v>
      </c>
      <c r="D1162" s="1" t="s">
        <v>30</v>
      </c>
      <c r="E1162" s="1" t="s">
        <v>36</v>
      </c>
      <c r="F1162" s="1" t="n">
        <v>2</v>
      </c>
      <c r="G1162" s="15" t="n">
        <v>85.63</v>
      </c>
      <c r="H1162" s="16" t="n">
        <v>0.04</v>
      </c>
      <c r="I1162" s="1" t="s">
        <v>31</v>
      </c>
      <c r="J1162" s="1" t="n">
        <v>3</v>
      </c>
      <c r="K1162" s="1" t="n">
        <v>1.1</v>
      </c>
      <c r="L1162" s="15" t="n">
        <v>164.41</v>
      </c>
      <c r="M1162" s="15" t="n">
        <f aca="false">F1162*G1162</f>
        <v>171.26</v>
      </c>
      <c r="N1162" s="15" t="n">
        <f aca="false">M1162-L1162</f>
        <v>6.84999999999999</v>
      </c>
      <c r="O1162" s="1" t="n">
        <f aca="false">YEAR(B1162)</f>
        <v>2025</v>
      </c>
      <c r="P1162" s="1" t="n">
        <f aca="false">MONTH(B1162)</f>
        <v>3</v>
      </c>
      <c r="Q1162" s="1" t="str">
        <f aca="false">TEXT(B1162,"mmm")</f>
        <v>Mar</v>
      </c>
      <c r="R1162" s="1" t="str">
        <f aca="false">"Q"&amp;ROUNDUP(MONTH(B1162)/3,0)</f>
        <v>Q1</v>
      </c>
    </row>
    <row r="1163" customFormat="false" ht="15" hidden="false" customHeight="true" outlineLevel="0" collapsed="false">
      <c r="A1163" s="1" t="n">
        <v>11162</v>
      </c>
      <c r="B1163" s="14" t="n">
        <v>45723</v>
      </c>
      <c r="C1163" s="1" t="n">
        <v>1092</v>
      </c>
      <c r="D1163" s="1" t="s">
        <v>34</v>
      </c>
      <c r="E1163" s="1" t="s">
        <v>32</v>
      </c>
      <c r="F1163" s="1" t="n">
        <v>1</v>
      </c>
      <c r="G1163" s="15" t="n">
        <v>205.7</v>
      </c>
      <c r="H1163" s="16" t="n">
        <v>0.03</v>
      </c>
      <c r="I1163" s="1" t="s">
        <v>33</v>
      </c>
      <c r="J1163" s="1" t="n">
        <v>2</v>
      </c>
      <c r="K1163" s="1" t="n">
        <v>3.8</v>
      </c>
      <c r="L1163" s="15" t="n">
        <v>199.53</v>
      </c>
      <c r="M1163" s="15" t="n">
        <f aca="false">F1163*G1163</f>
        <v>205.7</v>
      </c>
      <c r="N1163" s="15" t="n">
        <f aca="false">M1163-L1163</f>
        <v>6.16999999999999</v>
      </c>
      <c r="O1163" s="1" t="n">
        <f aca="false">YEAR(B1163)</f>
        <v>2025</v>
      </c>
      <c r="P1163" s="1" t="n">
        <f aca="false">MONTH(B1163)</f>
        <v>3</v>
      </c>
      <c r="Q1163" s="1" t="str">
        <f aca="false">TEXT(B1163,"mmm")</f>
        <v>Mar</v>
      </c>
      <c r="R1163" s="1" t="str">
        <f aca="false">"Q"&amp;ROUNDUP(MONTH(B1163)/3,0)</f>
        <v>Q1</v>
      </c>
    </row>
    <row r="1164" customFormat="false" ht="15" hidden="false" customHeight="true" outlineLevel="0" collapsed="false">
      <c r="A1164" s="1" t="n">
        <v>11163</v>
      </c>
      <c r="B1164" s="14" t="n">
        <v>45724</v>
      </c>
      <c r="C1164" s="1" t="n">
        <v>1671</v>
      </c>
      <c r="D1164" s="1" t="s">
        <v>27</v>
      </c>
      <c r="E1164" s="1" t="s">
        <v>32</v>
      </c>
      <c r="F1164" s="1" t="n">
        <v>1</v>
      </c>
      <c r="G1164" s="15" t="n">
        <v>344.34</v>
      </c>
      <c r="H1164" s="16" t="n">
        <v>0.3</v>
      </c>
      <c r="I1164" s="1" t="s">
        <v>31</v>
      </c>
      <c r="J1164" s="1" t="n">
        <v>1</v>
      </c>
      <c r="K1164" s="1" t="n">
        <v>1.3</v>
      </c>
      <c r="L1164" s="15" t="n">
        <v>241.04</v>
      </c>
      <c r="M1164" s="15" t="n">
        <f aca="false">F1164*G1164</f>
        <v>344.34</v>
      </c>
      <c r="N1164" s="15" t="n">
        <f aca="false">M1164-L1164</f>
        <v>103.3</v>
      </c>
      <c r="O1164" s="1" t="n">
        <f aca="false">YEAR(B1164)</f>
        <v>2025</v>
      </c>
      <c r="P1164" s="1" t="n">
        <f aca="false">MONTH(B1164)</f>
        <v>3</v>
      </c>
      <c r="Q1164" s="1" t="str">
        <f aca="false">TEXT(B1164,"mmm")</f>
        <v>Mar</v>
      </c>
      <c r="R1164" s="1" t="str">
        <f aca="false">"Q"&amp;ROUNDUP(MONTH(B1164)/3,0)</f>
        <v>Q1</v>
      </c>
    </row>
    <row r="1165" customFormat="false" ht="15" hidden="false" customHeight="true" outlineLevel="0" collapsed="false">
      <c r="A1165" s="1" t="n">
        <v>11164</v>
      </c>
      <c r="B1165" s="14" t="n">
        <v>45725</v>
      </c>
      <c r="C1165" s="1" t="n">
        <v>1945</v>
      </c>
      <c r="D1165" s="1" t="s">
        <v>30</v>
      </c>
      <c r="E1165" s="1" t="s">
        <v>28</v>
      </c>
      <c r="F1165" s="1" t="n">
        <v>3</v>
      </c>
      <c r="G1165" s="15" t="n">
        <v>124.5</v>
      </c>
      <c r="H1165" s="16" t="n">
        <v>0.18</v>
      </c>
      <c r="I1165" s="1" t="s">
        <v>29</v>
      </c>
      <c r="J1165" s="1" t="n">
        <v>3</v>
      </c>
      <c r="K1165" s="1" t="n">
        <v>1.6</v>
      </c>
      <c r="L1165" s="15" t="n">
        <v>306.27</v>
      </c>
      <c r="M1165" s="15" t="n">
        <f aca="false">F1165*G1165</f>
        <v>373.5</v>
      </c>
      <c r="N1165" s="15" t="n">
        <f aca="false">M1165-L1165</f>
        <v>67.23</v>
      </c>
      <c r="O1165" s="1" t="n">
        <f aca="false">YEAR(B1165)</f>
        <v>2025</v>
      </c>
      <c r="P1165" s="1" t="n">
        <f aca="false">MONTH(B1165)</f>
        <v>3</v>
      </c>
      <c r="Q1165" s="1" t="str">
        <f aca="false">TEXT(B1165,"mmm")</f>
        <v>Mar</v>
      </c>
      <c r="R1165" s="1" t="str">
        <f aca="false">"Q"&amp;ROUNDUP(MONTH(B1165)/3,0)</f>
        <v>Q1</v>
      </c>
    </row>
    <row r="1166" customFormat="false" ht="15" hidden="false" customHeight="true" outlineLevel="0" collapsed="false">
      <c r="A1166" s="1" t="n">
        <v>11165</v>
      </c>
      <c r="B1166" s="14" t="n">
        <v>45726</v>
      </c>
      <c r="C1166" s="1" t="n">
        <v>1060</v>
      </c>
      <c r="D1166" s="1" t="s">
        <v>30</v>
      </c>
      <c r="E1166" s="1" t="s">
        <v>36</v>
      </c>
      <c r="F1166" s="1" t="n">
        <v>5</v>
      </c>
      <c r="G1166" s="15" t="n">
        <v>483.36</v>
      </c>
      <c r="H1166" s="16" t="n">
        <v>0.27</v>
      </c>
      <c r="I1166" s="1" t="s">
        <v>31</v>
      </c>
      <c r="J1166" s="1" t="n">
        <v>3</v>
      </c>
      <c r="K1166" s="1" t="n">
        <v>3.8</v>
      </c>
      <c r="L1166" s="15" t="n">
        <v>1764.26</v>
      </c>
      <c r="M1166" s="15" t="n">
        <f aca="false">F1166*G1166</f>
        <v>2416.8</v>
      </c>
      <c r="N1166" s="15" t="n">
        <f aca="false">M1166-L1166</f>
        <v>652.54</v>
      </c>
      <c r="O1166" s="1" t="n">
        <f aca="false">YEAR(B1166)</f>
        <v>2025</v>
      </c>
      <c r="P1166" s="1" t="n">
        <f aca="false">MONTH(B1166)</f>
        <v>3</v>
      </c>
      <c r="Q1166" s="1" t="str">
        <f aca="false">TEXT(B1166,"mmm")</f>
        <v>Mar</v>
      </c>
      <c r="R1166" s="1" t="str">
        <f aca="false">"Q"&amp;ROUNDUP(MONTH(B1166)/3,0)</f>
        <v>Q1</v>
      </c>
    </row>
    <row r="1167" customFormat="false" ht="15" hidden="false" customHeight="true" outlineLevel="0" collapsed="false">
      <c r="A1167" s="1" t="n">
        <v>11166</v>
      </c>
      <c r="B1167" s="14" t="n">
        <v>45727</v>
      </c>
      <c r="C1167" s="1" t="n">
        <v>1633</v>
      </c>
      <c r="D1167" s="1" t="s">
        <v>34</v>
      </c>
      <c r="E1167" s="1" t="s">
        <v>35</v>
      </c>
      <c r="F1167" s="1" t="n">
        <v>3</v>
      </c>
      <c r="G1167" s="15" t="n">
        <v>583.71</v>
      </c>
      <c r="H1167" s="16" t="n">
        <v>0.08</v>
      </c>
      <c r="I1167" s="1" t="s">
        <v>31</v>
      </c>
      <c r="J1167" s="1" t="n">
        <v>7</v>
      </c>
      <c r="K1167" s="1" t="n">
        <v>2.2</v>
      </c>
      <c r="L1167" s="15" t="n">
        <v>1611.04</v>
      </c>
      <c r="M1167" s="15" t="n">
        <f aca="false">F1167*G1167</f>
        <v>1751.13</v>
      </c>
      <c r="N1167" s="15" t="n">
        <f aca="false">M1167-L1167</f>
        <v>140.09</v>
      </c>
      <c r="O1167" s="1" t="n">
        <f aca="false">YEAR(B1167)</f>
        <v>2025</v>
      </c>
      <c r="P1167" s="1" t="n">
        <f aca="false">MONTH(B1167)</f>
        <v>3</v>
      </c>
      <c r="Q1167" s="1" t="str">
        <f aca="false">TEXT(B1167,"mmm")</f>
        <v>Mar</v>
      </c>
      <c r="R1167" s="1" t="str">
        <f aca="false">"Q"&amp;ROUNDUP(MONTH(B1167)/3,0)</f>
        <v>Q1</v>
      </c>
    </row>
    <row r="1168" customFormat="false" ht="15" hidden="false" customHeight="true" outlineLevel="0" collapsed="false">
      <c r="A1168" s="1" t="n">
        <v>11167</v>
      </c>
      <c r="B1168" s="14" t="n">
        <v>45728</v>
      </c>
      <c r="C1168" s="1" t="n">
        <v>1050</v>
      </c>
      <c r="D1168" s="1" t="s">
        <v>30</v>
      </c>
      <c r="E1168" s="1" t="s">
        <v>35</v>
      </c>
      <c r="F1168" s="1" t="n">
        <v>4</v>
      </c>
      <c r="G1168" s="15" t="n">
        <v>140.63</v>
      </c>
      <c r="H1168" s="16" t="n">
        <v>0.29</v>
      </c>
      <c r="I1168" s="1" t="s">
        <v>31</v>
      </c>
      <c r="J1168" s="1" t="n">
        <v>10</v>
      </c>
      <c r="K1168" s="1" t="n">
        <v>1.8</v>
      </c>
      <c r="L1168" s="15" t="n">
        <v>399.39</v>
      </c>
      <c r="M1168" s="15" t="n">
        <f aca="false">F1168*G1168</f>
        <v>562.52</v>
      </c>
      <c r="N1168" s="15" t="n">
        <f aca="false">M1168-L1168</f>
        <v>163.13</v>
      </c>
      <c r="O1168" s="1" t="n">
        <f aca="false">YEAR(B1168)</f>
        <v>2025</v>
      </c>
      <c r="P1168" s="1" t="n">
        <f aca="false">MONTH(B1168)</f>
        <v>3</v>
      </c>
      <c r="Q1168" s="1" t="str">
        <f aca="false">TEXT(B1168,"mmm")</f>
        <v>Mar</v>
      </c>
      <c r="R1168" s="1" t="str">
        <f aca="false">"Q"&amp;ROUNDUP(MONTH(B1168)/3,0)</f>
        <v>Q1</v>
      </c>
    </row>
    <row r="1169" customFormat="false" ht="15" hidden="false" customHeight="true" outlineLevel="0" collapsed="false">
      <c r="A1169" s="1" t="n">
        <v>11168</v>
      </c>
      <c r="B1169" s="14" t="n">
        <v>45729</v>
      </c>
      <c r="C1169" s="1" t="n">
        <v>1402</v>
      </c>
      <c r="D1169" s="1" t="s">
        <v>37</v>
      </c>
      <c r="E1169" s="1" t="s">
        <v>32</v>
      </c>
      <c r="F1169" s="1" t="n">
        <v>3</v>
      </c>
      <c r="G1169" s="15" t="n">
        <v>124.34</v>
      </c>
      <c r="H1169" s="16" t="n">
        <v>0.32</v>
      </c>
      <c r="I1169" s="1" t="s">
        <v>29</v>
      </c>
      <c r="J1169" s="1" t="n">
        <v>9</v>
      </c>
      <c r="K1169" s="1" t="n">
        <v>4.2</v>
      </c>
      <c r="L1169" s="15" t="n">
        <v>253.65</v>
      </c>
      <c r="M1169" s="15" t="n">
        <f aca="false">F1169*G1169</f>
        <v>373.02</v>
      </c>
      <c r="N1169" s="15" t="n">
        <f aca="false">M1169-L1169</f>
        <v>119.37</v>
      </c>
      <c r="O1169" s="1" t="n">
        <f aca="false">YEAR(B1169)</f>
        <v>2025</v>
      </c>
      <c r="P1169" s="1" t="n">
        <f aca="false">MONTH(B1169)</f>
        <v>3</v>
      </c>
      <c r="Q1169" s="1" t="str">
        <f aca="false">TEXT(B1169,"mmm")</f>
        <v>Mar</v>
      </c>
      <c r="R1169" s="1" t="str">
        <f aca="false">"Q"&amp;ROUNDUP(MONTH(B1169)/3,0)</f>
        <v>Q1</v>
      </c>
    </row>
    <row r="1170" customFormat="false" ht="15" hidden="false" customHeight="true" outlineLevel="0" collapsed="false">
      <c r="A1170" s="1" t="n">
        <v>11169</v>
      </c>
      <c r="B1170" s="14" t="n">
        <v>45730</v>
      </c>
      <c r="C1170" s="1" t="n">
        <v>1788</v>
      </c>
      <c r="D1170" s="1" t="s">
        <v>37</v>
      </c>
      <c r="E1170" s="1" t="s">
        <v>35</v>
      </c>
      <c r="F1170" s="1" t="n">
        <v>1</v>
      </c>
      <c r="G1170" s="15" t="n">
        <v>281.14</v>
      </c>
      <c r="H1170" s="16" t="n">
        <v>0.22</v>
      </c>
      <c r="I1170" s="1" t="s">
        <v>31</v>
      </c>
      <c r="J1170" s="1" t="n">
        <v>1</v>
      </c>
      <c r="K1170" s="1" t="n">
        <v>4.8</v>
      </c>
      <c r="L1170" s="15" t="n">
        <v>219.29</v>
      </c>
      <c r="M1170" s="15" t="n">
        <f aca="false">F1170*G1170</f>
        <v>281.14</v>
      </c>
      <c r="N1170" s="15" t="n">
        <f aca="false">M1170-L1170</f>
        <v>61.85</v>
      </c>
      <c r="O1170" s="1" t="n">
        <f aca="false">YEAR(B1170)</f>
        <v>2025</v>
      </c>
      <c r="P1170" s="1" t="n">
        <f aca="false">MONTH(B1170)</f>
        <v>3</v>
      </c>
      <c r="Q1170" s="1" t="str">
        <f aca="false">TEXT(B1170,"mmm")</f>
        <v>Mar</v>
      </c>
      <c r="R1170" s="1" t="str">
        <f aca="false">"Q"&amp;ROUNDUP(MONTH(B1170)/3,0)</f>
        <v>Q1</v>
      </c>
    </row>
    <row r="1171" customFormat="false" ht="15" hidden="false" customHeight="true" outlineLevel="0" collapsed="false">
      <c r="A1171" s="1" t="n">
        <v>11170</v>
      </c>
      <c r="B1171" s="14" t="n">
        <v>45731</v>
      </c>
      <c r="C1171" s="1" t="n">
        <v>1004</v>
      </c>
      <c r="D1171" s="1" t="s">
        <v>37</v>
      </c>
      <c r="E1171" s="1" t="s">
        <v>35</v>
      </c>
      <c r="F1171" s="1" t="n">
        <v>5</v>
      </c>
      <c r="G1171" s="15" t="n">
        <v>452.44</v>
      </c>
      <c r="H1171" s="16" t="n">
        <v>0.04</v>
      </c>
      <c r="I1171" s="1" t="s">
        <v>31</v>
      </c>
      <c r="J1171" s="1" t="n">
        <v>8</v>
      </c>
      <c r="K1171" s="1" t="n">
        <v>1.9</v>
      </c>
      <c r="L1171" s="15" t="n">
        <v>2171.71</v>
      </c>
      <c r="M1171" s="15" t="n">
        <f aca="false">F1171*G1171</f>
        <v>2262.2</v>
      </c>
      <c r="N1171" s="15" t="n">
        <f aca="false">M1171-L1171</f>
        <v>90.4899999999998</v>
      </c>
      <c r="O1171" s="1" t="n">
        <f aca="false">YEAR(B1171)</f>
        <v>2025</v>
      </c>
      <c r="P1171" s="1" t="n">
        <f aca="false">MONTH(B1171)</f>
        <v>3</v>
      </c>
      <c r="Q1171" s="1" t="str">
        <f aca="false">TEXT(B1171,"mmm")</f>
        <v>Mar</v>
      </c>
      <c r="R1171" s="1" t="str">
        <f aca="false">"Q"&amp;ROUNDUP(MONTH(B1171)/3,0)</f>
        <v>Q1</v>
      </c>
    </row>
    <row r="1172" customFormat="false" ht="15" hidden="false" customHeight="true" outlineLevel="0" collapsed="false">
      <c r="A1172" s="1" t="n">
        <v>11171</v>
      </c>
      <c r="B1172" s="14" t="n">
        <v>45732</v>
      </c>
      <c r="C1172" s="1" t="n">
        <v>1465</v>
      </c>
      <c r="D1172" s="1" t="s">
        <v>30</v>
      </c>
      <c r="E1172" s="1" t="s">
        <v>35</v>
      </c>
      <c r="F1172" s="1" t="n">
        <v>5</v>
      </c>
      <c r="G1172" s="15" t="n">
        <v>179.74</v>
      </c>
      <c r="H1172" s="16" t="n">
        <v>0.31</v>
      </c>
      <c r="I1172" s="1" t="s">
        <v>33</v>
      </c>
      <c r="J1172" s="1" t="n">
        <v>1</v>
      </c>
      <c r="K1172" s="1" t="n">
        <v>2.3</v>
      </c>
      <c r="L1172" s="15" t="n">
        <v>620.1</v>
      </c>
      <c r="M1172" s="15" t="n">
        <f aca="false">F1172*G1172</f>
        <v>898.7</v>
      </c>
      <c r="N1172" s="15" t="n">
        <f aca="false">M1172-L1172</f>
        <v>278.6</v>
      </c>
      <c r="O1172" s="1" t="n">
        <f aca="false">YEAR(B1172)</f>
        <v>2025</v>
      </c>
      <c r="P1172" s="1" t="n">
        <f aca="false">MONTH(B1172)</f>
        <v>3</v>
      </c>
      <c r="Q1172" s="1" t="str">
        <f aca="false">TEXT(B1172,"mmm")</f>
        <v>Mar</v>
      </c>
      <c r="R1172" s="1" t="str">
        <f aca="false">"Q"&amp;ROUNDUP(MONTH(B1172)/3,0)</f>
        <v>Q1</v>
      </c>
    </row>
    <row r="1173" customFormat="false" ht="15" hidden="false" customHeight="true" outlineLevel="0" collapsed="false">
      <c r="A1173" s="1" t="n">
        <v>11172</v>
      </c>
      <c r="B1173" s="14" t="n">
        <v>45733</v>
      </c>
      <c r="C1173" s="1" t="n">
        <v>1603</v>
      </c>
      <c r="D1173" s="1" t="s">
        <v>27</v>
      </c>
      <c r="E1173" s="1" t="s">
        <v>32</v>
      </c>
      <c r="F1173" s="1" t="n">
        <v>6</v>
      </c>
      <c r="G1173" s="15" t="n">
        <v>26.63</v>
      </c>
      <c r="H1173" s="16" t="n">
        <v>0.28</v>
      </c>
      <c r="I1173" s="1" t="s">
        <v>31</v>
      </c>
      <c r="J1173" s="1" t="n">
        <v>3</v>
      </c>
      <c r="K1173" s="1" t="n">
        <v>3.9</v>
      </c>
      <c r="L1173" s="15" t="n">
        <v>115.04</v>
      </c>
      <c r="M1173" s="15" t="n">
        <f aca="false">F1173*G1173</f>
        <v>159.78</v>
      </c>
      <c r="N1173" s="15" t="n">
        <f aca="false">M1173-L1173</f>
        <v>44.74</v>
      </c>
      <c r="O1173" s="1" t="n">
        <f aca="false">YEAR(B1173)</f>
        <v>2025</v>
      </c>
      <c r="P1173" s="1" t="n">
        <f aca="false">MONTH(B1173)</f>
        <v>3</v>
      </c>
      <c r="Q1173" s="1" t="str">
        <f aca="false">TEXT(B1173,"mmm")</f>
        <v>Mar</v>
      </c>
      <c r="R1173" s="1" t="str">
        <f aca="false">"Q"&amp;ROUNDUP(MONTH(B1173)/3,0)</f>
        <v>Q1</v>
      </c>
    </row>
    <row r="1174" customFormat="false" ht="15" hidden="false" customHeight="true" outlineLevel="0" collapsed="false">
      <c r="A1174" s="1" t="n">
        <v>11173</v>
      </c>
      <c r="B1174" s="14" t="n">
        <v>45734</v>
      </c>
      <c r="C1174" s="1" t="n">
        <v>1681</v>
      </c>
      <c r="D1174" s="1" t="s">
        <v>37</v>
      </c>
      <c r="E1174" s="1" t="s">
        <v>35</v>
      </c>
      <c r="F1174" s="1" t="n">
        <v>3</v>
      </c>
      <c r="G1174" s="15" t="n">
        <v>331.61</v>
      </c>
      <c r="H1174" s="16" t="n">
        <v>0.26</v>
      </c>
      <c r="I1174" s="1" t="s">
        <v>33</v>
      </c>
      <c r="J1174" s="1" t="n">
        <v>4</v>
      </c>
      <c r="K1174" s="1" t="n">
        <v>4.3</v>
      </c>
      <c r="L1174" s="15" t="n">
        <v>736.17</v>
      </c>
      <c r="M1174" s="15" t="n">
        <f aca="false">F1174*G1174</f>
        <v>994.83</v>
      </c>
      <c r="N1174" s="15" t="n">
        <f aca="false">M1174-L1174</f>
        <v>258.66</v>
      </c>
      <c r="O1174" s="1" t="n">
        <f aca="false">YEAR(B1174)</f>
        <v>2025</v>
      </c>
      <c r="P1174" s="1" t="n">
        <f aca="false">MONTH(B1174)</f>
        <v>3</v>
      </c>
      <c r="Q1174" s="1" t="str">
        <f aca="false">TEXT(B1174,"mmm")</f>
        <v>Mar</v>
      </c>
      <c r="R1174" s="1" t="str">
        <f aca="false">"Q"&amp;ROUNDUP(MONTH(B1174)/3,0)</f>
        <v>Q1</v>
      </c>
    </row>
    <row r="1175" customFormat="false" ht="15" hidden="false" customHeight="true" outlineLevel="0" collapsed="false">
      <c r="A1175" s="1" t="n">
        <v>11174</v>
      </c>
      <c r="B1175" s="14" t="n">
        <v>45735</v>
      </c>
      <c r="C1175" s="1" t="n">
        <v>1828</v>
      </c>
      <c r="D1175" s="1" t="s">
        <v>37</v>
      </c>
      <c r="E1175" s="1" t="s">
        <v>32</v>
      </c>
      <c r="F1175" s="1" t="n">
        <v>4</v>
      </c>
      <c r="G1175" s="15" t="n">
        <v>574.61</v>
      </c>
      <c r="H1175" s="16" t="n">
        <v>0.01</v>
      </c>
      <c r="I1175" s="1" t="s">
        <v>31</v>
      </c>
      <c r="J1175" s="1" t="n">
        <v>11</v>
      </c>
      <c r="K1175" s="1" t="n">
        <v>5</v>
      </c>
      <c r="L1175" s="15" t="n">
        <v>2275.46</v>
      </c>
      <c r="M1175" s="15" t="n">
        <f aca="false">F1175*G1175</f>
        <v>2298.44</v>
      </c>
      <c r="N1175" s="15" t="n">
        <f aca="false">M1175-L1175</f>
        <v>22.98</v>
      </c>
      <c r="O1175" s="1" t="n">
        <f aca="false">YEAR(B1175)</f>
        <v>2025</v>
      </c>
      <c r="P1175" s="1" t="n">
        <f aca="false">MONTH(B1175)</f>
        <v>3</v>
      </c>
      <c r="Q1175" s="1" t="str">
        <f aca="false">TEXT(B1175,"mmm")</f>
        <v>Mar</v>
      </c>
      <c r="R1175" s="1" t="str">
        <f aca="false">"Q"&amp;ROUNDUP(MONTH(B1175)/3,0)</f>
        <v>Q1</v>
      </c>
    </row>
    <row r="1176" customFormat="false" ht="15" hidden="false" customHeight="true" outlineLevel="0" collapsed="false">
      <c r="A1176" s="1" t="n">
        <v>11175</v>
      </c>
      <c r="B1176" s="14" t="n">
        <v>45736</v>
      </c>
      <c r="C1176" s="1" t="n">
        <v>1533</v>
      </c>
      <c r="D1176" s="1" t="s">
        <v>34</v>
      </c>
      <c r="E1176" s="1" t="s">
        <v>28</v>
      </c>
      <c r="F1176" s="1" t="n">
        <v>1</v>
      </c>
      <c r="G1176" s="15" t="n">
        <v>243.9</v>
      </c>
      <c r="H1176" s="16" t="n">
        <v>0.28</v>
      </c>
      <c r="I1176" s="1" t="s">
        <v>33</v>
      </c>
      <c r="J1176" s="1" t="n">
        <v>8</v>
      </c>
      <c r="K1176" s="1" t="n">
        <v>2.1</v>
      </c>
      <c r="L1176" s="15" t="n">
        <v>175.61</v>
      </c>
      <c r="M1176" s="15" t="n">
        <f aca="false">F1176*G1176</f>
        <v>243.9</v>
      </c>
      <c r="N1176" s="15" t="n">
        <f aca="false">M1176-L1176</f>
        <v>68.29</v>
      </c>
      <c r="O1176" s="1" t="n">
        <f aca="false">YEAR(B1176)</f>
        <v>2025</v>
      </c>
      <c r="P1176" s="1" t="n">
        <f aca="false">MONTH(B1176)</f>
        <v>3</v>
      </c>
      <c r="Q1176" s="1" t="str">
        <f aca="false">TEXT(B1176,"mmm")</f>
        <v>Mar</v>
      </c>
      <c r="R1176" s="1" t="str">
        <f aca="false">"Q"&amp;ROUNDUP(MONTH(B1176)/3,0)</f>
        <v>Q1</v>
      </c>
    </row>
    <row r="1177" customFormat="false" ht="15" hidden="false" customHeight="true" outlineLevel="0" collapsed="false">
      <c r="A1177" s="1" t="n">
        <v>11176</v>
      </c>
      <c r="B1177" s="14" t="n">
        <v>45737</v>
      </c>
      <c r="C1177" s="1" t="n">
        <v>1404</v>
      </c>
      <c r="D1177" s="1" t="s">
        <v>34</v>
      </c>
      <c r="E1177" s="1" t="s">
        <v>28</v>
      </c>
      <c r="F1177" s="1" t="n">
        <v>2</v>
      </c>
      <c r="G1177" s="15" t="n">
        <v>260.78</v>
      </c>
      <c r="H1177" s="16" t="n">
        <v>0.05</v>
      </c>
      <c r="I1177" s="1" t="s">
        <v>31</v>
      </c>
      <c r="J1177" s="1" t="n">
        <v>1</v>
      </c>
      <c r="K1177" s="1" t="n">
        <v>3.2</v>
      </c>
      <c r="L1177" s="15" t="n">
        <v>495.48</v>
      </c>
      <c r="M1177" s="15" t="n">
        <f aca="false">F1177*G1177</f>
        <v>521.56</v>
      </c>
      <c r="N1177" s="15" t="n">
        <f aca="false">M1177-L1177</f>
        <v>26.0799999999999</v>
      </c>
      <c r="O1177" s="1" t="n">
        <f aca="false">YEAR(B1177)</f>
        <v>2025</v>
      </c>
      <c r="P1177" s="1" t="n">
        <f aca="false">MONTH(B1177)</f>
        <v>3</v>
      </c>
      <c r="Q1177" s="1" t="str">
        <f aca="false">TEXT(B1177,"mmm")</f>
        <v>Mar</v>
      </c>
      <c r="R1177" s="1" t="str">
        <f aca="false">"Q"&amp;ROUNDUP(MONTH(B1177)/3,0)</f>
        <v>Q1</v>
      </c>
    </row>
    <row r="1178" customFormat="false" ht="15" hidden="false" customHeight="true" outlineLevel="0" collapsed="false">
      <c r="A1178" s="1" t="n">
        <v>11177</v>
      </c>
      <c r="B1178" s="14" t="n">
        <v>45738</v>
      </c>
      <c r="C1178" s="1" t="n">
        <v>1837</v>
      </c>
      <c r="D1178" s="1" t="s">
        <v>34</v>
      </c>
      <c r="E1178" s="1" t="s">
        <v>35</v>
      </c>
      <c r="F1178" s="1" t="n">
        <v>5</v>
      </c>
      <c r="G1178" s="15" t="n">
        <v>581.81</v>
      </c>
      <c r="H1178" s="16" t="n">
        <v>0.08</v>
      </c>
      <c r="I1178" s="1" t="s">
        <v>33</v>
      </c>
      <c r="J1178" s="1" t="n">
        <v>2</v>
      </c>
      <c r="K1178" s="1" t="n">
        <v>1.5</v>
      </c>
      <c r="L1178" s="15" t="n">
        <v>2676.33</v>
      </c>
      <c r="M1178" s="15" t="n">
        <f aca="false">F1178*G1178</f>
        <v>2909.05</v>
      </c>
      <c r="N1178" s="15" t="n">
        <f aca="false">M1178-L1178</f>
        <v>232.72</v>
      </c>
      <c r="O1178" s="1" t="n">
        <f aca="false">YEAR(B1178)</f>
        <v>2025</v>
      </c>
      <c r="P1178" s="1" t="n">
        <f aca="false">MONTH(B1178)</f>
        <v>3</v>
      </c>
      <c r="Q1178" s="1" t="str">
        <f aca="false">TEXT(B1178,"mmm")</f>
        <v>Mar</v>
      </c>
      <c r="R1178" s="1" t="str">
        <f aca="false">"Q"&amp;ROUNDUP(MONTH(B1178)/3,0)</f>
        <v>Q1</v>
      </c>
    </row>
    <row r="1179" customFormat="false" ht="15" hidden="false" customHeight="true" outlineLevel="0" collapsed="false">
      <c r="A1179" s="1" t="n">
        <v>11178</v>
      </c>
      <c r="B1179" s="14" t="n">
        <v>45739</v>
      </c>
      <c r="C1179" s="1" t="n">
        <v>1512</v>
      </c>
      <c r="D1179" s="1" t="s">
        <v>37</v>
      </c>
      <c r="E1179" s="1" t="s">
        <v>28</v>
      </c>
      <c r="F1179" s="1" t="n">
        <v>3</v>
      </c>
      <c r="G1179" s="15" t="n">
        <v>421.35</v>
      </c>
      <c r="H1179" s="16" t="n">
        <v>0.2</v>
      </c>
      <c r="I1179" s="1" t="s">
        <v>33</v>
      </c>
      <c r="J1179" s="1" t="n">
        <v>11</v>
      </c>
      <c r="K1179" s="1" t="n">
        <v>2.3</v>
      </c>
      <c r="L1179" s="15" t="n">
        <v>1011.24</v>
      </c>
      <c r="M1179" s="15" t="n">
        <f aca="false">F1179*G1179</f>
        <v>1264.05</v>
      </c>
      <c r="N1179" s="15" t="n">
        <f aca="false">M1179-L1179</f>
        <v>252.81</v>
      </c>
      <c r="O1179" s="1" t="n">
        <f aca="false">YEAR(B1179)</f>
        <v>2025</v>
      </c>
      <c r="P1179" s="1" t="n">
        <f aca="false">MONTH(B1179)</f>
        <v>3</v>
      </c>
      <c r="Q1179" s="1" t="str">
        <f aca="false">TEXT(B1179,"mmm")</f>
        <v>Mar</v>
      </c>
      <c r="R1179" s="1" t="str">
        <f aca="false">"Q"&amp;ROUNDUP(MONTH(B1179)/3,0)</f>
        <v>Q1</v>
      </c>
    </row>
    <row r="1180" customFormat="false" ht="15" hidden="false" customHeight="true" outlineLevel="0" collapsed="false">
      <c r="A1180" s="1" t="n">
        <v>11179</v>
      </c>
      <c r="B1180" s="14" t="n">
        <v>45740</v>
      </c>
      <c r="C1180" s="1" t="n">
        <v>1644</v>
      </c>
      <c r="D1180" s="1" t="s">
        <v>30</v>
      </c>
      <c r="E1180" s="1" t="s">
        <v>32</v>
      </c>
      <c r="F1180" s="1" t="n">
        <v>6</v>
      </c>
      <c r="G1180" s="15" t="n">
        <v>435.72</v>
      </c>
      <c r="H1180" s="16" t="n">
        <v>0.09</v>
      </c>
      <c r="I1180" s="1" t="s">
        <v>33</v>
      </c>
      <c r="J1180" s="1" t="n">
        <v>5</v>
      </c>
      <c r="K1180" s="1" t="n">
        <v>1.2</v>
      </c>
      <c r="L1180" s="15" t="n">
        <v>2379.03</v>
      </c>
      <c r="M1180" s="15" t="n">
        <f aca="false">F1180*G1180</f>
        <v>2614.32</v>
      </c>
      <c r="N1180" s="15" t="n">
        <f aca="false">M1180-L1180</f>
        <v>235.29</v>
      </c>
      <c r="O1180" s="1" t="n">
        <f aca="false">YEAR(B1180)</f>
        <v>2025</v>
      </c>
      <c r="P1180" s="1" t="n">
        <f aca="false">MONTH(B1180)</f>
        <v>3</v>
      </c>
      <c r="Q1180" s="1" t="str">
        <f aca="false">TEXT(B1180,"mmm")</f>
        <v>Mar</v>
      </c>
      <c r="R1180" s="1" t="str">
        <f aca="false">"Q"&amp;ROUNDUP(MONTH(B1180)/3,0)</f>
        <v>Q1</v>
      </c>
    </row>
    <row r="1181" customFormat="false" ht="15" hidden="false" customHeight="true" outlineLevel="0" collapsed="false">
      <c r="A1181" s="1" t="n">
        <v>11180</v>
      </c>
      <c r="B1181" s="14" t="n">
        <v>45741</v>
      </c>
      <c r="C1181" s="1" t="n">
        <v>1232</v>
      </c>
      <c r="D1181" s="1" t="s">
        <v>30</v>
      </c>
      <c r="E1181" s="1" t="s">
        <v>28</v>
      </c>
      <c r="F1181" s="1" t="n">
        <v>4</v>
      </c>
      <c r="G1181" s="15" t="n">
        <v>344.18</v>
      </c>
      <c r="H1181" s="16" t="n">
        <v>0.23</v>
      </c>
      <c r="I1181" s="1" t="s">
        <v>33</v>
      </c>
      <c r="J1181" s="1" t="n">
        <v>6</v>
      </c>
      <c r="K1181" s="1" t="n">
        <v>1.8</v>
      </c>
      <c r="L1181" s="15" t="n">
        <v>1060.07</v>
      </c>
      <c r="M1181" s="15" t="n">
        <f aca="false">F1181*G1181</f>
        <v>1376.72</v>
      </c>
      <c r="N1181" s="15" t="n">
        <f aca="false">M1181-L1181</f>
        <v>316.65</v>
      </c>
      <c r="O1181" s="1" t="n">
        <f aca="false">YEAR(B1181)</f>
        <v>2025</v>
      </c>
      <c r="P1181" s="1" t="n">
        <f aca="false">MONTH(B1181)</f>
        <v>3</v>
      </c>
      <c r="Q1181" s="1" t="str">
        <f aca="false">TEXT(B1181,"mmm")</f>
        <v>Mar</v>
      </c>
      <c r="R1181" s="1" t="str">
        <f aca="false">"Q"&amp;ROUNDUP(MONTH(B1181)/3,0)</f>
        <v>Q1</v>
      </c>
    </row>
    <row r="1182" customFormat="false" ht="15" hidden="false" customHeight="true" outlineLevel="0" collapsed="false">
      <c r="A1182" s="1" t="n">
        <v>11181</v>
      </c>
      <c r="B1182" s="14" t="n">
        <v>45742</v>
      </c>
      <c r="C1182" s="1" t="n">
        <v>1523</v>
      </c>
      <c r="D1182" s="1" t="s">
        <v>27</v>
      </c>
      <c r="E1182" s="1" t="s">
        <v>35</v>
      </c>
      <c r="F1182" s="1" t="n">
        <v>4</v>
      </c>
      <c r="G1182" s="15" t="n">
        <v>585.15</v>
      </c>
      <c r="H1182" s="16" t="n">
        <v>0.21</v>
      </c>
      <c r="I1182" s="1" t="s">
        <v>29</v>
      </c>
      <c r="J1182" s="1" t="n">
        <v>5</v>
      </c>
      <c r="K1182" s="1" t="n">
        <v>3</v>
      </c>
      <c r="L1182" s="15" t="n">
        <v>1849.07</v>
      </c>
      <c r="M1182" s="15" t="n">
        <f aca="false">F1182*G1182</f>
        <v>2340.6</v>
      </c>
      <c r="N1182" s="15" t="n">
        <f aca="false">M1182-L1182</f>
        <v>491.53</v>
      </c>
      <c r="O1182" s="1" t="n">
        <f aca="false">YEAR(B1182)</f>
        <v>2025</v>
      </c>
      <c r="P1182" s="1" t="n">
        <f aca="false">MONTH(B1182)</f>
        <v>3</v>
      </c>
      <c r="Q1182" s="1" t="str">
        <f aca="false">TEXT(B1182,"mmm")</f>
        <v>Mar</v>
      </c>
      <c r="R1182" s="1" t="str">
        <f aca="false">"Q"&amp;ROUNDUP(MONTH(B1182)/3,0)</f>
        <v>Q1</v>
      </c>
    </row>
    <row r="1183" customFormat="false" ht="15" hidden="false" customHeight="true" outlineLevel="0" collapsed="false">
      <c r="A1183" s="1" t="n">
        <v>11182</v>
      </c>
      <c r="B1183" s="14" t="n">
        <v>45743</v>
      </c>
      <c r="C1183" s="1" t="n">
        <v>1345</v>
      </c>
      <c r="D1183" s="1" t="s">
        <v>27</v>
      </c>
      <c r="E1183" s="1" t="s">
        <v>32</v>
      </c>
      <c r="F1183" s="1" t="n">
        <v>7</v>
      </c>
      <c r="G1183" s="15" t="n">
        <v>417.99</v>
      </c>
      <c r="H1183" s="16" t="n">
        <v>0.04</v>
      </c>
      <c r="I1183" s="1" t="s">
        <v>31</v>
      </c>
      <c r="J1183" s="1" t="n">
        <v>3</v>
      </c>
      <c r="K1183" s="1" t="n">
        <v>1.7</v>
      </c>
      <c r="L1183" s="15" t="n">
        <v>2808.89</v>
      </c>
      <c r="M1183" s="15" t="n">
        <f aca="false">F1183*G1183</f>
        <v>2925.93</v>
      </c>
      <c r="N1183" s="15" t="n">
        <f aca="false">M1183-L1183</f>
        <v>117.04</v>
      </c>
      <c r="O1183" s="1" t="n">
        <f aca="false">YEAR(B1183)</f>
        <v>2025</v>
      </c>
      <c r="P1183" s="1" t="n">
        <f aca="false">MONTH(B1183)</f>
        <v>3</v>
      </c>
      <c r="Q1183" s="1" t="str">
        <f aca="false">TEXT(B1183,"mmm")</f>
        <v>Mar</v>
      </c>
      <c r="R1183" s="1" t="str">
        <f aca="false">"Q"&amp;ROUNDUP(MONTH(B1183)/3,0)</f>
        <v>Q1</v>
      </c>
    </row>
    <row r="1184" customFormat="false" ht="15" hidden="false" customHeight="true" outlineLevel="0" collapsed="false">
      <c r="A1184" s="1" t="n">
        <v>11183</v>
      </c>
      <c r="B1184" s="14" t="n">
        <v>45744</v>
      </c>
      <c r="C1184" s="1" t="n">
        <v>1045</v>
      </c>
      <c r="D1184" s="1" t="s">
        <v>27</v>
      </c>
      <c r="E1184" s="1" t="s">
        <v>36</v>
      </c>
      <c r="F1184" s="1" t="n">
        <v>1</v>
      </c>
      <c r="G1184" s="15" t="n">
        <v>538.59</v>
      </c>
      <c r="H1184" s="16" t="n">
        <v>0.23</v>
      </c>
      <c r="I1184" s="1" t="s">
        <v>31</v>
      </c>
      <c r="J1184" s="1" t="n">
        <v>10</v>
      </c>
      <c r="K1184" s="1" t="n">
        <v>4.6</v>
      </c>
      <c r="L1184" s="15" t="n">
        <v>414.71</v>
      </c>
      <c r="M1184" s="15" t="n">
        <f aca="false">F1184*G1184</f>
        <v>538.59</v>
      </c>
      <c r="N1184" s="15" t="n">
        <f aca="false">M1184-L1184</f>
        <v>123.88</v>
      </c>
      <c r="O1184" s="1" t="n">
        <f aca="false">YEAR(B1184)</f>
        <v>2025</v>
      </c>
      <c r="P1184" s="1" t="n">
        <f aca="false">MONTH(B1184)</f>
        <v>3</v>
      </c>
      <c r="Q1184" s="1" t="str">
        <f aca="false">TEXT(B1184,"mmm")</f>
        <v>Mar</v>
      </c>
      <c r="R1184" s="1" t="str">
        <f aca="false">"Q"&amp;ROUNDUP(MONTH(B1184)/3,0)</f>
        <v>Q1</v>
      </c>
    </row>
    <row r="1185" customFormat="false" ht="15" hidden="false" customHeight="true" outlineLevel="0" collapsed="false">
      <c r="A1185" s="1" t="n">
        <v>11184</v>
      </c>
      <c r="B1185" s="14" t="n">
        <v>45745</v>
      </c>
      <c r="C1185" s="1" t="n">
        <v>1545</v>
      </c>
      <c r="D1185" s="1" t="s">
        <v>34</v>
      </c>
      <c r="E1185" s="1" t="s">
        <v>32</v>
      </c>
      <c r="F1185" s="1" t="n">
        <v>5</v>
      </c>
      <c r="G1185" s="15" t="n">
        <v>424.14</v>
      </c>
      <c r="H1185" s="16" t="n">
        <v>0.32</v>
      </c>
      <c r="I1185" s="1" t="s">
        <v>33</v>
      </c>
      <c r="J1185" s="1" t="n">
        <v>7</v>
      </c>
      <c r="K1185" s="1" t="n">
        <v>3.8</v>
      </c>
      <c r="L1185" s="15" t="n">
        <v>1442.08</v>
      </c>
      <c r="M1185" s="15" t="n">
        <f aca="false">F1185*G1185</f>
        <v>2120.7</v>
      </c>
      <c r="N1185" s="15" t="n">
        <f aca="false">M1185-L1185</f>
        <v>678.62</v>
      </c>
      <c r="O1185" s="1" t="n">
        <f aca="false">YEAR(B1185)</f>
        <v>2025</v>
      </c>
      <c r="P1185" s="1" t="n">
        <f aca="false">MONTH(B1185)</f>
        <v>3</v>
      </c>
      <c r="Q1185" s="1" t="str">
        <f aca="false">TEXT(B1185,"mmm")</f>
        <v>Mar</v>
      </c>
      <c r="R1185" s="1" t="str">
        <f aca="false">"Q"&amp;ROUNDUP(MONTH(B1185)/3,0)</f>
        <v>Q1</v>
      </c>
    </row>
    <row r="1186" customFormat="false" ht="15" hidden="false" customHeight="true" outlineLevel="0" collapsed="false">
      <c r="A1186" s="1" t="n">
        <v>11185</v>
      </c>
      <c r="B1186" s="14" t="n">
        <v>45746</v>
      </c>
      <c r="C1186" s="1" t="n">
        <v>1944</v>
      </c>
      <c r="D1186" s="1" t="s">
        <v>37</v>
      </c>
      <c r="E1186" s="1" t="s">
        <v>28</v>
      </c>
      <c r="F1186" s="1" t="n">
        <v>1</v>
      </c>
      <c r="G1186" s="15" t="n">
        <v>445.04</v>
      </c>
      <c r="H1186" s="16" t="n">
        <v>0.06</v>
      </c>
      <c r="I1186" s="1" t="s">
        <v>33</v>
      </c>
      <c r="J1186" s="1" t="n">
        <v>1</v>
      </c>
      <c r="K1186" s="1" t="n">
        <v>1.1</v>
      </c>
      <c r="L1186" s="15" t="n">
        <v>418.34</v>
      </c>
      <c r="M1186" s="15" t="n">
        <f aca="false">F1186*G1186</f>
        <v>445.04</v>
      </c>
      <c r="N1186" s="15" t="n">
        <f aca="false">M1186-L1186</f>
        <v>26.7</v>
      </c>
      <c r="O1186" s="1" t="n">
        <f aca="false">YEAR(B1186)</f>
        <v>2025</v>
      </c>
      <c r="P1186" s="1" t="n">
        <f aca="false">MONTH(B1186)</f>
        <v>3</v>
      </c>
      <c r="Q1186" s="1" t="str">
        <f aca="false">TEXT(B1186,"mmm")</f>
        <v>Mar</v>
      </c>
      <c r="R1186" s="1" t="str">
        <f aca="false">"Q"&amp;ROUNDUP(MONTH(B1186)/3,0)</f>
        <v>Q1</v>
      </c>
    </row>
    <row r="1187" customFormat="false" ht="15" hidden="false" customHeight="true" outlineLevel="0" collapsed="false">
      <c r="A1187" s="1" t="n">
        <v>11186</v>
      </c>
      <c r="B1187" s="14" t="n">
        <v>45747</v>
      </c>
      <c r="C1187" s="1" t="n">
        <v>1077</v>
      </c>
      <c r="D1187" s="1" t="s">
        <v>34</v>
      </c>
      <c r="E1187" s="1" t="s">
        <v>36</v>
      </c>
      <c r="F1187" s="1" t="n">
        <v>6</v>
      </c>
      <c r="G1187" s="15" t="n">
        <v>184.89</v>
      </c>
      <c r="H1187" s="16" t="n">
        <v>0.21</v>
      </c>
      <c r="I1187" s="1" t="s">
        <v>31</v>
      </c>
      <c r="J1187" s="1" t="n">
        <v>2</v>
      </c>
      <c r="K1187" s="1" t="n">
        <v>4.5</v>
      </c>
      <c r="L1187" s="15" t="n">
        <v>876.38</v>
      </c>
      <c r="M1187" s="15" t="n">
        <f aca="false">F1187*G1187</f>
        <v>1109.34</v>
      </c>
      <c r="N1187" s="15" t="n">
        <f aca="false">M1187-L1187</f>
        <v>232.96</v>
      </c>
      <c r="O1187" s="1" t="n">
        <f aca="false">YEAR(B1187)</f>
        <v>2025</v>
      </c>
      <c r="P1187" s="1" t="n">
        <f aca="false">MONTH(B1187)</f>
        <v>3</v>
      </c>
      <c r="Q1187" s="1" t="str">
        <f aca="false">TEXT(B1187,"mmm")</f>
        <v>Mar</v>
      </c>
      <c r="R1187" s="1" t="str">
        <f aca="false">"Q"&amp;ROUNDUP(MONTH(B1187)/3,0)</f>
        <v>Q1</v>
      </c>
    </row>
    <row r="1188" customFormat="false" ht="15" hidden="false" customHeight="true" outlineLevel="0" collapsed="false">
      <c r="A1188" s="1" t="n">
        <v>11187</v>
      </c>
      <c r="B1188" s="14" t="n">
        <v>45748</v>
      </c>
      <c r="C1188" s="1" t="n">
        <v>1729</v>
      </c>
      <c r="D1188" s="1" t="s">
        <v>34</v>
      </c>
      <c r="E1188" s="1" t="s">
        <v>32</v>
      </c>
      <c r="F1188" s="1" t="n">
        <v>2</v>
      </c>
      <c r="G1188" s="15" t="n">
        <v>192.54</v>
      </c>
      <c r="H1188" s="16" t="n">
        <v>0.12</v>
      </c>
      <c r="I1188" s="1" t="s">
        <v>33</v>
      </c>
      <c r="J1188" s="1" t="n">
        <v>11</v>
      </c>
      <c r="K1188" s="1" t="n">
        <v>4.9</v>
      </c>
      <c r="L1188" s="15" t="n">
        <v>338.87</v>
      </c>
      <c r="M1188" s="15" t="n">
        <f aca="false">F1188*G1188</f>
        <v>385.08</v>
      </c>
      <c r="N1188" s="15" t="n">
        <f aca="false">M1188-L1188</f>
        <v>46.21</v>
      </c>
      <c r="O1188" s="1" t="n">
        <f aca="false">YEAR(B1188)</f>
        <v>2025</v>
      </c>
      <c r="P1188" s="1" t="n">
        <f aca="false">MONTH(B1188)</f>
        <v>4</v>
      </c>
      <c r="Q1188" s="1" t="str">
        <f aca="false">TEXT(B1188,"mmm")</f>
        <v>Apr</v>
      </c>
      <c r="R1188" s="1" t="str">
        <f aca="false">"Q"&amp;ROUNDUP(MONTH(B1188)/3,0)</f>
        <v>Q2</v>
      </c>
    </row>
    <row r="1189" customFormat="false" ht="15" hidden="false" customHeight="true" outlineLevel="0" collapsed="false">
      <c r="A1189" s="1" t="n">
        <v>11188</v>
      </c>
      <c r="B1189" s="14" t="n">
        <v>45749</v>
      </c>
      <c r="C1189" s="1" t="n">
        <v>1812</v>
      </c>
      <c r="D1189" s="1" t="s">
        <v>34</v>
      </c>
      <c r="E1189" s="1" t="s">
        <v>36</v>
      </c>
      <c r="F1189" s="1" t="n">
        <v>2</v>
      </c>
      <c r="G1189" s="15" t="n">
        <v>473.05</v>
      </c>
      <c r="H1189" s="16" t="n">
        <v>0.16</v>
      </c>
      <c r="I1189" s="1" t="s">
        <v>31</v>
      </c>
      <c r="J1189" s="1" t="n">
        <v>9</v>
      </c>
      <c r="K1189" s="1" t="n">
        <v>3</v>
      </c>
      <c r="L1189" s="15" t="n">
        <v>794.72</v>
      </c>
      <c r="M1189" s="15" t="n">
        <f aca="false">F1189*G1189</f>
        <v>946.1</v>
      </c>
      <c r="N1189" s="15" t="n">
        <f aca="false">M1189-L1189</f>
        <v>151.38</v>
      </c>
      <c r="O1189" s="1" t="n">
        <f aca="false">YEAR(B1189)</f>
        <v>2025</v>
      </c>
      <c r="P1189" s="1" t="n">
        <f aca="false">MONTH(B1189)</f>
        <v>4</v>
      </c>
      <c r="Q1189" s="1" t="str">
        <f aca="false">TEXT(B1189,"mmm")</f>
        <v>Apr</v>
      </c>
      <c r="R1189" s="1" t="str">
        <f aca="false">"Q"&amp;ROUNDUP(MONTH(B1189)/3,0)</f>
        <v>Q2</v>
      </c>
    </row>
    <row r="1190" customFormat="false" ht="15" hidden="false" customHeight="true" outlineLevel="0" collapsed="false">
      <c r="A1190" s="1" t="n">
        <v>11189</v>
      </c>
      <c r="B1190" s="14" t="n">
        <v>45750</v>
      </c>
      <c r="C1190" s="1" t="n">
        <v>1922</v>
      </c>
      <c r="D1190" s="1" t="s">
        <v>34</v>
      </c>
      <c r="E1190" s="1" t="s">
        <v>36</v>
      </c>
      <c r="F1190" s="1" t="n">
        <v>2</v>
      </c>
      <c r="G1190" s="15" t="n">
        <v>188.57</v>
      </c>
      <c r="H1190" s="16" t="n">
        <v>0.1</v>
      </c>
      <c r="I1190" s="1" t="s">
        <v>33</v>
      </c>
      <c r="J1190" s="1" t="n">
        <v>4</v>
      </c>
      <c r="K1190" s="1" t="n">
        <v>2.3</v>
      </c>
      <c r="L1190" s="15" t="n">
        <v>339.43</v>
      </c>
      <c r="M1190" s="15" t="n">
        <f aca="false">F1190*G1190</f>
        <v>377.14</v>
      </c>
      <c r="N1190" s="15" t="n">
        <f aca="false">M1190-L1190</f>
        <v>37.71</v>
      </c>
      <c r="O1190" s="1" t="n">
        <f aca="false">YEAR(B1190)</f>
        <v>2025</v>
      </c>
      <c r="P1190" s="1" t="n">
        <f aca="false">MONTH(B1190)</f>
        <v>4</v>
      </c>
      <c r="Q1190" s="1" t="str">
        <f aca="false">TEXT(B1190,"mmm")</f>
        <v>Apr</v>
      </c>
      <c r="R1190" s="1" t="str">
        <f aca="false">"Q"&amp;ROUNDUP(MONTH(B1190)/3,0)</f>
        <v>Q2</v>
      </c>
    </row>
    <row r="1191" customFormat="false" ht="15" hidden="false" customHeight="true" outlineLevel="0" collapsed="false">
      <c r="A1191" s="1" t="n">
        <v>11190</v>
      </c>
      <c r="B1191" s="14" t="n">
        <v>45751</v>
      </c>
      <c r="C1191" s="1" t="n">
        <v>1072</v>
      </c>
      <c r="D1191" s="1" t="s">
        <v>30</v>
      </c>
      <c r="E1191" s="1" t="s">
        <v>36</v>
      </c>
      <c r="F1191" s="1" t="n">
        <v>4</v>
      </c>
      <c r="G1191" s="15" t="n">
        <v>344.22</v>
      </c>
      <c r="H1191" s="16" t="n">
        <v>0.12</v>
      </c>
      <c r="I1191" s="1" t="s">
        <v>29</v>
      </c>
      <c r="J1191" s="1" t="n">
        <v>8</v>
      </c>
      <c r="K1191" s="1" t="n">
        <v>2.1</v>
      </c>
      <c r="L1191" s="15" t="n">
        <v>1211.65</v>
      </c>
      <c r="M1191" s="15" t="n">
        <f aca="false">F1191*G1191</f>
        <v>1376.88</v>
      </c>
      <c r="N1191" s="15" t="n">
        <f aca="false">M1191-L1191</f>
        <v>165.23</v>
      </c>
      <c r="O1191" s="1" t="n">
        <f aca="false">YEAR(B1191)</f>
        <v>2025</v>
      </c>
      <c r="P1191" s="1" t="n">
        <f aca="false">MONTH(B1191)</f>
        <v>4</v>
      </c>
      <c r="Q1191" s="1" t="str">
        <f aca="false">TEXT(B1191,"mmm")</f>
        <v>Apr</v>
      </c>
      <c r="R1191" s="1" t="str">
        <f aca="false">"Q"&amp;ROUNDUP(MONTH(B1191)/3,0)</f>
        <v>Q2</v>
      </c>
    </row>
    <row r="1192" customFormat="false" ht="15" hidden="false" customHeight="true" outlineLevel="0" collapsed="false">
      <c r="A1192" s="1" t="n">
        <v>11191</v>
      </c>
      <c r="B1192" s="14" t="n">
        <v>45752</v>
      </c>
      <c r="C1192" s="1" t="n">
        <v>1793</v>
      </c>
      <c r="D1192" s="1" t="s">
        <v>37</v>
      </c>
      <c r="E1192" s="1" t="s">
        <v>32</v>
      </c>
      <c r="F1192" s="1" t="n">
        <v>5</v>
      </c>
      <c r="G1192" s="15" t="n">
        <v>160.87</v>
      </c>
      <c r="H1192" s="16" t="n">
        <v>0.01</v>
      </c>
      <c r="I1192" s="1" t="s">
        <v>33</v>
      </c>
      <c r="J1192" s="1" t="n">
        <v>9</v>
      </c>
      <c r="K1192" s="1" t="n">
        <v>1.3</v>
      </c>
      <c r="L1192" s="15" t="n">
        <v>796.31</v>
      </c>
      <c r="M1192" s="15" t="n">
        <f aca="false">F1192*G1192</f>
        <v>804.35</v>
      </c>
      <c r="N1192" s="15" t="n">
        <f aca="false">M1192-L1192</f>
        <v>8.04000000000008</v>
      </c>
      <c r="O1192" s="1" t="n">
        <f aca="false">YEAR(B1192)</f>
        <v>2025</v>
      </c>
      <c r="P1192" s="1" t="n">
        <f aca="false">MONTH(B1192)</f>
        <v>4</v>
      </c>
      <c r="Q1192" s="1" t="str">
        <f aca="false">TEXT(B1192,"mmm")</f>
        <v>Apr</v>
      </c>
      <c r="R1192" s="1" t="str">
        <f aca="false">"Q"&amp;ROUNDUP(MONTH(B1192)/3,0)</f>
        <v>Q2</v>
      </c>
    </row>
    <row r="1193" customFormat="false" ht="15" hidden="false" customHeight="true" outlineLevel="0" collapsed="false">
      <c r="A1193" s="1" t="n">
        <v>11192</v>
      </c>
      <c r="B1193" s="14" t="n">
        <v>45753</v>
      </c>
      <c r="C1193" s="1" t="n">
        <v>1248</v>
      </c>
      <c r="D1193" s="1" t="s">
        <v>34</v>
      </c>
      <c r="E1193" s="1" t="s">
        <v>28</v>
      </c>
      <c r="F1193" s="1" t="n">
        <v>1</v>
      </c>
      <c r="G1193" s="15" t="n">
        <v>492.94</v>
      </c>
      <c r="H1193" s="16" t="n">
        <v>0.34</v>
      </c>
      <c r="I1193" s="1" t="s">
        <v>31</v>
      </c>
      <c r="J1193" s="1" t="n">
        <v>7</v>
      </c>
      <c r="K1193" s="1" t="n">
        <v>3</v>
      </c>
      <c r="L1193" s="15" t="n">
        <v>325.34</v>
      </c>
      <c r="M1193" s="15" t="n">
        <f aca="false">F1193*G1193</f>
        <v>492.94</v>
      </c>
      <c r="N1193" s="15" t="n">
        <f aca="false">M1193-L1193</f>
        <v>167.6</v>
      </c>
      <c r="O1193" s="1" t="n">
        <f aca="false">YEAR(B1193)</f>
        <v>2025</v>
      </c>
      <c r="P1193" s="1" t="n">
        <f aca="false">MONTH(B1193)</f>
        <v>4</v>
      </c>
      <c r="Q1193" s="1" t="str">
        <f aca="false">TEXT(B1193,"mmm")</f>
        <v>Apr</v>
      </c>
      <c r="R1193" s="1" t="str">
        <f aca="false">"Q"&amp;ROUNDUP(MONTH(B1193)/3,0)</f>
        <v>Q2</v>
      </c>
    </row>
    <row r="1194" customFormat="false" ht="15" hidden="false" customHeight="true" outlineLevel="0" collapsed="false">
      <c r="A1194" s="1" t="n">
        <v>11193</v>
      </c>
      <c r="B1194" s="14" t="n">
        <v>45754</v>
      </c>
      <c r="C1194" s="1" t="n">
        <v>1046</v>
      </c>
      <c r="D1194" s="1" t="s">
        <v>37</v>
      </c>
      <c r="E1194" s="1" t="s">
        <v>32</v>
      </c>
      <c r="F1194" s="1" t="n">
        <v>1</v>
      </c>
      <c r="G1194" s="15" t="n">
        <v>79.64</v>
      </c>
      <c r="H1194" s="16" t="n">
        <v>0.22</v>
      </c>
      <c r="I1194" s="1" t="s">
        <v>33</v>
      </c>
      <c r="J1194" s="1" t="n">
        <v>1</v>
      </c>
      <c r="K1194" s="1" t="n">
        <v>1.2</v>
      </c>
      <c r="L1194" s="15" t="n">
        <v>62.12</v>
      </c>
      <c r="M1194" s="15" t="n">
        <f aca="false">F1194*G1194</f>
        <v>79.64</v>
      </c>
      <c r="N1194" s="15" t="n">
        <f aca="false">M1194-L1194</f>
        <v>17.52</v>
      </c>
      <c r="O1194" s="1" t="n">
        <f aca="false">YEAR(B1194)</f>
        <v>2025</v>
      </c>
      <c r="P1194" s="1" t="n">
        <f aca="false">MONTH(B1194)</f>
        <v>4</v>
      </c>
      <c r="Q1194" s="1" t="str">
        <f aca="false">TEXT(B1194,"mmm")</f>
        <v>Apr</v>
      </c>
      <c r="R1194" s="1" t="str">
        <f aca="false">"Q"&amp;ROUNDUP(MONTH(B1194)/3,0)</f>
        <v>Q2</v>
      </c>
    </row>
    <row r="1195" customFormat="false" ht="15" hidden="false" customHeight="true" outlineLevel="0" collapsed="false">
      <c r="A1195" s="1" t="n">
        <v>11194</v>
      </c>
      <c r="B1195" s="14" t="n">
        <v>45755</v>
      </c>
      <c r="C1195" s="1" t="n">
        <v>1120</v>
      </c>
      <c r="D1195" s="1" t="s">
        <v>30</v>
      </c>
      <c r="E1195" s="1" t="s">
        <v>28</v>
      </c>
      <c r="F1195" s="1" t="n">
        <v>6</v>
      </c>
      <c r="G1195" s="15" t="n">
        <v>500.23</v>
      </c>
      <c r="H1195" s="16" t="n">
        <v>0.18</v>
      </c>
      <c r="I1195" s="1" t="s">
        <v>33</v>
      </c>
      <c r="J1195" s="1" t="n">
        <v>5</v>
      </c>
      <c r="K1195" s="1" t="n">
        <v>3</v>
      </c>
      <c r="L1195" s="15" t="n">
        <v>2461.13</v>
      </c>
      <c r="M1195" s="15" t="n">
        <f aca="false">F1195*G1195</f>
        <v>3001.38</v>
      </c>
      <c r="N1195" s="15" t="n">
        <f aca="false">M1195-L1195</f>
        <v>540.25</v>
      </c>
      <c r="O1195" s="1" t="n">
        <f aca="false">YEAR(B1195)</f>
        <v>2025</v>
      </c>
      <c r="P1195" s="1" t="n">
        <f aca="false">MONTH(B1195)</f>
        <v>4</v>
      </c>
      <c r="Q1195" s="1" t="str">
        <f aca="false">TEXT(B1195,"mmm")</f>
        <v>Apr</v>
      </c>
      <c r="R1195" s="1" t="str">
        <f aca="false">"Q"&amp;ROUNDUP(MONTH(B1195)/3,0)</f>
        <v>Q2</v>
      </c>
    </row>
    <row r="1196" customFormat="false" ht="15" hidden="false" customHeight="true" outlineLevel="0" collapsed="false">
      <c r="A1196" s="1" t="n">
        <v>11195</v>
      </c>
      <c r="B1196" s="14" t="n">
        <v>45756</v>
      </c>
      <c r="C1196" s="1" t="n">
        <v>1213</v>
      </c>
      <c r="D1196" s="1" t="s">
        <v>34</v>
      </c>
      <c r="E1196" s="1" t="s">
        <v>32</v>
      </c>
      <c r="F1196" s="1" t="n">
        <v>2</v>
      </c>
      <c r="G1196" s="15" t="n">
        <v>367.6</v>
      </c>
      <c r="H1196" s="16" t="n">
        <v>0.13</v>
      </c>
      <c r="I1196" s="1" t="s">
        <v>31</v>
      </c>
      <c r="J1196" s="1" t="n">
        <v>6</v>
      </c>
      <c r="K1196" s="1" t="n">
        <v>2</v>
      </c>
      <c r="L1196" s="15" t="n">
        <v>639.62</v>
      </c>
      <c r="M1196" s="15" t="n">
        <f aca="false">F1196*G1196</f>
        <v>735.2</v>
      </c>
      <c r="N1196" s="15" t="n">
        <f aca="false">M1196-L1196</f>
        <v>95.58</v>
      </c>
      <c r="O1196" s="1" t="n">
        <f aca="false">YEAR(B1196)</f>
        <v>2025</v>
      </c>
      <c r="P1196" s="1" t="n">
        <f aca="false">MONTH(B1196)</f>
        <v>4</v>
      </c>
      <c r="Q1196" s="1" t="str">
        <f aca="false">TEXT(B1196,"mmm")</f>
        <v>Apr</v>
      </c>
      <c r="R1196" s="1" t="str">
        <f aca="false">"Q"&amp;ROUNDUP(MONTH(B1196)/3,0)</f>
        <v>Q2</v>
      </c>
    </row>
    <row r="1197" customFormat="false" ht="15" hidden="false" customHeight="true" outlineLevel="0" collapsed="false">
      <c r="A1197" s="1" t="n">
        <v>11196</v>
      </c>
      <c r="B1197" s="14" t="n">
        <v>45757</v>
      </c>
      <c r="C1197" s="1" t="n">
        <v>1238</v>
      </c>
      <c r="D1197" s="1" t="s">
        <v>30</v>
      </c>
      <c r="E1197" s="1" t="s">
        <v>32</v>
      </c>
      <c r="F1197" s="1" t="n">
        <v>5</v>
      </c>
      <c r="G1197" s="15" t="n">
        <v>124.34</v>
      </c>
      <c r="H1197" s="16" t="n">
        <v>0.19</v>
      </c>
      <c r="I1197" s="1" t="s">
        <v>33</v>
      </c>
      <c r="J1197" s="1" t="n">
        <v>11</v>
      </c>
      <c r="K1197" s="1" t="n">
        <v>2.9</v>
      </c>
      <c r="L1197" s="15" t="n">
        <v>503.58</v>
      </c>
      <c r="M1197" s="15" t="n">
        <f aca="false">F1197*G1197</f>
        <v>621.7</v>
      </c>
      <c r="N1197" s="15" t="n">
        <f aca="false">M1197-L1197</f>
        <v>118.12</v>
      </c>
      <c r="O1197" s="1" t="n">
        <f aca="false">YEAR(B1197)</f>
        <v>2025</v>
      </c>
      <c r="P1197" s="1" t="n">
        <f aca="false">MONTH(B1197)</f>
        <v>4</v>
      </c>
      <c r="Q1197" s="1" t="str">
        <f aca="false">TEXT(B1197,"mmm")</f>
        <v>Apr</v>
      </c>
      <c r="R1197" s="1" t="str">
        <f aca="false">"Q"&amp;ROUNDUP(MONTH(B1197)/3,0)</f>
        <v>Q2</v>
      </c>
    </row>
    <row r="1198" customFormat="false" ht="15" hidden="false" customHeight="true" outlineLevel="0" collapsed="false">
      <c r="A1198" s="1" t="n">
        <v>11197</v>
      </c>
      <c r="B1198" s="14" t="n">
        <v>45758</v>
      </c>
      <c r="C1198" s="1" t="n">
        <v>1055</v>
      </c>
      <c r="D1198" s="1" t="s">
        <v>34</v>
      </c>
      <c r="E1198" s="1" t="s">
        <v>32</v>
      </c>
      <c r="F1198" s="1" t="n">
        <v>5</v>
      </c>
      <c r="G1198" s="15" t="n">
        <v>332.09</v>
      </c>
      <c r="H1198" s="16" t="n">
        <v>0.13</v>
      </c>
      <c r="I1198" s="1" t="s">
        <v>29</v>
      </c>
      <c r="J1198" s="1" t="n">
        <v>8</v>
      </c>
      <c r="K1198" s="1" t="n">
        <v>2.7</v>
      </c>
      <c r="L1198" s="15" t="n">
        <v>1444.59</v>
      </c>
      <c r="M1198" s="15" t="n">
        <f aca="false">F1198*G1198</f>
        <v>1660.45</v>
      </c>
      <c r="N1198" s="15" t="n">
        <f aca="false">M1198-L1198</f>
        <v>215.86</v>
      </c>
      <c r="O1198" s="1" t="n">
        <f aca="false">YEAR(B1198)</f>
        <v>2025</v>
      </c>
      <c r="P1198" s="1" t="n">
        <f aca="false">MONTH(B1198)</f>
        <v>4</v>
      </c>
      <c r="Q1198" s="1" t="str">
        <f aca="false">TEXT(B1198,"mmm")</f>
        <v>Apr</v>
      </c>
      <c r="R1198" s="1" t="str">
        <f aca="false">"Q"&amp;ROUNDUP(MONTH(B1198)/3,0)</f>
        <v>Q2</v>
      </c>
    </row>
    <row r="1199" customFormat="false" ht="15" hidden="false" customHeight="true" outlineLevel="0" collapsed="false">
      <c r="A1199" s="1" t="n">
        <v>11198</v>
      </c>
      <c r="B1199" s="14" t="n">
        <v>45759</v>
      </c>
      <c r="C1199" s="1" t="n">
        <v>1349</v>
      </c>
      <c r="D1199" s="1" t="s">
        <v>30</v>
      </c>
      <c r="E1199" s="1" t="s">
        <v>28</v>
      </c>
      <c r="F1199" s="1" t="n">
        <v>6</v>
      </c>
      <c r="G1199" s="15" t="n">
        <v>180.26</v>
      </c>
      <c r="H1199" s="16" t="n">
        <v>0.13</v>
      </c>
      <c r="I1199" s="1" t="s">
        <v>31</v>
      </c>
      <c r="J1199" s="1" t="n">
        <v>10</v>
      </c>
      <c r="K1199" s="1" t="n">
        <v>2.2</v>
      </c>
      <c r="L1199" s="15" t="n">
        <v>940.96</v>
      </c>
      <c r="M1199" s="15" t="n">
        <f aca="false">F1199*G1199</f>
        <v>1081.56</v>
      </c>
      <c r="N1199" s="15" t="n">
        <f aca="false">M1199-L1199</f>
        <v>140.6</v>
      </c>
      <c r="O1199" s="1" t="n">
        <f aca="false">YEAR(B1199)</f>
        <v>2025</v>
      </c>
      <c r="P1199" s="1" t="n">
        <f aca="false">MONTH(B1199)</f>
        <v>4</v>
      </c>
      <c r="Q1199" s="1" t="str">
        <f aca="false">TEXT(B1199,"mmm")</f>
        <v>Apr</v>
      </c>
      <c r="R1199" s="1" t="str">
        <f aca="false">"Q"&amp;ROUNDUP(MONTH(B1199)/3,0)</f>
        <v>Q2</v>
      </c>
    </row>
    <row r="1200" customFormat="false" ht="15" hidden="false" customHeight="true" outlineLevel="0" collapsed="false">
      <c r="A1200" s="1" t="n">
        <v>11199</v>
      </c>
      <c r="B1200" s="14" t="n">
        <v>45760</v>
      </c>
      <c r="C1200" s="1" t="n">
        <v>1106</v>
      </c>
      <c r="D1200" s="1" t="s">
        <v>30</v>
      </c>
      <c r="E1200" s="1" t="s">
        <v>32</v>
      </c>
      <c r="F1200" s="1" t="n">
        <v>3</v>
      </c>
      <c r="G1200" s="15" t="n">
        <v>204.23</v>
      </c>
      <c r="H1200" s="16" t="n">
        <v>0.16</v>
      </c>
      <c r="I1200" s="1" t="s">
        <v>31</v>
      </c>
      <c r="J1200" s="1" t="n">
        <v>8</v>
      </c>
      <c r="K1200" s="1" t="n">
        <v>2.8</v>
      </c>
      <c r="L1200" s="15" t="n">
        <v>514.66</v>
      </c>
      <c r="M1200" s="15" t="n">
        <f aca="false">F1200*G1200</f>
        <v>612.69</v>
      </c>
      <c r="N1200" s="15" t="n">
        <f aca="false">M1200-L1200</f>
        <v>98.03</v>
      </c>
      <c r="O1200" s="1" t="n">
        <f aca="false">YEAR(B1200)</f>
        <v>2025</v>
      </c>
      <c r="P1200" s="1" t="n">
        <f aca="false">MONTH(B1200)</f>
        <v>4</v>
      </c>
      <c r="Q1200" s="1" t="str">
        <f aca="false">TEXT(B1200,"mmm")</f>
        <v>Apr</v>
      </c>
      <c r="R1200" s="1" t="str">
        <f aca="false">"Q"&amp;ROUNDUP(MONTH(B1200)/3,0)</f>
        <v>Q2</v>
      </c>
    </row>
    <row r="1201" customFormat="false" ht="15" hidden="false" customHeight="true" outlineLevel="0" collapsed="false">
      <c r="A1201" s="1" t="n">
        <v>11200</v>
      </c>
      <c r="B1201" s="14" t="n">
        <v>45761</v>
      </c>
      <c r="C1201" s="1" t="n">
        <v>1830</v>
      </c>
      <c r="D1201" s="1" t="s">
        <v>34</v>
      </c>
      <c r="E1201" s="1" t="s">
        <v>36</v>
      </c>
      <c r="F1201" s="1" t="n">
        <v>5</v>
      </c>
      <c r="G1201" s="15" t="n">
        <v>220.64</v>
      </c>
      <c r="H1201" s="16" t="n">
        <v>0.1</v>
      </c>
      <c r="I1201" s="1" t="s">
        <v>31</v>
      </c>
      <c r="J1201" s="1" t="n">
        <v>9</v>
      </c>
      <c r="K1201" s="1" t="n">
        <v>2.9</v>
      </c>
      <c r="L1201" s="15" t="n">
        <v>992.88</v>
      </c>
      <c r="M1201" s="15" t="n">
        <f aca="false">F1201*G1201</f>
        <v>1103.2</v>
      </c>
      <c r="N1201" s="15" t="n">
        <f aca="false">M1201-L1201</f>
        <v>110.32</v>
      </c>
      <c r="O1201" s="1" t="n">
        <f aca="false">YEAR(B1201)</f>
        <v>2025</v>
      </c>
      <c r="P1201" s="1" t="n">
        <f aca="false">MONTH(B1201)</f>
        <v>4</v>
      </c>
      <c r="Q1201" s="1" t="str">
        <f aca="false">TEXT(B1201,"mmm")</f>
        <v>Apr</v>
      </c>
      <c r="R1201" s="1" t="str">
        <f aca="false">"Q"&amp;ROUNDUP(MONTH(B1201)/3,0)</f>
        <v>Q2</v>
      </c>
    </row>
    <row r="1202" customFormat="false" ht="15" hidden="false" customHeight="true" outlineLevel="0" collapsed="false">
      <c r="A1202" s="1" t="n">
        <v>11201</v>
      </c>
      <c r="B1202" s="14" t="n">
        <v>45762</v>
      </c>
      <c r="C1202" s="1" t="n">
        <v>1047</v>
      </c>
      <c r="D1202" s="1" t="s">
        <v>34</v>
      </c>
      <c r="E1202" s="1" t="s">
        <v>32</v>
      </c>
      <c r="F1202" s="1" t="n">
        <v>5</v>
      </c>
      <c r="G1202" s="15" t="n">
        <v>52.04</v>
      </c>
      <c r="H1202" s="16" t="n">
        <v>0.06</v>
      </c>
      <c r="I1202" s="1" t="s">
        <v>33</v>
      </c>
      <c r="J1202" s="1" t="n">
        <v>9</v>
      </c>
      <c r="K1202" s="1" t="n">
        <v>4.3</v>
      </c>
      <c r="L1202" s="15" t="n">
        <v>244.59</v>
      </c>
      <c r="M1202" s="15" t="n">
        <f aca="false">F1202*G1202</f>
        <v>260.2</v>
      </c>
      <c r="N1202" s="15" t="n">
        <f aca="false">M1202-L1202</f>
        <v>15.61</v>
      </c>
      <c r="O1202" s="1" t="n">
        <f aca="false">YEAR(B1202)</f>
        <v>2025</v>
      </c>
      <c r="P1202" s="1" t="n">
        <f aca="false">MONTH(B1202)</f>
        <v>4</v>
      </c>
      <c r="Q1202" s="1" t="str">
        <f aca="false">TEXT(B1202,"mmm")</f>
        <v>Apr</v>
      </c>
      <c r="R1202" s="1" t="str">
        <f aca="false">"Q"&amp;ROUNDUP(MONTH(B1202)/3,0)</f>
        <v>Q2</v>
      </c>
    </row>
    <row r="1203" customFormat="false" ht="15" hidden="false" customHeight="true" outlineLevel="0" collapsed="false">
      <c r="A1203" s="1" t="n">
        <v>11202</v>
      </c>
      <c r="B1203" s="14" t="n">
        <v>45763</v>
      </c>
      <c r="C1203" s="1" t="n">
        <v>1572</v>
      </c>
      <c r="D1203" s="1" t="s">
        <v>30</v>
      </c>
      <c r="E1203" s="1" t="s">
        <v>36</v>
      </c>
      <c r="F1203" s="1" t="n">
        <v>1</v>
      </c>
      <c r="G1203" s="15" t="n">
        <v>591.79</v>
      </c>
      <c r="H1203" s="16" t="n">
        <v>0.19</v>
      </c>
      <c r="I1203" s="1" t="s">
        <v>29</v>
      </c>
      <c r="J1203" s="1" t="n">
        <v>4</v>
      </c>
      <c r="K1203" s="1" t="n">
        <v>3.7</v>
      </c>
      <c r="L1203" s="15" t="n">
        <v>479.35</v>
      </c>
      <c r="M1203" s="15" t="n">
        <f aca="false">F1203*G1203</f>
        <v>591.79</v>
      </c>
      <c r="N1203" s="15" t="n">
        <f aca="false">M1203-L1203</f>
        <v>112.44</v>
      </c>
      <c r="O1203" s="1" t="n">
        <f aca="false">YEAR(B1203)</f>
        <v>2025</v>
      </c>
      <c r="P1203" s="1" t="n">
        <f aca="false">MONTH(B1203)</f>
        <v>4</v>
      </c>
      <c r="Q1203" s="1" t="str">
        <f aca="false">TEXT(B1203,"mmm")</f>
        <v>Apr</v>
      </c>
      <c r="R1203" s="1" t="str">
        <f aca="false">"Q"&amp;ROUNDUP(MONTH(B1203)/3,0)</f>
        <v>Q2</v>
      </c>
    </row>
    <row r="1204" customFormat="false" ht="15" hidden="false" customHeight="true" outlineLevel="0" collapsed="false">
      <c r="A1204" s="1" t="n">
        <v>11203</v>
      </c>
      <c r="B1204" s="14" t="n">
        <v>45764</v>
      </c>
      <c r="C1204" s="1" t="n">
        <v>1336</v>
      </c>
      <c r="D1204" s="1" t="s">
        <v>27</v>
      </c>
      <c r="E1204" s="1" t="s">
        <v>35</v>
      </c>
      <c r="F1204" s="1" t="n">
        <v>6</v>
      </c>
      <c r="G1204" s="15" t="n">
        <v>33.45</v>
      </c>
      <c r="H1204" s="16" t="n">
        <v>0.29</v>
      </c>
      <c r="I1204" s="1" t="s">
        <v>33</v>
      </c>
      <c r="J1204" s="1" t="n">
        <v>6</v>
      </c>
      <c r="K1204" s="1" t="n">
        <v>2.7</v>
      </c>
      <c r="L1204" s="15" t="n">
        <v>142.5</v>
      </c>
      <c r="M1204" s="15" t="n">
        <f aca="false">F1204*G1204</f>
        <v>200.7</v>
      </c>
      <c r="N1204" s="15" t="n">
        <f aca="false">M1204-L1204</f>
        <v>58.2</v>
      </c>
      <c r="O1204" s="1" t="n">
        <f aca="false">YEAR(B1204)</f>
        <v>2025</v>
      </c>
      <c r="P1204" s="1" t="n">
        <f aca="false">MONTH(B1204)</f>
        <v>4</v>
      </c>
      <c r="Q1204" s="1" t="str">
        <f aca="false">TEXT(B1204,"mmm")</f>
        <v>Apr</v>
      </c>
      <c r="R1204" s="1" t="str">
        <f aca="false">"Q"&amp;ROUNDUP(MONTH(B1204)/3,0)</f>
        <v>Q2</v>
      </c>
    </row>
    <row r="1205" customFormat="false" ht="15" hidden="false" customHeight="true" outlineLevel="0" collapsed="false">
      <c r="A1205" s="1" t="n">
        <v>11204</v>
      </c>
      <c r="B1205" s="14" t="n">
        <v>45765</v>
      </c>
      <c r="C1205" s="1" t="n">
        <v>1025</v>
      </c>
      <c r="D1205" s="1" t="s">
        <v>34</v>
      </c>
      <c r="E1205" s="1" t="s">
        <v>35</v>
      </c>
      <c r="F1205" s="1" t="n">
        <v>5</v>
      </c>
      <c r="G1205" s="15" t="n">
        <v>402.56</v>
      </c>
      <c r="H1205" s="16" t="n">
        <v>0.05</v>
      </c>
      <c r="I1205" s="1" t="s">
        <v>31</v>
      </c>
      <c r="J1205" s="1" t="n">
        <v>3</v>
      </c>
      <c r="K1205" s="1" t="n">
        <v>4.6</v>
      </c>
      <c r="L1205" s="15" t="n">
        <v>1912.16</v>
      </c>
      <c r="M1205" s="15" t="n">
        <f aca="false">F1205*G1205</f>
        <v>2012.8</v>
      </c>
      <c r="N1205" s="15" t="n">
        <f aca="false">M1205-L1205</f>
        <v>100.64</v>
      </c>
      <c r="O1205" s="1" t="n">
        <f aca="false">YEAR(B1205)</f>
        <v>2025</v>
      </c>
      <c r="P1205" s="1" t="n">
        <f aca="false">MONTH(B1205)</f>
        <v>4</v>
      </c>
      <c r="Q1205" s="1" t="str">
        <f aca="false">TEXT(B1205,"mmm")</f>
        <v>Apr</v>
      </c>
      <c r="R1205" s="1" t="str">
        <f aca="false">"Q"&amp;ROUNDUP(MONTH(B1205)/3,0)</f>
        <v>Q2</v>
      </c>
    </row>
    <row r="1206" customFormat="false" ht="15" hidden="false" customHeight="true" outlineLevel="0" collapsed="false">
      <c r="A1206" s="1" t="n">
        <v>11205</v>
      </c>
      <c r="B1206" s="14" t="n">
        <v>45766</v>
      </c>
      <c r="C1206" s="1" t="n">
        <v>1803</v>
      </c>
      <c r="D1206" s="1" t="s">
        <v>37</v>
      </c>
      <c r="E1206" s="1" t="s">
        <v>28</v>
      </c>
      <c r="F1206" s="1" t="n">
        <v>5</v>
      </c>
      <c r="G1206" s="15" t="n">
        <v>232.17</v>
      </c>
      <c r="H1206" s="16" t="n">
        <v>0.01</v>
      </c>
      <c r="I1206" s="1" t="s">
        <v>33</v>
      </c>
      <c r="J1206" s="1" t="n">
        <v>1</v>
      </c>
      <c r="K1206" s="1" t="n">
        <v>4</v>
      </c>
      <c r="L1206" s="15" t="n">
        <v>1149.24</v>
      </c>
      <c r="M1206" s="15" t="n">
        <f aca="false">F1206*G1206</f>
        <v>1160.85</v>
      </c>
      <c r="N1206" s="15" t="n">
        <f aca="false">M1206-L1206</f>
        <v>11.6099999999999</v>
      </c>
      <c r="O1206" s="1" t="n">
        <f aca="false">YEAR(B1206)</f>
        <v>2025</v>
      </c>
      <c r="P1206" s="1" t="n">
        <f aca="false">MONTH(B1206)</f>
        <v>4</v>
      </c>
      <c r="Q1206" s="1" t="str">
        <f aca="false">TEXT(B1206,"mmm")</f>
        <v>Apr</v>
      </c>
      <c r="R1206" s="1" t="str">
        <f aca="false">"Q"&amp;ROUNDUP(MONTH(B1206)/3,0)</f>
        <v>Q2</v>
      </c>
    </row>
    <row r="1207" customFormat="false" ht="15" hidden="false" customHeight="true" outlineLevel="0" collapsed="false">
      <c r="A1207" s="1" t="n">
        <v>11206</v>
      </c>
      <c r="B1207" s="14" t="n">
        <v>45767</v>
      </c>
      <c r="C1207" s="1" t="n">
        <v>1256</v>
      </c>
      <c r="D1207" s="1" t="s">
        <v>37</v>
      </c>
      <c r="E1207" s="1" t="s">
        <v>28</v>
      </c>
      <c r="F1207" s="1" t="n">
        <v>1</v>
      </c>
      <c r="G1207" s="15" t="n">
        <v>392.92</v>
      </c>
      <c r="H1207" s="16" t="n">
        <v>0.09</v>
      </c>
      <c r="I1207" s="1" t="s">
        <v>33</v>
      </c>
      <c r="J1207" s="1" t="n">
        <v>6</v>
      </c>
      <c r="K1207" s="1" t="n">
        <v>1.3</v>
      </c>
      <c r="L1207" s="15" t="n">
        <v>357.56</v>
      </c>
      <c r="M1207" s="15" t="n">
        <f aca="false">F1207*G1207</f>
        <v>392.92</v>
      </c>
      <c r="N1207" s="15" t="n">
        <f aca="false">M1207-L1207</f>
        <v>35.36</v>
      </c>
      <c r="O1207" s="1" t="n">
        <f aca="false">YEAR(B1207)</f>
        <v>2025</v>
      </c>
      <c r="P1207" s="1" t="n">
        <f aca="false">MONTH(B1207)</f>
        <v>4</v>
      </c>
      <c r="Q1207" s="1" t="str">
        <f aca="false">TEXT(B1207,"mmm")</f>
        <v>Apr</v>
      </c>
      <c r="R1207" s="1" t="str">
        <f aca="false">"Q"&amp;ROUNDUP(MONTH(B1207)/3,0)</f>
        <v>Q2</v>
      </c>
    </row>
    <row r="1208" customFormat="false" ht="15" hidden="false" customHeight="true" outlineLevel="0" collapsed="false">
      <c r="A1208" s="1" t="n">
        <v>11207</v>
      </c>
      <c r="B1208" s="14" t="n">
        <v>45768</v>
      </c>
      <c r="C1208" s="1" t="n">
        <v>1007</v>
      </c>
      <c r="D1208" s="1" t="s">
        <v>27</v>
      </c>
      <c r="E1208" s="1" t="s">
        <v>35</v>
      </c>
      <c r="F1208" s="1" t="n">
        <v>5</v>
      </c>
      <c r="G1208" s="15" t="n">
        <v>223.41</v>
      </c>
      <c r="H1208" s="16" t="n">
        <v>0.34</v>
      </c>
      <c r="I1208" s="1" t="s">
        <v>33</v>
      </c>
      <c r="J1208" s="1" t="n">
        <v>1</v>
      </c>
      <c r="K1208" s="1" t="n">
        <v>1.6</v>
      </c>
      <c r="L1208" s="15" t="n">
        <v>737.25</v>
      </c>
      <c r="M1208" s="15" t="n">
        <f aca="false">F1208*G1208</f>
        <v>1117.05</v>
      </c>
      <c r="N1208" s="15" t="n">
        <f aca="false">M1208-L1208</f>
        <v>379.8</v>
      </c>
      <c r="O1208" s="1" t="n">
        <f aca="false">YEAR(B1208)</f>
        <v>2025</v>
      </c>
      <c r="P1208" s="1" t="n">
        <f aca="false">MONTH(B1208)</f>
        <v>4</v>
      </c>
      <c r="Q1208" s="1" t="str">
        <f aca="false">TEXT(B1208,"mmm")</f>
        <v>Apr</v>
      </c>
      <c r="R1208" s="1" t="str">
        <f aca="false">"Q"&amp;ROUNDUP(MONTH(B1208)/3,0)</f>
        <v>Q2</v>
      </c>
    </row>
    <row r="1209" customFormat="false" ht="15" hidden="false" customHeight="true" outlineLevel="0" collapsed="false">
      <c r="A1209" s="1" t="n">
        <v>11208</v>
      </c>
      <c r="B1209" s="14" t="n">
        <v>45769</v>
      </c>
      <c r="C1209" s="1" t="n">
        <v>1624</v>
      </c>
      <c r="D1209" s="1" t="s">
        <v>37</v>
      </c>
      <c r="E1209" s="1" t="s">
        <v>32</v>
      </c>
      <c r="F1209" s="1" t="n">
        <v>1</v>
      </c>
      <c r="G1209" s="15" t="n">
        <v>409.14</v>
      </c>
      <c r="H1209" s="16" t="n">
        <v>0.29</v>
      </c>
      <c r="I1209" s="1" t="s">
        <v>31</v>
      </c>
      <c r="J1209" s="1" t="n">
        <v>9</v>
      </c>
      <c r="K1209" s="1" t="n">
        <v>1.3</v>
      </c>
      <c r="L1209" s="15" t="n">
        <v>290.49</v>
      </c>
      <c r="M1209" s="15" t="n">
        <f aca="false">F1209*G1209</f>
        <v>409.14</v>
      </c>
      <c r="N1209" s="15" t="n">
        <f aca="false">M1209-L1209</f>
        <v>118.65</v>
      </c>
      <c r="O1209" s="1" t="n">
        <f aca="false">YEAR(B1209)</f>
        <v>2025</v>
      </c>
      <c r="P1209" s="1" t="n">
        <f aca="false">MONTH(B1209)</f>
        <v>4</v>
      </c>
      <c r="Q1209" s="1" t="str">
        <f aca="false">TEXT(B1209,"mmm")</f>
        <v>Apr</v>
      </c>
      <c r="R1209" s="1" t="str">
        <f aca="false">"Q"&amp;ROUNDUP(MONTH(B1209)/3,0)</f>
        <v>Q2</v>
      </c>
    </row>
    <row r="1210" customFormat="false" ht="15" hidden="false" customHeight="true" outlineLevel="0" collapsed="false">
      <c r="A1210" s="1" t="n">
        <v>11209</v>
      </c>
      <c r="B1210" s="14" t="n">
        <v>45770</v>
      </c>
      <c r="C1210" s="1" t="n">
        <v>1866</v>
      </c>
      <c r="D1210" s="1" t="s">
        <v>30</v>
      </c>
      <c r="E1210" s="1" t="s">
        <v>32</v>
      </c>
      <c r="F1210" s="1" t="n">
        <v>3</v>
      </c>
      <c r="G1210" s="15" t="n">
        <v>441.6</v>
      </c>
      <c r="H1210" s="16" t="n">
        <v>0.21</v>
      </c>
      <c r="I1210" s="1" t="s">
        <v>33</v>
      </c>
      <c r="J1210" s="1" t="n">
        <v>11</v>
      </c>
      <c r="K1210" s="1" t="n">
        <v>2.3</v>
      </c>
      <c r="L1210" s="15" t="n">
        <v>1046.59</v>
      </c>
      <c r="M1210" s="15" t="n">
        <f aca="false">F1210*G1210</f>
        <v>1324.8</v>
      </c>
      <c r="N1210" s="15" t="n">
        <f aca="false">M1210-L1210</f>
        <v>278.21</v>
      </c>
      <c r="O1210" s="1" t="n">
        <f aca="false">YEAR(B1210)</f>
        <v>2025</v>
      </c>
      <c r="P1210" s="1" t="n">
        <f aca="false">MONTH(B1210)</f>
        <v>4</v>
      </c>
      <c r="Q1210" s="1" t="str">
        <f aca="false">TEXT(B1210,"mmm")</f>
        <v>Apr</v>
      </c>
      <c r="R1210" s="1" t="str">
        <f aca="false">"Q"&amp;ROUNDUP(MONTH(B1210)/3,0)</f>
        <v>Q2</v>
      </c>
    </row>
    <row r="1211" customFormat="false" ht="15" hidden="false" customHeight="true" outlineLevel="0" collapsed="false">
      <c r="A1211" s="1" t="n">
        <v>11210</v>
      </c>
      <c r="B1211" s="14" t="n">
        <v>45771</v>
      </c>
      <c r="C1211" s="1" t="n">
        <v>1252</v>
      </c>
      <c r="D1211" s="1" t="s">
        <v>37</v>
      </c>
      <c r="E1211" s="1" t="s">
        <v>32</v>
      </c>
      <c r="F1211" s="1" t="n">
        <v>4</v>
      </c>
      <c r="G1211" s="15" t="n">
        <v>418.97</v>
      </c>
      <c r="H1211" s="16" t="n">
        <v>0.33</v>
      </c>
      <c r="I1211" s="1" t="s">
        <v>31</v>
      </c>
      <c r="J1211" s="1" t="n">
        <v>6</v>
      </c>
      <c r="K1211" s="1" t="n">
        <v>2.7</v>
      </c>
      <c r="L1211" s="15" t="n">
        <v>1122.84</v>
      </c>
      <c r="M1211" s="15" t="n">
        <f aca="false">F1211*G1211</f>
        <v>1675.88</v>
      </c>
      <c r="N1211" s="15" t="n">
        <f aca="false">M1211-L1211</f>
        <v>553.04</v>
      </c>
      <c r="O1211" s="1" t="n">
        <f aca="false">YEAR(B1211)</f>
        <v>2025</v>
      </c>
      <c r="P1211" s="1" t="n">
        <f aca="false">MONTH(B1211)</f>
        <v>4</v>
      </c>
      <c r="Q1211" s="1" t="str">
        <f aca="false">TEXT(B1211,"mmm")</f>
        <v>Apr</v>
      </c>
      <c r="R1211" s="1" t="str">
        <f aca="false">"Q"&amp;ROUNDUP(MONTH(B1211)/3,0)</f>
        <v>Q2</v>
      </c>
    </row>
    <row r="1212" customFormat="false" ht="15" hidden="false" customHeight="true" outlineLevel="0" collapsed="false">
      <c r="A1212" s="1" t="n">
        <v>11211</v>
      </c>
      <c r="B1212" s="14" t="n">
        <v>45772</v>
      </c>
      <c r="C1212" s="1" t="n">
        <v>1691</v>
      </c>
      <c r="D1212" s="1" t="s">
        <v>27</v>
      </c>
      <c r="E1212" s="1" t="s">
        <v>35</v>
      </c>
      <c r="F1212" s="1" t="n">
        <v>7</v>
      </c>
      <c r="G1212" s="15" t="n">
        <v>81.67</v>
      </c>
      <c r="H1212" s="16" t="n">
        <v>0.16</v>
      </c>
      <c r="I1212" s="1" t="s">
        <v>31</v>
      </c>
      <c r="J1212" s="1" t="n">
        <v>1</v>
      </c>
      <c r="K1212" s="1" t="n">
        <v>3</v>
      </c>
      <c r="L1212" s="15" t="n">
        <v>480.22</v>
      </c>
      <c r="M1212" s="15" t="n">
        <f aca="false">F1212*G1212</f>
        <v>571.69</v>
      </c>
      <c r="N1212" s="15" t="n">
        <f aca="false">M1212-L1212</f>
        <v>91.47</v>
      </c>
      <c r="O1212" s="1" t="n">
        <f aca="false">YEAR(B1212)</f>
        <v>2025</v>
      </c>
      <c r="P1212" s="1" t="n">
        <f aca="false">MONTH(B1212)</f>
        <v>4</v>
      </c>
      <c r="Q1212" s="1" t="str">
        <f aca="false">TEXT(B1212,"mmm")</f>
        <v>Apr</v>
      </c>
      <c r="R1212" s="1" t="str">
        <f aca="false">"Q"&amp;ROUNDUP(MONTH(B1212)/3,0)</f>
        <v>Q2</v>
      </c>
    </row>
    <row r="1213" customFormat="false" ht="15" hidden="false" customHeight="true" outlineLevel="0" collapsed="false">
      <c r="A1213" s="1" t="n">
        <v>11212</v>
      </c>
      <c r="B1213" s="14" t="n">
        <v>45773</v>
      </c>
      <c r="C1213" s="1" t="n">
        <v>1718</v>
      </c>
      <c r="D1213" s="1" t="s">
        <v>30</v>
      </c>
      <c r="E1213" s="1" t="s">
        <v>36</v>
      </c>
      <c r="F1213" s="1" t="n">
        <v>1</v>
      </c>
      <c r="G1213" s="15" t="n">
        <v>399.28</v>
      </c>
      <c r="H1213" s="16" t="n">
        <v>0.34</v>
      </c>
      <c r="I1213" s="1" t="s">
        <v>33</v>
      </c>
      <c r="J1213" s="1" t="n">
        <v>11</v>
      </c>
      <c r="K1213" s="1" t="n">
        <v>4.4</v>
      </c>
      <c r="L1213" s="15" t="n">
        <v>263.52</v>
      </c>
      <c r="M1213" s="15" t="n">
        <f aca="false">F1213*G1213</f>
        <v>399.28</v>
      </c>
      <c r="N1213" s="15" t="n">
        <f aca="false">M1213-L1213</f>
        <v>135.76</v>
      </c>
      <c r="O1213" s="1" t="n">
        <f aca="false">YEAR(B1213)</f>
        <v>2025</v>
      </c>
      <c r="P1213" s="1" t="n">
        <f aca="false">MONTH(B1213)</f>
        <v>4</v>
      </c>
      <c r="Q1213" s="1" t="str">
        <f aca="false">TEXT(B1213,"mmm")</f>
        <v>Apr</v>
      </c>
      <c r="R1213" s="1" t="str">
        <f aca="false">"Q"&amp;ROUNDUP(MONTH(B1213)/3,0)</f>
        <v>Q2</v>
      </c>
    </row>
    <row r="1214" customFormat="false" ht="15" hidden="false" customHeight="true" outlineLevel="0" collapsed="false">
      <c r="A1214" s="1" t="n">
        <v>11213</v>
      </c>
      <c r="B1214" s="14" t="n">
        <v>45774</v>
      </c>
      <c r="C1214" s="1" t="n">
        <v>1302</v>
      </c>
      <c r="D1214" s="1" t="s">
        <v>34</v>
      </c>
      <c r="E1214" s="1" t="s">
        <v>28</v>
      </c>
      <c r="F1214" s="1" t="n">
        <v>1</v>
      </c>
      <c r="G1214" s="15" t="n">
        <v>178.79</v>
      </c>
      <c r="H1214" s="16" t="n">
        <v>0.1</v>
      </c>
      <c r="I1214" s="1" t="s">
        <v>29</v>
      </c>
      <c r="J1214" s="1" t="n">
        <v>3</v>
      </c>
      <c r="K1214" s="1" t="n">
        <v>1.1</v>
      </c>
      <c r="L1214" s="15" t="n">
        <v>160.91</v>
      </c>
      <c r="M1214" s="15" t="n">
        <f aca="false">F1214*G1214</f>
        <v>178.79</v>
      </c>
      <c r="N1214" s="15" t="n">
        <f aca="false">M1214-L1214</f>
        <v>17.88</v>
      </c>
      <c r="O1214" s="1" t="n">
        <f aca="false">YEAR(B1214)</f>
        <v>2025</v>
      </c>
      <c r="P1214" s="1" t="n">
        <f aca="false">MONTH(B1214)</f>
        <v>4</v>
      </c>
      <c r="Q1214" s="1" t="str">
        <f aca="false">TEXT(B1214,"mmm")</f>
        <v>Apr</v>
      </c>
      <c r="R1214" s="1" t="str">
        <f aca="false">"Q"&amp;ROUNDUP(MONTH(B1214)/3,0)</f>
        <v>Q2</v>
      </c>
    </row>
    <row r="1215" customFormat="false" ht="15" hidden="false" customHeight="true" outlineLevel="0" collapsed="false">
      <c r="A1215" s="1" t="n">
        <v>11214</v>
      </c>
      <c r="B1215" s="14" t="n">
        <v>45775</v>
      </c>
      <c r="C1215" s="1" t="n">
        <v>1638</v>
      </c>
      <c r="D1215" s="1" t="s">
        <v>34</v>
      </c>
      <c r="E1215" s="1" t="s">
        <v>36</v>
      </c>
      <c r="F1215" s="1" t="n">
        <v>5</v>
      </c>
      <c r="G1215" s="15" t="n">
        <v>31.85</v>
      </c>
      <c r="H1215" s="16" t="n">
        <v>0.08</v>
      </c>
      <c r="I1215" s="1" t="s">
        <v>31</v>
      </c>
      <c r="J1215" s="1" t="n">
        <v>1</v>
      </c>
      <c r="K1215" s="1" t="n">
        <v>2.7</v>
      </c>
      <c r="L1215" s="15" t="n">
        <v>146.51</v>
      </c>
      <c r="M1215" s="15" t="n">
        <f aca="false">F1215*G1215</f>
        <v>159.25</v>
      </c>
      <c r="N1215" s="15" t="n">
        <f aca="false">M1215-L1215</f>
        <v>12.74</v>
      </c>
      <c r="O1215" s="1" t="n">
        <f aca="false">YEAR(B1215)</f>
        <v>2025</v>
      </c>
      <c r="P1215" s="1" t="n">
        <f aca="false">MONTH(B1215)</f>
        <v>4</v>
      </c>
      <c r="Q1215" s="1" t="str">
        <f aca="false">TEXT(B1215,"mmm")</f>
        <v>Apr</v>
      </c>
      <c r="R1215" s="1" t="str">
        <f aca="false">"Q"&amp;ROUNDUP(MONTH(B1215)/3,0)</f>
        <v>Q2</v>
      </c>
    </row>
    <row r="1216" customFormat="false" ht="15" hidden="false" customHeight="true" outlineLevel="0" collapsed="false">
      <c r="A1216" s="1" t="n">
        <v>11215</v>
      </c>
      <c r="B1216" s="14" t="n">
        <v>45776</v>
      </c>
      <c r="C1216" s="1" t="n">
        <v>1055</v>
      </c>
      <c r="D1216" s="1" t="s">
        <v>37</v>
      </c>
      <c r="E1216" s="1" t="s">
        <v>35</v>
      </c>
      <c r="F1216" s="1" t="n">
        <v>1</v>
      </c>
      <c r="G1216" s="15" t="n">
        <v>257.68</v>
      </c>
      <c r="H1216" s="16" t="n">
        <v>0.22</v>
      </c>
      <c r="I1216" s="1" t="s">
        <v>29</v>
      </c>
      <c r="J1216" s="1" t="n">
        <v>2</v>
      </c>
      <c r="K1216" s="1" t="n">
        <v>2.6</v>
      </c>
      <c r="L1216" s="15" t="n">
        <v>200.99</v>
      </c>
      <c r="M1216" s="15" t="n">
        <f aca="false">F1216*G1216</f>
        <v>257.68</v>
      </c>
      <c r="N1216" s="15" t="n">
        <f aca="false">M1216-L1216</f>
        <v>56.69</v>
      </c>
      <c r="O1216" s="1" t="n">
        <f aca="false">YEAR(B1216)</f>
        <v>2025</v>
      </c>
      <c r="P1216" s="1" t="n">
        <f aca="false">MONTH(B1216)</f>
        <v>4</v>
      </c>
      <c r="Q1216" s="1" t="str">
        <f aca="false">TEXT(B1216,"mmm")</f>
        <v>Apr</v>
      </c>
      <c r="R1216" s="1" t="str">
        <f aca="false">"Q"&amp;ROUNDUP(MONTH(B1216)/3,0)</f>
        <v>Q2</v>
      </c>
    </row>
    <row r="1217" customFormat="false" ht="15" hidden="false" customHeight="true" outlineLevel="0" collapsed="false">
      <c r="A1217" s="1" t="n">
        <v>11216</v>
      </c>
      <c r="B1217" s="14" t="n">
        <v>45777</v>
      </c>
      <c r="C1217" s="1" t="n">
        <v>1725</v>
      </c>
      <c r="D1217" s="1" t="s">
        <v>37</v>
      </c>
      <c r="E1217" s="1" t="s">
        <v>36</v>
      </c>
      <c r="F1217" s="1" t="n">
        <v>6</v>
      </c>
      <c r="G1217" s="15" t="n">
        <v>268.62</v>
      </c>
      <c r="H1217" s="16" t="n">
        <v>0.13</v>
      </c>
      <c r="I1217" s="1" t="s">
        <v>31</v>
      </c>
      <c r="J1217" s="1" t="n">
        <v>6</v>
      </c>
      <c r="K1217" s="1" t="n">
        <v>4.8</v>
      </c>
      <c r="L1217" s="15" t="n">
        <v>1402.2</v>
      </c>
      <c r="M1217" s="15" t="n">
        <f aca="false">F1217*G1217</f>
        <v>1611.72</v>
      </c>
      <c r="N1217" s="15" t="n">
        <f aca="false">M1217-L1217</f>
        <v>209.52</v>
      </c>
      <c r="O1217" s="1" t="n">
        <f aca="false">YEAR(B1217)</f>
        <v>2025</v>
      </c>
      <c r="P1217" s="1" t="n">
        <f aca="false">MONTH(B1217)</f>
        <v>4</v>
      </c>
      <c r="Q1217" s="1" t="str">
        <f aca="false">TEXT(B1217,"mmm")</f>
        <v>Apr</v>
      </c>
      <c r="R1217" s="1" t="str">
        <f aca="false">"Q"&amp;ROUNDUP(MONTH(B1217)/3,0)</f>
        <v>Q2</v>
      </c>
    </row>
    <row r="1218" customFormat="false" ht="15" hidden="false" customHeight="true" outlineLevel="0" collapsed="false">
      <c r="A1218" s="1" t="n">
        <v>11217</v>
      </c>
      <c r="B1218" s="14" t="n">
        <v>45778</v>
      </c>
      <c r="C1218" s="1" t="n">
        <v>1525</v>
      </c>
      <c r="D1218" s="1" t="s">
        <v>34</v>
      </c>
      <c r="E1218" s="1" t="s">
        <v>32</v>
      </c>
      <c r="F1218" s="1" t="n">
        <v>2</v>
      </c>
      <c r="G1218" s="15" t="n">
        <v>288.3</v>
      </c>
      <c r="H1218" s="16" t="n">
        <v>0.22</v>
      </c>
      <c r="I1218" s="1" t="s">
        <v>33</v>
      </c>
      <c r="J1218" s="1" t="n">
        <v>7</v>
      </c>
      <c r="K1218" s="1" t="n">
        <v>2</v>
      </c>
      <c r="L1218" s="15" t="n">
        <v>449.75</v>
      </c>
      <c r="M1218" s="15" t="n">
        <f aca="false">F1218*G1218</f>
        <v>576.6</v>
      </c>
      <c r="N1218" s="15" t="n">
        <f aca="false">M1218-L1218</f>
        <v>126.85</v>
      </c>
      <c r="O1218" s="1" t="n">
        <f aca="false">YEAR(B1218)</f>
        <v>2025</v>
      </c>
      <c r="P1218" s="1" t="n">
        <f aca="false">MONTH(B1218)</f>
        <v>5</v>
      </c>
      <c r="Q1218" s="1" t="str">
        <f aca="false">TEXT(B1218,"mmm")</f>
        <v>May</v>
      </c>
      <c r="R1218" s="1" t="str">
        <f aca="false">"Q"&amp;ROUNDUP(MONTH(B1218)/3,0)</f>
        <v>Q2</v>
      </c>
    </row>
    <row r="1219" customFormat="false" ht="15" hidden="false" customHeight="true" outlineLevel="0" collapsed="false">
      <c r="A1219" s="1" t="n">
        <v>11218</v>
      </c>
      <c r="B1219" s="14" t="n">
        <v>45779</v>
      </c>
      <c r="C1219" s="1" t="n">
        <v>1473</v>
      </c>
      <c r="D1219" s="1" t="s">
        <v>30</v>
      </c>
      <c r="E1219" s="1" t="s">
        <v>32</v>
      </c>
      <c r="F1219" s="1" t="n">
        <v>2</v>
      </c>
      <c r="G1219" s="15" t="n">
        <v>427.32</v>
      </c>
      <c r="H1219" s="16" t="n">
        <v>0.11</v>
      </c>
      <c r="I1219" s="1" t="s">
        <v>31</v>
      </c>
      <c r="J1219" s="1" t="n">
        <v>1</v>
      </c>
      <c r="K1219" s="1" t="n">
        <v>1.5</v>
      </c>
      <c r="L1219" s="15" t="n">
        <v>760.63</v>
      </c>
      <c r="M1219" s="15" t="n">
        <f aca="false">F1219*G1219</f>
        <v>854.64</v>
      </c>
      <c r="N1219" s="15" t="n">
        <f aca="false">M1219-L1219</f>
        <v>94.01</v>
      </c>
      <c r="O1219" s="1" t="n">
        <f aca="false">YEAR(B1219)</f>
        <v>2025</v>
      </c>
      <c r="P1219" s="1" t="n">
        <f aca="false">MONTH(B1219)</f>
        <v>5</v>
      </c>
      <c r="Q1219" s="1" t="str">
        <f aca="false">TEXT(B1219,"mmm")</f>
        <v>May</v>
      </c>
      <c r="R1219" s="1" t="str">
        <f aca="false">"Q"&amp;ROUNDUP(MONTH(B1219)/3,0)</f>
        <v>Q2</v>
      </c>
    </row>
    <row r="1220" customFormat="false" ht="15" hidden="false" customHeight="true" outlineLevel="0" collapsed="false">
      <c r="A1220" s="1" t="n">
        <v>11219</v>
      </c>
      <c r="B1220" s="14" t="n">
        <v>45780</v>
      </c>
      <c r="C1220" s="1" t="n">
        <v>1027</v>
      </c>
      <c r="D1220" s="1" t="s">
        <v>30</v>
      </c>
      <c r="E1220" s="1" t="s">
        <v>36</v>
      </c>
      <c r="F1220" s="1" t="n">
        <v>3</v>
      </c>
      <c r="G1220" s="15" t="n">
        <v>195.67</v>
      </c>
      <c r="H1220" s="16" t="n">
        <v>0.22</v>
      </c>
      <c r="I1220" s="1" t="s">
        <v>31</v>
      </c>
      <c r="J1220" s="1" t="n">
        <v>10</v>
      </c>
      <c r="K1220" s="1" t="n">
        <v>1.6</v>
      </c>
      <c r="L1220" s="15" t="n">
        <v>457.87</v>
      </c>
      <c r="M1220" s="15" t="n">
        <f aca="false">F1220*G1220</f>
        <v>587.01</v>
      </c>
      <c r="N1220" s="15" t="n">
        <f aca="false">M1220-L1220</f>
        <v>129.14</v>
      </c>
      <c r="O1220" s="1" t="n">
        <f aca="false">YEAR(B1220)</f>
        <v>2025</v>
      </c>
      <c r="P1220" s="1" t="n">
        <f aca="false">MONTH(B1220)</f>
        <v>5</v>
      </c>
      <c r="Q1220" s="1" t="str">
        <f aca="false">TEXT(B1220,"mmm")</f>
        <v>May</v>
      </c>
      <c r="R1220" s="1" t="str">
        <f aca="false">"Q"&amp;ROUNDUP(MONTH(B1220)/3,0)</f>
        <v>Q2</v>
      </c>
    </row>
    <row r="1221" customFormat="false" ht="15" hidden="false" customHeight="true" outlineLevel="0" collapsed="false">
      <c r="A1221" s="1" t="n">
        <v>11220</v>
      </c>
      <c r="B1221" s="14" t="n">
        <v>45781</v>
      </c>
      <c r="C1221" s="1" t="n">
        <v>1982</v>
      </c>
      <c r="D1221" s="1" t="s">
        <v>34</v>
      </c>
      <c r="E1221" s="1" t="s">
        <v>35</v>
      </c>
      <c r="F1221" s="1" t="n">
        <v>1</v>
      </c>
      <c r="G1221" s="15" t="n">
        <v>199.44</v>
      </c>
      <c r="H1221" s="16" t="n">
        <v>0.1</v>
      </c>
      <c r="I1221" s="1" t="s">
        <v>33</v>
      </c>
      <c r="J1221" s="1" t="n">
        <v>5</v>
      </c>
      <c r="K1221" s="1" t="n">
        <v>3.1</v>
      </c>
      <c r="L1221" s="15" t="n">
        <v>179.5</v>
      </c>
      <c r="M1221" s="15" t="n">
        <f aca="false">F1221*G1221</f>
        <v>199.44</v>
      </c>
      <c r="N1221" s="15" t="n">
        <f aca="false">M1221-L1221</f>
        <v>19.94</v>
      </c>
      <c r="O1221" s="1" t="n">
        <f aca="false">YEAR(B1221)</f>
        <v>2025</v>
      </c>
      <c r="P1221" s="1" t="n">
        <f aca="false">MONTH(B1221)</f>
        <v>5</v>
      </c>
      <c r="Q1221" s="1" t="str">
        <f aca="false">TEXT(B1221,"mmm")</f>
        <v>May</v>
      </c>
      <c r="R1221" s="1" t="str">
        <f aca="false">"Q"&amp;ROUNDUP(MONTH(B1221)/3,0)</f>
        <v>Q2</v>
      </c>
    </row>
    <row r="1222" customFormat="false" ht="15" hidden="false" customHeight="true" outlineLevel="0" collapsed="false">
      <c r="A1222" s="1" t="n">
        <v>11221</v>
      </c>
      <c r="B1222" s="14" t="n">
        <v>45782</v>
      </c>
      <c r="C1222" s="1" t="n">
        <v>1077</v>
      </c>
      <c r="D1222" s="1" t="s">
        <v>27</v>
      </c>
      <c r="E1222" s="1" t="s">
        <v>36</v>
      </c>
      <c r="F1222" s="1" t="n">
        <v>6</v>
      </c>
      <c r="G1222" s="15" t="n">
        <v>50.42</v>
      </c>
      <c r="H1222" s="16" t="n">
        <v>0.02</v>
      </c>
      <c r="I1222" s="1" t="s">
        <v>33</v>
      </c>
      <c r="J1222" s="1" t="n">
        <v>6</v>
      </c>
      <c r="K1222" s="1" t="n">
        <v>2.6</v>
      </c>
      <c r="L1222" s="15" t="n">
        <v>296.47</v>
      </c>
      <c r="M1222" s="15" t="n">
        <f aca="false">F1222*G1222</f>
        <v>302.52</v>
      </c>
      <c r="N1222" s="15" t="n">
        <f aca="false">M1222-L1222</f>
        <v>6.04999999999995</v>
      </c>
      <c r="O1222" s="1" t="n">
        <f aca="false">YEAR(B1222)</f>
        <v>2025</v>
      </c>
      <c r="P1222" s="1" t="n">
        <f aca="false">MONTH(B1222)</f>
        <v>5</v>
      </c>
      <c r="Q1222" s="1" t="str">
        <f aca="false">TEXT(B1222,"mmm")</f>
        <v>May</v>
      </c>
      <c r="R1222" s="1" t="str">
        <f aca="false">"Q"&amp;ROUNDUP(MONTH(B1222)/3,0)</f>
        <v>Q2</v>
      </c>
    </row>
    <row r="1223" customFormat="false" ht="15" hidden="false" customHeight="true" outlineLevel="0" collapsed="false">
      <c r="A1223" s="1" t="n">
        <v>11222</v>
      </c>
      <c r="B1223" s="14" t="n">
        <v>45783</v>
      </c>
      <c r="C1223" s="1" t="n">
        <v>1215</v>
      </c>
      <c r="D1223" s="1" t="s">
        <v>34</v>
      </c>
      <c r="E1223" s="1" t="s">
        <v>32</v>
      </c>
      <c r="F1223" s="1" t="n">
        <v>5</v>
      </c>
      <c r="G1223" s="15" t="n">
        <v>416.79</v>
      </c>
      <c r="H1223" s="16" t="n">
        <v>0.32</v>
      </c>
      <c r="I1223" s="1" t="s">
        <v>33</v>
      </c>
      <c r="J1223" s="1" t="n">
        <v>4</v>
      </c>
      <c r="K1223" s="1" t="n">
        <v>4</v>
      </c>
      <c r="L1223" s="15" t="n">
        <v>1417.09</v>
      </c>
      <c r="M1223" s="15" t="n">
        <f aca="false">F1223*G1223</f>
        <v>2083.95</v>
      </c>
      <c r="N1223" s="15" t="n">
        <f aca="false">M1223-L1223</f>
        <v>666.86</v>
      </c>
      <c r="O1223" s="1" t="n">
        <f aca="false">YEAR(B1223)</f>
        <v>2025</v>
      </c>
      <c r="P1223" s="1" t="n">
        <f aca="false">MONTH(B1223)</f>
        <v>5</v>
      </c>
      <c r="Q1223" s="1" t="str">
        <f aca="false">TEXT(B1223,"mmm")</f>
        <v>May</v>
      </c>
      <c r="R1223" s="1" t="str">
        <f aca="false">"Q"&amp;ROUNDUP(MONTH(B1223)/3,0)</f>
        <v>Q2</v>
      </c>
    </row>
    <row r="1224" customFormat="false" ht="15" hidden="false" customHeight="true" outlineLevel="0" collapsed="false">
      <c r="A1224" s="1" t="n">
        <v>11223</v>
      </c>
      <c r="B1224" s="14" t="n">
        <v>45784</v>
      </c>
      <c r="C1224" s="1" t="n">
        <v>1385</v>
      </c>
      <c r="D1224" s="1" t="s">
        <v>34</v>
      </c>
      <c r="E1224" s="1" t="s">
        <v>32</v>
      </c>
      <c r="F1224" s="1" t="n">
        <v>5</v>
      </c>
      <c r="G1224" s="15" t="n">
        <v>347.18</v>
      </c>
      <c r="H1224" s="16" t="n">
        <v>0.31</v>
      </c>
      <c r="I1224" s="1" t="s">
        <v>33</v>
      </c>
      <c r="J1224" s="1" t="n">
        <v>6</v>
      </c>
      <c r="K1224" s="1" t="n">
        <v>2.3</v>
      </c>
      <c r="L1224" s="15" t="n">
        <v>1197.77</v>
      </c>
      <c r="M1224" s="15" t="n">
        <f aca="false">F1224*G1224</f>
        <v>1735.9</v>
      </c>
      <c r="N1224" s="15" t="n">
        <f aca="false">M1224-L1224</f>
        <v>538.13</v>
      </c>
      <c r="O1224" s="1" t="n">
        <f aca="false">YEAR(B1224)</f>
        <v>2025</v>
      </c>
      <c r="P1224" s="1" t="n">
        <f aca="false">MONTH(B1224)</f>
        <v>5</v>
      </c>
      <c r="Q1224" s="1" t="str">
        <f aca="false">TEXT(B1224,"mmm")</f>
        <v>May</v>
      </c>
      <c r="R1224" s="1" t="str">
        <f aca="false">"Q"&amp;ROUNDUP(MONTH(B1224)/3,0)</f>
        <v>Q2</v>
      </c>
    </row>
    <row r="1225" customFormat="false" ht="15" hidden="false" customHeight="true" outlineLevel="0" collapsed="false">
      <c r="A1225" s="1" t="n">
        <v>11224</v>
      </c>
      <c r="B1225" s="14" t="n">
        <v>45785</v>
      </c>
      <c r="C1225" s="1" t="n">
        <v>1364</v>
      </c>
      <c r="D1225" s="1" t="s">
        <v>30</v>
      </c>
      <c r="E1225" s="1" t="s">
        <v>35</v>
      </c>
      <c r="F1225" s="1" t="n">
        <v>7</v>
      </c>
      <c r="G1225" s="15" t="n">
        <v>219.41</v>
      </c>
      <c r="H1225" s="16" t="n">
        <v>0.34</v>
      </c>
      <c r="I1225" s="1" t="s">
        <v>33</v>
      </c>
      <c r="J1225" s="1" t="n">
        <v>5</v>
      </c>
      <c r="K1225" s="1" t="n">
        <v>1.5</v>
      </c>
      <c r="L1225" s="15" t="n">
        <v>1013.67</v>
      </c>
      <c r="M1225" s="15" t="n">
        <f aca="false">F1225*G1225</f>
        <v>1535.87</v>
      </c>
      <c r="N1225" s="15" t="n">
        <f aca="false">M1225-L1225</f>
        <v>522.2</v>
      </c>
      <c r="O1225" s="1" t="n">
        <f aca="false">YEAR(B1225)</f>
        <v>2025</v>
      </c>
      <c r="P1225" s="1" t="n">
        <f aca="false">MONTH(B1225)</f>
        <v>5</v>
      </c>
      <c r="Q1225" s="1" t="str">
        <f aca="false">TEXT(B1225,"mmm")</f>
        <v>May</v>
      </c>
      <c r="R1225" s="1" t="str">
        <f aca="false">"Q"&amp;ROUNDUP(MONTH(B1225)/3,0)</f>
        <v>Q2</v>
      </c>
    </row>
    <row r="1226" customFormat="false" ht="15" hidden="false" customHeight="true" outlineLevel="0" collapsed="false">
      <c r="A1226" s="1" t="n">
        <v>11225</v>
      </c>
      <c r="B1226" s="14" t="n">
        <v>45786</v>
      </c>
      <c r="C1226" s="1" t="n">
        <v>1665</v>
      </c>
      <c r="D1226" s="1" t="s">
        <v>37</v>
      </c>
      <c r="E1226" s="1" t="s">
        <v>36</v>
      </c>
      <c r="F1226" s="1" t="n">
        <v>4</v>
      </c>
      <c r="G1226" s="15" t="n">
        <v>427.54</v>
      </c>
      <c r="H1226" s="16" t="n">
        <v>0.25</v>
      </c>
      <c r="I1226" s="1" t="s">
        <v>29</v>
      </c>
      <c r="J1226" s="1" t="n">
        <v>11</v>
      </c>
      <c r="K1226" s="1" t="n">
        <v>2.5</v>
      </c>
      <c r="L1226" s="15" t="n">
        <v>1282.62</v>
      </c>
      <c r="M1226" s="15" t="n">
        <f aca="false">F1226*G1226</f>
        <v>1710.16</v>
      </c>
      <c r="N1226" s="15" t="n">
        <f aca="false">M1226-L1226</f>
        <v>427.54</v>
      </c>
      <c r="O1226" s="1" t="n">
        <f aca="false">YEAR(B1226)</f>
        <v>2025</v>
      </c>
      <c r="P1226" s="1" t="n">
        <f aca="false">MONTH(B1226)</f>
        <v>5</v>
      </c>
      <c r="Q1226" s="1" t="str">
        <f aca="false">TEXT(B1226,"mmm")</f>
        <v>May</v>
      </c>
      <c r="R1226" s="1" t="str">
        <f aca="false">"Q"&amp;ROUNDUP(MONTH(B1226)/3,0)</f>
        <v>Q2</v>
      </c>
    </row>
    <row r="1227" customFormat="false" ht="15" hidden="false" customHeight="true" outlineLevel="0" collapsed="false">
      <c r="A1227" s="1" t="n">
        <v>11226</v>
      </c>
      <c r="B1227" s="14" t="n">
        <v>45787</v>
      </c>
      <c r="C1227" s="1" t="n">
        <v>1525</v>
      </c>
      <c r="D1227" s="1" t="s">
        <v>34</v>
      </c>
      <c r="E1227" s="1" t="s">
        <v>32</v>
      </c>
      <c r="F1227" s="1" t="n">
        <v>3</v>
      </c>
      <c r="G1227" s="15" t="n">
        <v>329.35</v>
      </c>
      <c r="H1227" s="16" t="n">
        <v>0.24</v>
      </c>
      <c r="I1227" s="1" t="s">
        <v>33</v>
      </c>
      <c r="J1227" s="1" t="n">
        <v>7</v>
      </c>
      <c r="K1227" s="1" t="n">
        <v>4.5</v>
      </c>
      <c r="L1227" s="15" t="n">
        <v>750.92</v>
      </c>
      <c r="M1227" s="15" t="n">
        <f aca="false">F1227*G1227</f>
        <v>988.05</v>
      </c>
      <c r="N1227" s="15" t="n">
        <f aca="false">M1227-L1227</f>
        <v>237.13</v>
      </c>
      <c r="O1227" s="1" t="n">
        <f aca="false">YEAR(B1227)</f>
        <v>2025</v>
      </c>
      <c r="P1227" s="1" t="n">
        <f aca="false">MONTH(B1227)</f>
        <v>5</v>
      </c>
      <c r="Q1227" s="1" t="str">
        <f aca="false">TEXT(B1227,"mmm")</f>
        <v>May</v>
      </c>
      <c r="R1227" s="1" t="str">
        <f aca="false">"Q"&amp;ROUNDUP(MONTH(B1227)/3,0)</f>
        <v>Q2</v>
      </c>
    </row>
    <row r="1228" customFormat="false" ht="15" hidden="false" customHeight="true" outlineLevel="0" collapsed="false">
      <c r="A1228" s="1" t="n">
        <v>11227</v>
      </c>
      <c r="B1228" s="14" t="n">
        <v>45788</v>
      </c>
      <c r="C1228" s="1" t="n">
        <v>1698</v>
      </c>
      <c r="D1228" s="1" t="s">
        <v>37</v>
      </c>
      <c r="E1228" s="1" t="s">
        <v>32</v>
      </c>
      <c r="F1228" s="1" t="n">
        <v>6</v>
      </c>
      <c r="G1228" s="15" t="n">
        <v>289.51</v>
      </c>
      <c r="H1228" s="16" t="n">
        <v>0.2</v>
      </c>
      <c r="I1228" s="1" t="s">
        <v>31</v>
      </c>
      <c r="J1228" s="1" t="n">
        <v>4</v>
      </c>
      <c r="K1228" s="1" t="n">
        <v>2.6</v>
      </c>
      <c r="L1228" s="15" t="n">
        <v>1389.65</v>
      </c>
      <c r="M1228" s="15" t="n">
        <f aca="false">F1228*G1228</f>
        <v>1737.06</v>
      </c>
      <c r="N1228" s="15" t="n">
        <f aca="false">M1228-L1228</f>
        <v>347.41</v>
      </c>
      <c r="O1228" s="1" t="n">
        <f aca="false">YEAR(B1228)</f>
        <v>2025</v>
      </c>
      <c r="P1228" s="1" t="n">
        <f aca="false">MONTH(B1228)</f>
        <v>5</v>
      </c>
      <c r="Q1228" s="1" t="str">
        <f aca="false">TEXT(B1228,"mmm")</f>
        <v>May</v>
      </c>
      <c r="R1228" s="1" t="str">
        <f aca="false">"Q"&amp;ROUNDUP(MONTH(B1228)/3,0)</f>
        <v>Q2</v>
      </c>
    </row>
    <row r="1229" customFormat="false" ht="15" hidden="false" customHeight="true" outlineLevel="0" collapsed="false">
      <c r="A1229" s="1" t="n">
        <v>11228</v>
      </c>
      <c r="B1229" s="14" t="n">
        <v>45789</v>
      </c>
      <c r="C1229" s="1" t="n">
        <v>1311</v>
      </c>
      <c r="D1229" s="1" t="s">
        <v>30</v>
      </c>
      <c r="E1229" s="1" t="s">
        <v>36</v>
      </c>
      <c r="F1229" s="1" t="n">
        <v>6</v>
      </c>
      <c r="G1229" s="15" t="n">
        <v>314.12</v>
      </c>
      <c r="H1229" s="16" t="n">
        <v>0.04</v>
      </c>
      <c r="I1229" s="1" t="s">
        <v>31</v>
      </c>
      <c r="J1229" s="1" t="n">
        <v>1</v>
      </c>
      <c r="K1229" s="1" t="n">
        <v>4.3</v>
      </c>
      <c r="L1229" s="15" t="n">
        <v>1809.33</v>
      </c>
      <c r="M1229" s="15" t="n">
        <f aca="false">F1229*G1229</f>
        <v>1884.72</v>
      </c>
      <c r="N1229" s="15" t="n">
        <f aca="false">M1229-L1229</f>
        <v>75.3900000000001</v>
      </c>
      <c r="O1229" s="1" t="n">
        <f aca="false">YEAR(B1229)</f>
        <v>2025</v>
      </c>
      <c r="P1229" s="1" t="n">
        <f aca="false">MONTH(B1229)</f>
        <v>5</v>
      </c>
      <c r="Q1229" s="1" t="str">
        <f aca="false">TEXT(B1229,"mmm")</f>
        <v>May</v>
      </c>
      <c r="R1229" s="1" t="str">
        <f aca="false">"Q"&amp;ROUNDUP(MONTH(B1229)/3,0)</f>
        <v>Q2</v>
      </c>
    </row>
    <row r="1230" customFormat="false" ht="15" hidden="false" customHeight="true" outlineLevel="0" collapsed="false">
      <c r="A1230" s="1" t="n">
        <v>11229</v>
      </c>
      <c r="B1230" s="14" t="n">
        <v>45790</v>
      </c>
      <c r="C1230" s="1" t="n">
        <v>1882</v>
      </c>
      <c r="D1230" s="1" t="s">
        <v>34</v>
      </c>
      <c r="E1230" s="1" t="s">
        <v>36</v>
      </c>
      <c r="F1230" s="1" t="n">
        <v>7</v>
      </c>
      <c r="G1230" s="15" t="n">
        <v>387.26</v>
      </c>
      <c r="H1230" s="16" t="n">
        <v>0.07</v>
      </c>
      <c r="I1230" s="1" t="s">
        <v>31</v>
      </c>
      <c r="J1230" s="1" t="n">
        <v>2</v>
      </c>
      <c r="K1230" s="1" t="n">
        <v>2.5</v>
      </c>
      <c r="L1230" s="15" t="n">
        <v>2521.06</v>
      </c>
      <c r="M1230" s="15" t="n">
        <f aca="false">F1230*G1230</f>
        <v>2710.82</v>
      </c>
      <c r="N1230" s="15" t="n">
        <f aca="false">M1230-L1230</f>
        <v>189.76</v>
      </c>
      <c r="O1230" s="1" t="n">
        <f aca="false">YEAR(B1230)</f>
        <v>2025</v>
      </c>
      <c r="P1230" s="1" t="n">
        <f aca="false">MONTH(B1230)</f>
        <v>5</v>
      </c>
      <c r="Q1230" s="1" t="str">
        <f aca="false">TEXT(B1230,"mmm")</f>
        <v>May</v>
      </c>
      <c r="R1230" s="1" t="str">
        <f aca="false">"Q"&amp;ROUNDUP(MONTH(B1230)/3,0)</f>
        <v>Q2</v>
      </c>
    </row>
    <row r="1231" customFormat="false" ht="15" hidden="false" customHeight="true" outlineLevel="0" collapsed="false">
      <c r="A1231" s="1" t="n">
        <v>11230</v>
      </c>
      <c r="B1231" s="14" t="n">
        <v>45791</v>
      </c>
      <c r="C1231" s="1" t="n">
        <v>1006</v>
      </c>
      <c r="D1231" s="1" t="s">
        <v>34</v>
      </c>
      <c r="E1231" s="1" t="s">
        <v>28</v>
      </c>
      <c r="F1231" s="1" t="n">
        <v>7</v>
      </c>
      <c r="G1231" s="15" t="n">
        <v>401.1</v>
      </c>
      <c r="H1231" s="16" t="n">
        <v>0.1</v>
      </c>
      <c r="I1231" s="1" t="s">
        <v>33</v>
      </c>
      <c r="J1231" s="1" t="n">
        <v>6</v>
      </c>
      <c r="K1231" s="1" t="n">
        <v>2.1</v>
      </c>
      <c r="L1231" s="15" t="n">
        <v>2526.93</v>
      </c>
      <c r="M1231" s="15" t="n">
        <f aca="false">F1231*G1231</f>
        <v>2807.7</v>
      </c>
      <c r="N1231" s="15" t="n">
        <f aca="false">M1231-L1231</f>
        <v>280.77</v>
      </c>
      <c r="O1231" s="1" t="n">
        <f aca="false">YEAR(B1231)</f>
        <v>2025</v>
      </c>
      <c r="P1231" s="1" t="n">
        <f aca="false">MONTH(B1231)</f>
        <v>5</v>
      </c>
      <c r="Q1231" s="1" t="str">
        <f aca="false">TEXT(B1231,"mmm")</f>
        <v>May</v>
      </c>
      <c r="R1231" s="1" t="str">
        <f aca="false">"Q"&amp;ROUNDUP(MONTH(B1231)/3,0)</f>
        <v>Q2</v>
      </c>
    </row>
    <row r="1232" customFormat="false" ht="15" hidden="false" customHeight="true" outlineLevel="0" collapsed="false">
      <c r="A1232" s="1" t="n">
        <v>11231</v>
      </c>
      <c r="B1232" s="14" t="n">
        <v>45792</v>
      </c>
      <c r="C1232" s="1" t="n">
        <v>1002</v>
      </c>
      <c r="D1232" s="1" t="s">
        <v>30</v>
      </c>
      <c r="E1232" s="1" t="s">
        <v>35</v>
      </c>
      <c r="F1232" s="1" t="n">
        <v>5</v>
      </c>
      <c r="G1232" s="15" t="n">
        <v>184.04</v>
      </c>
      <c r="H1232" s="16" t="n">
        <v>0.31</v>
      </c>
      <c r="I1232" s="1" t="s">
        <v>31</v>
      </c>
      <c r="J1232" s="1" t="n">
        <v>10</v>
      </c>
      <c r="K1232" s="1" t="n">
        <v>4.1</v>
      </c>
      <c r="L1232" s="15" t="n">
        <v>634.94</v>
      </c>
      <c r="M1232" s="15" t="n">
        <f aca="false">F1232*G1232</f>
        <v>920.2</v>
      </c>
      <c r="N1232" s="15" t="n">
        <f aca="false">M1232-L1232</f>
        <v>285.26</v>
      </c>
      <c r="O1232" s="1" t="n">
        <f aca="false">YEAR(B1232)</f>
        <v>2025</v>
      </c>
      <c r="P1232" s="1" t="n">
        <f aca="false">MONTH(B1232)</f>
        <v>5</v>
      </c>
      <c r="Q1232" s="1" t="str">
        <f aca="false">TEXT(B1232,"mmm")</f>
        <v>May</v>
      </c>
      <c r="R1232" s="1" t="str">
        <f aca="false">"Q"&amp;ROUNDUP(MONTH(B1232)/3,0)</f>
        <v>Q2</v>
      </c>
    </row>
    <row r="1233" customFormat="false" ht="15" hidden="false" customHeight="true" outlineLevel="0" collapsed="false">
      <c r="A1233" s="1" t="n">
        <v>11232</v>
      </c>
      <c r="B1233" s="14" t="n">
        <v>45793</v>
      </c>
      <c r="C1233" s="1" t="n">
        <v>1622</v>
      </c>
      <c r="D1233" s="1" t="s">
        <v>34</v>
      </c>
      <c r="E1233" s="1" t="s">
        <v>35</v>
      </c>
      <c r="F1233" s="1" t="n">
        <v>4</v>
      </c>
      <c r="G1233" s="15" t="n">
        <v>97.33</v>
      </c>
      <c r="H1233" s="16" t="n">
        <v>0.06</v>
      </c>
      <c r="I1233" s="1" t="s">
        <v>31</v>
      </c>
      <c r="J1233" s="1" t="n">
        <v>11</v>
      </c>
      <c r="K1233" s="1" t="n">
        <v>1.8</v>
      </c>
      <c r="L1233" s="15" t="n">
        <v>365.96</v>
      </c>
      <c r="M1233" s="15" t="n">
        <f aca="false">F1233*G1233</f>
        <v>389.32</v>
      </c>
      <c r="N1233" s="15" t="n">
        <f aca="false">M1233-L1233</f>
        <v>23.36</v>
      </c>
      <c r="O1233" s="1" t="n">
        <f aca="false">YEAR(B1233)</f>
        <v>2025</v>
      </c>
      <c r="P1233" s="1" t="n">
        <f aca="false">MONTH(B1233)</f>
        <v>5</v>
      </c>
      <c r="Q1233" s="1" t="str">
        <f aca="false">TEXT(B1233,"mmm")</f>
        <v>May</v>
      </c>
      <c r="R1233" s="1" t="str">
        <f aca="false">"Q"&amp;ROUNDUP(MONTH(B1233)/3,0)</f>
        <v>Q2</v>
      </c>
    </row>
    <row r="1234" customFormat="false" ht="15" hidden="false" customHeight="true" outlineLevel="0" collapsed="false">
      <c r="A1234" s="1" t="n">
        <v>11233</v>
      </c>
      <c r="B1234" s="14" t="n">
        <v>45794</v>
      </c>
      <c r="C1234" s="1" t="n">
        <v>1918</v>
      </c>
      <c r="D1234" s="1" t="s">
        <v>27</v>
      </c>
      <c r="E1234" s="1" t="s">
        <v>36</v>
      </c>
      <c r="F1234" s="1" t="n">
        <v>5</v>
      </c>
      <c r="G1234" s="15" t="n">
        <v>106.63</v>
      </c>
      <c r="H1234" s="16" t="n">
        <v>0.32</v>
      </c>
      <c r="I1234" s="1" t="s">
        <v>31</v>
      </c>
      <c r="J1234" s="1" t="n">
        <v>2</v>
      </c>
      <c r="K1234" s="1" t="n">
        <v>1.9</v>
      </c>
      <c r="L1234" s="15" t="n">
        <v>362.54</v>
      </c>
      <c r="M1234" s="15" t="n">
        <f aca="false">F1234*G1234</f>
        <v>533.15</v>
      </c>
      <c r="N1234" s="15" t="n">
        <f aca="false">M1234-L1234</f>
        <v>170.61</v>
      </c>
      <c r="O1234" s="1" t="n">
        <f aca="false">YEAR(B1234)</f>
        <v>2025</v>
      </c>
      <c r="P1234" s="1" t="n">
        <f aca="false">MONTH(B1234)</f>
        <v>5</v>
      </c>
      <c r="Q1234" s="1" t="str">
        <f aca="false">TEXT(B1234,"mmm")</f>
        <v>May</v>
      </c>
      <c r="R1234" s="1" t="str">
        <f aca="false">"Q"&amp;ROUNDUP(MONTH(B1234)/3,0)</f>
        <v>Q2</v>
      </c>
    </row>
    <row r="1235" customFormat="false" ht="15" hidden="false" customHeight="true" outlineLevel="0" collapsed="false">
      <c r="A1235" s="1" t="n">
        <v>11234</v>
      </c>
      <c r="B1235" s="14" t="n">
        <v>45795</v>
      </c>
      <c r="C1235" s="1" t="n">
        <v>1749</v>
      </c>
      <c r="D1235" s="1" t="s">
        <v>37</v>
      </c>
      <c r="E1235" s="1" t="s">
        <v>35</v>
      </c>
      <c r="F1235" s="1" t="n">
        <v>4</v>
      </c>
      <c r="G1235" s="15" t="n">
        <v>389.04</v>
      </c>
      <c r="H1235" s="16" t="n">
        <v>0.18</v>
      </c>
      <c r="I1235" s="1" t="s">
        <v>33</v>
      </c>
      <c r="J1235" s="1" t="n">
        <v>5</v>
      </c>
      <c r="K1235" s="1" t="n">
        <v>1.2</v>
      </c>
      <c r="L1235" s="15" t="n">
        <v>1276.05</v>
      </c>
      <c r="M1235" s="15" t="n">
        <f aca="false">F1235*G1235</f>
        <v>1556.16</v>
      </c>
      <c r="N1235" s="15" t="n">
        <f aca="false">M1235-L1235</f>
        <v>280.11</v>
      </c>
      <c r="O1235" s="1" t="n">
        <f aca="false">YEAR(B1235)</f>
        <v>2025</v>
      </c>
      <c r="P1235" s="1" t="n">
        <f aca="false">MONTH(B1235)</f>
        <v>5</v>
      </c>
      <c r="Q1235" s="1" t="str">
        <f aca="false">TEXT(B1235,"mmm")</f>
        <v>May</v>
      </c>
      <c r="R1235" s="1" t="str">
        <f aca="false">"Q"&amp;ROUNDUP(MONTH(B1235)/3,0)</f>
        <v>Q2</v>
      </c>
    </row>
    <row r="1236" customFormat="false" ht="15" hidden="false" customHeight="true" outlineLevel="0" collapsed="false">
      <c r="A1236" s="1" t="n">
        <v>11235</v>
      </c>
      <c r="B1236" s="14" t="n">
        <v>45796</v>
      </c>
      <c r="C1236" s="1" t="n">
        <v>1362</v>
      </c>
      <c r="D1236" s="1" t="s">
        <v>27</v>
      </c>
      <c r="E1236" s="1" t="s">
        <v>32</v>
      </c>
      <c r="F1236" s="1" t="n">
        <v>2</v>
      </c>
      <c r="G1236" s="15" t="n">
        <v>525.63</v>
      </c>
      <c r="H1236" s="16" t="n">
        <v>0.25</v>
      </c>
      <c r="I1236" s="1" t="s">
        <v>31</v>
      </c>
      <c r="J1236" s="1" t="n">
        <v>4</v>
      </c>
      <c r="K1236" s="1" t="n">
        <v>1.8</v>
      </c>
      <c r="L1236" s="15" t="n">
        <v>788.44</v>
      </c>
      <c r="M1236" s="15" t="n">
        <f aca="false">F1236*G1236</f>
        <v>1051.26</v>
      </c>
      <c r="N1236" s="15" t="n">
        <f aca="false">M1236-L1236</f>
        <v>262.82</v>
      </c>
      <c r="O1236" s="1" t="n">
        <f aca="false">YEAR(B1236)</f>
        <v>2025</v>
      </c>
      <c r="P1236" s="1" t="n">
        <f aca="false">MONTH(B1236)</f>
        <v>5</v>
      </c>
      <c r="Q1236" s="1" t="str">
        <f aca="false">TEXT(B1236,"mmm")</f>
        <v>May</v>
      </c>
      <c r="R1236" s="1" t="str">
        <f aca="false">"Q"&amp;ROUNDUP(MONTH(B1236)/3,0)</f>
        <v>Q2</v>
      </c>
    </row>
    <row r="1237" customFormat="false" ht="15" hidden="false" customHeight="true" outlineLevel="0" collapsed="false">
      <c r="A1237" s="1" t="n">
        <v>11236</v>
      </c>
      <c r="B1237" s="14" t="n">
        <v>45797</v>
      </c>
      <c r="C1237" s="1" t="n">
        <v>1750</v>
      </c>
      <c r="D1237" s="1" t="s">
        <v>34</v>
      </c>
      <c r="E1237" s="1" t="s">
        <v>36</v>
      </c>
      <c r="F1237" s="1" t="n">
        <v>6</v>
      </c>
      <c r="G1237" s="15" t="n">
        <v>254.56</v>
      </c>
      <c r="H1237" s="16" t="n">
        <v>0.04</v>
      </c>
      <c r="I1237" s="1" t="s">
        <v>31</v>
      </c>
      <c r="J1237" s="1" t="n">
        <v>7</v>
      </c>
      <c r="K1237" s="1" t="n">
        <v>2.5</v>
      </c>
      <c r="L1237" s="15" t="n">
        <v>1466.27</v>
      </c>
      <c r="M1237" s="15" t="n">
        <f aca="false">F1237*G1237</f>
        <v>1527.36</v>
      </c>
      <c r="N1237" s="15" t="n">
        <f aca="false">M1237-L1237</f>
        <v>61.0900000000001</v>
      </c>
      <c r="O1237" s="1" t="n">
        <f aca="false">YEAR(B1237)</f>
        <v>2025</v>
      </c>
      <c r="P1237" s="1" t="n">
        <f aca="false">MONTH(B1237)</f>
        <v>5</v>
      </c>
      <c r="Q1237" s="1" t="str">
        <f aca="false">TEXT(B1237,"mmm")</f>
        <v>May</v>
      </c>
      <c r="R1237" s="1" t="str">
        <f aca="false">"Q"&amp;ROUNDUP(MONTH(B1237)/3,0)</f>
        <v>Q2</v>
      </c>
    </row>
    <row r="1238" customFormat="false" ht="15" hidden="false" customHeight="true" outlineLevel="0" collapsed="false">
      <c r="A1238" s="1" t="n">
        <v>11237</v>
      </c>
      <c r="B1238" s="14" t="n">
        <v>45798</v>
      </c>
      <c r="C1238" s="1" t="n">
        <v>1507</v>
      </c>
      <c r="D1238" s="1" t="s">
        <v>27</v>
      </c>
      <c r="E1238" s="1" t="s">
        <v>36</v>
      </c>
      <c r="F1238" s="1" t="n">
        <v>7</v>
      </c>
      <c r="G1238" s="15" t="n">
        <v>114.17</v>
      </c>
      <c r="H1238" s="16" t="n">
        <v>0.09</v>
      </c>
      <c r="I1238" s="1" t="s">
        <v>33</v>
      </c>
      <c r="J1238" s="1" t="n">
        <v>4</v>
      </c>
      <c r="K1238" s="1" t="n">
        <v>2.6</v>
      </c>
      <c r="L1238" s="15" t="n">
        <v>727.26</v>
      </c>
      <c r="M1238" s="15" t="n">
        <f aca="false">F1238*G1238</f>
        <v>799.19</v>
      </c>
      <c r="N1238" s="15" t="n">
        <f aca="false">M1238-L1238</f>
        <v>71.9300000000001</v>
      </c>
      <c r="O1238" s="1" t="n">
        <f aca="false">YEAR(B1238)</f>
        <v>2025</v>
      </c>
      <c r="P1238" s="1" t="n">
        <f aca="false">MONTH(B1238)</f>
        <v>5</v>
      </c>
      <c r="Q1238" s="1" t="str">
        <f aca="false">TEXT(B1238,"mmm")</f>
        <v>May</v>
      </c>
      <c r="R1238" s="1" t="str">
        <f aca="false">"Q"&amp;ROUNDUP(MONTH(B1238)/3,0)</f>
        <v>Q2</v>
      </c>
    </row>
    <row r="1239" customFormat="false" ht="15" hidden="false" customHeight="true" outlineLevel="0" collapsed="false">
      <c r="A1239" s="1" t="n">
        <v>11238</v>
      </c>
      <c r="B1239" s="14" t="n">
        <v>45799</v>
      </c>
      <c r="C1239" s="1" t="n">
        <v>1273</v>
      </c>
      <c r="D1239" s="1" t="s">
        <v>30</v>
      </c>
      <c r="E1239" s="1" t="s">
        <v>36</v>
      </c>
      <c r="F1239" s="1" t="n">
        <v>2</v>
      </c>
      <c r="G1239" s="15" t="n">
        <v>457.61</v>
      </c>
      <c r="H1239" s="16" t="n">
        <v>0.34</v>
      </c>
      <c r="I1239" s="1" t="s">
        <v>33</v>
      </c>
      <c r="J1239" s="1" t="n">
        <v>7</v>
      </c>
      <c r="K1239" s="1" t="n">
        <v>2.7</v>
      </c>
      <c r="L1239" s="15" t="n">
        <v>604.05</v>
      </c>
      <c r="M1239" s="15" t="n">
        <f aca="false">F1239*G1239</f>
        <v>915.22</v>
      </c>
      <c r="N1239" s="15" t="n">
        <f aca="false">M1239-L1239</f>
        <v>311.17</v>
      </c>
      <c r="O1239" s="1" t="n">
        <f aca="false">YEAR(B1239)</f>
        <v>2025</v>
      </c>
      <c r="P1239" s="1" t="n">
        <f aca="false">MONTH(B1239)</f>
        <v>5</v>
      </c>
      <c r="Q1239" s="1" t="str">
        <f aca="false">TEXT(B1239,"mmm")</f>
        <v>May</v>
      </c>
      <c r="R1239" s="1" t="str">
        <f aca="false">"Q"&amp;ROUNDUP(MONTH(B1239)/3,0)</f>
        <v>Q2</v>
      </c>
    </row>
    <row r="1240" customFormat="false" ht="15" hidden="false" customHeight="true" outlineLevel="0" collapsed="false">
      <c r="A1240" s="1" t="n">
        <v>11239</v>
      </c>
      <c r="B1240" s="14" t="n">
        <v>45800</v>
      </c>
      <c r="C1240" s="1" t="n">
        <v>1505</v>
      </c>
      <c r="D1240" s="1" t="s">
        <v>34</v>
      </c>
      <c r="E1240" s="1" t="s">
        <v>28</v>
      </c>
      <c r="F1240" s="1" t="n">
        <v>5</v>
      </c>
      <c r="G1240" s="15" t="n">
        <v>502.01</v>
      </c>
      <c r="H1240" s="16" t="n">
        <v>0.09</v>
      </c>
      <c r="I1240" s="1" t="s">
        <v>31</v>
      </c>
      <c r="J1240" s="1" t="n">
        <v>11</v>
      </c>
      <c r="K1240" s="1" t="n">
        <v>2.9</v>
      </c>
      <c r="L1240" s="15" t="n">
        <v>2284.15</v>
      </c>
      <c r="M1240" s="15" t="n">
        <f aca="false">F1240*G1240</f>
        <v>2510.05</v>
      </c>
      <c r="N1240" s="15" t="n">
        <f aca="false">M1240-L1240</f>
        <v>225.9</v>
      </c>
      <c r="O1240" s="1" t="n">
        <f aca="false">YEAR(B1240)</f>
        <v>2025</v>
      </c>
      <c r="P1240" s="1" t="n">
        <f aca="false">MONTH(B1240)</f>
        <v>5</v>
      </c>
      <c r="Q1240" s="1" t="str">
        <f aca="false">TEXT(B1240,"mmm")</f>
        <v>May</v>
      </c>
      <c r="R1240" s="1" t="str">
        <f aca="false">"Q"&amp;ROUNDUP(MONTH(B1240)/3,0)</f>
        <v>Q2</v>
      </c>
    </row>
    <row r="1241" customFormat="false" ht="15" hidden="false" customHeight="true" outlineLevel="0" collapsed="false">
      <c r="A1241" s="1" t="n">
        <v>11240</v>
      </c>
      <c r="B1241" s="14" t="n">
        <v>45801</v>
      </c>
      <c r="C1241" s="1" t="n">
        <v>1805</v>
      </c>
      <c r="D1241" s="1" t="s">
        <v>34</v>
      </c>
      <c r="E1241" s="1" t="s">
        <v>35</v>
      </c>
      <c r="F1241" s="1" t="n">
        <v>3</v>
      </c>
      <c r="G1241" s="15" t="n">
        <v>530.14</v>
      </c>
      <c r="H1241" s="16" t="n">
        <v>0.1</v>
      </c>
      <c r="I1241" s="1" t="s">
        <v>33</v>
      </c>
      <c r="J1241" s="1" t="n">
        <v>8</v>
      </c>
      <c r="K1241" s="1" t="n">
        <v>3.3</v>
      </c>
      <c r="L1241" s="15" t="n">
        <v>1431.38</v>
      </c>
      <c r="M1241" s="15" t="n">
        <f aca="false">F1241*G1241</f>
        <v>1590.42</v>
      </c>
      <c r="N1241" s="15" t="n">
        <f aca="false">M1241-L1241</f>
        <v>159.04</v>
      </c>
      <c r="O1241" s="1" t="n">
        <f aca="false">YEAR(B1241)</f>
        <v>2025</v>
      </c>
      <c r="P1241" s="1" t="n">
        <f aca="false">MONTH(B1241)</f>
        <v>5</v>
      </c>
      <c r="Q1241" s="1" t="str">
        <f aca="false">TEXT(B1241,"mmm")</f>
        <v>May</v>
      </c>
      <c r="R1241" s="1" t="str">
        <f aca="false">"Q"&amp;ROUNDUP(MONTH(B1241)/3,0)</f>
        <v>Q2</v>
      </c>
    </row>
    <row r="1242" customFormat="false" ht="15" hidden="false" customHeight="true" outlineLevel="0" collapsed="false">
      <c r="A1242" s="1" t="n">
        <v>11241</v>
      </c>
      <c r="B1242" s="14" t="n">
        <v>45802</v>
      </c>
      <c r="C1242" s="1" t="n">
        <v>1738</v>
      </c>
      <c r="D1242" s="1" t="s">
        <v>34</v>
      </c>
      <c r="E1242" s="1" t="s">
        <v>28</v>
      </c>
      <c r="F1242" s="1" t="n">
        <v>1</v>
      </c>
      <c r="G1242" s="15" t="n">
        <v>370</v>
      </c>
      <c r="H1242" s="16" t="n">
        <v>0.07</v>
      </c>
      <c r="I1242" s="1" t="s">
        <v>31</v>
      </c>
      <c r="J1242" s="1" t="n">
        <v>7</v>
      </c>
      <c r="K1242" s="1" t="n">
        <v>1.8</v>
      </c>
      <c r="L1242" s="15" t="n">
        <v>344.1</v>
      </c>
      <c r="M1242" s="15" t="n">
        <f aca="false">F1242*G1242</f>
        <v>370</v>
      </c>
      <c r="N1242" s="15" t="n">
        <f aca="false">M1242-L1242</f>
        <v>25.9</v>
      </c>
      <c r="O1242" s="1" t="n">
        <f aca="false">YEAR(B1242)</f>
        <v>2025</v>
      </c>
      <c r="P1242" s="1" t="n">
        <f aca="false">MONTH(B1242)</f>
        <v>5</v>
      </c>
      <c r="Q1242" s="1" t="str">
        <f aca="false">TEXT(B1242,"mmm")</f>
        <v>May</v>
      </c>
      <c r="R1242" s="1" t="str">
        <f aca="false">"Q"&amp;ROUNDUP(MONTH(B1242)/3,0)</f>
        <v>Q2</v>
      </c>
    </row>
    <row r="1243" customFormat="false" ht="15" hidden="false" customHeight="true" outlineLevel="0" collapsed="false">
      <c r="A1243" s="1" t="n">
        <v>11242</v>
      </c>
      <c r="B1243" s="14" t="n">
        <v>45803</v>
      </c>
      <c r="C1243" s="1" t="n">
        <v>1882</v>
      </c>
      <c r="D1243" s="1" t="s">
        <v>37</v>
      </c>
      <c r="E1243" s="1" t="s">
        <v>32</v>
      </c>
      <c r="F1243" s="1" t="n">
        <v>3</v>
      </c>
      <c r="G1243" s="15" t="n">
        <v>518.53</v>
      </c>
      <c r="H1243" s="16" t="n">
        <v>0.05</v>
      </c>
      <c r="I1243" s="1" t="s">
        <v>29</v>
      </c>
      <c r="J1243" s="1" t="n">
        <v>2</v>
      </c>
      <c r="K1243" s="1" t="n">
        <v>3.5</v>
      </c>
      <c r="L1243" s="15" t="n">
        <v>1477.81</v>
      </c>
      <c r="M1243" s="15" t="n">
        <f aca="false">F1243*G1243</f>
        <v>1555.59</v>
      </c>
      <c r="N1243" s="15" t="n">
        <f aca="false">M1243-L1243</f>
        <v>77.78</v>
      </c>
      <c r="O1243" s="1" t="n">
        <f aca="false">YEAR(B1243)</f>
        <v>2025</v>
      </c>
      <c r="P1243" s="1" t="n">
        <f aca="false">MONTH(B1243)</f>
        <v>5</v>
      </c>
      <c r="Q1243" s="1" t="str">
        <f aca="false">TEXT(B1243,"mmm")</f>
        <v>May</v>
      </c>
      <c r="R1243" s="1" t="str">
        <f aca="false">"Q"&amp;ROUNDUP(MONTH(B1243)/3,0)</f>
        <v>Q2</v>
      </c>
    </row>
    <row r="1244" customFormat="false" ht="15" hidden="false" customHeight="true" outlineLevel="0" collapsed="false">
      <c r="A1244" s="1" t="n">
        <v>11243</v>
      </c>
      <c r="B1244" s="14" t="n">
        <v>45804</v>
      </c>
      <c r="C1244" s="1" t="n">
        <v>1014</v>
      </c>
      <c r="D1244" s="1" t="s">
        <v>30</v>
      </c>
      <c r="E1244" s="1" t="s">
        <v>35</v>
      </c>
      <c r="F1244" s="1" t="n">
        <v>3</v>
      </c>
      <c r="G1244" s="15" t="n">
        <v>24.02</v>
      </c>
      <c r="H1244" s="16" t="n">
        <v>0.08</v>
      </c>
      <c r="I1244" s="1" t="s">
        <v>31</v>
      </c>
      <c r="J1244" s="1" t="n">
        <v>11</v>
      </c>
      <c r="K1244" s="1" t="n">
        <v>2.3</v>
      </c>
      <c r="L1244" s="15" t="n">
        <v>66.3</v>
      </c>
      <c r="M1244" s="15" t="n">
        <f aca="false">F1244*G1244</f>
        <v>72.06</v>
      </c>
      <c r="N1244" s="15" t="n">
        <f aca="false">M1244-L1244</f>
        <v>5.76000000000001</v>
      </c>
      <c r="O1244" s="1" t="n">
        <f aca="false">YEAR(B1244)</f>
        <v>2025</v>
      </c>
      <c r="P1244" s="1" t="n">
        <f aca="false">MONTH(B1244)</f>
        <v>5</v>
      </c>
      <c r="Q1244" s="1" t="str">
        <f aca="false">TEXT(B1244,"mmm")</f>
        <v>May</v>
      </c>
      <c r="R1244" s="1" t="str">
        <f aca="false">"Q"&amp;ROUNDUP(MONTH(B1244)/3,0)</f>
        <v>Q2</v>
      </c>
    </row>
    <row r="1245" customFormat="false" ht="15" hidden="false" customHeight="true" outlineLevel="0" collapsed="false">
      <c r="A1245" s="1" t="n">
        <v>11244</v>
      </c>
      <c r="B1245" s="14" t="n">
        <v>45805</v>
      </c>
      <c r="C1245" s="1" t="n">
        <v>1191</v>
      </c>
      <c r="D1245" s="1" t="s">
        <v>34</v>
      </c>
      <c r="E1245" s="1" t="s">
        <v>28</v>
      </c>
      <c r="F1245" s="1" t="n">
        <v>1</v>
      </c>
      <c r="G1245" s="15" t="n">
        <v>77.73</v>
      </c>
      <c r="H1245" s="16" t="n">
        <v>0.22</v>
      </c>
      <c r="I1245" s="1" t="s">
        <v>29</v>
      </c>
      <c r="J1245" s="1" t="n">
        <v>1</v>
      </c>
      <c r="K1245" s="1" t="n">
        <v>3.9</v>
      </c>
      <c r="L1245" s="15" t="n">
        <v>60.63</v>
      </c>
      <c r="M1245" s="15" t="n">
        <f aca="false">F1245*G1245</f>
        <v>77.73</v>
      </c>
      <c r="N1245" s="15" t="n">
        <f aca="false">M1245-L1245</f>
        <v>17.1</v>
      </c>
      <c r="O1245" s="1" t="n">
        <f aca="false">YEAR(B1245)</f>
        <v>2025</v>
      </c>
      <c r="P1245" s="1" t="n">
        <f aca="false">MONTH(B1245)</f>
        <v>5</v>
      </c>
      <c r="Q1245" s="1" t="str">
        <f aca="false">TEXT(B1245,"mmm")</f>
        <v>May</v>
      </c>
      <c r="R1245" s="1" t="str">
        <f aca="false">"Q"&amp;ROUNDUP(MONTH(B1245)/3,0)</f>
        <v>Q2</v>
      </c>
    </row>
    <row r="1246" customFormat="false" ht="15" hidden="false" customHeight="true" outlineLevel="0" collapsed="false">
      <c r="A1246" s="1" t="n">
        <v>11245</v>
      </c>
      <c r="B1246" s="14" t="n">
        <v>45806</v>
      </c>
      <c r="C1246" s="1" t="n">
        <v>1984</v>
      </c>
      <c r="D1246" s="1" t="s">
        <v>30</v>
      </c>
      <c r="E1246" s="1" t="s">
        <v>36</v>
      </c>
      <c r="F1246" s="1" t="n">
        <v>6</v>
      </c>
      <c r="G1246" s="15" t="n">
        <v>69.16</v>
      </c>
      <c r="H1246" s="16" t="n">
        <v>0.16</v>
      </c>
      <c r="I1246" s="1" t="s">
        <v>29</v>
      </c>
      <c r="J1246" s="1" t="n">
        <v>5</v>
      </c>
      <c r="K1246" s="1" t="n">
        <v>3.2</v>
      </c>
      <c r="L1246" s="15" t="n">
        <v>348.57</v>
      </c>
      <c r="M1246" s="15" t="n">
        <f aca="false">F1246*G1246</f>
        <v>414.96</v>
      </c>
      <c r="N1246" s="15" t="n">
        <f aca="false">M1246-L1246</f>
        <v>66.39</v>
      </c>
      <c r="O1246" s="1" t="n">
        <f aca="false">YEAR(B1246)</f>
        <v>2025</v>
      </c>
      <c r="P1246" s="1" t="n">
        <f aca="false">MONTH(B1246)</f>
        <v>5</v>
      </c>
      <c r="Q1246" s="1" t="str">
        <f aca="false">TEXT(B1246,"mmm")</f>
        <v>May</v>
      </c>
      <c r="R1246" s="1" t="str">
        <f aca="false">"Q"&amp;ROUNDUP(MONTH(B1246)/3,0)</f>
        <v>Q2</v>
      </c>
    </row>
    <row r="1247" customFormat="false" ht="15" hidden="false" customHeight="true" outlineLevel="0" collapsed="false">
      <c r="A1247" s="1" t="n">
        <v>11246</v>
      </c>
      <c r="B1247" s="14" t="n">
        <v>45807</v>
      </c>
      <c r="C1247" s="1" t="n">
        <v>1630</v>
      </c>
      <c r="D1247" s="1" t="s">
        <v>34</v>
      </c>
      <c r="E1247" s="1" t="s">
        <v>28</v>
      </c>
      <c r="F1247" s="1" t="n">
        <v>2</v>
      </c>
      <c r="G1247" s="15" t="n">
        <v>431.87</v>
      </c>
      <c r="H1247" s="16" t="n">
        <v>0.19</v>
      </c>
      <c r="I1247" s="1" t="s">
        <v>33</v>
      </c>
      <c r="J1247" s="1" t="n">
        <v>7</v>
      </c>
      <c r="K1247" s="1" t="n">
        <v>3.2</v>
      </c>
      <c r="L1247" s="15" t="n">
        <v>699.63</v>
      </c>
      <c r="M1247" s="15" t="n">
        <f aca="false">F1247*G1247</f>
        <v>863.74</v>
      </c>
      <c r="N1247" s="15" t="n">
        <f aca="false">M1247-L1247</f>
        <v>164.11</v>
      </c>
      <c r="O1247" s="1" t="n">
        <f aca="false">YEAR(B1247)</f>
        <v>2025</v>
      </c>
      <c r="P1247" s="1" t="n">
        <f aca="false">MONTH(B1247)</f>
        <v>5</v>
      </c>
      <c r="Q1247" s="1" t="str">
        <f aca="false">TEXT(B1247,"mmm")</f>
        <v>May</v>
      </c>
      <c r="R1247" s="1" t="str">
        <f aca="false">"Q"&amp;ROUNDUP(MONTH(B1247)/3,0)</f>
        <v>Q2</v>
      </c>
    </row>
    <row r="1248" customFormat="false" ht="15" hidden="false" customHeight="true" outlineLevel="0" collapsed="false">
      <c r="A1248" s="1" t="n">
        <v>11247</v>
      </c>
      <c r="B1248" s="14" t="n">
        <v>45808</v>
      </c>
      <c r="C1248" s="1" t="n">
        <v>1484</v>
      </c>
      <c r="D1248" s="1" t="s">
        <v>30</v>
      </c>
      <c r="E1248" s="1" t="s">
        <v>36</v>
      </c>
      <c r="F1248" s="1" t="n">
        <v>2</v>
      </c>
      <c r="G1248" s="15" t="n">
        <v>55.71</v>
      </c>
      <c r="H1248" s="16" t="n">
        <v>0.04</v>
      </c>
      <c r="I1248" s="1" t="s">
        <v>31</v>
      </c>
      <c r="J1248" s="1" t="n">
        <v>1</v>
      </c>
      <c r="K1248" s="1" t="n">
        <v>3.7</v>
      </c>
      <c r="L1248" s="15" t="n">
        <v>106.96</v>
      </c>
      <c r="M1248" s="15" t="n">
        <f aca="false">F1248*G1248</f>
        <v>111.42</v>
      </c>
      <c r="N1248" s="15" t="n">
        <f aca="false">M1248-L1248</f>
        <v>4.46000000000001</v>
      </c>
      <c r="O1248" s="1" t="n">
        <f aca="false">YEAR(B1248)</f>
        <v>2025</v>
      </c>
      <c r="P1248" s="1" t="n">
        <f aca="false">MONTH(B1248)</f>
        <v>5</v>
      </c>
      <c r="Q1248" s="1" t="str">
        <f aca="false">TEXT(B1248,"mmm")</f>
        <v>May</v>
      </c>
      <c r="R1248" s="1" t="str">
        <f aca="false">"Q"&amp;ROUNDUP(MONTH(B1248)/3,0)</f>
        <v>Q2</v>
      </c>
    </row>
    <row r="1249" customFormat="false" ht="15" hidden="false" customHeight="true" outlineLevel="0" collapsed="false">
      <c r="A1249" s="1" t="n">
        <v>11248</v>
      </c>
      <c r="B1249" s="14" t="n">
        <v>45809</v>
      </c>
      <c r="C1249" s="1" t="n">
        <v>1027</v>
      </c>
      <c r="D1249" s="1" t="s">
        <v>30</v>
      </c>
      <c r="E1249" s="1" t="s">
        <v>28</v>
      </c>
      <c r="F1249" s="1" t="n">
        <v>6</v>
      </c>
      <c r="G1249" s="15" t="n">
        <v>305.37</v>
      </c>
      <c r="H1249" s="16" t="n">
        <v>0.28</v>
      </c>
      <c r="I1249" s="1" t="s">
        <v>33</v>
      </c>
      <c r="J1249" s="1" t="n">
        <v>11</v>
      </c>
      <c r="K1249" s="1" t="n">
        <v>2.3</v>
      </c>
      <c r="L1249" s="15" t="n">
        <v>1319.2</v>
      </c>
      <c r="M1249" s="15" t="n">
        <f aca="false">F1249*G1249</f>
        <v>1832.22</v>
      </c>
      <c r="N1249" s="15" t="n">
        <f aca="false">M1249-L1249</f>
        <v>513.02</v>
      </c>
      <c r="O1249" s="1" t="n">
        <f aca="false">YEAR(B1249)</f>
        <v>2025</v>
      </c>
      <c r="P1249" s="1" t="n">
        <f aca="false">MONTH(B1249)</f>
        <v>6</v>
      </c>
      <c r="Q1249" s="1" t="str">
        <f aca="false">TEXT(B1249,"mmm")</f>
        <v>Jun</v>
      </c>
      <c r="R1249" s="1" t="str">
        <f aca="false">"Q"&amp;ROUNDUP(MONTH(B1249)/3,0)</f>
        <v>Q2</v>
      </c>
    </row>
    <row r="1250" customFormat="false" ht="15" hidden="false" customHeight="true" outlineLevel="0" collapsed="false">
      <c r="A1250" s="1" t="n">
        <v>11249</v>
      </c>
      <c r="B1250" s="14" t="n">
        <v>45810</v>
      </c>
      <c r="C1250" s="1" t="n">
        <v>1713</v>
      </c>
      <c r="D1250" s="1" t="s">
        <v>37</v>
      </c>
      <c r="E1250" s="1" t="s">
        <v>28</v>
      </c>
      <c r="F1250" s="1" t="n">
        <v>1</v>
      </c>
      <c r="G1250" s="15" t="n">
        <v>291.53</v>
      </c>
      <c r="H1250" s="16" t="n">
        <v>0.27</v>
      </c>
      <c r="I1250" s="1" t="s">
        <v>31</v>
      </c>
      <c r="J1250" s="1" t="n">
        <v>8</v>
      </c>
      <c r="K1250" s="1" t="n">
        <v>2.7</v>
      </c>
      <c r="L1250" s="15" t="n">
        <v>212.82</v>
      </c>
      <c r="M1250" s="15" t="n">
        <f aca="false">F1250*G1250</f>
        <v>291.53</v>
      </c>
      <c r="N1250" s="15" t="n">
        <f aca="false">M1250-L1250</f>
        <v>78.71</v>
      </c>
      <c r="O1250" s="1" t="n">
        <f aca="false">YEAR(B1250)</f>
        <v>2025</v>
      </c>
      <c r="P1250" s="1" t="n">
        <f aca="false">MONTH(B1250)</f>
        <v>6</v>
      </c>
      <c r="Q1250" s="1" t="str">
        <f aca="false">TEXT(B1250,"mmm")</f>
        <v>Jun</v>
      </c>
      <c r="R1250" s="1" t="str">
        <f aca="false">"Q"&amp;ROUNDUP(MONTH(B1250)/3,0)</f>
        <v>Q2</v>
      </c>
    </row>
    <row r="1251" customFormat="false" ht="15" hidden="false" customHeight="true" outlineLevel="0" collapsed="false">
      <c r="A1251" s="1" t="n">
        <v>11250</v>
      </c>
      <c r="B1251" s="14" t="n">
        <v>45811</v>
      </c>
      <c r="C1251" s="1" t="n">
        <v>1038</v>
      </c>
      <c r="D1251" s="1" t="s">
        <v>37</v>
      </c>
      <c r="E1251" s="1" t="s">
        <v>28</v>
      </c>
      <c r="F1251" s="1" t="n">
        <v>4</v>
      </c>
      <c r="G1251" s="15" t="n">
        <v>196.76</v>
      </c>
      <c r="H1251" s="16" t="n">
        <v>0.01</v>
      </c>
      <c r="I1251" s="1" t="s">
        <v>29</v>
      </c>
      <c r="J1251" s="1" t="n">
        <v>3</v>
      </c>
      <c r="K1251" s="1" t="n">
        <v>3.3</v>
      </c>
      <c r="L1251" s="15" t="n">
        <v>779.17</v>
      </c>
      <c r="M1251" s="15" t="n">
        <f aca="false">F1251*G1251</f>
        <v>787.04</v>
      </c>
      <c r="N1251" s="15" t="n">
        <f aca="false">M1251-L1251</f>
        <v>7.87</v>
      </c>
      <c r="O1251" s="1" t="n">
        <f aca="false">YEAR(B1251)</f>
        <v>2025</v>
      </c>
      <c r="P1251" s="1" t="n">
        <f aca="false">MONTH(B1251)</f>
        <v>6</v>
      </c>
      <c r="Q1251" s="1" t="str">
        <f aca="false">TEXT(B1251,"mmm")</f>
        <v>Jun</v>
      </c>
      <c r="R1251" s="1" t="str">
        <f aca="false">"Q"&amp;ROUNDUP(MONTH(B1251)/3,0)</f>
        <v>Q2</v>
      </c>
    </row>
    <row r="1252" customFormat="false" ht="15" hidden="false" customHeight="true" outlineLevel="0" collapsed="false">
      <c r="A1252" s="1" t="n">
        <v>11251</v>
      </c>
      <c r="B1252" s="14" t="n">
        <v>45812</v>
      </c>
      <c r="C1252" s="1" t="n">
        <v>1952</v>
      </c>
      <c r="D1252" s="1" t="s">
        <v>30</v>
      </c>
      <c r="E1252" s="1" t="s">
        <v>36</v>
      </c>
      <c r="F1252" s="1" t="n">
        <v>3</v>
      </c>
      <c r="G1252" s="15" t="n">
        <v>524.19</v>
      </c>
      <c r="H1252" s="16" t="n">
        <v>0.13</v>
      </c>
      <c r="I1252" s="1" t="s">
        <v>33</v>
      </c>
      <c r="J1252" s="1" t="n">
        <v>7</v>
      </c>
      <c r="K1252" s="1" t="n">
        <v>2.7</v>
      </c>
      <c r="L1252" s="15" t="n">
        <v>1368.14</v>
      </c>
      <c r="M1252" s="15" t="n">
        <f aca="false">F1252*G1252</f>
        <v>1572.57</v>
      </c>
      <c r="N1252" s="15" t="n">
        <f aca="false">M1252-L1252</f>
        <v>204.43</v>
      </c>
      <c r="O1252" s="1" t="n">
        <f aca="false">YEAR(B1252)</f>
        <v>2025</v>
      </c>
      <c r="P1252" s="1" t="n">
        <f aca="false">MONTH(B1252)</f>
        <v>6</v>
      </c>
      <c r="Q1252" s="1" t="str">
        <f aca="false">TEXT(B1252,"mmm")</f>
        <v>Jun</v>
      </c>
      <c r="R1252" s="1" t="str">
        <f aca="false">"Q"&amp;ROUNDUP(MONTH(B1252)/3,0)</f>
        <v>Q2</v>
      </c>
    </row>
    <row r="1253" customFormat="false" ht="15" hidden="false" customHeight="true" outlineLevel="0" collapsed="false">
      <c r="A1253" s="1" t="n">
        <v>11252</v>
      </c>
      <c r="B1253" s="14" t="n">
        <v>45813</v>
      </c>
      <c r="C1253" s="1" t="n">
        <v>1272</v>
      </c>
      <c r="D1253" s="1" t="s">
        <v>30</v>
      </c>
      <c r="E1253" s="1" t="s">
        <v>28</v>
      </c>
      <c r="F1253" s="1" t="n">
        <v>5</v>
      </c>
      <c r="G1253" s="15" t="n">
        <v>114.7</v>
      </c>
      <c r="H1253" s="16" t="n">
        <v>0.02</v>
      </c>
      <c r="I1253" s="1" t="s">
        <v>29</v>
      </c>
      <c r="J1253" s="1" t="n">
        <v>3</v>
      </c>
      <c r="K1253" s="1" t="n">
        <v>2.8</v>
      </c>
      <c r="L1253" s="15" t="n">
        <v>562.03</v>
      </c>
      <c r="M1253" s="15" t="n">
        <f aca="false">F1253*G1253</f>
        <v>573.5</v>
      </c>
      <c r="N1253" s="15" t="n">
        <f aca="false">M1253-L1253</f>
        <v>11.47</v>
      </c>
      <c r="O1253" s="1" t="n">
        <f aca="false">YEAR(B1253)</f>
        <v>2025</v>
      </c>
      <c r="P1253" s="1" t="n">
        <f aca="false">MONTH(B1253)</f>
        <v>6</v>
      </c>
      <c r="Q1253" s="1" t="str">
        <f aca="false">TEXT(B1253,"mmm")</f>
        <v>Jun</v>
      </c>
      <c r="R1253" s="1" t="str">
        <f aca="false">"Q"&amp;ROUNDUP(MONTH(B1253)/3,0)</f>
        <v>Q2</v>
      </c>
    </row>
    <row r="1254" customFormat="false" ht="15" hidden="false" customHeight="true" outlineLevel="0" collapsed="false">
      <c r="A1254" s="1" t="n">
        <v>11253</v>
      </c>
      <c r="B1254" s="14" t="n">
        <v>45814</v>
      </c>
      <c r="C1254" s="1" t="n">
        <v>1230</v>
      </c>
      <c r="D1254" s="1" t="s">
        <v>30</v>
      </c>
      <c r="E1254" s="1" t="s">
        <v>35</v>
      </c>
      <c r="F1254" s="1" t="n">
        <v>2</v>
      </c>
      <c r="G1254" s="15" t="n">
        <v>221.19</v>
      </c>
      <c r="H1254" s="16" t="n">
        <v>0.28</v>
      </c>
      <c r="I1254" s="1" t="s">
        <v>33</v>
      </c>
      <c r="J1254" s="1" t="n">
        <v>4</v>
      </c>
      <c r="K1254" s="1" t="n">
        <v>2.1</v>
      </c>
      <c r="L1254" s="15" t="n">
        <v>318.51</v>
      </c>
      <c r="M1254" s="15" t="n">
        <f aca="false">F1254*G1254</f>
        <v>442.38</v>
      </c>
      <c r="N1254" s="15" t="n">
        <f aca="false">M1254-L1254</f>
        <v>123.87</v>
      </c>
      <c r="O1254" s="1" t="n">
        <f aca="false">YEAR(B1254)</f>
        <v>2025</v>
      </c>
      <c r="P1254" s="1" t="n">
        <f aca="false">MONTH(B1254)</f>
        <v>6</v>
      </c>
      <c r="Q1254" s="1" t="str">
        <f aca="false">TEXT(B1254,"mmm")</f>
        <v>Jun</v>
      </c>
      <c r="R1254" s="1" t="str">
        <f aca="false">"Q"&amp;ROUNDUP(MONTH(B1254)/3,0)</f>
        <v>Q2</v>
      </c>
    </row>
    <row r="1255" customFormat="false" ht="15" hidden="false" customHeight="true" outlineLevel="0" collapsed="false">
      <c r="A1255" s="1" t="n">
        <v>11254</v>
      </c>
      <c r="B1255" s="14" t="n">
        <v>45815</v>
      </c>
      <c r="C1255" s="1" t="n">
        <v>1085</v>
      </c>
      <c r="D1255" s="1" t="s">
        <v>37</v>
      </c>
      <c r="E1255" s="1" t="s">
        <v>35</v>
      </c>
      <c r="F1255" s="1" t="n">
        <v>6</v>
      </c>
      <c r="G1255" s="15" t="n">
        <v>467.89</v>
      </c>
      <c r="H1255" s="16" t="n">
        <v>0.26</v>
      </c>
      <c r="I1255" s="1" t="s">
        <v>33</v>
      </c>
      <c r="J1255" s="1" t="n">
        <v>8</v>
      </c>
      <c r="K1255" s="1" t="n">
        <v>2.1</v>
      </c>
      <c r="L1255" s="15" t="n">
        <v>2077.43</v>
      </c>
      <c r="M1255" s="15" t="n">
        <f aca="false">F1255*G1255</f>
        <v>2807.34</v>
      </c>
      <c r="N1255" s="15" t="n">
        <f aca="false">M1255-L1255</f>
        <v>729.91</v>
      </c>
      <c r="O1255" s="1" t="n">
        <f aca="false">YEAR(B1255)</f>
        <v>2025</v>
      </c>
      <c r="P1255" s="1" t="n">
        <f aca="false">MONTH(B1255)</f>
        <v>6</v>
      </c>
      <c r="Q1255" s="1" t="str">
        <f aca="false">TEXT(B1255,"mmm")</f>
        <v>Jun</v>
      </c>
      <c r="R1255" s="1" t="str">
        <f aca="false">"Q"&amp;ROUNDUP(MONTH(B1255)/3,0)</f>
        <v>Q2</v>
      </c>
    </row>
    <row r="1256" customFormat="false" ht="15" hidden="false" customHeight="true" outlineLevel="0" collapsed="false">
      <c r="A1256" s="1" t="n">
        <v>11255</v>
      </c>
      <c r="B1256" s="14" t="n">
        <v>45816</v>
      </c>
      <c r="C1256" s="1" t="n">
        <v>1473</v>
      </c>
      <c r="D1256" s="1" t="s">
        <v>34</v>
      </c>
      <c r="E1256" s="1" t="s">
        <v>35</v>
      </c>
      <c r="F1256" s="1" t="n">
        <v>5</v>
      </c>
      <c r="G1256" s="15" t="n">
        <v>32.8</v>
      </c>
      <c r="H1256" s="16" t="n">
        <v>0.32</v>
      </c>
      <c r="I1256" s="1" t="s">
        <v>33</v>
      </c>
      <c r="J1256" s="1" t="n">
        <v>2</v>
      </c>
      <c r="K1256" s="1" t="n">
        <v>3.8</v>
      </c>
      <c r="L1256" s="15" t="n">
        <v>111.52</v>
      </c>
      <c r="M1256" s="15" t="n">
        <f aca="false">F1256*G1256</f>
        <v>164</v>
      </c>
      <c r="N1256" s="15" t="n">
        <f aca="false">M1256-L1256</f>
        <v>52.48</v>
      </c>
      <c r="O1256" s="1" t="n">
        <f aca="false">YEAR(B1256)</f>
        <v>2025</v>
      </c>
      <c r="P1256" s="1" t="n">
        <f aca="false">MONTH(B1256)</f>
        <v>6</v>
      </c>
      <c r="Q1256" s="1" t="str">
        <f aca="false">TEXT(B1256,"mmm")</f>
        <v>Jun</v>
      </c>
      <c r="R1256" s="1" t="str">
        <f aca="false">"Q"&amp;ROUNDUP(MONTH(B1256)/3,0)</f>
        <v>Q2</v>
      </c>
    </row>
    <row r="1257" customFormat="false" ht="15" hidden="false" customHeight="true" outlineLevel="0" collapsed="false">
      <c r="A1257" s="1" t="n">
        <v>11256</v>
      </c>
      <c r="B1257" s="14" t="n">
        <v>45817</v>
      </c>
      <c r="C1257" s="1" t="n">
        <v>1125</v>
      </c>
      <c r="D1257" s="1" t="s">
        <v>34</v>
      </c>
      <c r="E1257" s="1" t="s">
        <v>36</v>
      </c>
      <c r="F1257" s="1" t="n">
        <v>7</v>
      </c>
      <c r="G1257" s="15" t="n">
        <v>408.68</v>
      </c>
      <c r="H1257" s="16" t="n">
        <v>0.08</v>
      </c>
      <c r="I1257" s="1" t="s">
        <v>31</v>
      </c>
      <c r="J1257" s="1" t="n">
        <v>6</v>
      </c>
      <c r="K1257" s="1" t="n">
        <v>1</v>
      </c>
      <c r="L1257" s="15" t="n">
        <v>2631.9</v>
      </c>
      <c r="M1257" s="15" t="n">
        <f aca="false">F1257*G1257</f>
        <v>2860.76</v>
      </c>
      <c r="N1257" s="15" t="n">
        <f aca="false">M1257-L1257</f>
        <v>228.86</v>
      </c>
      <c r="O1257" s="1" t="n">
        <f aca="false">YEAR(B1257)</f>
        <v>2025</v>
      </c>
      <c r="P1257" s="1" t="n">
        <f aca="false">MONTH(B1257)</f>
        <v>6</v>
      </c>
      <c r="Q1257" s="1" t="str">
        <f aca="false">TEXT(B1257,"mmm")</f>
        <v>Jun</v>
      </c>
      <c r="R1257" s="1" t="str">
        <f aca="false">"Q"&amp;ROUNDUP(MONTH(B1257)/3,0)</f>
        <v>Q2</v>
      </c>
    </row>
    <row r="1258" customFormat="false" ht="15" hidden="false" customHeight="true" outlineLevel="0" collapsed="false">
      <c r="A1258" s="1" t="n">
        <v>11257</v>
      </c>
      <c r="B1258" s="14" t="n">
        <v>45818</v>
      </c>
      <c r="C1258" s="1" t="n">
        <v>1811</v>
      </c>
      <c r="D1258" s="1" t="s">
        <v>34</v>
      </c>
      <c r="E1258" s="1" t="s">
        <v>36</v>
      </c>
      <c r="F1258" s="1" t="n">
        <v>1</v>
      </c>
      <c r="G1258" s="15" t="n">
        <v>492.59</v>
      </c>
      <c r="H1258" s="16" t="n">
        <v>0.16</v>
      </c>
      <c r="I1258" s="1" t="s">
        <v>33</v>
      </c>
      <c r="J1258" s="1" t="n">
        <v>10</v>
      </c>
      <c r="K1258" s="1" t="n">
        <v>1.4</v>
      </c>
      <c r="L1258" s="15" t="n">
        <v>413.78</v>
      </c>
      <c r="M1258" s="15" t="n">
        <f aca="false">F1258*G1258</f>
        <v>492.59</v>
      </c>
      <c r="N1258" s="15" t="n">
        <f aca="false">M1258-L1258</f>
        <v>78.81</v>
      </c>
      <c r="O1258" s="1" t="n">
        <f aca="false">YEAR(B1258)</f>
        <v>2025</v>
      </c>
      <c r="P1258" s="1" t="n">
        <f aca="false">MONTH(B1258)</f>
        <v>6</v>
      </c>
      <c r="Q1258" s="1" t="str">
        <f aca="false">TEXT(B1258,"mmm")</f>
        <v>Jun</v>
      </c>
      <c r="R1258" s="1" t="str">
        <f aca="false">"Q"&amp;ROUNDUP(MONTH(B1258)/3,0)</f>
        <v>Q2</v>
      </c>
    </row>
    <row r="1259" customFormat="false" ht="15" hidden="false" customHeight="true" outlineLevel="0" collapsed="false">
      <c r="A1259" s="1" t="n">
        <v>11258</v>
      </c>
      <c r="B1259" s="14" t="n">
        <v>45819</v>
      </c>
      <c r="C1259" s="1" t="n">
        <v>1536</v>
      </c>
      <c r="D1259" s="1" t="s">
        <v>30</v>
      </c>
      <c r="E1259" s="1" t="s">
        <v>35</v>
      </c>
      <c r="F1259" s="1" t="n">
        <v>5</v>
      </c>
      <c r="G1259" s="15" t="n">
        <v>560.38</v>
      </c>
      <c r="H1259" s="16" t="n">
        <v>0.06</v>
      </c>
      <c r="I1259" s="1" t="s">
        <v>33</v>
      </c>
      <c r="J1259" s="1" t="n">
        <v>9</v>
      </c>
      <c r="K1259" s="1" t="n">
        <v>4.8</v>
      </c>
      <c r="L1259" s="15" t="n">
        <v>2633.79</v>
      </c>
      <c r="M1259" s="15" t="n">
        <f aca="false">F1259*G1259</f>
        <v>2801.9</v>
      </c>
      <c r="N1259" s="15" t="n">
        <f aca="false">M1259-L1259</f>
        <v>168.11</v>
      </c>
      <c r="O1259" s="1" t="n">
        <f aca="false">YEAR(B1259)</f>
        <v>2025</v>
      </c>
      <c r="P1259" s="1" t="n">
        <f aca="false">MONTH(B1259)</f>
        <v>6</v>
      </c>
      <c r="Q1259" s="1" t="str">
        <f aca="false">TEXT(B1259,"mmm")</f>
        <v>Jun</v>
      </c>
      <c r="R1259" s="1" t="str">
        <f aca="false">"Q"&amp;ROUNDUP(MONTH(B1259)/3,0)</f>
        <v>Q2</v>
      </c>
    </row>
    <row r="1260" customFormat="false" ht="15" hidden="false" customHeight="true" outlineLevel="0" collapsed="false">
      <c r="A1260" s="1" t="n">
        <v>11259</v>
      </c>
      <c r="B1260" s="14" t="n">
        <v>45820</v>
      </c>
      <c r="C1260" s="1" t="n">
        <v>1144</v>
      </c>
      <c r="D1260" s="1" t="s">
        <v>30</v>
      </c>
      <c r="E1260" s="1" t="s">
        <v>35</v>
      </c>
      <c r="F1260" s="1" t="n">
        <v>5</v>
      </c>
      <c r="G1260" s="15" t="n">
        <v>527.63</v>
      </c>
      <c r="H1260" s="16" t="n">
        <v>0.13</v>
      </c>
      <c r="I1260" s="1" t="s">
        <v>29</v>
      </c>
      <c r="J1260" s="1" t="n">
        <v>10</v>
      </c>
      <c r="K1260" s="1" t="n">
        <v>1.7</v>
      </c>
      <c r="L1260" s="15" t="n">
        <v>2295.19</v>
      </c>
      <c r="M1260" s="15" t="n">
        <f aca="false">F1260*G1260</f>
        <v>2638.15</v>
      </c>
      <c r="N1260" s="15" t="n">
        <f aca="false">M1260-L1260</f>
        <v>342.96</v>
      </c>
      <c r="O1260" s="1" t="n">
        <f aca="false">YEAR(B1260)</f>
        <v>2025</v>
      </c>
      <c r="P1260" s="1" t="n">
        <f aca="false">MONTH(B1260)</f>
        <v>6</v>
      </c>
      <c r="Q1260" s="1" t="str">
        <f aca="false">TEXT(B1260,"mmm")</f>
        <v>Jun</v>
      </c>
      <c r="R1260" s="1" t="str">
        <f aca="false">"Q"&amp;ROUNDUP(MONTH(B1260)/3,0)</f>
        <v>Q2</v>
      </c>
    </row>
    <row r="1261" customFormat="false" ht="15" hidden="false" customHeight="true" outlineLevel="0" collapsed="false">
      <c r="A1261" s="1" t="n">
        <v>11260</v>
      </c>
      <c r="B1261" s="14" t="n">
        <v>45821</v>
      </c>
      <c r="C1261" s="1" t="n">
        <v>1524</v>
      </c>
      <c r="D1261" s="1" t="s">
        <v>37</v>
      </c>
      <c r="E1261" s="1" t="s">
        <v>35</v>
      </c>
      <c r="F1261" s="1" t="n">
        <v>3</v>
      </c>
      <c r="G1261" s="15" t="n">
        <v>201.84</v>
      </c>
      <c r="H1261" s="16" t="n">
        <v>0.18</v>
      </c>
      <c r="I1261" s="1" t="s">
        <v>33</v>
      </c>
      <c r="J1261" s="1" t="n">
        <v>9</v>
      </c>
      <c r="K1261" s="1" t="n">
        <v>2.7</v>
      </c>
      <c r="L1261" s="15" t="n">
        <v>496.53</v>
      </c>
      <c r="M1261" s="15" t="n">
        <f aca="false">F1261*G1261</f>
        <v>605.52</v>
      </c>
      <c r="N1261" s="15" t="n">
        <f aca="false">M1261-L1261</f>
        <v>108.99</v>
      </c>
      <c r="O1261" s="1" t="n">
        <f aca="false">YEAR(B1261)</f>
        <v>2025</v>
      </c>
      <c r="P1261" s="1" t="n">
        <f aca="false">MONTH(B1261)</f>
        <v>6</v>
      </c>
      <c r="Q1261" s="1" t="str">
        <f aca="false">TEXT(B1261,"mmm")</f>
        <v>Jun</v>
      </c>
      <c r="R1261" s="1" t="str">
        <f aca="false">"Q"&amp;ROUNDUP(MONTH(B1261)/3,0)</f>
        <v>Q2</v>
      </c>
    </row>
    <row r="1262" customFormat="false" ht="15" hidden="false" customHeight="true" outlineLevel="0" collapsed="false">
      <c r="A1262" s="1" t="n">
        <v>11261</v>
      </c>
      <c r="B1262" s="14" t="n">
        <v>45822</v>
      </c>
      <c r="C1262" s="1" t="n">
        <v>1211</v>
      </c>
      <c r="D1262" s="1" t="s">
        <v>34</v>
      </c>
      <c r="E1262" s="1" t="s">
        <v>32</v>
      </c>
      <c r="F1262" s="1" t="n">
        <v>1</v>
      </c>
      <c r="G1262" s="15" t="n">
        <v>358.02</v>
      </c>
      <c r="H1262" s="16" t="n">
        <v>0.02</v>
      </c>
      <c r="I1262" s="1" t="s">
        <v>29</v>
      </c>
      <c r="J1262" s="1" t="n">
        <v>5</v>
      </c>
      <c r="K1262" s="1" t="n">
        <v>4.4</v>
      </c>
      <c r="L1262" s="15" t="n">
        <v>350.86</v>
      </c>
      <c r="M1262" s="15" t="n">
        <f aca="false">F1262*G1262</f>
        <v>358.02</v>
      </c>
      <c r="N1262" s="15" t="n">
        <f aca="false">M1262-L1262</f>
        <v>7.15999999999997</v>
      </c>
      <c r="O1262" s="1" t="n">
        <f aca="false">YEAR(B1262)</f>
        <v>2025</v>
      </c>
      <c r="P1262" s="1" t="n">
        <f aca="false">MONTH(B1262)</f>
        <v>6</v>
      </c>
      <c r="Q1262" s="1" t="str">
        <f aca="false">TEXT(B1262,"mmm")</f>
        <v>Jun</v>
      </c>
      <c r="R1262" s="1" t="str">
        <f aca="false">"Q"&amp;ROUNDUP(MONTH(B1262)/3,0)</f>
        <v>Q2</v>
      </c>
    </row>
    <row r="1263" customFormat="false" ht="15" hidden="false" customHeight="true" outlineLevel="0" collapsed="false">
      <c r="A1263" s="1" t="n">
        <v>11262</v>
      </c>
      <c r="B1263" s="14" t="n">
        <v>45823</v>
      </c>
      <c r="C1263" s="1" t="n">
        <v>1024</v>
      </c>
      <c r="D1263" s="1" t="s">
        <v>30</v>
      </c>
      <c r="E1263" s="1" t="s">
        <v>35</v>
      </c>
      <c r="F1263" s="1" t="n">
        <v>5</v>
      </c>
      <c r="G1263" s="15" t="n">
        <v>60.22</v>
      </c>
      <c r="H1263" s="16" t="n">
        <v>0.25</v>
      </c>
      <c r="I1263" s="1" t="s">
        <v>29</v>
      </c>
      <c r="J1263" s="1" t="n">
        <v>3</v>
      </c>
      <c r="K1263" s="1" t="n">
        <v>1</v>
      </c>
      <c r="L1263" s="15" t="n">
        <v>225.82</v>
      </c>
      <c r="M1263" s="15" t="n">
        <f aca="false">F1263*G1263</f>
        <v>301.1</v>
      </c>
      <c r="N1263" s="15" t="n">
        <f aca="false">M1263-L1263</f>
        <v>75.28</v>
      </c>
      <c r="O1263" s="1" t="n">
        <f aca="false">YEAR(B1263)</f>
        <v>2025</v>
      </c>
      <c r="P1263" s="1" t="n">
        <f aca="false">MONTH(B1263)</f>
        <v>6</v>
      </c>
      <c r="Q1263" s="1" t="str">
        <f aca="false">TEXT(B1263,"mmm")</f>
        <v>Jun</v>
      </c>
      <c r="R1263" s="1" t="str">
        <f aca="false">"Q"&amp;ROUNDUP(MONTH(B1263)/3,0)</f>
        <v>Q2</v>
      </c>
    </row>
    <row r="1264" customFormat="false" ht="15" hidden="false" customHeight="true" outlineLevel="0" collapsed="false">
      <c r="A1264" s="1" t="n">
        <v>11263</v>
      </c>
      <c r="B1264" s="14" t="n">
        <v>45824</v>
      </c>
      <c r="C1264" s="1" t="n">
        <v>1579</v>
      </c>
      <c r="D1264" s="1" t="s">
        <v>37</v>
      </c>
      <c r="E1264" s="1" t="s">
        <v>28</v>
      </c>
      <c r="F1264" s="1" t="n">
        <v>2</v>
      </c>
      <c r="G1264" s="15" t="n">
        <v>165.85</v>
      </c>
      <c r="H1264" s="16" t="n">
        <v>0.19</v>
      </c>
      <c r="I1264" s="1" t="s">
        <v>33</v>
      </c>
      <c r="J1264" s="1" t="n">
        <v>6</v>
      </c>
      <c r="K1264" s="1" t="n">
        <v>4.7</v>
      </c>
      <c r="L1264" s="15" t="n">
        <v>268.68</v>
      </c>
      <c r="M1264" s="15" t="n">
        <f aca="false">F1264*G1264</f>
        <v>331.7</v>
      </c>
      <c r="N1264" s="15" t="n">
        <f aca="false">M1264-L1264</f>
        <v>63.02</v>
      </c>
      <c r="O1264" s="1" t="n">
        <f aca="false">YEAR(B1264)</f>
        <v>2025</v>
      </c>
      <c r="P1264" s="1" t="n">
        <f aca="false">MONTH(B1264)</f>
        <v>6</v>
      </c>
      <c r="Q1264" s="1" t="str">
        <f aca="false">TEXT(B1264,"mmm")</f>
        <v>Jun</v>
      </c>
      <c r="R1264" s="1" t="str">
        <f aca="false">"Q"&amp;ROUNDUP(MONTH(B1264)/3,0)</f>
        <v>Q2</v>
      </c>
    </row>
    <row r="1265" customFormat="false" ht="15" hidden="false" customHeight="true" outlineLevel="0" collapsed="false">
      <c r="A1265" s="1" t="n">
        <v>11264</v>
      </c>
      <c r="B1265" s="14" t="n">
        <v>45825</v>
      </c>
      <c r="C1265" s="1" t="n">
        <v>1393</v>
      </c>
      <c r="D1265" s="1" t="s">
        <v>37</v>
      </c>
      <c r="E1265" s="1" t="s">
        <v>32</v>
      </c>
      <c r="F1265" s="1" t="n">
        <v>1</v>
      </c>
      <c r="G1265" s="15" t="n">
        <v>70.12</v>
      </c>
      <c r="H1265" s="16" t="n">
        <v>0.29</v>
      </c>
      <c r="I1265" s="1" t="s">
        <v>31</v>
      </c>
      <c r="J1265" s="1" t="n">
        <v>9</v>
      </c>
      <c r="K1265" s="1" t="n">
        <v>1.2</v>
      </c>
      <c r="L1265" s="15" t="n">
        <v>49.79</v>
      </c>
      <c r="M1265" s="15" t="n">
        <f aca="false">F1265*G1265</f>
        <v>70.12</v>
      </c>
      <c r="N1265" s="15" t="n">
        <f aca="false">M1265-L1265</f>
        <v>20.33</v>
      </c>
      <c r="O1265" s="1" t="n">
        <f aca="false">YEAR(B1265)</f>
        <v>2025</v>
      </c>
      <c r="P1265" s="1" t="n">
        <f aca="false">MONTH(B1265)</f>
        <v>6</v>
      </c>
      <c r="Q1265" s="1" t="str">
        <f aca="false">TEXT(B1265,"mmm")</f>
        <v>Jun</v>
      </c>
      <c r="R1265" s="1" t="str">
        <f aca="false">"Q"&amp;ROUNDUP(MONTH(B1265)/3,0)</f>
        <v>Q2</v>
      </c>
    </row>
    <row r="1266" customFormat="false" ht="15" hidden="false" customHeight="true" outlineLevel="0" collapsed="false">
      <c r="A1266" s="1" t="n">
        <v>11265</v>
      </c>
      <c r="B1266" s="14" t="n">
        <v>45826</v>
      </c>
      <c r="C1266" s="1" t="n">
        <v>1066</v>
      </c>
      <c r="D1266" s="1" t="s">
        <v>30</v>
      </c>
      <c r="E1266" s="1" t="s">
        <v>32</v>
      </c>
      <c r="F1266" s="1" t="n">
        <v>2</v>
      </c>
      <c r="G1266" s="15" t="n">
        <v>199.38</v>
      </c>
      <c r="H1266" s="16" t="n">
        <v>0.1</v>
      </c>
      <c r="I1266" s="1" t="s">
        <v>33</v>
      </c>
      <c r="J1266" s="1" t="n">
        <v>6</v>
      </c>
      <c r="K1266" s="1" t="n">
        <v>1.7</v>
      </c>
      <c r="L1266" s="15" t="n">
        <v>358.88</v>
      </c>
      <c r="M1266" s="15" t="n">
        <f aca="false">F1266*G1266</f>
        <v>398.76</v>
      </c>
      <c r="N1266" s="15" t="n">
        <f aca="false">M1266-L1266</f>
        <v>39.88</v>
      </c>
      <c r="O1266" s="1" t="n">
        <f aca="false">YEAR(B1266)</f>
        <v>2025</v>
      </c>
      <c r="P1266" s="1" t="n">
        <f aca="false">MONTH(B1266)</f>
        <v>6</v>
      </c>
      <c r="Q1266" s="1" t="str">
        <f aca="false">TEXT(B1266,"mmm")</f>
        <v>Jun</v>
      </c>
      <c r="R1266" s="1" t="str">
        <f aca="false">"Q"&amp;ROUNDUP(MONTH(B1266)/3,0)</f>
        <v>Q2</v>
      </c>
    </row>
    <row r="1267" customFormat="false" ht="15" hidden="false" customHeight="true" outlineLevel="0" collapsed="false">
      <c r="A1267" s="1" t="n">
        <v>11266</v>
      </c>
      <c r="B1267" s="14" t="n">
        <v>45827</v>
      </c>
      <c r="C1267" s="1" t="n">
        <v>1232</v>
      </c>
      <c r="D1267" s="1" t="s">
        <v>30</v>
      </c>
      <c r="E1267" s="1" t="s">
        <v>36</v>
      </c>
      <c r="F1267" s="1" t="n">
        <v>6</v>
      </c>
      <c r="G1267" s="15" t="n">
        <v>526.98</v>
      </c>
      <c r="H1267" s="16" t="n">
        <v>0.32</v>
      </c>
      <c r="I1267" s="1" t="s">
        <v>31</v>
      </c>
      <c r="J1267" s="1" t="n">
        <v>4</v>
      </c>
      <c r="K1267" s="1" t="n">
        <v>1.1</v>
      </c>
      <c r="L1267" s="15" t="n">
        <v>2150.08</v>
      </c>
      <c r="M1267" s="15" t="n">
        <f aca="false">F1267*G1267</f>
        <v>3161.88</v>
      </c>
      <c r="N1267" s="15" t="n">
        <f aca="false">M1267-L1267</f>
        <v>1011.8</v>
      </c>
      <c r="O1267" s="1" t="n">
        <f aca="false">YEAR(B1267)</f>
        <v>2025</v>
      </c>
      <c r="P1267" s="1" t="n">
        <f aca="false">MONTH(B1267)</f>
        <v>6</v>
      </c>
      <c r="Q1267" s="1" t="str">
        <f aca="false">TEXT(B1267,"mmm")</f>
        <v>Jun</v>
      </c>
      <c r="R1267" s="1" t="str">
        <f aca="false">"Q"&amp;ROUNDUP(MONTH(B1267)/3,0)</f>
        <v>Q2</v>
      </c>
    </row>
    <row r="1268" customFormat="false" ht="15" hidden="false" customHeight="true" outlineLevel="0" collapsed="false">
      <c r="A1268" s="1" t="n">
        <v>11267</v>
      </c>
      <c r="B1268" s="14" t="n">
        <v>45828</v>
      </c>
      <c r="C1268" s="1" t="n">
        <v>1108</v>
      </c>
      <c r="D1268" s="1" t="s">
        <v>34</v>
      </c>
      <c r="E1268" s="1" t="s">
        <v>28</v>
      </c>
      <c r="F1268" s="1" t="n">
        <v>6</v>
      </c>
      <c r="G1268" s="15" t="n">
        <v>218.09</v>
      </c>
      <c r="H1268" s="16" t="n">
        <v>0.35</v>
      </c>
      <c r="I1268" s="1" t="s">
        <v>31</v>
      </c>
      <c r="J1268" s="1" t="n">
        <v>11</v>
      </c>
      <c r="K1268" s="1" t="n">
        <v>3.1</v>
      </c>
      <c r="L1268" s="15" t="n">
        <v>850.55</v>
      </c>
      <c r="M1268" s="15" t="n">
        <f aca="false">F1268*G1268</f>
        <v>1308.54</v>
      </c>
      <c r="N1268" s="15" t="n">
        <f aca="false">M1268-L1268</f>
        <v>457.99</v>
      </c>
      <c r="O1268" s="1" t="n">
        <f aca="false">YEAR(B1268)</f>
        <v>2025</v>
      </c>
      <c r="P1268" s="1" t="n">
        <f aca="false">MONTH(B1268)</f>
        <v>6</v>
      </c>
      <c r="Q1268" s="1" t="str">
        <f aca="false">TEXT(B1268,"mmm")</f>
        <v>Jun</v>
      </c>
      <c r="R1268" s="1" t="str">
        <f aca="false">"Q"&amp;ROUNDUP(MONTH(B1268)/3,0)</f>
        <v>Q2</v>
      </c>
    </row>
    <row r="1269" customFormat="false" ht="15" hidden="false" customHeight="true" outlineLevel="0" collapsed="false">
      <c r="A1269" s="1" t="n">
        <v>11268</v>
      </c>
      <c r="B1269" s="14" t="n">
        <v>45829</v>
      </c>
      <c r="C1269" s="1" t="n">
        <v>1145</v>
      </c>
      <c r="D1269" s="1" t="s">
        <v>27</v>
      </c>
      <c r="E1269" s="1" t="s">
        <v>36</v>
      </c>
      <c r="F1269" s="1" t="n">
        <v>7</v>
      </c>
      <c r="G1269" s="15" t="n">
        <v>343.71</v>
      </c>
      <c r="H1269" s="16" t="n">
        <v>0.32</v>
      </c>
      <c r="I1269" s="1" t="s">
        <v>31</v>
      </c>
      <c r="J1269" s="1" t="n">
        <v>5</v>
      </c>
      <c r="K1269" s="1" t="n">
        <v>4.8</v>
      </c>
      <c r="L1269" s="15" t="n">
        <v>1636.06</v>
      </c>
      <c r="M1269" s="15" t="n">
        <f aca="false">F1269*G1269</f>
        <v>2405.97</v>
      </c>
      <c r="N1269" s="15" t="n">
        <f aca="false">M1269-L1269</f>
        <v>769.91</v>
      </c>
      <c r="O1269" s="1" t="n">
        <f aca="false">YEAR(B1269)</f>
        <v>2025</v>
      </c>
      <c r="P1269" s="1" t="n">
        <f aca="false">MONTH(B1269)</f>
        <v>6</v>
      </c>
      <c r="Q1269" s="1" t="str">
        <f aca="false">TEXT(B1269,"mmm")</f>
        <v>Jun</v>
      </c>
      <c r="R1269" s="1" t="str">
        <f aca="false">"Q"&amp;ROUNDUP(MONTH(B1269)/3,0)</f>
        <v>Q2</v>
      </c>
    </row>
    <row r="1270" customFormat="false" ht="15" hidden="false" customHeight="true" outlineLevel="0" collapsed="false">
      <c r="A1270" s="1" t="n">
        <v>11269</v>
      </c>
      <c r="B1270" s="14" t="n">
        <v>45830</v>
      </c>
      <c r="C1270" s="1" t="n">
        <v>1110</v>
      </c>
      <c r="D1270" s="1" t="s">
        <v>34</v>
      </c>
      <c r="E1270" s="1" t="s">
        <v>36</v>
      </c>
      <c r="F1270" s="1" t="n">
        <v>4</v>
      </c>
      <c r="G1270" s="15" t="n">
        <v>268.53</v>
      </c>
      <c r="H1270" s="16" t="n">
        <v>0.27</v>
      </c>
      <c r="I1270" s="1" t="s">
        <v>29</v>
      </c>
      <c r="J1270" s="1" t="n">
        <v>7</v>
      </c>
      <c r="K1270" s="1" t="n">
        <v>4.4</v>
      </c>
      <c r="L1270" s="15" t="n">
        <v>784.11</v>
      </c>
      <c r="M1270" s="15" t="n">
        <f aca="false">F1270*G1270</f>
        <v>1074.12</v>
      </c>
      <c r="N1270" s="15" t="n">
        <f aca="false">M1270-L1270</f>
        <v>290.01</v>
      </c>
      <c r="O1270" s="1" t="n">
        <f aca="false">YEAR(B1270)</f>
        <v>2025</v>
      </c>
      <c r="P1270" s="1" t="n">
        <f aca="false">MONTH(B1270)</f>
        <v>6</v>
      </c>
      <c r="Q1270" s="1" t="str">
        <f aca="false">TEXT(B1270,"mmm")</f>
        <v>Jun</v>
      </c>
      <c r="R1270" s="1" t="str">
        <f aca="false">"Q"&amp;ROUNDUP(MONTH(B1270)/3,0)</f>
        <v>Q2</v>
      </c>
    </row>
    <row r="1271" customFormat="false" ht="15" hidden="false" customHeight="true" outlineLevel="0" collapsed="false">
      <c r="A1271" s="1" t="n">
        <v>11270</v>
      </c>
      <c r="B1271" s="14" t="n">
        <v>45831</v>
      </c>
      <c r="C1271" s="1" t="n">
        <v>1227</v>
      </c>
      <c r="D1271" s="1" t="s">
        <v>27</v>
      </c>
      <c r="E1271" s="1" t="s">
        <v>28</v>
      </c>
      <c r="F1271" s="1" t="n">
        <v>6</v>
      </c>
      <c r="G1271" s="15" t="n">
        <v>283.47</v>
      </c>
      <c r="H1271" s="16" t="n">
        <v>0.28</v>
      </c>
      <c r="I1271" s="1" t="s">
        <v>31</v>
      </c>
      <c r="J1271" s="1" t="n">
        <v>10</v>
      </c>
      <c r="K1271" s="1" t="n">
        <v>3.6</v>
      </c>
      <c r="L1271" s="15" t="n">
        <v>1224.59</v>
      </c>
      <c r="M1271" s="15" t="n">
        <f aca="false">F1271*G1271</f>
        <v>1700.82</v>
      </c>
      <c r="N1271" s="15" t="n">
        <f aca="false">M1271-L1271</f>
        <v>476.23</v>
      </c>
      <c r="O1271" s="1" t="n">
        <f aca="false">YEAR(B1271)</f>
        <v>2025</v>
      </c>
      <c r="P1271" s="1" t="n">
        <f aca="false">MONTH(B1271)</f>
        <v>6</v>
      </c>
      <c r="Q1271" s="1" t="str">
        <f aca="false">TEXT(B1271,"mmm")</f>
        <v>Jun</v>
      </c>
      <c r="R1271" s="1" t="str">
        <f aca="false">"Q"&amp;ROUNDUP(MONTH(B1271)/3,0)</f>
        <v>Q2</v>
      </c>
    </row>
    <row r="1272" customFormat="false" ht="15" hidden="false" customHeight="true" outlineLevel="0" collapsed="false">
      <c r="A1272" s="1" t="n">
        <v>11271</v>
      </c>
      <c r="B1272" s="14" t="n">
        <v>45832</v>
      </c>
      <c r="C1272" s="1" t="n">
        <v>1110</v>
      </c>
      <c r="D1272" s="1" t="s">
        <v>37</v>
      </c>
      <c r="E1272" s="1" t="s">
        <v>36</v>
      </c>
      <c r="F1272" s="1" t="n">
        <v>5</v>
      </c>
      <c r="G1272" s="15" t="n">
        <v>582.2</v>
      </c>
      <c r="H1272" s="16" t="n">
        <v>0.2</v>
      </c>
      <c r="I1272" s="1" t="s">
        <v>33</v>
      </c>
      <c r="J1272" s="1" t="n">
        <v>3</v>
      </c>
      <c r="K1272" s="1" t="n">
        <v>1.7</v>
      </c>
      <c r="L1272" s="15" t="n">
        <v>2328.8</v>
      </c>
      <c r="M1272" s="15" t="n">
        <f aca="false">F1272*G1272</f>
        <v>2911</v>
      </c>
      <c r="N1272" s="15" t="n">
        <f aca="false">M1272-L1272</f>
        <v>582.2</v>
      </c>
      <c r="O1272" s="1" t="n">
        <f aca="false">YEAR(B1272)</f>
        <v>2025</v>
      </c>
      <c r="P1272" s="1" t="n">
        <f aca="false">MONTH(B1272)</f>
        <v>6</v>
      </c>
      <c r="Q1272" s="1" t="str">
        <f aca="false">TEXT(B1272,"mmm")</f>
        <v>Jun</v>
      </c>
      <c r="R1272" s="1" t="str">
        <f aca="false">"Q"&amp;ROUNDUP(MONTH(B1272)/3,0)</f>
        <v>Q2</v>
      </c>
    </row>
    <row r="1273" customFormat="false" ht="15" hidden="false" customHeight="true" outlineLevel="0" collapsed="false">
      <c r="A1273" s="1" t="n">
        <v>11272</v>
      </c>
      <c r="B1273" s="14" t="n">
        <v>45833</v>
      </c>
      <c r="C1273" s="1" t="n">
        <v>1469</v>
      </c>
      <c r="D1273" s="1" t="s">
        <v>30</v>
      </c>
      <c r="E1273" s="1" t="s">
        <v>28</v>
      </c>
      <c r="F1273" s="1" t="n">
        <v>1</v>
      </c>
      <c r="G1273" s="15" t="n">
        <v>188.25</v>
      </c>
      <c r="H1273" s="16" t="n">
        <v>0.07</v>
      </c>
      <c r="I1273" s="1" t="s">
        <v>29</v>
      </c>
      <c r="J1273" s="1" t="n">
        <v>9</v>
      </c>
      <c r="K1273" s="1" t="n">
        <v>4.5</v>
      </c>
      <c r="L1273" s="15" t="n">
        <v>175.07</v>
      </c>
      <c r="M1273" s="15" t="n">
        <f aca="false">F1273*G1273</f>
        <v>188.25</v>
      </c>
      <c r="N1273" s="15" t="n">
        <f aca="false">M1273-L1273</f>
        <v>13.18</v>
      </c>
      <c r="O1273" s="1" t="n">
        <f aca="false">YEAR(B1273)</f>
        <v>2025</v>
      </c>
      <c r="P1273" s="1" t="n">
        <f aca="false">MONTH(B1273)</f>
        <v>6</v>
      </c>
      <c r="Q1273" s="1" t="str">
        <f aca="false">TEXT(B1273,"mmm")</f>
        <v>Jun</v>
      </c>
      <c r="R1273" s="1" t="str">
        <f aca="false">"Q"&amp;ROUNDUP(MONTH(B1273)/3,0)</f>
        <v>Q2</v>
      </c>
    </row>
    <row r="1274" customFormat="false" ht="15" hidden="false" customHeight="true" outlineLevel="0" collapsed="false">
      <c r="A1274" s="1" t="n">
        <v>11273</v>
      </c>
      <c r="B1274" s="14" t="n">
        <v>45834</v>
      </c>
      <c r="C1274" s="1" t="n">
        <v>1033</v>
      </c>
      <c r="D1274" s="1" t="s">
        <v>34</v>
      </c>
      <c r="E1274" s="1" t="s">
        <v>28</v>
      </c>
      <c r="F1274" s="1" t="n">
        <v>6</v>
      </c>
      <c r="G1274" s="15" t="n">
        <v>381.98</v>
      </c>
      <c r="H1274" s="16" t="n">
        <v>0.24</v>
      </c>
      <c r="I1274" s="1" t="s">
        <v>33</v>
      </c>
      <c r="J1274" s="1" t="n">
        <v>1</v>
      </c>
      <c r="K1274" s="1" t="n">
        <v>4</v>
      </c>
      <c r="L1274" s="15" t="n">
        <v>1741.83</v>
      </c>
      <c r="M1274" s="15" t="n">
        <f aca="false">F1274*G1274</f>
        <v>2291.88</v>
      </c>
      <c r="N1274" s="15" t="n">
        <f aca="false">M1274-L1274</f>
        <v>550.05</v>
      </c>
      <c r="O1274" s="1" t="n">
        <f aca="false">YEAR(B1274)</f>
        <v>2025</v>
      </c>
      <c r="P1274" s="1" t="n">
        <f aca="false">MONTH(B1274)</f>
        <v>6</v>
      </c>
      <c r="Q1274" s="1" t="str">
        <f aca="false">TEXT(B1274,"mmm")</f>
        <v>Jun</v>
      </c>
      <c r="R1274" s="1" t="str">
        <f aca="false">"Q"&amp;ROUNDUP(MONTH(B1274)/3,0)</f>
        <v>Q2</v>
      </c>
    </row>
    <row r="1275" customFormat="false" ht="15" hidden="false" customHeight="true" outlineLevel="0" collapsed="false">
      <c r="A1275" s="1" t="n">
        <v>11274</v>
      </c>
      <c r="B1275" s="14" t="n">
        <v>45835</v>
      </c>
      <c r="C1275" s="1" t="n">
        <v>1622</v>
      </c>
      <c r="D1275" s="1" t="s">
        <v>30</v>
      </c>
      <c r="E1275" s="1" t="s">
        <v>36</v>
      </c>
      <c r="F1275" s="1" t="n">
        <v>2</v>
      </c>
      <c r="G1275" s="15" t="n">
        <v>260.74</v>
      </c>
      <c r="H1275" s="16" t="n">
        <v>0.25</v>
      </c>
      <c r="I1275" s="1" t="s">
        <v>33</v>
      </c>
      <c r="J1275" s="1" t="n">
        <v>8</v>
      </c>
      <c r="K1275" s="1" t="n">
        <v>2.1</v>
      </c>
      <c r="L1275" s="15" t="n">
        <v>391.11</v>
      </c>
      <c r="M1275" s="15" t="n">
        <f aca="false">F1275*G1275</f>
        <v>521.48</v>
      </c>
      <c r="N1275" s="15" t="n">
        <f aca="false">M1275-L1275</f>
        <v>130.37</v>
      </c>
      <c r="O1275" s="1" t="n">
        <f aca="false">YEAR(B1275)</f>
        <v>2025</v>
      </c>
      <c r="P1275" s="1" t="n">
        <f aca="false">MONTH(B1275)</f>
        <v>6</v>
      </c>
      <c r="Q1275" s="1" t="str">
        <f aca="false">TEXT(B1275,"mmm")</f>
        <v>Jun</v>
      </c>
      <c r="R1275" s="1" t="str">
        <f aca="false">"Q"&amp;ROUNDUP(MONTH(B1275)/3,0)</f>
        <v>Q2</v>
      </c>
    </row>
    <row r="1276" customFormat="false" ht="15" hidden="false" customHeight="true" outlineLevel="0" collapsed="false">
      <c r="A1276" s="1" t="n">
        <v>11275</v>
      </c>
      <c r="B1276" s="14" t="n">
        <v>45836</v>
      </c>
      <c r="C1276" s="1" t="n">
        <v>1775</v>
      </c>
      <c r="D1276" s="1" t="s">
        <v>30</v>
      </c>
      <c r="E1276" s="1" t="s">
        <v>35</v>
      </c>
      <c r="F1276" s="1" t="n">
        <v>5</v>
      </c>
      <c r="G1276" s="15" t="n">
        <v>50.77</v>
      </c>
      <c r="H1276" s="16" t="n">
        <v>0.34</v>
      </c>
      <c r="I1276" s="1" t="s">
        <v>33</v>
      </c>
      <c r="J1276" s="1" t="n">
        <v>5</v>
      </c>
      <c r="K1276" s="1" t="n">
        <v>4.2</v>
      </c>
      <c r="L1276" s="15" t="n">
        <v>167.54</v>
      </c>
      <c r="M1276" s="15" t="n">
        <f aca="false">F1276*G1276</f>
        <v>253.85</v>
      </c>
      <c r="N1276" s="15" t="n">
        <f aca="false">M1276-L1276</f>
        <v>86.31</v>
      </c>
      <c r="O1276" s="1" t="n">
        <f aca="false">YEAR(B1276)</f>
        <v>2025</v>
      </c>
      <c r="P1276" s="1" t="n">
        <f aca="false">MONTH(B1276)</f>
        <v>6</v>
      </c>
      <c r="Q1276" s="1" t="str">
        <f aca="false">TEXT(B1276,"mmm")</f>
        <v>Jun</v>
      </c>
      <c r="R1276" s="1" t="str">
        <f aca="false">"Q"&amp;ROUNDUP(MONTH(B1276)/3,0)</f>
        <v>Q2</v>
      </c>
    </row>
    <row r="1277" customFormat="false" ht="15" hidden="false" customHeight="true" outlineLevel="0" collapsed="false">
      <c r="A1277" s="1" t="n">
        <v>11276</v>
      </c>
      <c r="B1277" s="14" t="n">
        <v>45837</v>
      </c>
      <c r="C1277" s="1" t="n">
        <v>1935</v>
      </c>
      <c r="D1277" s="1" t="s">
        <v>34</v>
      </c>
      <c r="E1277" s="1" t="s">
        <v>36</v>
      </c>
      <c r="F1277" s="1" t="n">
        <v>6</v>
      </c>
      <c r="G1277" s="15" t="n">
        <v>301.26</v>
      </c>
      <c r="H1277" s="16" t="n">
        <v>0.19</v>
      </c>
      <c r="I1277" s="1" t="s">
        <v>31</v>
      </c>
      <c r="J1277" s="1" t="n">
        <v>10</v>
      </c>
      <c r="K1277" s="1" t="n">
        <v>4.5</v>
      </c>
      <c r="L1277" s="15" t="n">
        <v>1464.12</v>
      </c>
      <c r="M1277" s="15" t="n">
        <f aca="false">F1277*G1277</f>
        <v>1807.56</v>
      </c>
      <c r="N1277" s="15" t="n">
        <f aca="false">M1277-L1277</f>
        <v>343.44</v>
      </c>
      <c r="O1277" s="1" t="n">
        <f aca="false">YEAR(B1277)</f>
        <v>2025</v>
      </c>
      <c r="P1277" s="1" t="n">
        <f aca="false">MONTH(B1277)</f>
        <v>6</v>
      </c>
      <c r="Q1277" s="1" t="str">
        <f aca="false">TEXT(B1277,"mmm")</f>
        <v>Jun</v>
      </c>
      <c r="R1277" s="1" t="str">
        <f aca="false">"Q"&amp;ROUNDUP(MONTH(B1277)/3,0)</f>
        <v>Q2</v>
      </c>
    </row>
    <row r="1278" customFormat="false" ht="15" hidden="false" customHeight="true" outlineLevel="0" collapsed="false">
      <c r="A1278" s="1" t="n">
        <v>11277</v>
      </c>
      <c r="B1278" s="14" t="n">
        <v>45838</v>
      </c>
      <c r="C1278" s="1" t="n">
        <v>1368</v>
      </c>
      <c r="D1278" s="1" t="s">
        <v>37</v>
      </c>
      <c r="E1278" s="1" t="s">
        <v>32</v>
      </c>
      <c r="F1278" s="1" t="n">
        <v>3</v>
      </c>
      <c r="G1278" s="15" t="n">
        <v>490.81</v>
      </c>
      <c r="H1278" s="16" t="n">
        <v>0.09</v>
      </c>
      <c r="I1278" s="1" t="s">
        <v>31</v>
      </c>
      <c r="J1278" s="1" t="n">
        <v>9</v>
      </c>
      <c r="K1278" s="1" t="n">
        <v>3.8</v>
      </c>
      <c r="L1278" s="15" t="n">
        <v>1339.91</v>
      </c>
      <c r="M1278" s="15" t="n">
        <f aca="false">F1278*G1278</f>
        <v>1472.43</v>
      </c>
      <c r="N1278" s="15" t="n">
        <f aca="false">M1278-L1278</f>
        <v>132.52</v>
      </c>
      <c r="O1278" s="1" t="n">
        <f aca="false">YEAR(B1278)</f>
        <v>2025</v>
      </c>
      <c r="P1278" s="1" t="n">
        <f aca="false">MONTH(B1278)</f>
        <v>6</v>
      </c>
      <c r="Q1278" s="1" t="str">
        <f aca="false">TEXT(B1278,"mmm")</f>
        <v>Jun</v>
      </c>
      <c r="R1278" s="1" t="str">
        <f aca="false">"Q"&amp;ROUNDUP(MONTH(B1278)/3,0)</f>
        <v>Q2</v>
      </c>
    </row>
    <row r="1279" customFormat="false" ht="15" hidden="false" customHeight="true" outlineLevel="0" collapsed="false">
      <c r="A1279" s="1" t="n">
        <v>11278</v>
      </c>
      <c r="B1279" s="14" t="n">
        <v>45839</v>
      </c>
      <c r="C1279" s="1" t="n">
        <v>1747</v>
      </c>
      <c r="D1279" s="1" t="s">
        <v>27</v>
      </c>
      <c r="E1279" s="1" t="s">
        <v>36</v>
      </c>
      <c r="F1279" s="1" t="n">
        <v>2</v>
      </c>
      <c r="G1279" s="15" t="n">
        <v>72.77</v>
      </c>
      <c r="H1279" s="16" t="n">
        <v>0.24</v>
      </c>
      <c r="I1279" s="1" t="s">
        <v>29</v>
      </c>
      <c r="J1279" s="1" t="n">
        <v>2</v>
      </c>
      <c r="K1279" s="1" t="n">
        <v>1.4</v>
      </c>
      <c r="L1279" s="15" t="n">
        <v>110.61</v>
      </c>
      <c r="M1279" s="15" t="n">
        <f aca="false">F1279*G1279</f>
        <v>145.54</v>
      </c>
      <c r="N1279" s="15" t="n">
        <f aca="false">M1279-L1279</f>
        <v>34.93</v>
      </c>
      <c r="O1279" s="1" t="n">
        <f aca="false">YEAR(B1279)</f>
        <v>2025</v>
      </c>
      <c r="P1279" s="1" t="n">
        <f aca="false">MONTH(B1279)</f>
        <v>7</v>
      </c>
      <c r="Q1279" s="1" t="str">
        <f aca="false">TEXT(B1279,"mmm")</f>
        <v>Jul</v>
      </c>
      <c r="R1279" s="1" t="str">
        <f aca="false">"Q"&amp;ROUNDUP(MONTH(B1279)/3,0)</f>
        <v>Q3</v>
      </c>
    </row>
    <row r="1280" customFormat="false" ht="15" hidden="false" customHeight="true" outlineLevel="0" collapsed="false">
      <c r="A1280" s="1" t="n">
        <v>11279</v>
      </c>
      <c r="B1280" s="14" t="n">
        <v>45840</v>
      </c>
      <c r="C1280" s="1" t="n">
        <v>1594</v>
      </c>
      <c r="D1280" s="1" t="s">
        <v>30</v>
      </c>
      <c r="E1280" s="1" t="s">
        <v>28</v>
      </c>
      <c r="F1280" s="1" t="n">
        <v>7</v>
      </c>
      <c r="G1280" s="15" t="n">
        <v>55.71</v>
      </c>
      <c r="H1280" s="16" t="n">
        <v>0.34</v>
      </c>
      <c r="I1280" s="1" t="s">
        <v>31</v>
      </c>
      <c r="J1280" s="1" t="n">
        <v>1</v>
      </c>
      <c r="K1280" s="1" t="n">
        <v>4.9</v>
      </c>
      <c r="L1280" s="15" t="n">
        <v>257.38</v>
      </c>
      <c r="M1280" s="15" t="n">
        <f aca="false">F1280*G1280</f>
        <v>389.97</v>
      </c>
      <c r="N1280" s="15" t="n">
        <f aca="false">M1280-L1280</f>
        <v>132.59</v>
      </c>
      <c r="O1280" s="1" t="n">
        <f aca="false">YEAR(B1280)</f>
        <v>2025</v>
      </c>
      <c r="P1280" s="1" t="n">
        <f aca="false">MONTH(B1280)</f>
        <v>7</v>
      </c>
      <c r="Q1280" s="1" t="str">
        <f aca="false">TEXT(B1280,"mmm")</f>
        <v>Jul</v>
      </c>
      <c r="R1280" s="1" t="str">
        <f aca="false">"Q"&amp;ROUNDUP(MONTH(B1280)/3,0)</f>
        <v>Q3</v>
      </c>
    </row>
    <row r="1281" customFormat="false" ht="15" hidden="false" customHeight="true" outlineLevel="0" collapsed="false">
      <c r="A1281" s="1" t="n">
        <v>11280</v>
      </c>
      <c r="B1281" s="14" t="n">
        <v>45841</v>
      </c>
      <c r="C1281" s="1" t="n">
        <v>1553</v>
      </c>
      <c r="D1281" s="1" t="s">
        <v>37</v>
      </c>
      <c r="E1281" s="1" t="s">
        <v>32</v>
      </c>
      <c r="F1281" s="1" t="n">
        <v>7</v>
      </c>
      <c r="G1281" s="15" t="n">
        <v>104.87</v>
      </c>
      <c r="H1281" s="16" t="n">
        <v>0.06</v>
      </c>
      <c r="I1281" s="1" t="s">
        <v>33</v>
      </c>
      <c r="J1281" s="1" t="n">
        <v>10</v>
      </c>
      <c r="K1281" s="1" t="n">
        <v>1.3</v>
      </c>
      <c r="L1281" s="15" t="n">
        <v>690.04</v>
      </c>
      <c r="M1281" s="15" t="n">
        <f aca="false">F1281*G1281</f>
        <v>734.09</v>
      </c>
      <c r="N1281" s="15" t="n">
        <f aca="false">M1281-L1281</f>
        <v>44.0500000000001</v>
      </c>
      <c r="O1281" s="1" t="n">
        <f aca="false">YEAR(B1281)</f>
        <v>2025</v>
      </c>
      <c r="P1281" s="1" t="n">
        <f aca="false">MONTH(B1281)</f>
        <v>7</v>
      </c>
      <c r="Q1281" s="1" t="str">
        <f aca="false">TEXT(B1281,"mmm")</f>
        <v>Jul</v>
      </c>
      <c r="R1281" s="1" t="str">
        <f aca="false">"Q"&amp;ROUNDUP(MONTH(B1281)/3,0)</f>
        <v>Q3</v>
      </c>
    </row>
    <row r="1282" customFormat="false" ht="15" hidden="false" customHeight="true" outlineLevel="0" collapsed="false">
      <c r="A1282" s="1" t="n">
        <v>11281</v>
      </c>
      <c r="B1282" s="14" t="n">
        <v>45842</v>
      </c>
      <c r="C1282" s="1" t="n">
        <v>1424</v>
      </c>
      <c r="D1282" s="1" t="s">
        <v>34</v>
      </c>
      <c r="E1282" s="1" t="s">
        <v>28</v>
      </c>
      <c r="F1282" s="1" t="n">
        <v>7</v>
      </c>
      <c r="G1282" s="15" t="n">
        <v>462.17</v>
      </c>
      <c r="H1282" s="16" t="n">
        <v>0.11</v>
      </c>
      <c r="I1282" s="1" t="s">
        <v>33</v>
      </c>
      <c r="J1282" s="1" t="n">
        <v>7</v>
      </c>
      <c r="K1282" s="1" t="n">
        <v>3.6</v>
      </c>
      <c r="L1282" s="15" t="n">
        <v>2879.32</v>
      </c>
      <c r="M1282" s="15" t="n">
        <f aca="false">F1282*G1282</f>
        <v>3235.19</v>
      </c>
      <c r="N1282" s="15" t="n">
        <f aca="false">M1282-L1282</f>
        <v>355.87</v>
      </c>
      <c r="O1282" s="1" t="n">
        <f aca="false">YEAR(B1282)</f>
        <v>2025</v>
      </c>
      <c r="P1282" s="1" t="n">
        <f aca="false">MONTH(B1282)</f>
        <v>7</v>
      </c>
      <c r="Q1282" s="1" t="str">
        <f aca="false">TEXT(B1282,"mmm")</f>
        <v>Jul</v>
      </c>
      <c r="R1282" s="1" t="str">
        <f aca="false">"Q"&amp;ROUNDUP(MONTH(B1282)/3,0)</f>
        <v>Q3</v>
      </c>
    </row>
    <row r="1283" customFormat="false" ht="15" hidden="false" customHeight="true" outlineLevel="0" collapsed="false">
      <c r="A1283" s="1" t="n">
        <v>11282</v>
      </c>
      <c r="B1283" s="14" t="n">
        <v>45843</v>
      </c>
      <c r="C1283" s="1" t="n">
        <v>1612</v>
      </c>
      <c r="D1283" s="1" t="s">
        <v>30</v>
      </c>
      <c r="E1283" s="1" t="s">
        <v>35</v>
      </c>
      <c r="F1283" s="1" t="n">
        <v>2</v>
      </c>
      <c r="G1283" s="15" t="n">
        <v>438.54</v>
      </c>
      <c r="H1283" s="16" t="n">
        <v>0.19</v>
      </c>
      <c r="I1283" s="1" t="s">
        <v>31</v>
      </c>
      <c r="J1283" s="1" t="n">
        <v>10</v>
      </c>
      <c r="K1283" s="1" t="n">
        <v>1.4</v>
      </c>
      <c r="L1283" s="15" t="n">
        <v>710.43</v>
      </c>
      <c r="M1283" s="15" t="n">
        <f aca="false">F1283*G1283</f>
        <v>877.08</v>
      </c>
      <c r="N1283" s="15" t="n">
        <f aca="false">M1283-L1283</f>
        <v>166.65</v>
      </c>
      <c r="O1283" s="1" t="n">
        <f aca="false">YEAR(B1283)</f>
        <v>2025</v>
      </c>
      <c r="P1283" s="1" t="n">
        <f aca="false">MONTH(B1283)</f>
        <v>7</v>
      </c>
      <c r="Q1283" s="1" t="str">
        <f aca="false">TEXT(B1283,"mmm")</f>
        <v>Jul</v>
      </c>
      <c r="R1283" s="1" t="str">
        <f aca="false">"Q"&amp;ROUNDUP(MONTH(B1283)/3,0)</f>
        <v>Q3</v>
      </c>
    </row>
    <row r="1284" customFormat="false" ht="15" hidden="false" customHeight="true" outlineLevel="0" collapsed="false">
      <c r="A1284" s="1" t="n">
        <v>11283</v>
      </c>
      <c r="B1284" s="14" t="n">
        <v>45844</v>
      </c>
      <c r="C1284" s="1" t="n">
        <v>1517</v>
      </c>
      <c r="D1284" s="1" t="s">
        <v>34</v>
      </c>
      <c r="E1284" s="1" t="s">
        <v>35</v>
      </c>
      <c r="F1284" s="1" t="n">
        <v>7</v>
      </c>
      <c r="G1284" s="15" t="n">
        <v>345.54</v>
      </c>
      <c r="H1284" s="16" t="n">
        <v>0.06</v>
      </c>
      <c r="I1284" s="1" t="s">
        <v>29</v>
      </c>
      <c r="J1284" s="1" t="n">
        <v>11</v>
      </c>
      <c r="K1284" s="1" t="n">
        <v>4.6</v>
      </c>
      <c r="L1284" s="15" t="n">
        <v>2273.65</v>
      </c>
      <c r="M1284" s="15" t="n">
        <f aca="false">F1284*G1284</f>
        <v>2418.78</v>
      </c>
      <c r="N1284" s="15" t="n">
        <f aca="false">M1284-L1284</f>
        <v>145.13</v>
      </c>
      <c r="O1284" s="1" t="n">
        <f aca="false">YEAR(B1284)</f>
        <v>2025</v>
      </c>
      <c r="P1284" s="1" t="n">
        <f aca="false">MONTH(B1284)</f>
        <v>7</v>
      </c>
      <c r="Q1284" s="1" t="str">
        <f aca="false">TEXT(B1284,"mmm")</f>
        <v>Jul</v>
      </c>
      <c r="R1284" s="1" t="str">
        <f aca="false">"Q"&amp;ROUNDUP(MONTH(B1284)/3,0)</f>
        <v>Q3</v>
      </c>
    </row>
    <row r="1285" customFormat="false" ht="15" hidden="false" customHeight="true" outlineLevel="0" collapsed="false">
      <c r="A1285" s="1" t="n">
        <v>11284</v>
      </c>
      <c r="B1285" s="14" t="n">
        <v>45845</v>
      </c>
      <c r="C1285" s="1" t="n">
        <v>1691</v>
      </c>
      <c r="D1285" s="1" t="s">
        <v>30</v>
      </c>
      <c r="E1285" s="1" t="s">
        <v>32</v>
      </c>
      <c r="F1285" s="1" t="n">
        <v>4</v>
      </c>
      <c r="G1285" s="15" t="n">
        <v>288.91</v>
      </c>
      <c r="H1285" s="16" t="n">
        <v>0.01</v>
      </c>
      <c r="I1285" s="1" t="s">
        <v>33</v>
      </c>
      <c r="J1285" s="1" t="n">
        <v>9</v>
      </c>
      <c r="K1285" s="1" t="n">
        <v>2.4</v>
      </c>
      <c r="L1285" s="15" t="n">
        <v>1144.08</v>
      </c>
      <c r="M1285" s="15" t="n">
        <f aca="false">F1285*G1285</f>
        <v>1155.64</v>
      </c>
      <c r="N1285" s="15" t="n">
        <f aca="false">M1285-L1285</f>
        <v>11.5600000000002</v>
      </c>
      <c r="O1285" s="1" t="n">
        <f aca="false">YEAR(B1285)</f>
        <v>2025</v>
      </c>
      <c r="P1285" s="1" t="n">
        <f aca="false">MONTH(B1285)</f>
        <v>7</v>
      </c>
      <c r="Q1285" s="1" t="str">
        <f aca="false">TEXT(B1285,"mmm")</f>
        <v>Jul</v>
      </c>
      <c r="R1285" s="1" t="str">
        <f aca="false">"Q"&amp;ROUNDUP(MONTH(B1285)/3,0)</f>
        <v>Q3</v>
      </c>
    </row>
    <row r="1286" customFormat="false" ht="15" hidden="false" customHeight="true" outlineLevel="0" collapsed="false">
      <c r="A1286" s="1" t="n">
        <v>11285</v>
      </c>
      <c r="B1286" s="14" t="n">
        <v>45846</v>
      </c>
      <c r="C1286" s="1" t="n">
        <v>1281</v>
      </c>
      <c r="D1286" s="1" t="s">
        <v>27</v>
      </c>
      <c r="E1286" s="1" t="s">
        <v>35</v>
      </c>
      <c r="F1286" s="1" t="n">
        <v>3</v>
      </c>
      <c r="G1286" s="15" t="n">
        <v>534.67</v>
      </c>
      <c r="H1286" s="16" t="n">
        <v>0.12</v>
      </c>
      <c r="I1286" s="1" t="s">
        <v>31</v>
      </c>
      <c r="J1286" s="1" t="n">
        <v>5</v>
      </c>
      <c r="K1286" s="1" t="n">
        <v>3</v>
      </c>
      <c r="L1286" s="15" t="n">
        <v>1411.53</v>
      </c>
      <c r="M1286" s="15" t="n">
        <f aca="false">F1286*G1286</f>
        <v>1604.01</v>
      </c>
      <c r="N1286" s="15" t="n">
        <f aca="false">M1286-L1286</f>
        <v>192.48</v>
      </c>
      <c r="O1286" s="1" t="n">
        <f aca="false">YEAR(B1286)</f>
        <v>2025</v>
      </c>
      <c r="P1286" s="1" t="n">
        <f aca="false">MONTH(B1286)</f>
        <v>7</v>
      </c>
      <c r="Q1286" s="1" t="str">
        <f aca="false">TEXT(B1286,"mmm")</f>
        <v>Jul</v>
      </c>
      <c r="R1286" s="1" t="str">
        <f aca="false">"Q"&amp;ROUNDUP(MONTH(B1286)/3,0)</f>
        <v>Q3</v>
      </c>
    </row>
    <row r="1287" customFormat="false" ht="15" hidden="false" customHeight="true" outlineLevel="0" collapsed="false">
      <c r="A1287" s="1" t="n">
        <v>11286</v>
      </c>
      <c r="B1287" s="14" t="n">
        <v>45847</v>
      </c>
      <c r="C1287" s="1" t="n">
        <v>1319</v>
      </c>
      <c r="D1287" s="1" t="s">
        <v>37</v>
      </c>
      <c r="E1287" s="1" t="s">
        <v>35</v>
      </c>
      <c r="F1287" s="1" t="n">
        <v>4</v>
      </c>
      <c r="G1287" s="15" t="n">
        <v>463.52</v>
      </c>
      <c r="H1287" s="16" t="n">
        <v>0.3</v>
      </c>
      <c r="I1287" s="1" t="s">
        <v>29</v>
      </c>
      <c r="J1287" s="1" t="n">
        <v>11</v>
      </c>
      <c r="K1287" s="1" t="n">
        <v>1.7</v>
      </c>
      <c r="L1287" s="15" t="n">
        <v>1297.86</v>
      </c>
      <c r="M1287" s="15" t="n">
        <f aca="false">F1287*G1287</f>
        <v>1854.08</v>
      </c>
      <c r="N1287" s="15" t="n">
        <f aca="false">M1287-L1287</f>
        <v>556.22</v>
      </c>
      <c r="O1287" s="1" t="n">
        <f aca="false">YEAR(B1287)</f>
        <v>2025</v>
      </c>
      <c r="P1287" s="1" t="n">
        <f aca="false">MONTH(B1287)</f>
        <v>7</v>
      </c>
      <c r="Q1287" s="1" t="str">
        <f aca="false">TEXT(B1287,"mmm")</f>
        <v>Jul</v>
      </c>
      <c r="R1287" s="1" t="str">
        <f aca="false">"Q"&amp;ROUNDUP(MONTH(B1287)/3,0)</f>
        <v>Q3</v>
      </c>
    </row>
    <row r="1288" customFormat="false" ht="15" hidden="false" customHeight="true" outlineLevel="0" collapsed="false">
      <c r="A1288" s="1" t="n">
        <v>11287</v>
      </c>
      <c r="B1288" s="14" t="n">
        <v>45848</v>
      </c>
      <c r="C1288" s="1" t="n">
        <v>1737</v>
      </c>
      <c r="D1288" s="1" t="s">
        <v>34</v>
      </c>
      <c r="E1288" s="1" t="s">
        <v>36</v>
      </c>
      <c r="F1288" s="1" t="n">
        <v>6</v>
      </c>
      <c r="G1288" s="15" t="n">
        <v>489.99</v>
      </c>
      <c r="H1288" s="16" t="n">
        <v>0.02</v>
      </c>
      <c r="I1288" s="1" t="s">
        <v>33</v>
      </c>
      <c r="J1288" s="1" t="n">
        <v>4</v>
      </c>
      <c r="K1288" s="1" t="n">
        <v>3.2</v>
      </c>
      <c r="L1288" s="15" t="n">
        <v>2881.14</v>
      </c>
      <c r="M1288" s="15" t="n">
        <f aca="false">F1288*G1288</f>
        <v>2939.94</v>
      </c>
      <c r="N1288" s="15" t="n">
        <f aca="false">M1288-L1288</f>
        <v>58.8000000000002</v>
      </c>
      <c r="O1288" s="1" t="n">
        <f aca="false">YEAR(B1288)</f>
        <v>2025</v>
      </c>
      <c r="P1288" s="1" t="n">
        <f aca="false">MONTH(B1288)</f>
        <v>7</v>
      </c>
      <c r="Q1288" s="1" t="str">
        <f aca="false">TEXT(B1288,"mmm")</f>
        <v>Jul</v>
      </c>
      <c r="R1288" s="1" t="str">
        <f aca="false">"Q"&amp;ROUNDUP(MONTH(B1288)/3,0)</f>
        <v>Q3</v>
      </c>
    </row>
    <row r="1289" customFormat="false" ht="15" hidden="false" customHeight="true" outlineLevel="0" collapsed="false">
      <c r="A1289" s="1" t="n">
        <v>11288</v>
      </c>
      <c r="B1289" s="14" t="n">
        <v>45849</v>
      </c>
      <c r="C1289" s="1" t="n">
        <v>1442</v>
      </c>
      <c r="D1289" s="1" t="s">
        <v>30</v>
      </c>
      <c r="E1289" s="1" t="s">
        <v>36</v>
      </c>
      <c r="F1289" s="1" t="n">
        <v>3</v>
      </c>
      <c r="G1289" s="15" t="n">
        <v>490.76</v>
      </c>
      <c r="H1289" s="16" t="n">
        <v>0.15</v>
      </c>
      <c r="I1289" s="1" t="s">
        <v>33</v>
      </c>
      <c r="J1289" s="1" t="n">
        <v>4</v>
      </c>
      <c r="K1289" s="1" t="n">
        <v>4.8</v>
      </c>
      <c r="L1289" s="15" t="n">
        <v>1251.44</v>
      </c>
      <c r="M1289" s="15" t="n">
        <f aca="false">F1289*G1289</f>
        <v>1472.28</v>
      </c>
      <c r="N1289" s="15" t="n">
        <f aca="false">M1289-L1289</f>
        <v>220.84</v>
      </c>
      <c r="O1289" s="1" t="n">
        <f aca="false">YEAR(B1289)</f>
        <v>2025</v>
      </c>
      <c r="P1289" s="1" t="n">
        <f aca="false">MONTH(B1289)</f>
        <v>7</v>
      </c>
      <c r="Q1289" s="1" t="str">
        <f aca="false">TEXT(B1289,"mmm")</f>
        <v>Jul</v>
      </c>
      <c r="R1289" s="1" t="str">
        <f aca="false">"Q"&amp;ROUNDUP(MONTH(B1289)/3,0)</f>
        <v>Q3</v>
      </c>
    </row>
    <row r="1290" customFormat="false" ht="15" hidden="false" customHeight="true" outlineLevel="0" collapsed="false">
      <c r="A1290" s="1" t="n">
        <v>11289</v>
      </c>
      <c r="B1290" s="14" t="n">
        <v>45850</v>
      </c>
      <c r="C1290" s="1" t="n">
        <v>1951</v>
      </c>
      <c r="D1290" s="1" t="s">
        <v>30</v>
      </c>
      <c r="E1290" s="1" t="s">
        <v>35</v>
      </c>
      <c r="F1290" s="1" t="n">
        <v>2</v>
      </c>
      <c r="G1290" s="15" t="n">
        <v>390.99</v>
      </c>
      <c r="H1290" s="16" t="n">
        <v>0.27</v>
      </c>
      <c r="I1290" s="1" t="s">
        <v>33</v>
      </c>
      <c r="J1290" s="1" t="n">
        <v>8</v>
      </c>
      <c r="K1290" s="1" t="n">
        <v>4.6</v>
      </c>
      <c r="L1290" s="15" t="n">
        <v>570.85</v>
      </c>
      <c r="M1290" s="15" t="n">
        <f aca="false">F1290*G1290</f>
        <v>781.98</v>
      </c>
      <c r="N1290" s="15" t="n">
        <f aca="false">M1290-L1290</f>
        <v>211.13</v>
      </c>
      <c r="O1290" s="1" t="n">
        <f aca="false">YEAR(B1290)</f>
        <v>2025</v>
      </c>
      <c r="P1290" s="1" t="n">
        <f aca="false">MONTH(B1290)</f>
        <v>7</v>
      </c>
      <c r="Q1290" s="1" t="str">
        <f aca="false">TEXT(B1290,"mmm")</f>
        <v>Jul</v>
      </c>
      <c r="R1290" s="1" t="str">
        <f aca="false">"Q"&amp;ROUNDUP(MONTH(B1290)/3,0)</f>
        <v>Q3</v>
      </c>
    </row>
    <row r="1291" customFormat="false" ht="15" hidden="false" customHeight="true" outlineLevel="0" collapsed="false">
      <c r="A1291" s="1" t="n">
        <v>11290</v>
      </c>
      <c r="B1291" s="14" t="n">
        <v>45851</v>
      </c>
      <c r="C1291" s="1" t="n">
        <v>1314</v>
      </c>
      <c r="D1291" s="1" t="s">
        <v>30</v>
      </c>
      <c r="E1291" s="1" t="s">
        <v>35</v>
      </c>
      <c r="F1291" s="1" t="n">
        <v>4</v>
      </c>
      <c r="G1291" s="15" t="n">
        <v>282.94</v>
      </c>
      <c r="H1291" s="16" t="n">
        <v>0.33</v>
      </c>
      <c r="I1291" s="1" t="s">
        <v>31</v>
      </c>
      <c r="J1291" s="1" t="n">
        <v>1</v>
      </c>
      <c r="K1291" s="1" t="n">
        <v>1.3</v>
      </c>
      <c r="L1291" s="15" t="n">
        <v>758.28</v>
      </c>
      <c r="M1291" s="15" t="n">
        <f aca="false">F1291*G1291</f>
        <v>1131.76</v>
      </c>
      <c r="N1291" s="15" t="n">
        <f aca="false">M1291-L1291</f>
        <v>373.48</v>
      </c>
      <c r="O1291" s="1" t="n">
        <f aca="false">YEAR(B1291)</f>
        <v>2025</v>
      </c>
      <c r="P1291" s="1" t="n">
        <f aca="false">MONTH(B1291)</f>
        <v>7</v>
      </c>
      <c r="Q1291" s="1" t="str">
        <f aca="false">TEXT(B1291,"mmm")</f>
        <v>Jul</v>
      </c>
      <c r="R1291" s="1" t="str">
        <f aca="false">"Q"&amp;ROUNDUP(MONTH(B1291)/3,0)</f>
        <v>Q3</v>
      </c>
    </row>
    <row r="1292" customFormat="false" ht="15" hidden="false" customHeight="true" outlineLevel="0" collapsed="false">
      <c r="A1292" s="1" t="n">
        <v>11291</v>
      </c>
      <c r="B1292" s="14" t="n">
        <v>45852</v>
      </c>
      <c r="C1292" s="1" t="n">
        <v>1876</v>
      </c>
      <c r="D1292" s="1" t="s">
        <v>37</v>
      </c>
      <c r="E1292" s="1" t="s">
        <v>36</v>
      </c>
      <c r="F1292" s="1" t="n">
        <v>5</v>
      </c>
      <c r="G1292" s="15" t="n">
        <v>520.84</v>
      </c>
      <c r="H1292" s="16" t="n">
        <v>0.34</v>
      </c>
      <c r="I1292" s="1" t="s">
        <v>33</v>
      </c>
      <c r="J1292" s="1" t="n">
        <v>1</v>
      </c>
      <c r="K1292" s="1" t="n">
        <v>2.5</v>
      </c>
      <c r="L1292" s="15" t="n">
        <v>1718.77</v>
      </c>
      <c r="M1292" s="15" t="n">
        <f aca="false">F1292*G1292</f>
        <v>2604.2</v>
      </c>
      <c r="N1292" s="15" t="n">
        <f aca="false">M1292-L1292</f>
        <v>885.43</v>
      </c>
      <c r="O1292" s="1" t="n">
        <f aca="false">YEAR(B1292)</f>
        <v>2025</v>
      </c>
      <c r="P1292" s="1" t="n">
        <f aca="false">MONTH(B1292)</f>
        <v>7</v>
      </c>
      <c r="Q1292" s="1" t="str">
        <f aca="false">TEXT(B1292,"mmm")</f>
        <v>Jul</v>
      </c>
      <c r="R1292" s="1" t="str">
        <f aca="false">"Q"&amp;ROUNDUP(MONTH(B1292)/3,0)</f>
        <v>Q3</v>
      </c>
    </row>
    <row r="1293" customFormat="false" ht="15" hidden="false" customHeight="true" outlineLevel="0" collapsed="false">
      <c r="A1293" s="1" t="n">
        <v>11292</v>
      </c>
      <c r="B1293" s="14" t="n">
        <v>45853</v>
      </c>
      <c r="C1293" s="1" t="n">
        <v>1965</v>
      </c>
      <c r="D1293" s="1" t="s">
        <v>37</v>
      </c>
      <c r="E1293" s="1" t="s">
        <v>35</v>
      </c>
      <c r="F1293" s="1" t="n">
        <v>3</v>
      </c>
      <c r="G1293" s="15" t="n">
        <v>556.71</v>
      </c>
      <c r="H1293" s="16" t="n">
        <v>0.15</v>
      </c>
      <c r="I1293" s="1" t="s">
        <v>31</v>
      </c>
      <c r="J1293" s="1" t="n">
        <v>8</v>
      </c>
      <c r="K1293" s="1" t="n">
        <v>2.1</v>
      </c>
      <c r="L1293" s="15" t="n">
        <v>1419.61</v>
      </c>
      <c r="M1293" s="15" t="n">
        <f aca="false">F1293*G1293</f>
        <v>1670.13</v>
      </c>
      <c r="N1293" s="15" t="n">
        <f aca="false">M1293-L1293</f>
        <v>250.52</v>
      </c>
      <c r="O1293" s="1" t="n">
        <f aca="false">YEAR(B1293)</f>
        <v>2025</v>
      </c>
      <c r="P1293" s="1" t="n">
        <f aca="false">MONTH(B1293)</f>
        <v>7</v>
      </c>
      <c r="Q1293" s="1" t="str">
        <f aca="false">TEXT(B1293,"mmm")</f>
        <v>Jul</v>
      </c>
      <c r="R1293" s="1" t="str">
        <f aca="false">"Q"&amp;ROUNDUP(MONTH(B1293)/3,0)</f>
        <v>Q3</v>
      </c>
    </row>
    <row r="1294" customFormat="false" ht="15" hidden="false" customHeight="true" outlineLevel="0" collapsed="false">
      <c r="A1294" s="1" t="n">
        <v>11293</v>
      </c>
      <c r="B1294" s="14" t="n">
        <v>45854</v>
      </c>
      <c r="C1294" s="1" t="n">
        <v>1740</v>
      </c>
      <c r="D1294" s="1" t="s">
        <v>30</v>
      </c>
      <c r="E1294" s="1" t="s">
        <v>35</v>
      </c>
      <c r="F1294" s="1" t="n">
        <v>2</v>
      </c>
      <c r="G1294" s="15" t="n">
        <v>28.93</v>
      </c>
      <c r="H1294" s="16" t="n">
        <v>0.33</v>
      </c>
      <c r="I1294" s="1" t="s">
        <v>33</v>
      </c>
      <c r="J1294" s="1" t="n">
        <v>2</v>
      </c>
      <c r="K1294" s="1" t="n">
        <v>2.9</v>
      </c>
      <c r="L1294" s="15" t="n">
        <v>38.77</v>
      </c>
      <c r="M1294" s="15" t="n">
        <f aca="false">F1294*G1294</f>
        <v>57.86</v>
      </c>
      <c r="N1294" s="15" t="n">
        <f aca="false">M1294-L1294</f>
        <v>19.09</v>
      </c>
      <c r="O1294" s="1" t="n">
        <f aca="false">YEAR(B1294)</f>
        <v>2025</v>
      </c>
      <c r="P1294" s="1" t="n">
        <f aca="false">MONTH(B1294)</f>
        <v>7</v>
      </c>
      <c r="Q1294" s="1" t="str">
        <f aca="false">TEXT(B1294,"mmm")</f>
        <v>Jul</v>
      </c>
      <c r="R1294" s="1" t="str">
        <f aca="false">"Q"&amp;ROUNDUP(MONTH(B1294)/3,0)</f>
        <v>Q3</v>
      </c>
    </row>
    <row r="1295" customFormat="false" ht="15" hidden="false" customHeight="true" outlineLevel="0" collapsed="false">
      <c r="A1295" s="1" t="n">
        <v>11294</v>
      </c>
      <c r="B1295" s="14" t="n">
        <v>45855</v>
      </c>
      <c r="C1295" s="1" t="n">
        <v>1376</v>
      </c>
      <c r="D1295" s="1" t="s">
        <v>30</v>
      </c>
      <c r="E1295" s="1" t="s">
        <v>28</v>
      </c>
      <c r="F1295" s="1" t="n">
        <v>1</v>
      </c>
      <c r="G1295" s="15" t="n">
        <v>45.16</v>
      </c>
      <c r="H1295" s="16" t="n">
        <v>0.01</v>
      </c>
      <c r="I1295" s="1" t="s">
        <v>33</v>
      </c>
      <c r="J1295" s="1" t="n">
        <v>10</v>
      </c>
      <c r="K1295" s="1" t="n">
        <v>4.3</v>
      </c>
      <c r="L1295" s="15" t="n">
        <v>44.71</v>
      </c>
      <c r="M1295" s="15" t="n">
        <f aca="false">F1295*G1295</f>
        <v>45.16</v>
      </c>
      <c r="N1295" s="15" t="n">
        <f aca="false">M1295-L1295</f>
        <v>0.449999999999996</v>
      </c>
      <c r="O1295" s="1" t="n">
        <f aca="false">YEAR(B1295)</f>
        <v>2025</v>
      </c>
      <c r="P1295" s="1" t="n">
        <f aca="false">MONTH(B1295)</f>
        <v>7</v>
      </c>
      <c r="Q1295" s="1" t="str">
        <f aca="false">TEXT(B1295,"mmm")</f>
        <v>Jul</v>
      </c>
      <c r="R1295" s="1" t="str">
        <f aca="false">"Q"&amp;ROUNDUP(MONTH(B1295)/3,0)</f>
        <v>Q3</v>
      </c>
    </row>
    <row r="1296" customFormat="false" ht="15" hidden="false" customHeight="true" outlineLevel="0" collapsed="false">
      <c r="A1296" s="1" t="n">
        <v>11295</v>
      </c>
      <c r="B1296" s="14" t="n">
        <v>45856</v>
      </c>
      <c r="C1296" s="1" t="n">
        <v>1288</v>
      </c>
      <c r="D1296" s="1" t="s">
        <v>34</v>
      </c>
      <c r="E1296" s="1" t="s">
        <v>35</v>
      </c>
      <c r="F1296" s="1" t="n">
        <v>3</v>
      </c>
      <c r="G1296" s="15" t="n">
        <v>575.86</v>
      </c>
      <c r="H1296" s="16" t="n">
        <v>0.26</v>
      </c>
      <c r="I1296" s="1" t="s">
        <v>29</v>
      </c>
      <c r="J1296" s="1" t="n">
        <v>6</v>
      </c>
      <c r="K1296" s="1" t="n">
        <v>4</v>
      </c>
      <c r="L1296" s="15" t="n">
        <v>1278.41</v>
      </c>
      <c r="M1296" s="15" t="n">
        <f aca="false">F1296*G1296</f>
        <v>1727.58</v>
      </c>
      <c r="N1296" s="15" t="n">
        <f aca="false">M1296-L1296</f>
        <v>449.17</v>
      </c>
      <c r="O1296" s="1" t="n">
        <f aca="false">YEAR(B1296)</f>
        <v>2025</v>
      </c>
      <c r="P1296" s="1" t="n">
        <f aca="false">MONTH(B1296)</f>
        <v>7</v>
      </c>
      <c r="Q1296" s="1" t="str">
        <f aca="false">TEXT(B1296,"mmm")</f>
        <v>Jul</v>
      </c>
      <c r="R1296" s="1" t="str">
        <f aca="false">"Q"&amp;ROUNDUP(MONTH(B1296)/3,0)</f>
        <v>Q3</v>
      </c>
    </row>
    <row r="1297" customFormat="false" ht="15" hidden="false" customHeight="true" outlineLevel="0" collapsed="false">
      <c r="A1297" s="1" t="n">
        <v>11296</v>
      </c>
      <c r="B1297" s="14" t="n">
        <v>45857</v>
      </c>
      <c r="C1297" s="1" t="n">
        <v>1436</v>
      </c>
      <c r="D1297" s="1" t="s">
        <v>34</v>
      </c>
      <c r="E1297" s="1" t="s">
        <v>32</v>
      </c>
      <c r="F1297" s="1" t="n">
        <v>3</v>
      </c>
      <c r="G1297" s="15" t="n">
        <v>177.14</v>
      </c>
      <c r="H1297" s="16" t="n">
        <v>0.22</v>
      </c>
      <c r="I1297" s="1" t="s">
        <v>33</v>
      </c>
      <c r="J1297" s="1" t="n">
        <v>2</v>
      </c>
      <c r="K1297" s="1" t="n">
        <v>2.4</v>
      </c>
      <c r="L1297" s="15" t="n">
        <v>414.51</v>
      </c>
      <c r="M1297" s="15" t="n">
        <f aca="false">F1297*G1297</f>
        <v>531.42</v>
      </c>
      <c r="N1297" s="15" t="n">
        <f aca="false">M1297-L1297</f>
        <v>116.91</v>
      </c>
      <c r="O1297" s="1" t="n">
        <f aca="false">YEAR(B1297)</f>
        <v>2025</v>
      </c>
      <c r="P1297" s="1" t="n">
        <f aca="false">MONTH(B1297)</f>
        <v>7</v>
      </c>
      <c r="Q1297" s="1" t="str">
        <f aca="false">TEXT(B1297,"mmm")</f>
        <v>Jul</v>
      </c>
      <c r="R1297" s="1" t="str">
        <f aca="false">"Q"&amp;ROUNDUP(MONTH(B1297)/3,0)</f>
        <v>Q3</v>
      </c>
    </row>
    <row r="1298" customFormat="false" ht="15" hidden="false" customHeight="true" outlineLevel="0" collapsed="false">
      <c r="A1298" s="1" t="n">
        <v>11297</v>
      </c>
      <c r="B1298" s="14" t="n">
        <v>45858</v>
      </c>
      <c r="C1298" s="1" t="n">
        <v>1661</v>
      </c>
      <c r="D1298" s="1" t="s">
        <v>30</v>
      </c>
      <c r="E1298" s="1" t="s">
        <v>28</v>
      </c>
      <c r="F1298" s="1" t="n">
        <v>6</v>
      </c>
      <c r="G1298" s="15" t="n">
        <v>525.92</v>
      </c>
      <c r="H1298" s="16" t="n">
        <v>0.09</v>
      </c>
      <c r="I1298" s="1" t="s">
        <v>31</v>
      </c>
      <c r="J1298" s="1" t="n">
        <v>5</v>
      </c>
      <c r="K1298" s="1" t="n">
        <v>2.5</v>
      </c>
      <c r="L1298" s="15" t="n">
        <v>2871.52</v>
      </c>
      <c r="M1298" s="15" t="n">
        <f aca="false">F1298*G1298</f>
        <v>3155.52</v>
      </c>
      <c r="N1298" s="15" t="n">
        <f aca="false">M1298-L1298</f>
        <v>284</v>
      </c>
      <c r="O1298" s="1" t="n">
        <f aca="false">YEAR(B1298)</f>
        <v>2025</v>
      </c>
      <c r="P1298" s="1" t="n">
        <f aca="false">MONTH(B1298)</f>
        <v>7</v>
      </c>
      <c r="Q1298" s="1" t="str">
        <f aca="false">TEXT(B1298,"mmm")</f>
        <v>Jul</v>
      </c>
      <c r="R1298" s="1" t="str">
        <f aca="false">"Q"&amp;ROUNDUP(MONTH(B1298)/3,0)</f>
        <v>Q3</v>
      </c>
    </row>
    <row r="1299" customFormat="false" ht="15" hidden="false" customHeight="true" outlineLevel="0" collapsed="false">
      <c r="A1299" s="1" t="n">
        <v>11298</v>
      </c>
      <c r="B1299" s="14" t="n">
        <v>45859</v>
      </c>
      <c r="C1299" s="1" t="n">
        <v>1276</v>
      </c>
      <c r="D1299" s="1" t="s">
        <v>30</v>
      </c>
      <c r="E1299" s="1" t="s">
        <v>32</v>
      </c>
      <c r="F1299" s="1" t="n">
        <v>5</v>
      </c>
      <c r="G1299" s="15" t="n">
        <v>242.45</v>
      </c>
      <c r="H1299" s="16" t="n">
        <v>0.18</v>
      </c>
      <c r="I1299" s="1" t="s">
        <v>29</v>
      </c>
      <c r="J1299" s="1" t="n">
        <v>3</v>
      </c>
      <c r="K1299" s="1" t="n">
        <v>3.6</v>
      </c>
      <c r="L1299" s="15" t="n">
        <v>994.04</v>
      </c>
      <c r="M1299" s="15" t="n">
        <f aca="false">F1299*G1299</f>
        <v>1212.25</v>
      </c>
      <c r="N1299" s="15" t="n">
        <f aca="false">M1299-L1299</f>
        <v>218.21</v>
      </c>
      <c r="O1299" s="1" t="n">
        <f aca="false">YEAR(B1299)</f>
        <v>2025</v>
      </c>
      <c r="P1299" s="1" t="n">
        <f aca="false">MONTH(B1299)</f>
        <v>7</v>
      </c>
      <c r="Q1299" s="1" t="str">
        <f aca="false">TEXT(B1299,"mmm")</f>
        <v>Jul</v>
      </c>
      <c r="R1299" s="1" t="str">
        <f aca="false">"Q"&amp;ROUNDUP(MONTH(B1299)/3,0)</f>
        <v>Q3</v>
      </c>
    </row>
    <row r="1300" customFormat="false" ht="15" hidden="false" customHeight="true" outlineLevel="0" collapsed="false">
      <c r="A1300" s="1" t="n">
        <v>11299</v>
      </c>
      <c r="B1300" s="14" t="n">
        <v>45860</v>
      </c>
      <c r="C1300" s="1" t="n">
        <v>1709</v>
      </c>
      <c r="D1300" s="1" t="s">
        <v>37</v>
      </c>
      <c r="E1300" s="1" t="s">
        <v>35</v>
      </c>
      <c r="F1300" s="1" t="n">
        <v>6</v>
      </c>
      <c r="G1300" s="15" t="n">
        <v>84.67</v>
      </c>
      <c r="H1300" s="16" t="n">
        <v>0.05</v>
      </c>
      <c r="I1300" s="1" t="s">
        <v>33</v>
      </c>
      <c r="J1300" s="1" t="n">
        <v>7</v>
      </c>
      <c r="K1300" s="1" t="n">
        <v>1.8</v>
      </c>
      <c r="L1300" s="15" t="n">
        <v>482.62</v>
      </c>
      <c r="M1300" s="15" t="n">
        <f aca="false">F1300*G1300</f>
        <v>508.02</v>
      </c>
      <c r="N1300" s="15" t="n">
        <f aca="false">M1300-L1300</f>
        <v>25.4</v>
      </c>
      <c r="O1300" s="1" t="n">
        <f aca="false">YEAR(B1300)</f>
        <v>2025</v>
      </c>
      <c r="P1300" s="1" t="n">
        <f aca="false">MONTH(B1300)</f>
        <v>7</v>
      </c>
      <c r="Q1300" s="1" t="str">
        <f aca="false">TEXT(B1300,"mmm")</f>
        <v>Jul</v>
      </c>
      <c r="R1300" s="1" t="str">
        <f aca="false">"Q"&amp;ROUNDUP(MONTH(B1300)/3,0)</f>
        <v>Q3</v>
      </c>
    </row>
    <row r="1301" customFormat="false" ht="15" hidden="false" customHeight="true" outlineLevel="0" collapsed="false">
      <c r="A1301" s="1" t="n">
        <v>11300</v>
      </c>
      <c r="B1301" s="14" t="n">
        <v>45861</v>
      </c>
      <c r="C1301" s="1" t="n">
        <v>1581</v>
      </c>
      <c r="D1301" s="1" t="s">
        <v>37</v>
      </c>
      <c r="E1301" s="1" t="s">
        <v>36</v>
      </c>
      <c r="F1301" s="1" t="n">
        <v>7</v>
      </c>
      <c r="G1301" s="15" t="n">
        <v>62.06</v>
      </c>
      <c r="H1301" s="16" t="n">
        <v>0.31</v>
      </c>
      <c r="I1301" s="1" t="s">
        <v>33</v>
      </c>
      <c r="J1301" s="1" t="n">
        <v>9</v>
      </c>
      <c r="K1301" s="1" t="n">
        <v>1.4</v>
      </c>
      <c r="L1301" s="15" t="n">
        <v>299.75</v>
      </c>
      <c r="M1301" s="15" t="n">
        <f aca="false">F1301*G1301</f>
        <v>434.42</v>
      </c>
      <c r="N1301" s="15" t="n">
        <f aca="false">M1301-L1301</f>
        <v>134.67</v>
      </c>
      <c r="O1301" s="1" t="n">
        <f aca="false">YEAR(B1301)</f>
        <v>2025</v>
      </c>
      <c r="P1301" s="1" t="n">
        <f aca="false">MONTH(B1301)</f>
        <v>7</v>
      </c>
      <c r="Q1301" s="1" t="str">
        <f aca="false">TEXT(B1301,"mmm")</f>
        <v>Jul</v>
      </c>
      <c r="R1301" s="1" t="str">
        <f aca="false">"Q"&amp;ROUNDUP(MONTH(B1301)/3,0)</f>
        <v>Q3</v>
      </c>
    </row>
    <row r="1302" customFormat="false" ht="15" hidden="false" customHeight="true" outlineLevel="0" collapsed="false">
      <c r="A1302" s="1" t="n">
        <v>11301</v>
      </c>
      <c r="B1302" s="14" t="n">
        <v>45862</v>
      </c>
      <c r="C1302" s="1" t="n">
        <v>1502</v>
      </c>
      <c r="D1302" s="1" t="s">
        <v>34</v>
      </c>
      <c r="E1302" s="1" t="s">
        <v>28</v>
      </c>
      <c r="F1302" s="1" t="n">
        <v>3</v>
      </c>
      <c r="G1302" s="15" t="n">
        <v>106.56</v>
      </c>
      <c r="H1302" s="16" t="n">
        <v>0.13</v>
      </c>
      <c r="I1302" s="1" t="s">
        <v>31</v>
      </c>
      <c r="J1302" s="1" t="n">
        <v>2</v>
      </c>
      <c r="K1302" s="1" t="n">
        <v>2</v>
      </c>
      <c r="L1302" s="15" t="n">
        <v>278.12</v>
      </c>
      <c r="M1302" s="15" t="n">
        <f aca="false">F1302*G1302</f>
        <v>319.68</v>
      </c>
      <c r="N1302" s="15" t="n">
        <f aca="false">M1302-L1302</f>
        <v>41.56</v>
      </c>
      <c r="O1302" s="1" t="n">
        <f aca="false">YEAR(B1302)</f>
        <v>2025</v>
      </c>
      <c r="P1302" s="1" t="n">
        <f aca="false">MONTH(B1302)</f>
        <v>7</v>
      </c>
      <c r="Q1302" s="1" t="str">
        <f aca="false">TEXT(B1302,"mmm")</f>
        <v>Jul</v>
      </c>
      <c r="R1302" s="1" t="str">
        <f aca="false">"Q"&amp;ROUNDUP(MONTH(B1302)/3,0)</f>
        <v>Q3</v>
      </c>
    </row>
    <row r="1303" customFormat="false" ht="15" hidden="false" customHeight="true" outlineLevel="0" collapsed="false">
      <c r="A1303" s="1" t="n">
        <v>11302</v>
      </c>
      <c r="B1303" s="14" t="n">
        <v>45863</v>
      </c>
      <c r="C1303" s="1" t="n">
        <v>1623</v>
      </c>
      <c r="D1303" s="1" t="s">
        <v>30</v>
      </c>
      <c r="E1303" s="1" t="s">
        <v>36</v>
      </c>
      <c r="F1303" s="1" t="n">
        <v>3</v>
      </c>
      <c r="G1303" s="15" t="n">
        <v>161.19</v>
      </c>
      <c r="H1303" s="16" t="n">
        <v>0.22</v>
      </c>
      <c r="I1303" s="1" t="s">
        <v>29</v>
      </c>
      <c r="J1303" s="1" t="n">
        <v>7</v>
      </c>
      <c r="K1303" s="1" t="n">
        <v>1.5</v>
      </c>
      <c r="L1303" s="15" t="n">
        <v>377.18</v>
      </c>
      <c r="M1303" s="15" t="n">
        <f aca="false">F1303*G1303</f>
        <v>483.57</v>
      </c>
      <c r="N1303" s="15" t="n">
        <f aca="false">M1303-L1303</f>
        <v>106.39</v>
      </c>
      <c r="O1303" s="1" t="n">
        <f aca="false">YEAR(B1303)</f>
        <v>2025</v>
      </c>
      <c r="P1303" s="1" t="n">
        <f aca="false">MONTH(B1303)</f>
        <v>7</v>
      </c>
      <c r="Q1303" s="1" t="str">
        <f aca="false">TEXT(B1303,"mmm")</f>
        <v>Jul</v>
      </c>
      <c r="R1303" s="1" t="str">
        <f aca="false">"Q"&amp;ROUNDUP(MONTH(B1303)/3,0)</f>
        <v>Q3</v>
      </c>
    </row>
    <row r="1304" customFormat="false" ht="15" hidden="false" customHeight="true" outlineLevel="0" collapsed="false">
      <c r="A1304" s="1" t="n">
        <v>11303</v>
      </c>
      <c r="B1304" s="14" t="n">
        <v>45864</v>
      </c>
      <c r="C1304" s="1" t="n">
        <v>1515</v>
      </c>
      <c r="D1304" s="1" t="s">
        <v>34</v>
      </c>
      <c r="E1304" s="1" t="s">
        <v>28</v>
      </c>
      <c r="F1304" s="1" t="n">
        <v>7</v>
      </c>
      <c r="G1304" s="15" t="n">
        <v>300.78</v>
      </c>
      <c r="H1304" s="16" t="n">
        <v>0.06</v>
      </c>
      <c r="I1304" s="1" t="s">
        <v>29</v>
      </c>
      <c r="J1304" s="1" t="n">
        <v>8</v>
      </c>
      <c r="K1304" s="1" t="n">
        <v>2.4</v>
      </c>
      <c r="L1304" s="15" t="n">
        <v>1979.13</v>
      </c>
      <c r="M1304" s="15" t="n">
        <f aca="false">F1304*G1304</f>
        <v>2105.46</v>
      </c>
      <c r="N1304" s="15" t="n">
        <f aca="false">M1304-L1304</f>
        <v>126.33</v>
      </c>
      <c r="O1304" s="1" t="n">
        <f aca="false">YEAR(B1304)</f>
        <v>2025</v>
      </c>
      <c r="P1304" s="1" t="n">
        <f aca="false">MONTH(B1304)</f>
        <v>7</v>
      </c>
      <c r="Q1304" s="1" t="str">
        <f aca="false">TEXT(B1304,"mmm")</f>
        <v>Jul</v>
      </c>
      <c r="R1304" s="1" t="str">
        <f aca="false">"Q"&amp;ROUNDUP(MONTH(B1304)/3,0)</f>
        <v>Q3</v>
      </c>
    </row>
    <row r="1305" customFormat="false" ht="15" hidden="false" customHeight="true" outlineLevel="0" collapsed="false">
      <c r="A1305" s="1" t="n">
        <v>11304</v>
      </c>
      <c r="B1305" s="14" t="n">
        <v>45865</v>
      </c>
      <c r="C1305" s="1" t="n">
        <v>1349</v>
      </c>
      <c r="D1305" s="1" t="s">
        <v>34</v>
      </c>
      <c r="E1305" s="1" t="s">
        <v>36</v>
      </c>
      <c r="F1305" s="1" t="n">
        <v>5</v>
      </c>
      <c r="G1305" s="15" t="n">
        <v>425.38</v>
      </c>
      <c r="H1305" s="16" t="n">
        <v>0.07</v>
      </c>
      <c r="I1305" s="1" t="s">
        <v>33</v>
      </c>
      <c r="J1305" s="1" t="n">
        <v>10</v>
      </c>
      <c r="K1305" s="1" t="n">
        <v>4.8</v>
      </c>
      <c r="L1305" s="15" t="n">
        <v>1978.02</v>
      </c>
      <c r="M1305" s="15" t="n">
        <f aca="false">F1305*G1305</f>
        <v>2126.9</v>
      </c>
      <c r="N1305" s="15" t="n">
        <f aca="false">M1305-L1305</f>
        <v>148.88</v>
      </c>
      <c r="O1305" s="1" t="n">
        <f aca="false">YEAR(B1305)</f>
        <v>2025</v>
      </c>
      <c r="P1305" s="1" t="n">
        <f aca="false">MONTH(B1305)</f>
        <v>7</v>
      </c>
      <c r="Q1305" s="1" t="str">
        <f aca="false">TEXT(B1305,"mmm")</f>
        <v>Jul</v>
      </c>
      <c r="R1305" s="1" t="str">
        <f aca="false">"Q"&amp;ROUNDUP(MONTH(B1305)/3,0)</f>
        <v>Q3</v>
      </c>
    </row>
    <row r="1306" customFormat="false" ht="15" hidden="false" customHeight="true" outlineLevel="0" collapsed="false">
      <c r="A1306" s="1" t="n">
        <v>11305</v>
      </c>
      <c r="B1306" s="14" t="n">
        <v>45866</v>
      </c>
      <c r="C1306" s="1" t="n">
        <v>1842</v>
      </c>
      <c r="D1306" s="1" t="s">
        <v>37</v>
      </c>
      <c r="E1306" s="1" t="s">
        <v>28</v>
      </c>
      <c r="F1306" s="1" t="n">
        <v>5</v>
      </c>
      <c r="G1306" s="15" t="n">
        <v>592.04</v>
      </c>
      <c r="H1306" s="16" t="n">
        <v>0.35</v>
      </c>
      <c r="I1306" s="1" t="s">
        <v>29</v>
      </c>
      <c r="J1306" s="1" t="n">
        <v>8</v>
      </c>
      <c r="K1306" s="1" t="n">
        <v>1.5</v>
      </c>
      <c r="L1306" s="15" t="n">
        <v>1924.13</v>
      </c>
      <c r="M1306" s="15" t="n">
        <f aca="false">F1306*G1306</f>
        <v>2960.2</v>
      </c>
      <c r="N1306" s="15" t="n">
        <f aca="false">M1306-L1306</f>
        <v>1036.07</v>
      </c>
      <c r="O1306" s="1" t="n">
        <f aca="false">YEAR(B1306)</f>
        <v>2025</v>
      </c>
      <c r="P1306" s="1" t="n">
        <f aca="false">MONTH(B1306)</f>
        <v>7</v>
      </c>
      <c r="Q1306" s="1" t="str">
        <f aca="false">TEXT(B1306,"mmm")</f>
        <v>Jul</v>
      </c>
      <c r="R1306" s="1" t="str">
        <f aca="false">"Q"&amp;ROUNDUP(MONTH(B1306)/3,0)</f>
        <v>Q3</v>
      </c>
    </row>
    <row r="1307" customFormat="false" ht="15" hidden="false" customHeight="true" outlineLevel="0" collapsed="false">
      <c r="A1307" s="1" t="n">
        <v>11306</v>
      </c>
      <c r="B1307" s="14" t="n">
        <v>45867</v>
      </c>
      <c r="C1307" s="1" t="n">
        <v>1445</v>
      </c>
      <c r="D1307" s="1" t="s">
        <v>34</v>
      </c>
      <c r="E1307" s="1" t="s">
        <v>28</v>
      </c>
      <c r="F1307" s="1" t="n">
        <v>4</v>
      </c>
      <c r="G1307" s="15" t="n">
        <v>273.28</v>
      </c>
      <c r="H1307" s="16" t="n">
        <v>0.26</v>
      </c>
      <c r="I1307" s="1" t="s">
        <v>31</v>
      </c>
      <c r="J1307" s="1" t="n">
        <v>7</v>
      </c>
      <c r="K1307" s="1" t="n">
        <v>4.3</v>
      </c>
      <c r="L1307" s="15" t="n">
        <v>808.91</v>
      </c>
      <c r="M1307" s="15" t="n">
        <f aca="false">F1307*G1307</f>
        <v>1093.12</v>
      </c>
      <c r="N1307" s="15" t="n">
        <f aca="false">M1307-L1307</f>
        <v>284.21</v>
      </c>
      <c r="O1307" s="1" t="n">
        <f aca="false">YEAR(B1307)</f>
        <v>2025</v>
      </c>
      <c r="P1307" s="1" t="n">
        <f aca="false">MONTH(B1307)</f>
        <v>7</v>
      </c>
      <c r="Q1307" s="1" t="str">
        <f aca="false">TEXT(B1307,"mmm")</f>
        <v>Jul</v>
      </c>
      <c r="R1307" s="1" t="str">
        <f aca="false">"Q"&amp;ROUNDUP(MONTH(B1307)/3,0)</f>
        <v>Q3</v>
      </c>
    </row>
    <row r="1308" customFormat="false" ht="15" hidden="false" customHeight="true" outlineLevel="0" collapsed="false">
      <c r="A1308" s="1" t="n">
        <v>11307</v>
      </c>
      <c r="B1308" s="14" t="n">
        <v>45868</v>
      </c>
      <c r="C1308" s="1" t="n">
        <v>1829</v>
      </c>
      <c r="D1308" s="1" t="s">
        <v>30</v>
      </c>
      <c r="E1308" s="1" t="s">
        <v>32</v>
      </c>
      <c r="F1308" s="1" t="n">
        <v>2</v>
      </c>
      <c r="G1308" s="15" t="n">
        <v>318.14</v>
      </c>
      <c r="H1308" s="16" t="n">
        <v>0.34</v>
      </c>
      <c r="I1308" s="1" t="s">
        <v>29</v>
      </c>
      <c r="J1308" s="1" t="n">
        <v>4</v>
      </c>
      <c r="K1308" s="1" t="n">
        <v>3.1</v>
      </c>
      <c r="L1308" s="15" t="n">
        <v>419.94</v>
      </c>
      <c r="M1308" s="15" t="n">
        <f aca="false">F1308*G1308</f>
        <v>636.28</v>
      </c>
      <c r="N1308" s="15" t="n">
        <f aca="false">M1308-L1308</f>
        <v>216.34</v>
      </c>
      <c r="O1308" s="1" t="n">
        <f aca="false">YEAR(B1308)</f>
        <v>2025</v>
      </c>
      <c r="P1308" s="1" t="n">
        <f aca="false">MONTH(B1308)</f>
        <v>7</v>
      </c>
      <c r="Q1308" s="1" t="str">
        <f aca="false">TEXT(B1308,"mmm")</f>
        <v>Jul</v>
      </c>
      <c r="R1308" s="1" t="str">
        <f aca="false">"Q"&amp;ROUNDUP(MONTH(B1308)/3,0)</f>
        <v>Q3</v>
      </c>
    </row>
    <row r="1309" customFormat="false" ht="15" hidden="false" customHeight="true" outlineLevel="0" collapsed="false">
      <c r="A1309" s="1" t="n">
        <v>11308</v>
      </c>
      <c r="B1309" s="14" t="n">
        <v>45869</v>
      </c>
      <c r="C1309" s="1" t="n">
        <v>1349</v>
      </c>
      <c r="D1309" s="1" t="s">
        <v>34</v>
      </c>
      <c r="E1309" s="1" t="s">
        <v>36</v>
      </c>
      <c r="F1309" s="1" t="n">
        <v>2</v>
      </c>
      <c r="G1309" s="15" t="n">
        <v>320.26</v>
      </c>
      <c r="H1309" s="16" t="n">
        <v>0.1</v>
      </c>
      <c r="I1309" s="1" t="s">
        <v>33</v>
      </c>
      <c r="J1309" s="1" t="n">
        <v>4</v>
      </c>
      <c r="K1309" s="1" t="n">
        <v>3.5</v>
      </c>
      <c r="L1309" s="15" t="n">
        <v>576.47</v>
      </c>
      <c r="M1309" s="15" t="n">
        <f aca="false">F1309*G1309</f>
        <v>640.52</v>
      </c>
      <c r="N1309" s="15" t="n">
        <f aca="false">M1309-L1309</f>
        <v>64.05</v>
      </c>
      <c r="O1309" s="1" t="n">
        <f aca="false">YEAR(B1309)</f>
        <v>2025</v>
      </c>
      <c r="P1309" s="1" t="n">
        <f aca="false">MONTH(B1309)</f>
        <v>7</v>
      </c>
      <c r="Q1309" s="1" t="str">
        <f aca="false">TEXT(B1309,"mmm")</f>
        <v>Jul</v>
      </c>
      <c r="R1309" s="1" t="str">
        <f aca="false">"Q"&amp;ROUNDUP(MONTH(B1309)/3,0)</f>
        <v>Q3</v>
      </c>
    </row>
    <row r="1310" customFormat="false" ht="15" hidden="false" customHeight="true" outlineLevel="0" collapsed="false">
      <c r="A1310" s="1" t="n">
        <v>11309</v>
      </c>
      <c r="B1310" s="14" t="n">
        <v>45870</v>
      </c>
      <c r="C1310" s="1" t="n">
        <v>1606</v>
      </c>
      <c r="D1310" s="1" t="s">
        <v>27</v>
      </c>
      <c r="E1310" s="1" t="s">
        <v>32</v>
      </c>
      <c r="F1310" s="1" t="n">
        <v>4</v>
      </c>
      <c r="G1310" s="15" t="n">
        <v>330.57</v>
      </c>
      <c r="H1310" s="16" t="n">
        <v>0.06</v>
      </c>
      <c r="I1310" s="1" t="s">
        <v>31</v>
      </c>
      <c r="J1310" s="1" t="n">
        <v>10</v>
      </c>
      <c r="K1310" s="1" t="n">
        <v>1.7</v>
      </c>
      <c r="L1310" s="15" t="n">
        <v>1242.94</v>
      </c>
      <c r="M1310" s="15" t="n">
        <f aca="false">F1310*G1310</f>
        <v>1322.28</v>
      </c>
      <c r="N1310" s="15" t="n">
        <f aca="false">M1310-L1310</f>
        <v>79.3399999999999</v>
      </c>
      <c r="O1310" s="1" t="n">
        <f aca="false">YEAR(B1310)</f>
        <v>2025</v>
      </c>
      <c r="P1310" s="1" t="n">
        <f aca="false">MONTH(B1310)</f>
        <v>8</v>
      </c>
      <c r="Q1310" s="1" t="str">
        <f aca="false">TEXT(B1310,"mmm")</f>
        <v>Aug</v>
      </c>
      <c r="R1310" s="1" t="str">
        <f aca="false">"Q"&amp;ROUNDUP(MONTH(B1310)/3,0)</f>
        <v>Q3</v>
      </c>
    </row>
    <row r="1311" customFormat="false" ht="15" hidden="false" customHeight="true" outlineLevel="0" collapsed="false">
      <c r="A1311" s="1" t="n">
        <v>11310</v>
      </c>
      <c r="B1311" s="14" t="n">
        <v>45871</v>
      </c>
      <c r="C1311" s="1" t="n">
        <v>1663</v>
      </c>
      <c r="D1311" s="1" t="s">
        <v>30</v>
      </c>
      <c r="E1311" s="1" t="s">
        <v>32</v>
      </c>
      <c r="F1311" s="1" t="n">
        <v>2</v>
      </c>
      <c r="G1311" s="15" t="n">
        <v>317.88</v>
      </c>
      <c r="H1311" s="16" t="n">
        <v>0.18</v>
      </c>
      <c r="I1311" s="1" t="s">
        <v>33</v>
      </c>
      <c r="J1311" s="1" t="n">
        <v>9</v>
      </c>
      <c r="K1311" s="1" t="n">
        <v>1.6</v>
      </c>
      <c r="L1311" s="15" t="n">
        <v>521.32</v>
      </c>
      <c r="M1311" s="15" t="n">
        <f aca="false">F1311*G1311</f>
        <v>635.76</v>
      </c>
      <c r="N1311" s="15" t="n">
        <f aca="false">M1311-L1311</f>
        <v>114.44</v>
      </c>
      <c r="O1311" s="1" t="n">
        <f aca="false">YEAR(B1311)</f>
        <v>2025</v>
      </c>
      <c r="P1311" s="1" t="n">
        <f aca="false">MONTH(B1311)</f>
        <v>8</v>
      </c>
      <c r="Q1311" s="1" t="str">
        <f aca="false">TEXT(B1311,"mmm")</f>
        <v>Aug</v>
      </c>
      <c r="R1311" s="1" t="str">
        <f aca="false">"Q"&amp;ROUNDUP(MONTH(B1311)/3,0)</f>
        <v>Q3</v>
      </c>
    </row>
    <row r="1312" customFormat="false" ht="15" hidden="false" customHeight="true" outlineLevel="0" collapsed="false">
      <c r="A1312" s="1" t="n">
        <v>11311</v>
      </c>
      <c r="B1312" s="14" t="n">
        <v>45872</v>
      </c>
      <c r="C1312" s="1" t="n">
        <v>1822</v>
      </c>
      <c r="D1312" s="1" t="s">
        <v>34</v>
      </c>
      <c r="E1312" s="1" t="s">
        <v>36</v>
      </c>
      <c r="F1312" s="1" t="n">
        <v>3</v>
      </c>
      <c r="G1312" s="15" t="n">
        <v>20.13</v>
      </c>
      <c r="H1312" s="16" t="n">
        <v>0.17</v>
      </c>
      <c r="I1312" s="1" t="s">
        <v>33</v>
      </c>
      <c r="J1312" s="1" t="n">
        <v>10</v>
      </c>
      <c r="K1312" s="1" t="n">
        <v>1.7</v>
      </c>
      <c r="L1312" s="15" t="n">
        <v>50.12</v>
      </c>
      <c r="M1312" s="15" t="n">
        <f aca="false">F1312*G1312</f>
        <v>60.39</v>
      </c>
      <c r="N1312" s="15" t="n">
        <f aca="false">M1312-L1312</f>
        <v>10.27</v>
      </c>
      <c r="O1312" s="1" t="n">
        <f aca="false">YEAR(B1312)</f>
        <v>2025</v>
      </c>
      <c r="P1312" s="1" t="n">
        <f aca="false">MONTH(B1312)</f>
        <v>8</v>
      </c>
      <c r="Q1312" s="1" t="str">
        <f aca="false">TEXT(B1312,"mmm")</f>
        <v>Aug</v>
      </c>
      <c r="R1312" s="1" t="str">
        <f aca="false">"Q"&amp;ROUNDUP(MONTH(B1312)/3,0)</f>
        <v>Q3</v>
      </c>
    </row>
    <row r="1313" customFormat="false" ht="15" hidden="false" customHeight="true" outlineLevel="0" collapsed="false">
      <c r="A1313" s="1" t="n">
        <v>11312</v>
      </c>
      <c r="B1313" s="14" t="n">
        <v>45873</v>
      </c>
      <c r="C1313" s="1" t="n">
        <v>1136</v>
      </c>
      <c r="D1313" s="1" t="s">
        <v>30</v>
      </c>
      <c r="E1313" s="1" t="s">
        <v>28</v>
      </c>
      <c r="F1313" s="1" t="n">
        <v>4</v>
      </c>
      <c r="G1313" s="15" t="n">
        <v>16.01</v>
      </c>
      <c r="H1313" s="16" t="n">
        <v>0.06</v>
      </c>
      <c r="I1313" s="1" t="s">
        <v>31</v>
      </c>
      <c r="J1313" s="1" t="n">
        <v>9</v>
      </c>
      <c r="K1313" s="1" t="n">
        <v>3.7</v>
      </c>
      <c r="L1313" s="15" t="n">
        <v>60.2</v>
      </c>
      <c r="M1313" s="15" t="n">
        <f aca="false">F1313*G1313</f>
        <v>64.04</v>
      </c>
      <c r="N1313" s="15" t="n">
        <f aca="false">M1313-L1313</f>
        <v>3.84</v>
      </c>
      <c r="O1313" s="1" t="n">
        <f aca="false">YEAR(B1313)</f>
        <v>2025</v>
      </c>
      <c r="P1313" s="1" t="n">
        <f aca="false">MONTH(B1313)</f>
        <v>8</v>
      </c>
      <c r="Q1313" s="1" t="str">
        <f aca="false">TEXT(B1313,"mmm")</f>
        <v>Aug</v>
      </c>
      <c r="R1313" s="1" t="str">
        <f aca="false">"Q"&amp;ROUNDUP(MONTH(B1313)/3,0)</f>
        <v>Q3</v>
      </c>
    </row>
    <row r="1314" customFormat="false" ht="15" hidden="false" customHeight="true" outlineLevel="0" collapsed="false">
      <c r="A1314" s="1" t="n">
        <v>11313</v>
      </c>
      <c r="B1314" s="14" t="n">
        <v>45874</v>
      </c>
      <c r="C1314" s="1" t="n">
        <v>1758</v>
      </c>
      <c r="D1314" s="1" t="s">
        <v>37</v>
      </c>
      <c r="E1314" s="1" t="s">
        <v>32</v>
      </c>
      <c r="F1314" s="1" t="n">
        <v>4</v>
      </c>
      <c r="G1314" s="15" t="n">
        <v>72.13</v>
      </c>
      <c r="H1314" s="16" t="n">
        <v>0.26</v>
      </c>
      <c r="I1314" s="1" t="s">
        <v>31</v>
      </c>
      <c r="J1314" s="1" t="n">
        <v>5</v>
      </c>
      <c r="K1314" s="1" t="n">
        <v>4</v>
      </c>
      <c r="L1314" s="15" t="n">
        <v>213.5</v>
      </c>
      <c r="M1314" s="15" t="n">
        <f aca="false">F1314*G1314</f>
        <v>288.52</v>
      </c>
      <c r="N1314" s="15" t="n">
        <f aca="false">M1314-L1314</f>
        <v>75.02</v>
      </c>
      <c r="O1314" s="1" t="n">
        <f aca="false">YEAR(B1314)</f>
        <v>2025</v>
      </c>
      <c r="P1314" s="1" t="n">
        <f aca="false">MONTH(B1314)</f>
        <v>8</v>
      </c>
      <c r="Q1314" s="1" t="str">
        <f aca="false">TEXT(B1314,"mmm")</f>
        <v>Aug</v>
      </c>
      <c r="R1314" s="1" t="str">
        <f aca="false">"Q"&amp;ROUNDUP(MONTH(B1314)/3,0)</f>
        <v>Q3</v>
      </c>
    </row>
    <row r="1315" customFormat="false" ht="15" hidden="false" customHeight="true" outlineLevel="0" collapsed="false">
      <c r="A1315" s="1" t="n">
        <v>11314</v>
      </c>
      <c r="B1315" s="14" t="n">
        <v>45875</v>
      </c>
      <c r="C1315" s="1" t="n">
        <v>1898</v>
      </c>
      <c r="D1315" s="1" t="s">
        <v>27</v>
      </c>
      <c r="E1315" s="1" t="s">
        <v>36</v>
      </c>
      <c r="F1315" s="1" t="n">
        <v>2</v>
      </c>
      <c r="G1315" s="15" t="n">
        <v>74.41</v>
      </c>
      <c r="H1315" s="16" t="n">
        <v>0.13</v>
      </c>
      <c r="I1315" s="1" t="s">
        <v>31</v>
      </c>
      <c r="J1315" s="1" t="n">
        <v>7</v>
      </c>
      <c r="K1315" s="1" t="n">
        <v>4.7</v>
      </c>
      <c r="L1315" s="15" t="n">
        <v>129.47</v>
      </c>
      <c r="M1315" s="15" t="n">
        <f aca="false">F1315*G1315</f>
        <v>148.82</v>
      </c>
      <c r="N1315" s="15" t="n">
        <f aca="false">M1315-L1315</f>
        <v>19.35</v>
      </c>
      <c r="O1315" s="1" t="n">
        <f aca="false">YEAR(B1315)</f>
        <v>2025</v>
      </c>
      <c r="P1315" s="1" t="n">
        <f aca="false">MONTH(B1315)</f>
        <v>8</v>
      </c>
      <c r="Q1315" s="1" t="str">
        <f aca="false">TEXT(B1315,"mmm")</f>
        <v>Aug</v>
      </c>
      <c r="R1315" s="1" t="str">
        <f aca="false">"Q"&amp;ROUNDUP(MONTH(B1315)/3,0)</f>
        <v>Q3</v>
      </c>
    </row>
    <row r="1316" customFormat="false" ht="15" hidden="false" customHeight="true" outlineLevel="0" collapsed="false">
      <c r="A1316" s="1" t="n">
        <v>11315</v>
      </c>
      <c r="B1316" s="14" t="n">
        <v>45876</v>
      </c>
      <c r="C1316" s="1" t="n">
        <v>1242</v>
      </c>
      <c r="D1316" s="1" t="s">
        <v>34</v>
      </c>
      <c r="E1316" s="1" t="s">
        <v>28</v>
      </c>
      <c r="F1316" s="1" t="n">
        <v>1</v>
      </c>
      <c r="G1316" s="15" t="n">
        <v>427.36</v>
      </c>
      <c r="H1316" s="16" t="n">
        <v>0.07</v>
      </c>
      <c r="I1316" s="1" t="s">
        <v>31</v>
      </c>
      <c r="J1316" s="1" t="n">
        <v>7</v>
      </c>
      <c r="K1316" s="1" t="n">
        <v>2.6</v>
      </c>
      <c r="L1316" s="15" t="n">
        <v>397.44</v>
      </c>
      <c r="M1316" s="15" t="n">
        <f aca="false">F1316*G1316</f>
        <v>427.36</v>
      </c>
      <c r="N1316" s="15" t="n">
        <f aca="false">M1316-L1316</f>
        <v>29.92</v>
      </c>
      <c r="O1316" s="1" t="n">
        <f aca="false">YEAR(B1316)</f>
        <v>2025</v>
      </c>
      <c r="P1316" s="1" t="n">
        <f aca="false">MONTH(B1316)</f>
        <v>8</v>
      </c>
      <c r="Q1316" s="1" t="str">
        <f aca="false">TEXT(B1316,"mmm")</f>
        <v>Aug</v>
      </c>
      <c r="R1316" s="1" t="str">
        <f aca="false">"Q"&amp;ROUNDUP(MONTH(B1316)/3,0)</f>
        <v>Q3</v>
      </c>
    </row>
    <row r="1317" customFormat="false" ht="15" hidden="false" customHeight="true" outlineLevel="0" collapsed="false">
      <c r="A1317" s="1" t="n">
        <v>11316</v>
      </c>
      <c r="B1317" s="14" t="n">
        <v>45877</v>
      </c>
      <c r="C1317" s="1" t="n">
        <v>1542</v>
      </c>
      <c r="D1317" s="1" t="s">
        <v>27</v>
      </c>
      <c r="E1317" s="1" t="s">
        <v>32</v>
      </c>
      <c r="F1317" s="1" t="n">
        <v>2</v>
      </c>
      <c r="G1317" s="15" t="n">
        <v>134.88</v>
      </c>
      <c r="H1317" s="16" t="n">
        <v>0.12</v>
      </c>
      <c r="I1317" s="1" t="s">
        <v>31</v>
      </c>
      <c r="J1317" s="1" t="n">
        <v>9</v>
      </c>
      <c r="K1317" s="1" t="n">
        <v>2.8</v>
      </c>
      <c r="L1317" s="15" t="n">
        <v>237.39</v>
      </c>
      <c r="M1317" s="15" t="n">
        <f aca="false">F1317*G1317</f>
        <v>269.76</v>
      </c>
      <c r="N1317" s="15" t="n">
        <f aca="false">M1317-L1317</f>
        <v>32.37</v>
      </c>
      <c r="O1317" s="1" t="n">
        <f aca="false">YEAR(B1317)</f>
        <v>2025</v>
      </c>
      <c r="P1317" s="1" t="n">
        <f aca="false">MONTH(B1317)</f>
        <v>8</v>
      </c>
      <c r="Q1317" s="1" t="str">
        <f aca="false">TEXT(B1317,"mmm")</f>
        <v>Aug</v>
      </c>
      <c r="R1317" s="1" t="str">
        <f aca="false">"Q"&amp;ROUNDUP(MONTH(B1317)/3,0)</f>
        <v>Q3</v>
      </c>
    </row>
    <row r="1318" customFormat="false" ht="15" hidden="false" customHeight="true" outlineLevel="0" collapsed="false">
      <c r="A1318" s="1" t="n">
        <v>11317</v>
      </c>
      <c r="B1318" s="14" t="n">
        <v>45878</v>
      </c>
      <c r="C1318" s="1" t="n">
        <v>1039</v>
      </c>
      <c r="D1318" s="1" t="s">
        <v>27</v>
      </c>
      <c r="E1318" s="1" t="s">
        <v>32</v>
      </c>
      <c r="F1318" s="1" t="n">
        <v>6</v>
      </c>
      <c r="G1318" s="15" t="n">
        <v>538.41</v>
      </c>
      <c r="H1318" s="16" t="n">
        <v>0.2</v>
      </c>
      <c r="I1318" s="1" t="s">
        <v>31</v>
      </c>
      <c r="J1318" s="1" t="n">
        <v>7</v>
      </c>
      <c r="K1318" s="1" t="n">
        <v>2.9</v>
      </c>
      <c r="L1318" s="15" t="n">
        <v>2584.37</v>
      </c>
      <c r="M1318" s="15" t="n">
        <f aca="false">F1318*G1318</f>
        <v>3230.46</v>
      </c>
      <c r="N1318" s="15" t="n">
        <f aca="false">M1318-L1318</f>
        <v>646.09</v>
      </c>
      <c r="O1318" s="1" t="n">
        <f aca="false">YEAR(B1318)</f>
        <v>2025</v>
      </c>
      <c r="P1318" s="1" t="n">
        <f aca="false">MONTH(B1318)</f>
        <v>8</v>
      </c>
      <c r="Q1318" s="1" t="str">
        <f aca="false">TEXT(B1318,"mmm")</f>
        <v>Aug</v>
      </c>
      <c r="R1318" s="1" t="str">
        <f aca="false">"Q"&amp;ROUNDUP(MONTH(B1318)/3,0)</f>
        <v>Q3</v>
      </c>
    </row>
    <row r="1319" customFormat="false" ht="15" hidden="false" customHeight="true" outlineLevel="0" collapsed="false">
      <c r="A1319" s="1" t="n">
        <v>11318</v>
      </c>
      <c r="B1319" s="14" t="n">
        <v>45879</v>
      </c>
      <c r="C1319" s="1" t="n">
        <v>1228</v>
      </c>
      <c r="D1319" s="1" t="s">
        <v>27</v>
      </c>
      <c r="E1319" s="1" t="s">
        <v>32</v>
      </c>
      <c r="F1319" s="1" t="n">
        <v>1</v>
      </c>
      <c r="G1319" s="15" t="n">
        <v>558.23</v>
      </c>
      <c r="H1319" s="16" t="n">
        <v>0.25</v>
      </c>
      <c r="I1319" s="1" t="s">
        <v>31</v>
      </c>
      <c r="J1319" s="1" t="n">
        <v>8</v>
      </c>
      <c r="K1319" s="1" t="n">
        <v>2.1</v>
      </c>
      <c r="L1319" s="15" t="n">
        <v>418.67</v>
      </c>
      <c r="M1319" s="15" t="n">
        <f aca="false">F1319*G1319</f>
        <v>558.23</v>
      </c>
      <c r="N1319" s="15" t="n">
        <f aca="false">M1319-L1319</f>
        <v>139.56</v>
      </c>
      <c r="O1319" s="1" t="n">
        <f aca="false">YEAR(B1319)</f>
        <v>2025</v>
      </c>
      <c r="P1319" s="1" t="n">
        <f aca="false">MONTH(B1319)</f>
        <v>8</v>
      </c>
      <c r="Q1319" s="1" t="str">
        <f aca="false">TEXT(B1319,"mmm")</f>
        <v>Aug</v>
      </c>
      <c r="R1319" s="1" t="str">
        <f aca="false">"Q"&amp;ROUNDUP(MONTH(B1319)/3,0)</f>
        <v>Q3</v>
      </c>
    </row>
    <row r="1320" customFormat="false" ht="15" hidden="false" customHeight="true" outlineLevel="0" collapsed="false">
      <c r="A1320" s="1" t="n">
        <v>11319</v>
      </c>
      <c r="B1320" s="14" t="n">
        <v>45880</v>
      </c>
      <c r="C1320" s="1" t="n">
        <v>1547</v>
      </c>
      <c r="D1320" s="1" t="s">
        <v>30</v>
      </c>
      <c r="E1320" s="1" t="s">
        <v>28</v>
      </c>
      <c r="F1320" s="1" t="n">
        <v>4</v>
      </c>
      <c r="G1320" s="15" t="n">
        <v>585.9</v>
      </c>
      <c r="H1320" s="16" t="n">
        <v>0.17</v>
      </c>
      <c r="I1320" s="1" t="s">
        <v>29</v>
      </c>
      <c r="J1320" s="1" t="n">
        <v>7</v>
      </c>
      <c r="K1320" s="1" t="n">
        <v>2.3</v>
      </c>
      <c r="L1320" s="15" t="n">
        <v>1945.19</v>
      </c>
      <c r="M1320" s="15" t="n">
        <f aca="false">F1320*G1320</f>
        <v>2343.6</v>
      </c>
      <c r="N1320" s="15" t="n">
        <f aca="false">M1320-L1320</f>
        <v>398.41</v>
      </c>
      <c r="O1320" s="1" t="n">
        <f aca="false">YEAR(B1320)</f>
        <v>2025</v>
      </c>
      <c r="P1320" s="1" t="n">
        <f aca="false">MONTH(B1320)</f>
        <v>8</v>
      </c>
      <c r="Q1320" s="1" t="str">
        <f aca="false">TEXT(B1320,"mmm")</f>
        <v>Aug</v>
      </c>
      <c r="R1320" s="1" t="str">
        <f aca="false">"Q"&amp;ROUNDUP(MONTH(B1320)/3,0)</f>
        <v>Q3</v>
      </c>
    </row>
    <row r="1321" customFormat="false" ht="15" hidden="false" customHeight="true" outlineLevel="0" collapsed="false">
      <c r="A1321" s="1" t="n">
        <v>11320</v>
      </c>
      <c r="B1321" s="14" t="n">
        <v>45881</v>
      </c>
      <c r="C1321" s="1" t="n">
        <v>1919</v>
      </c>
      <c r="D1321" s="1" t="s">
        <v>30</v>
      </c>
      <c r="E1321" s="1" t="s">
        <v>32</v>
      </c>
      <c r="F1321" s="1" t="n">
        <v>1</v>
      </c>
      <c r="G1321" s="15" t="n">
        <v>564.36</v>
      </c>
      <c r="H1321" s="16" t="n">
        <v>0.18</v>
      </c>
      <c r="I1321" s="1" t="s">
        <v>33</v>
      </c>
      <c r="J1321" s="1" t="n">
        <v>11</v>
      </c>
      <c r="K1321" s="1" t="n">
        <v>4.4</v>
      </c>
      <c r="L1321" s="15" t="n">
        <v>462.78</v>
      </c>
      <c r="M1321" s="15" t="n">
        <f aca="false">F1321*G1321</f>
        <v>564.36</v>
      </c>
      <c r="N1321" s="15" t="n">
        <f aca="false">M1321-L1321</f>
        <v>101.58</v>
      </c>
      <c r="O1321" s="1" t="n">
        <f aca="false">YEAR(B1321)</f>
        <v>2025</v>
      </c>
      <c r="P1321" s="1" t="n">
        <f aca="false">MONTH(B1321)</f>
        <v>8</v>
      </c>
      <c r="Q1321" s="1" t="str">
        <f aca="false">TEXT(B1321,"mmm")</f>
        <v>Aug</v>
      </c>
      <c r="R1321" s="1" t="str">
        <f aca="false">"Q"&amp;ROUNDUP(MONTH(B1321)/3,0)</f>
        <v>Q3</v>
      </c>
    </row>
    <row r="1322" customFormat="false" ht="15" hidden="false" customHeight="true" outlineLevel="0" collapsed="false">
      <c r="A1322" s="1" t="n">
        <v>11321</v>
      </c>
      <c r="B1322" s="14" t="n">
        <v>45882</v>
      </c>
      <c r="C1322" s="1" t="n">
        <v>1222</v>
      </c>
      <c r="D1322" s="1" t="s">
        <v>30</v>
      </c>
      <c r="E1322" s="1" t="s">
        <v>28</v>
      </c>
      <c r="F1322" s="1" t="n">
        <v>3</v>
      </c>
      <c r="G1322" s="15" t="n">
        <v>174.05</v>
      </c>
      <c r="H1322" s="16" t="n">
        <v>0.05</v>
      </c>
      <c r="I1322" s="1" t="s">
        <v>31</v>
      </c>
      <c r="J1322" s="1" t="n">
        <v>4</v>
      </c>
      <c r="K1322" s="1" t="n">
        <v>2.4</v>
      </c>
      <c r="L1322" s="15" t="n">
        <v>496.04</v>
      </c>
      <c r="M1322" s="15" t="n">
        <f aca="false">F1322*G1322</f>
        <v>522.15</v>
      </c>
      <c r="N1322" s="15" t="n">
        <f aca="false">M1322-L1322</f>
        <v>26.1100000000001</v>
      </c>
      <c r="O1322" s="1" t="n">
        <f aca="false">YEAR(B1322)</f>
        <v>2025</v>
      </c>
      <c r="P1322" s="1" t="n">
        <f aca="false">MONTH(B1322)</f>
        <v>8</v>
      </c>
      <c r="Q1322" s="1" t="str">
        <f aca="false">TEXT(B1322,"mmm")</f>
        <v>Aug</v>
      </c>
      <c r="R1322" s="1" t="str">
        <f aca="false">"Q"&amp;ROUNDUP(MONTH(B1322)/3,0)</f>
        <v>Q3</v>
      </c>
    </row>
    <row r="1323" customFormat="false" ht="15" hidden="false" customHeight="true" outlineLevel="0" collapsed="false">
      <c r="A1323" s="1" t="n">
        <v>11322</v>
      </c>
      <c r="B1323" s="14" t="n">
        <v>45883</v>
      </c>
      <c r="C1323" s="1" t="n">
        <v>1005</v>
      </c>
      <c r="D1323" s="1" t="s">
        <v>37</v>
      </c>
      <c r="E1323" s="1" t="s">
        <v>35</v>
      </c>
      <c r="F1323" s="1" t="n">
        <v>5</v>
      </c>
      <c r="G1323" s="15" t="n">
        <v>313.22</v>
      </c>
      <c r="H1323" s="16" t="n">
        <v>0.32</v>
      </c>
      <c r="I1323" s="1" t="s">
        <v>29</v>
      </c>
      <c r="J1323" s="1" t="n">
        <v>2</v>
      </c>
      <c r="K1323" s="1" t="n">
        <v>4.5</v>
      </c>
      <c r="L1323" s="15" t="n">
        <v>1064.95</v>
      </c>
      <c r="M1323" s="15" t="n">
        <f aca="false">F1323*G1323</f>
        <v>1566.1</v>
      </c>
      <c r="N1323" s="15" t="n">
        <f aca="false">M1323-L1323</f>
        <v>501.15</v>
      </c>
      <c r="O1323" s="1" t="n">
        <f aca="false">YEAR(B1323)</f>
        <v>2025</v>
      </c>
      <c r="P1323" s="1" t="n">
        <f aca="false">MONTH(B1323)</f>
        <v>8</v>
      </c>
      <c r="Q1323" s="1" t="str">
        <f aca="false">TEXT(B1323,"mmm")</f>
        <v>Aug</v>
      </c>
      <c r="R1323" s="1" t="str">
        <f aca="false">"Q"&amp;ROUNDUP(MONTH(B1323)/3,0)</f>
        <v>Q3</v>
      </c>
    </row>
    <row r="1324" customFormat="false" ht="15" hidden="false" customHeight="true" outlineLevel="0" collapsed="false">
      <c r="A1324" s="1" t="n">
        <v>11323</v>
      </c>
      <c r="B1324" s="14" t="n">
        <v>45884</v>
      </c>
      <c r="C1324" s="1" t="n">
        <v>1321</v>
      </c>
      <c r="D1324" s="1" t="s">
        <v>30</v>
      </c>
      <c r="E1324" s="1" t="s">
        <v>32</v>
      </c>
      <c r="F1324" s="1" t="n">
        <v>1</v>
      </c>
      <c r="G1324" s="15" t="n">
        <v>117.64</v>
      </c>
      <c r="H1324" s="16" t="n">
        <v>0.33</v>
      </c>
      <c r="I1324" s="1" t="s">
        <v>33</v>
      </c>
      <c r="J1324" s="1" t="n">
        <v>3</v>
      </c>
      <c r="K1324" s="1" t="n">
        <v>2.2</v>
      </c>
      <c r="L1324" s="15" t="n">
        <v>78.82</v>
      </c>
      <c r="M1324" s="15" t="n">
        <f aca="false">F1324*G1324</f>
        <v>117.64</v>
      </c>
      <c r="N1324" s="15" t="n">
        <f aca="false">M1324-L1324</f>
        <v>38.82</v>
      </c>
      <c r="O1324" s="1" t="n">
        <f aca="false">YEAR(B1324)</f>
        <v>2025</v>
      </c>
      <c r="P1324" s="1" t="n">
        <f aca="false">MONTH(B1324)</f>
        <v>8</v>
      </c>
      <c r="Q1324" s="1" t="str">
        <f aca="false">TEXT(B1324,"mmm")</f>
        <v>Aug</v>
      </c>
      <c r="R1324" s="1" t="str">
        <f aca="false">"Q"&amp;ROUNDUP(MONTH(B1324)/3,0)</f>
        <v>Q3</v>
      </c>
    </row>
    <row r="1325" customFormat="false" ht="15" hidden="false" customHeight="true" outlineLevel="0" collapsed="false">
      <c r="A1325" s="1" t="n">
        <v>11324</v>
      </c>
      <c r="B1325" s="14" t="n">
        <v>45885</v>
      </c>
      <c r="C1325" s="1" t="n">
        <v>1467</v>
      </c>
      <c r="D1325" s="1" t="s">
        <v>37</v>
      </c>
      <c r="E1325" s="1" t="s">
        <v>35</v>
      </c>
      <c r="F1325" s="1" t="n">
        <v>6</v>
      </c>
      <c r="G1325" s="15" t="n">
        <v>486.63</v>
      </c>
      <c r="H1325" s="16" t="n">
        <v>0.24</v>
      </c>
      <c r="I1325" s="1" t="s">
        <v>33</v>
      </c>
      <c r="J1325" s="1" t="n">
        <v>7</v>
      </c>
      <c r="K1325" s="1" t="n">
        <v>2.4</v>
      </c>
      <c r="L1325" s="15" t="n">
        <v>2219.03</v>
      </c>
      <c r="M1325" s="15" t="n">
        <f aca="false">F1325*G1325</f>
        <v>2919.78</v>
      </c>
      <c r="N1325" s="15" t="n">
        <f aca="false">M1325-L1325</f>
        <v>700.75</v>
      </c>
      <c r="O1325" s="1" t="n">
        <f aca="false">YEAR(B1325)</f>
        <v>2025</v>
      </c>
      <c r="P1325" s="1" t="n">
        <f aca="false">MONTH(B1325)</f>
        <v>8</v>
      </c>
      <c r="Q1325" s="1" t="str">
        <f aca="false">TEXT(B1325,"mmm")</f>
        <v>Aug</v>
      </c>
      <c r="R1325" s="1" t="str">
        <f aca="false">"Q"&amp;ROUNDUP(MONTH(B1325)/3,0)</f>
        <v>Q3</v>
      </c>
    </row>
    <row r="1326" customFormat="false" ht="15" hidden="false" customHeight="true" outlineLevel="0" collapsed="false">
      <c r="A1326" s="1" t="n">
        <v>11325</v>
      </c>
      <c r="B1326" s="14" t="n">
        <v>45886</v>
      </c>
      <c r="C1326" s="1" t="n">
        <v>1731</v>
      </c>
      <c r="D1326" s="1" t="s">
        <v>30</v>
      </c>
      <c r="E1326" s="1" t="s">
        <v>36</v>
      </c>
      <c r="F1326" s="1" t="n">
        <v>5</v>
      </c>
      <c r="G1326" s="15" t="n">
        <v>534.73</v>
      </c>
      <c r="H1326" s="16" t="n">
        <v>0.01</v>
      </c>
      <c r="I1326" s="1" t="s">
        <v>33</v>
      </c>
      <c r="J1326" s="1" t="n">
        <v>11</v>
      </c>
      <c r="K1326" s="1" t="n">
        <v>3.2</v>
      </c>
      <c r="L1326" s="15" t="n">
        <v>2646.91</v>
      </c>
      <c r="M1326" s="15" t="n">
        <f aca="false">F1326*G1326</f>
        <v>2673.65</v>
      </c>
      <c r="N1326" s="15" t="n">
        <f aca="false">M1326-L1326</f>
        <v>26.7400000000002</v>
      </c>
      <c r="O1326" s="1" t="n">
        <f aca="false">YEAR(B1326)</f>
        <v>2025</v>
      </c>
      <c r="P1326" s="1" t="n">
        <f aca="false">MONTH(B1326)</f>
        <v>8</v>
      </c>
      <c r="Q1326" s="1" t="str">
        <f aca="false">TEXT(B1326,"mmm")</f>
        <v>Aug</v>
      </c>
      <c r="R1326" s="1" t="str">
        <f aca="false">"Q"&amp;ROUNDUP(MONTH(B1326)/3,0)</f>
        <v>Q3</v>
      </c>
    </row>
    <row r="1327" customFormat="false" ht="15" hidden="false" customHeight="true" outlineLevel="0" collapsed="false">
      <c r="A1327" s="1" t="n">
        <v>11326</v>
      </c>
      <c r="B1327" s="14" t="n">
        <v>45887</v>
      </c>
      <c r="C1327" s="1" t="n">
        <v>1074</v>
      </c>
      <c r="D1327" s="1" t="s">
        <v>37</v>
      </c>
      <c r="E1327" s="1" t="s">
        <v>32</v>
      </c>
      <c r="F1327" s="1" t="n">
        <v>3</v>
      </c>
      <c r="G1327" s="15" t="n">
        <v>513</v>
      </c>
      <c r="H1327" s="16" t="n">
        <v>0.19</v>
      </c>
      <c r="I1327" s="1" t="s">
        <v>31</v>
      </c>
      <c r="J1327" s="1" t="n">
        <v>11</v>
      </c>
      <c r="K1327" s="1" t="n">
        <v>1.4</v>
      </c>
      <c r="L1327" s="15" t="n">
        <v>1246.59</v>
      </c>
      <c r="M1327" s="15" t="n">
        <f aca="false">F1327*G1327</f>
        <v>1539</v>
      </c>
      <c r="N1327" s="15" t="n">
        <f aca="false">M1327-L1327</f>
        <v>292.41</v>
      </c>
      <c r="O1327" s="1" t="n">
        <f aca="false">YEAR(B1327)</f>
        <v>2025</v>
      </c>
      <c r="P1327" s="1" t="n">
        <f aca="false">MONTH(B1327)</f>
        <v>8</v>
      </c>
      <c r="Q1327" s="1" t="str">
        <f aca="false">TEXT(B1327,"mmm")</f>
        <v>Aug</v>
      </c>
      <c r="R1327" s="1" t="str">
        <f aca="false">"Q"&amp;ROUNDUP(MONTH(B1327)/3,0)</f>
        <v>Q3</v>
      </c>
    </row>
    <row r="1328" customFormat="false" ht="15" hidden="false" customHeight="true" outlineLevel="0" collapsed="false">
      <c r="A1328" s="1" t="n">
        <v>11327</v>
      </c>
      <c r="B1328" s="14" t="n">
        <v>45888</v>
      </c>
      <c r="C1328" s="1" t="n">
        <v>1003</v>
      </c>
      <c r="D1328" s="1" t="s">
        <v>37</v>
      </c>
      <c r="E1328" s="1" t="s">
        <v>36</v>
      </c>
      <c r="F1328" s="1" t="n">
        <v>6</v>
      </c>
      <c r="G1328" s="15" t="n">
        <v>268.52</v>
      </c>
      <c r="H1328" s="16" t="n">
        <v>0.22</v>
      </c>
      <c r="I1328" s="1" t="s">
        <v>31</v>
      </c>
      <c r="J1328" s="1" t="n">
        <v>9</v>
      </c>
      <c r="K1328" s="1" t="n">
        <v>4.7</v>
      </c>
      <c r="L1328" s="15" t="n">
        <v>1256.67</v>
      </c>
      <c r="M1328" s="15" t="n">
        <f aca="false">F1328*G1328</f>
        <v>1611.12</v>
      </c>
      <c r="N1328" s="15" t="n">
        <f aca="false">M1328-L1328</f>
        <v>354.45</v>
      </c>
      <c r="O1328" s="1" t="n">
        <f aca="false">YEAR(B1328)</f>
        <v>2025</v>
      </c>
      <c r="P1328" s="1" t="n">
        <f aca="false">MONTH(B1328)</f>
        <v>8</v>
      </c>
      <c r="Q1328" s="1" t="str">
        <f aca="false">TEXT(B1328,"mmm")</f>
        <v>Aug</v>
      </c>
      <c r="R1328" s="1" t="str">
        <f aca="false">"Q"&amp;ROUNDUP(MONTH(B1328)/3,0)</f>
        <v>Q3</v>
      </c>
    </row>
    <row r="1329" customFormat="false" ht="15" hidden="false" customHeight="true" outlineLevel="0" collapsed="false">
      <c r="A1329" s="1" t="n">
        <v>11328</v>
      </c>
      <c r="B1329" s="14" t="n">
        <v>45889</v>
      </c>
      <c r="C1329" s="1" t="n">
        <v>1846</v>
      </c>
      <c r="D1329" s="1" t="s">
        <v>34</v>
      </c>
      <c r="E1329" s="1" t="s">
        <v>36</v>
      </c>
      <c r="F1329" s="1" t="n">
        <v>7</v>
      </c>
      <c r="G1329" s="15" t="n">
        <v>458.82</v>
      </c>
      <c r="H1329" s="16" t="n">
        <v>0.35</v>
      </c>
      <c r="I1329" s="1" t="s">
        <v>31</v>
      </c>
      <c r="J1329" s="1" t="n">
        <v>11</v>
      </c>
      <c r="K1329" s="1" t="n">
        <v>4.3</v>
      </c>
      <c r="L1329" s="15" t="n">
        <v>2087.63</v>
      </c>
      <c r="M1329" s="15" t="n">
        <f aca="false">F1329*G1329</f>
        <v>3211.74</v>
      </c>
      <c r="N1329" s="15" t="n">
        <f aca="false">M1329-L1329</f>
        <v>1124.11</v>
      </c>
      <c r="O1329" s="1" t="n">
        <f aca="false">YEAR(B1329)</f>
        <v>2025</v>
      </c>
      <c r="P1329" s="1" t="n">
        <f aca="false">MONTH(B1329)</f>
        <v>8</v>
      </c>
      <c r="Q1329" s="1" t="str">
        <f aca="false">TEXT(B1329,"mmm")</f>
        <v>Aug</v>
      </c>
      <c r="R1329" s="1" t="str">
        <f aca="false">"Q"&amp;ROUNDUP(MONTH(B1329)/3,0)</f>
        <v>Q3</v>
      </c>
    </row>
    <row r="1330" customFormat="false" ht="15" hidden="false" customHeight="true" outlineLevel="0" collapsed="false">
      <c r="A1330" s="1" t="n">
        <v>11329</v>
      </c>
      <c r="B1330" s="14" t="n">
        <v>45890</v>
      </c>
      <c r="C1330" s="1" t="n">
        <v>1645</v>
      </c>
      <c r="D1330" s="1" t="s">
        <v>37</v>
      </c>
      <c r="E1330" s="1" t="s">
        <v>36</v>
      </c>
      <c r="F1330" s="1" t="n">
        <v>5</v>
      </c>
      <c r="G1330" s="15" t="n">
        <v>72.08</v>
      </c>
      <c r="H1330" s="16" t="n">
        <v>0.35</v>
      </c>
      <c r="I1330" s="1" t="s">
        <v>33</v>
      </c>
      <c r="J1330" s="1" t="n">
        <v>2</v>
      </c>
      <c r="K1330" s="1" t="n">
        <v>3.7</v>
      </c>
      <c r="L1330" s="15" t="n">
        <v>234.26</v>
      </c>
      <c r="M1330" s="15" t="n">
        <f aca="false">F1330*G1330</f>
        <v>360.4</v>
      </c>
      <c r="N1330" s="15" t="n">
        <f aca="false">M1330-L1330</f>
        <v>126.14</v>
      </c>
      <c r="O1330" s="1" t="n">
        <f aca="false">YEAR(B1330)</f>
        <v>2025</v>
      </c>
      <c r="P1330" s="1" t="n">
        <f aca="false">MONTH(B1330)</f>
        <v>8</v>
      </c>
      <c r="Q1330" s="1" t="str">
        <f aca="false">TEXT(B1330,"mmm")</f>
        <v>Aug</v>
      </c>
      <c r="R1330" s="1" t="str">
        <f aca="false">"Q"&amp;ROUNDUP(MONTH(B1330)/3,0)</f>
        <v>Q3</v>
      </c>
    </row>
    <row r="1331" customFormat="false" ht="15" hidden="false" customHeight="true" outlineLevel="0" collapsed="false">
      <c r="A1331" s="1" t="n">
        <v>11330</v>
      </c>
      <c r="B1331" s="14" t="n">
        <v>45891</v>
      </c>
      <c r="C1331" s="1" t="n">
        <v>1117</v>
      </c>
      <c r="D1331" s="1" t="s">
        <v>30</v>
      </c>
      <c r="E1331" s="1" t="s">
        <v>35</v>
      </c>
      <c r="F1331" s="1" t="n">
        <v>7</v>
      </c>
      <c r="G1331" s="15" t="n">
        <v>38.54</v>
      </c>
      <c r="H1331" s="16" t="n">
        <v>0.3</v>
      </c>
      <c r="I1331" s="1" t="s">
        <v>33</v>
      </c>
      <c r="J1331" s="1" t="n">
        <v>7</v>
      </c>
      <c r="K1331" s="1" t="n">
        <v>5</v>
      </c>
      <c r="L1331" s="15" t="n">
        <v>188.85</v>
      </c>
      <c r="M1331" s="15" t="n">
        <f aca="false">F1331*G1331</f>
        <v>269.78</v>
      </c>
      <c r="N1331" s="15" t="n">
        <f aca="false">M1331-L1331</f>
        <v>80.93</v>
      </c>
      <c r="O1331" s="1" t="n">
        <f aca="false">YEAR(B1331)</f>
        <v>2025</v>
      </c>
      <c r="P1331" s="1" t="n">
        <f aca="false">MONTH(B1331)</f>
        <v>8</v>
      </c>
      <c r="Q1331" s="1" t="str">
        <f aca="false">TEXT(B1331,"mmm")</f>
        <v>Aug</v>
      </c>
      <c r="R1331" s="1" t="str">
        <f aca="false">"Q"&amp;ROUNDUP(MONTH(B1331)/3,0)</f>
        <v>Q3</v>
      </c>
    </row>
    <row r="1332" customFormat="false" ht="15" hidden="false" customHeight="true" outlineLevel="0" collapsed="false">
      <c r="A1332" s="1" t="n">
        <v>11331</v>
      </c>
      <c r="B1332" s="14" t="n">
        <v>45892</v>
      </c>
      <c r="C1332" s="1" t="n">
        <v>1880</v>
      </c>
      <c r="D1332" s="1" t="s">
        <v>37</v>
      </c>
      <c r="E1332" s="1" t="s">
        <v>28</v>
      </c>
      <c r="F1332" s="1" t="n">
        <v>3</v>
      </c>
      <c r="G1332" s="15" t="n">
        <v>455.64</v>
      </c>
      <c r="H1332" s="16" t="n">
        <v>0.02</v>
      </c>
      <c r="I1332" s="1" t="s">
        <v>33</v>
      </c>
      <c r="J1332" s="1" t="n">
        <v>4</v>
      </c>
      <c r="K1332" s="1" t="n">
        <v>1.1</v>
      </c>
      <c r="L1332" s="15" t="n">
        <v>1339.58</v>
      </c>
      <c r="M1332" s="15" t="n">
        <f aca="false">F1332*G1332</f>
        <v>1366.92</v>
      </c>
      <c r="N1332" s="15" t="n">
        <f aca="false">M1332-L1332</f>
        <v>27.3400000000001</v>
      </c>
      <c r="O1332" s="1" t="n">
        <f aca="false">YEAR(B1332)</f>
        <v>2025</v>
      </c>
      <c r="P1332" s="1" t="n">
        <f aca="false">MONTH(B1332)</f>
        <v>8</v>
      </c>
      <c r="Q1332" s="1" t="str">
        <f aca="false">TEXT(B1332,"mmm")</f>
        <v>Aug</v>
      </c>
      <c r="R1332" s="1" t="str">
        <f aca="false">"Q"&amp;ROUNDUP(MONTH(B1332)/3,0)</f>
        <v>Q3</v>
      </c>
    </row>
    <row r="1333" customFormat="false" ht="15" hidden="false" customHeight="true" outlineLevel="0" collapsed="false">
      <c r="A1333" s="1" t="n">
        <v>11332</v>
      </c>
      <c r="B1333" s="14" t="n">
        <v>45893</v>
      </c>
      <c r="C1333" s="1" t="n">
        <v>1605</v>
      </c>
      <c r="D1333" s="1" t="s">
        <v>30</v>
      </c>
      <c r="E1333" s="1" t="s">
        <v>35</v>
      </c>
      <c r="F1333" s="1" t="n">
        <v>5</v>
      </c>
      <c r="G1333" s="15" t="n">
        <v>263.83</v>
      </c>
      <c r="H1333" s="16" t="n">
        <v>0.33</v>
      </c>
      <c r="I1333" s="1" t="s">
        <v>31</v>
      </c>
      <c r="J1333" s="1" t="n">
        <v>7</v>
      </c>
      <c r="K1333" s="1" t="n">
        <v>2.6</v>
      </c>
      <c r="L1333" s="15" t="n">
        <v>883.83</v>
      </c>
      <c r="M1333" s="15" t="n">
        <f aca="false">F1333*G1333</f>
        <v>1319.15</v>
      </c>
      <c r="N1333" s="15" t="n">
        <f aca="false">M1333-L1333</f>
        <v>435.32</v>
      </c>
      <c r="O1333" s="1" t="n">
        <f aca="false">YEAR(B1333)</f>
        <v>2025</v>
      </c>
      <c r="P1333" s="1" t="n">
        <f aca="false">MONTH(B1333)</f>
        <v>8</v>
      </c>
      <c r="Q1333" s="1" t="str">
        <f aca="false">TEXT(B1333,"mmm")</f>
        <v>Aug</v>
      </c>
      <c r="R1333" s="1" t="str">
        <f aca="false">"Q"&amp;ROUNDUP(MONTH(B1333)/3,0)</f>
        <v>Q3</v>
      </c>
    </row>
    <row r="1334" customFormat="false" ht="15" hidden="false" customHeight="true" outlineLevel="0" collapsed="false">
      <c r="A1334" s="1" t="n">
        <v>11333</v>
      </c>
      <c r="B1334" s="14" t="n">
        <v>45894</v>
      </c>
      <c r="C1334" s="1" t="n">
        <v>1503</v>
      </c>
      <c r="D1334" s="1" t="s">
        <v>30</v>
      </c>
      <c r="E1334" s="1" t="s">
        <v>35</v>
      </c>
      <c r="F1334" s="1" t="n">
        <v>5</v>
      </c>
      <c r="G1334" s="15" t="n">
        <v>597.4</v>
      </c>
      <c r="H1334" s="16" t="n">
        <v>0.21</v>
      </c>
      <c r="I1334" s="1" t="s">
        <v>33</v>
      </c>
      <c r="J1334" s="1" t="n">
        <v>5</v>
      </c>
      <c r="K1334" s="1" t="n">
        <v>4.4</v>
      </c>
      <c r="L1334" s="15" t="n">
        <v>2359.73</v>
      </c>
      <c r="M1334" s="15" t="n">
        <f aca="false">F1334*G1334</f>
        <v>2987</v>
      </c>
      <c r="N1334" s="15" t="n">
        <f aca="false">M1334-L1334</f>
        <v>627.27</v>
      </c>
      <c r="O1334" s="1" t="n">
        <f aca="false">YEAR(B1334)</f>
        <v>2025</v>
      </c>
      <c r="P1334" s="1" t="n">
        <f aca="false">MONTH(B1334)</f>
        <v>8</v>
      </c>
      <c r="Q1334" s="1" t="str">
        <f aca="false">TEXT(B1334,"mmm")</f>
        <v>Aug</v>
      </c>
      <c r="R1334" s="1" t="str">
        <f aca="false">"Q"&amp;ROUNDUP(MONTH(B1334)/3,0)</f>
        <v>Q3</v>
      </c>
    </row>
    <row r="1335" customFormat="false" ht="15" hidden="false" customHeight="true" outlineLevel="0" collapsed="false">
      <c r="A1335" s="1" t="n">
        <v>11334</v>
      </c>
      <c r="B1335" s="14" t="n">
        <v>45895</v>
      </c>
      <c r="C1335" s="1" t="n">
        <v>1997</v>
      </c>
      <c r="D1335" s="1" t="s">
        <v>27</v>
      </c>
      <c r="E1335" s="1" t="s">
        <v>36</v>
      </c>
      <c r="F1335" s="1" t="n">
        <v>2</v>
      </c>
      <c r="G1335" s="15" t="n">
        <v>71.89</v>
      </c>
      <c r="H1335" s="16" t="n">
        <v>0.28</v>
      </c>
      <c r="I1335" s="1" t="s">
        <v>33</v>
      </c>
      <c r="J1335" s="1" t="n">
        <v>7</v>
      </c>
      <c r="K1335" s="1" t="n">
        <v>2.7</v>
      </c>
      <c r="L1335" s="15" t="n">
        <v>103.52</v>
      </c>
      <c r="M1335" s="15" t="n">
        <f aca="false">F1335*G1335</f>
        <v>143.78</v>
      </c>
      <c r="N1335" s="15" t="n">
        <f aca="false">M1335-L1335</f>
        <v>40.26</v>
      </c>
      <c r="O1335" s="1" t="n">
        <f aca="false">YEAR(B1335)</f>
        <v>2025</v>
      </c>
      <c r="P1335" s="1" t="n">
        <f aca="false">MONTH(B1335)</f>
        <v>8</v>
      </c>
      <c r="Q1335" s="1" t="str">
        <f aca="false">TEXT(B1335,"mmm")</f>
        <v>Aug</v>
      </c>
      <c r="R1335" s="1" t="str">
        <f aca="false">"Q"&amp;ROUNDUP(MONTH(B1335)/3,0)</f>
        <v>Q3</v>
      </c>
    </row>
    <row r="1336" customFormat="false" ht="15" hidden="false" customHeight="true" outlineLevel="0" collapsed="false">
      <c r="A1336" s="1" t="n">
        <v>11335</v>
      </c>
      <c r="B1336" s="14" t="n">
        <v>45896</v>
      </c>
      <c r="C1336" s="1" t="n">
        <v>1946</v>
      </c>
      <c r="D1336" s="1" t="s">
        <v>34</v>
      </c>
      <c r="E1336" s="1" t="s">
        <v>32</v>
      </c>
      <c r="F1336" s="1" t="n">
        <v>6</v>
      </c>
      <c r="G1336" s="15" t="n">
        <v>515.54</v>
      </c>
      <c r="H1336" s="16" t="n">
        <v>0.14</v>
      </c>
      <c r="I1336" s="1" t="s">
        <v>29</v>
      </c>
      <c r="J1336" s="1" t="n">
        <v>6</v>
      </c>
      <c r="K1336" s="1" t="n">
        <v>1</v>
      </c>
      <c r="L1336" s="15" t="n">
        <v>2660.19</v>
      </c>
      <c r="M1336" s="15" t="n">
        <f aca="false">F1336*G1336</f>
        <v>3093.24</v>
      </c>
      <c r="N1336" s="15" t="n">
        <f aca="false">M1336-L1336</f>
        <v>433.05</v>
      </c>
      <c r="O1336" s="1" t="n">
        <f aca="false">YEAR(B1336)</f>
        <v>2025</v>
      </c>
      <c r="P1336" s="1" t="n">
        <f aca="false">MONTH(B1336)</f>
        <v>8</v>
      </c>
      <c r="Q1336" s="1" t="str">
        <f aca="false">TEXT(B1336,"mmm")</f>
        <v>Aug</v>
      </c>
      <c r="R1336" s="1" t="str">
        <f aca="false">"Q"&amp;ROUNDUP(MONTH(B1336)/3,0)</f>
        <v>Q3</v>
      </c>
    </row>
    <row r="1337" customFormat="false" ht="15" hidden="false" customHeight="true" outlineLevel="0" collapsed="false">
      <c r="A1337" s="1" t="n">
        <v>11336</v>
      </c>
      <c r="B1337" s="14" t="n">
        <v>45897</v>
      </c>
      <c r="C1337" s="1" t="n">
        <v>1573</v>
      </c>
      <c r="D1337" s="1" t="s">
        <v>37</v>
      </c>
      <c r="E1337" s="1" t="s">
        <v>28</v>
      </c>
      <c r="F1337" s="1" t="n">
        <v>6</v>
      </c>
      <c r="G1337" s="15" t="n">
        <v>295.79</v>
      </c>
      <c r="H1337" s="16" t="n">
        <v>0.11</v>
      </c>
      <c r="I1337" s="1" t="s">
        <v>31</v>
      </c>
      <c r="J1337" s="1" t="n">
        <v>2</v>
      </c>
      <c r="K1337" s="1" t="n">
        <v>1.6</v>
      </c>
      <c r="L1337" s="15" t="n">
        <v>1579.52</v>
      </c>
      <c r="M1337" s="15" t="n">
        <f aca="false">F1337*G1337</f>
        <v>1774.74</v>
      </c>
      <c r="N1337" s="15" t="n">
        <f aca="false">M1337-L1337</f>
        <v>195.22</v>
      </c>
      <c r="O1337" s="1" t="n">
        <f aca="false">YEAR(B1337)</f>
        <v>2025</v>
      </c>
      <c r="P1337" s="1" t="n">
        <f aca="false">MONTH(B1337)</f>
        <v>8</v>
      </c>
      <c r="Q1337" s="1" t="str">
        <f aca="false">TEXT(B1337,"mmm")</f>
        <v>Aug</v>
      </c>
      <c r="R1337" s="1" t="str">
        <f aca="false">"Q"&amp;ROUNDUP(MONTH(B1337)/3,0)</f>
        <v>Q3</v>
      </c>
    </row>
    <row r="1338" customFormat="false" ht="15" hidden="false" customHeight="true" outlineLevel="0" collapsed="false">
      <c r="A1338" s="1" t="n">
        <v>11337</v>
      </c>
      <c r="B1338" s="14" t="n">
        <v>45898</v>
      </c>
      <c r="C1338" s="1" t="n">
        <v>1440</v>
      </c>
      <c r="D1338" s="1" t="s">
        <v>30</v>
      </c>
      <c r="E1338" s="1" t="s">
        <v>36</v>
      </c>
      <c r="F1338" s="1" t="n">
        <v>1</v>
      </c>
      <c r="G1338" s="15" t="n">
        <v>498.88</v>
      </c>
      <c r="H1338" s="16" t="n">
        <v>0.16</v>
      </c>
      <c r="I1338" s="1" t="s">
        <v>29</v>
      </c>
      <c r="J1338" s="1" t="n">
        <v>7</v>
      </c>
      <c r="K1338" s="1" t="n">
        <v>2.7</v>
      </c>
      <c r="L1338" s="15" t="n">
        <v>419.06</v>
      </c>
      <c r="M1338" s="15" t="n">
        <f aca="false">F1338*G1338</f>
        <v>498.88</v>
      </c>
      <c r="N1338" s="15" t="n">
        <f aca="false">M1338-L1338</f>
        <v>79.82</v>
      </c>
      <c r="O1338" s="1" t="n">
        <f aca="false">YEAR(B1338)</f>
        <v>2025</v>
      </c>
      <c r="P1338" s="1" t="n">
        <f aca="false">MONTH(B1338)</f>
        <v>8</v>
      </c>
      <c r="Q1338" s="1" t="str">
        <f aca="false">TEXT(B1338,"mmm")</f>
        <v>Aug</v>
      </c>
      <c r="R1338" s="1" t="str">
        <f aca="false">"Q"&amp;ROUNDUP(MONTH(B1338)/3,0)</f>
        <v>Q3</v>
      </c>
    </row>
    <row r="1339" customFormat="false" ht="15" hidden="false" customHeight="true" outlineLevel="0" collapsed="false">
      <c r="A1339" s="1" t="n">
        <v>11338</v>
      </c>
      <c r="B1339" s="14" t="n">
        <v>45899</v>
      </c>
      <c r="C1339" s="1" t="n">
        <v>1193</v>
      </c>
      <c r="D1339" s="1" t="s">
        <v>30</v>
      </c>
      <c r="E1339" s="1" t="s">
        <v>28</v>
      </c>
      <c r="F1339" s="1" t="n">
        <v>7</v>
      </c>
      <c r="G1339" s="15" t="n">
        <v>493.02</v>
      </c>
      <c r="H1339" s="16" t="n">
        <v>0.05</v>
      </c>
      <c r="I1339" s="1" t="s">
        <v>29</v>
      </c>
      <c r="J1339" s="1" t="n">
        <v>5</v>
      </c>
      <c r="K1339" s="1" t="n">
        <v>3.7</v>
      </c>
      <c r="L1339" s="15" t="n">
        <v>3278.58</v>
      </c>
      <c r="M1339" s="15" t="n">
        <f aca="false">F1339*G1339</f>
        <v>3451.14</v>
      </c>
      <c r="N1339" s="15" t="n">
        <f aca="false">M1339-L1339</f>
        <v>172.56</v>
      </c>
      <c r="O1339" s="1" t="n">
        <f aca="false">YEAR(B1339)</f>
        <v>2025</v>
      </c>
      <c r="P1339" s="1" t="n">
        <f aca="false">MONTH(B1339)</f>
        <v>8</v>
      </c>
      <c r="Q1339" s="1" t="str">
        <f aca="false">TEXT(B1339,"mmm")</f>
        <v>Aug</v>
      </c>
      <c r="R1339" s="1" t="str">
        <f aca="false">"Q"&amp;ROUNDUP(MONTH(B1339)/3,0)</f>
        <v>Q3</v>
      </c>
    </row>
    <row r="1340" customFormat="false" ht="15" hidden="false" customHeight="true" outlineLevel="0" collapsed="false">
      <c r="A1340" s="1" t="n">
        <v>11339</v>
      </c>
      <c r="B1340" s="14" t="n">
        <v>45900</v>
      </c>
      <c r="C1340" s="1" t="n">
        <v>1846</v>
      </c>
      <c r="D1340" s="1" t="s">
        <v>34</v>
      </c>
      <c r="E1340" s="1" t="s">
        <v>35</v>
      </c>
      <c r="F1340" s="1" t="n">
        <v>7</v>
      </c>
      <c r="G1340" s="15" t="n">
        <v>550.86</v>
      </c>
      <c r="H1340" s="16" t="n">
        <v>0.12</v>
      </c>
      <c r="I1340" s="1" t="s">
        <v>33</v>
      </c>
      <c r="J1340" s="1" t="n">
        <v>9</v>
      </c>
      <c r="K1340" s="1" t="n">
        <v>1.7</v>
      </c>
      <c r="L1340" s="15" t="n">
        <v>3393.3</v>
      </c>
      <c r="M1340" s="15" t="n">
        <f aca="false">F1340*G1340</f>
        <v>3856.02</v>
      </c>
      <c r="N1340" s="15" t="n">
        <f aca="false">M1340-L1340</f>
        <v>462.72</v>
      </c>
      <c r="O1340" s="1" t="n">
        <f aca="false">YEAR(B1340)</f>
        <v>2025</v>
      </c>
      <c r="P1340" s="1" t="n">
        <f aca="false">MONTH(B1340)</f>
        <v>8</v>
      </c>
      <c r="Q1340" s="1" t="str">
        <f aca="false">TEXT(B1340,"mmm")</f>
        <v>Aug</v>
      </c>
      <c r="R1340" s="1" t="str">
        <f aca="false">"Q"&amp;ROUNDUP(MONTH(B1340)/3,0)</f>
        <v>Q3</v>
      </c>
    </row>
    <row r="1341" customFormat="false" ht="15" hidden="false" customHeight="true" outlineLevel="0" collapsed="false">
      <c r="A1341" s="1" t="n">
        <v>11340</v>
      </c>
      <c r="B1341" s="14" t="n">
        <v>45901</v>
      </c>
      <c r="C1341" s="1" t="n">
        <v>1714</v>
      </c>
      <c r="D1341" s="1" t="s">
        <v>30</v>
      </c>
      <c r="E1341" s="1" t="s">
        <v>28</v>
      </c>
      <c r="F1341" s="1" t="n">
        <v>6</v>
      </c>
      <c r="G1341" s="15" t="n">
        <v>189.24</v>
      </c>
      <c r="H1341" s="16" t="n">
        <v>0.3</v>
      </c>
      <c r="I1341" s="1" t="s">
        <v>33</v>
      </c>
      <c r="J1341" s="1" t="n">
        <v>11</v>
      </c>
      <c r="K1341" s="1" t="n">
        <v>2.8</v>
      </c>
      <c r="L1341" s="15" t="n">
        <v>794.81</v>
      </c>
      <c r="M1341" s="15" t="n">
        <f aca="false">F1341*G1341</f>
        <v>1135.44</v>
      </c>
      <c r="N1341" s="15" t="n">
        <f aca="false">M1341-L1341</f>
        <v>340.63</v>
      </c>
      <c r="O1341" s="1" t="n">
        <f aca="false">YEAR(B1341)</f>
        <v>2025</v>
      </c>
      <c r="P1341" s="1" t="n">
        <f aca="false">MONTH(B1341)</f>
        <v>9</v>
      </c>
      <c r="Q1341" s="1" t="str">
        <f aca="false">TEXT(B1341,"mmm")</f>
        <v>Sep</v>
      </c>
      <c r="R1341" s="1" t="str">
        <f aca="false">"Q"&amp;ROUNDUP(MONTH(B1341)/3,0)</f>
        <v>Q3</v>
      </c>
    </row>
    <row r="1342" customFormat="false" ht="15" hidden="false" customHeight="true" outlineLevel="0" collapsed="false">
      <c r="A1342" s="1" t="n">
        <v>11341</v>
      </c>
      <c r="B1342" s="14" t="n">
        <v>45902</v>
      </c>
      <c r="C1342" s="1" t="n">
        <v>1391</v>
      </c>
      <c r="D1342" s="1" t="s">
        <v>34</v>
      </c>
      <c r="E1342" s="1" t="s">
        <v>28</v>
      </c>
      <c r="F1342" s="1" t="n">
        <v>6</v>
      </c>
      <c r="G1342" s="15" t="n">
        <v>570.63</v>
      </c>
      <c r="H1342" s="16" t="n">
        <v>0.01</v>
      </c>
      <c r="I1342" s="1" t="s">
        <v>31</v>
      </c>
      <c r="J1342" s="1" t="n">
        <v>1</v>
      </c>
      <c r="K1342" s="1" t="n">
        <v>1.1</v>
      </c>
      <c r="L1342" s="15" t="n">
        <v>3389.54</v>
      </c>
      <c r="M1342" s="15" t="n">
        <f aca="false">F1342*G1342</f>
        <v>3423.78</v>
      </c>
      <c r="N1342" s="15" t="n">
        <f aca="false">M1342-L1342</f>
        <v>34.2399999999998</v>
      </c>
      <c r="O1342" s="1" t="n">
        <f aca="false">YEAR(B1342)</f>
        <v>2025</v>
      </c>
      <c r="P1342" s="1" t="n">
        <f aca="false">MONTH(B1342)</f>
        <v>9</v>
      </c>
      <c r="Q1342" s="1" t="str">
        <f aca="false">TEXT(B1342,"mmm")</f>
        <v>Sep</v>
      </c>
      <c r="R1342" s="1" t="str">
        <f aca="false">"Q"&amp;ROUNDUP(MONTH(B1342)/3,0)</f>
        <v>Q3</v>
      </c>
    </row>
    <row r="1343" customFormat="false" ht="15" hidden="false" customHeight="true" outlineLevel="0" collapsed="false">
      <c r="A1343" s="1" t="n">
        <v>11342</v>
      </c>
      <c r="B1343" s="14" t="n">
        <v>45903</v>
      </c>
      <c r="C1343" s="1" t="n">
        <v>1025</v>
      </c>
      <c r="D1343" s="1" t="s">
        <v>34</v>
      </c>
      <c r="E1343" s="1" t="s">
        <v>32</v>
      </c>
      <c r="F1343" s="1" t="n">
        <v>5</v>
      </c>
      <c r="G1343" s="15" t="n">
        <v>103.73</v>
      </c>
      <c r="H1343" s="16" t="n">
        <v>0.05</v>
      </c>
      <c r="I1343" s="1" t="s">
        <v>29</v>
      </c>
      <c r="J1343" s="1" t="n">
        <v>1</v>
      </c>
      <c r="K1343" s="1" t="n">
        <v>2.9</v>
      </c>
      <c r="L1343" s="15" t="n">
        <v>492.72</v>
      </c>
      <c r="M1343" s="15" t="n">
        <f aca="false">F1343*G1343</f>
        <v>518.65</v>
      </c>
      <c r="N1343" s="15" t="n">
        <f aca="false">M1343-L1343</f>
        <v>25.93</v>
      </c>
      <c r="O1343" s="1" t="n">
        <f aca="false">YEAR(B1343)</f>
        <v>2025</v>
      </c>
      <c r="P1343" s="1" t="n">
        <f aca="false">MONTH(B1343)</f>
        <v>9</v>
      </c>
      <c r="Q1343" s="1" t="str">
        <f aca="false">TEXT(B1343,"mmm")</f>
        <v>Sep</v>
      </c>
      <c r="R1343" s="1" t="str">
        <f aca="false">"Q"&amp;ROUNDUP(MONTH(B1343)/3,0)</f>
        <v>Q3</v>
      </c>
    </row>
    <row r="1344" customFormat="false" ht="15" hidden="false" customHeight="true" outlineLevel="0" collapsed="false">
      <c r="A1344" s="1" t="n">
        <v>11343</v>
      </c>
      <c r="B1344" s="14" t="n">
        <v>45904</v>
      </c>
      <c r="C1344" s="1" t="n">
        <v>1434</v>
      </c>
      <c r="D1344" s="1" t="s">
        <v>34</v>
      </c>
      <c r="E1344" s="1" t="s">
        <v>36</v>
      </c>
      <c r="F1344" s="1" t="n">
        <v>7</v>
      </c>
      <c r="G1344" s="15" t="n">
        <v>62.95</v>
      </c>
      <c r="H1344" s="16" t="n">
        <v>0.04</v>
      </c>
      <c r="I1344" s="1" t="s">
        <v>31</v>
      </c>
      <c r="J1344" s="1" t="n">
        <v>2</v>
      </c>
      <c r="K1344" s="1" t="n">
        <v>4.6</v>
      </c>
      <c r="L1344" s="15" t="n">
        <v>423.02</v>
      </c>
      <c r="M1344" s="15" t="n">
        <f aca="false">F1344*G1344</f>
        <v>440.65</v>
      </c>
      <c r="N1344" s="15" t="n">
        <f aca="false">M1344-L1344</f>
        <v>17.6300000000001</v>
      </c>
      <c r="O1344" s="1" t="n">
        <f aca="false">YEAR(B1344)</f>
        <v>2025</v>
      </c>
      <c r="P1344" s="1" t="n">
        <f aca="false">MONTH(B1344)</f>
        <v>9</v>
      </c>
      <c r="Q1344" s="1" t="str">
        <f aca="false">TEXT(B1344,"mmm")</f>
        <v>Sep</v>
      </c>
      <c r="R1344" s="1" t="str">
        <f aca="false">"Q"&amp;ROUNDUP(MONTH(B1344)/3,0)</f>
        <v>Q3</v>
      </c>
    </row>
    <row r="1345" customFormat="false" ht="15" hidden="false" customHeight="true" outlineLevel="0" collapsed="false">
      <c r="A1345" s="1" t="n">
        <v>11344</v>
      </c>
      <c r="B1345" s="14" t="n">
        <v>45905</v>
      </c>
      <c r="C1345" s="1" t="n">
        <v>1172</v>
      </c>
      <c r="D1345" s="1" t="s">
        <v>34</v>
      </c>
      <c r="E1345" s="1" t="s">
        <v>28</v>
      </c>
      <c r="F1345" s="1" t="n">
        <v>4</v>
      </c>
      <c r="G1345" s="15" t="n">
        <v>267.5</v>
      </c>
      <c r="H1345" s="16" t="n">
        <v>0.14</v>
      </c>
      <c r="I1345" s="1" t="s">
        <v>33</v>
      </c>
      <c r="J1345" s="1" t="n">
        <v>8</v>
      </c>
      <c r="K1345" s="1" t="n">
        <v>3.4</v>
      </c>
      <c r="L1345" s="15" t="n">
        <v>920.2</v>
      </c>
      <c r="M1345" s="15" t="n">
        <f aca="false">F1345*G1345</f>
        <v>1070</v>
      </c>
      <c r="N1345" s="15" t="n">
        <f aca="false">M1345-L1345</f>
        <v>149.8</v>
      </c>
      <c r="O1345" s="1" t="n">
        <f aca="false">YEAR(B1345)</f>
        <v>2025</v>
      </c>
      <c r="P1345" s="1" t="n">
        <f aca="false">MONTH(B1345)</f>
        <v>9</v>
      </c>
      <c r="Q1345" s="1" t="str">
        <f aca="false">TEXT(B1345,"mmm")</f>
        <v>Sep</v>
      </c>
      <c r="R1345" s="1" t="str">
        <f aca="false">"Q"&amp;ROUNDUP(MONTH(B1345)/3,0)</f>
        <v>Q3</v>
      </c>
    </row>
    <row r="1346" customFormat="false" ht="15" hidden="false" customHeight="true" outlineLevel="0" collapsed="false">
      <c r="A1346" s="1" t="n">
        <v>11345</v>
      </c>
      <c r="B1346" s="14" t="n">
        <v>45906</v>
      </c>
      <c r="C1346" s="1" t="n">
        <v>1299</v>
      </c>
      <c r="D1346" s="1" t="s">
        <v>27</v>
      </c>
      <c r="E1346" s="1" t="s">
        <v>28</v>
      </c>
      <c r="F1346" s="1" t="n">
        <v>2</v>
      </c>
      <c r="G1346" s="15" t="n">
        <v>499.57</v>
      </c>
      <c r="H1346" s="16" t="n">
        <v>0.35</v>
      </c>
      <c r="I1346" s="1" t="s">
        <v>31</v>
      </c>
      <c r="J1346" s="1" t="n">
        <v>11</v>
      </c>
      <c r="K1346" s="1" t="n">
        <v>2.8</v>
      </c>
      <c r="L1346" s="15" t="n">
        <v>649.44</v>
      </c>
      <c r="M1346" s="15" t="n">
        <f aca="false">F1346*G1346</f>
        <v>999.14</v>
      </c>
      <c r="N1346" s="15" t="n">
        <f aca="false">M1346-L1346</f>
        <v>349.7</v>
      </c>
      <c r="O1346" s="1" t="n">
        <f aca="false">YEAR(B1346)</f>
        <v>2025</v>
      </c>
      <c r="P1346" s="1" t="n">
        <f aca="false">MONTH(B1346)</f>
        <v>9</v>
      </c>
      <c r="Q1346" s="1" t="str">
        <f aca="false">TEXT(B1346,"mmm")</f>
        <v>Sep</v>
      </c>
      <c r="R1346" s="1" t="str">
        <f aca="false">"Q"&amp;ROUNDUP(MONTH(B1346)/3,0)</f>
        <v>Q3</v>
      </c>
    </row>
    <row r="1347" customFormat="false" ht="15" hidden="false" customHeight="true" outlineLevel="0" collapsed="false">
      <c r="A1347" s="1" t="n">
        <v>11346</v>
      </c>
      <c r="B1347" s="14" t="n">
        <v>45907</v>
      </c>
      <c r="C1347" s="1" t="n">
        <v>1644</v>
      </c>
      <c r="D1347" s="1" t="s">
        <v>27</v>
      </c>
      <c r="E1347" s="1" t="s">
        <v>35</v>
      </c>
      <c r="F1347" s="1" t="n">
        <v>1</v>
      </c>
      <c r="G1347" s="15" t="n">
        <v>291.95</v>
      </c>
      <c r="H1347" s="16" t="n">
        <v>0.06</v>
      </c>
      <c r="I1347" s="1" t="s">
        <v>31</v>
      </c>
      <c r="J1347" s="1" t="n">
        <v>9</v>
      </c>
      <c r="K1347" s="1" t="n">
        <v>1.6</v>
      </c>
      <c r="L1347" s="15" t="n">
        <v>274.43</v>
      </c>
      <c r="M1347" s="15" t="n">
        <f aca="false">F1347*G1347</f>
        <v>291.95</v>
      </c>
      <c r="N1347" s="15" t="n">
        <f aca="false">M1347-L1347</f>
        <v>17.52</v>
      </c>
      <c r="O1347" s="1" t="n">
        <f aca="false">YEAR(B1347)</f>
        <v>2025</v>
      </c>
      <c r="P1347" s="1" t="n">
        <f aca="false">MONTH(B1347)</f>
        <v>9</v>
      </c>
      <c r="Q1347" s="1" t="str">
        <f aca="false">TEXT(B1347,"mmm")</f>
        <v>Sep</v>
      </c>
      <c r="R1347" s="1" t="str">
        <f aca="false">"Q"&amp;ROUNDUP(MONTH(B1347)/3,0)</f>
        <v>Q3</v>
      </c>
    </row>
    <row r="1348" customFormat="false" ht="15" hidden="false" customHeight="true" outlineLevel="0" collapsed="false">
      <c r="A1348" s="1" t="n">
        <v>11347</v>
      </c>
      <c r="B1348" s="14" t="n">
        <v>45908</v>
      </c>
      <c r="C1348" s="1" t="n">
        <v>1325</v>
      </c>
      <c r="D1348" s="1" t="s">
        <v>30</v>
      </c>
      <c r="E1348" s="1" t="s">
        <v>35</v>
      </c>
      <c r="F1348" s="1" t="n">
        <v>2</v>
      </c>
      <c r="G1348" s="15" t="n">
        <v>500.13</v>
      </c>
      <c r="H1348" s="16" t="n">
        <v>0.05</v>
      </c>
      <c r="I1348" s="1" t="s">
        <v>33</v>
      </c>
      <c r="J1348" s="1" t="n">
        <v>11</v>
      </c>
      <c r="K1348" s="1" t="n">
        <v>1.8</v>
      </c>
      <c r="L1348" s="15" t="n">
        <v>950.25</v>
      </c>
      <c r="M1348" s="15" t="n">
        <f aca="false">F1348*G1348</f>
        <v>1000.26</v>
      </c>
      <c r="N1348" s="15" t="n">
        <f aca="false">M1348-L1348</f>
        <v>50.01</v>
      </c>
      <c r="O1348" s="1" t="n">
        <f aca="false">YEAR(B1348)</f>
        <v>2025</v>
      </c>
      <c r="P1348" s="1" t="n">
        <f aca="false">MONTH(B1348)</f>
        <v>9</v>
      </c>
      <c r="Q1348" s="1" t="str">
        <f aca="false">TEXT(B1348,"mmm")</f>
        <v>Sep</v>
      </c>
      <c r="R1348" s="1" t="str">
        <f aca="false">"Q"&amp;ROUNDUP(MONTH(B1348)/3,0)</f>
        <v>Q3</v>
      </c>
    </row>
    <row r="1349" customFormat="false" ht="15" hidden="false" customHeight="true" outlineLevel="0" collapsed="false">
      <c r="A1349" s="1" t="n">
        <v>11348</v>
      </c>
      <c r="B1349" s="14" t="n">
        <v>45909</v>
      </c>
      <c r="C1349" s="1" t="n">
        <v>1409</v>
      </c>
      <c r="D1349" s="1" t="s">
        <v>37</v>
      </c>
      <c r="E1349" s="1" t="s">
        <v>28</v>
      </c>
      <c r="F1349" s="1" t="n">
        <v>1</v>
      </c>
      <c r="G1349" s="15" t="n">
        <v>441.87</v>
      </c>
      <c r="H1349" s="16" t="n">
        <v>0.32</v>
      </c>
      <c r="I1349" s="1" t="s">
        <v>29</v>
      </c>
      <c r="J1349" s="1" t="n">
        <v>11</v>
      </c>
      <c r="K1349" s="1" t="n">
        <v>1.3</v>
      </c>
      <c r="L1349" s="15" t="n">
        <v>300.47</v>
      </c>
      <c r="M1349" s="15" t="n">
        <f aca="false">F1349*G1349</f>
        <v>441.87</v>
      </c>
      <c r="N1349" s="15" t="n">
        <f aca="false">M1349-L1349</f>
        <v>141.4</v>
      </c>
      <c r="O1349" s="1" t="n">
        <f aca="false">YEAR(B1349)</f>
        <v>2025</v>
      </c>
      <c r="P1349" s="1" t="n">
        <f aca="false">MONTH(B1349)</f>
        <v>9</v>
      </c>
      <c r="Q1349" s="1" t="str">
        <f aca="false">TEXT(B1349,"mmm")</f>
        <v>Sep</v>
      </c>
      <c r="R1349" s="1" t="str">
        <f aca="false">"Q"&amp;ROUNDUP(MONTH(B1349)/3,0)</f>
        <v>Q3</v>
      </c>
    </row>
    <row r="1350" customFormat="false" ht="15" hidden="false" customHeight="true" outlineLevel="0" collapsed="false">
      <c r="A1350" s="1" t="n">
        <v>11349</v>
      </c>
      <c r="B1350" s="14" t="n">
        <v>45910</v>
      </c>
      <c r="C1350" s="1" t="n">
        <v>1117</v>
      </c>
      <c r="D1350" s="1" t="s">
        <v>34</v>
      </c>
      <c r="E1350" s="1" t="s">
        <v>36</v>
      </c>
      <c r="F1350" s="1" t="n">
        <v>3</v>
      </c>
      <c r="G1350" s="15" t="n">
        <v>137.52</v>
      </c>
      <c r="H1350" s="16" t="n">
        <v>0.31</v>
      </c>
      <c r="I1350" s="1" t="s">
        <v>33</v>
      </c>
      <c r="J1350" s="1" t="n">
        <v>7</v>
      </c>
      <c r="K1350" s="1" t="n">
        <v>4</v>
      </c>
      <c r="L1350" s="15" t="n">
        <v>284.67</v>
      </c>
      <c r="M1350" s="15" t="n">
        <f aca="false">F1350*G1350</f>
        <v>412.56</v>
      </c>
      <c r="N1350" s="15" t="n">
        <f aca="false">M1350-L1350</f>
        <v>127.89</v>
      </c>
      <c r="O1350" s="1" t="n">
        <f aca="false">YEAR(B1350)</f>
        <v>2025</v>
      </c>
      <c r="P1350" s="1" t="n">
        <f aca="false">MONTH(B1350)</f>
        <v>9</v>
      </c>
      <c r="Q1350" s="1" t="str">
        <f aca="false">TEXT(B1350,"mmm")</f>
        <v>Sep</v>
      </c>
      <c r="R1350" s="1" t="str">
        <f aca="false">"Q"&amp;ROUNDUP(MONTH(B1350)/3,0)</f>
        <v>Q3</v>
      </c>
    </row>
    <row r="1351" customFormat="false" ht="15" hidden="false" customHeight="true" outlineLevel="0" collapsed="false">
      <c r="A1351" s="1" t="n">
        <v>11350</v>
      </c>
      <c r="B1351" s="14" t="n">
        <v>45911</v>
      </c>
      <c r="C1351" s="1" t="n">
        <v>1835</v>
      </c>
      <c r="D1351" s="1" t="s">
        <v>37</v>
      </c>
      <c r="E1351" s="1" t="s">
        <v>28</v>
      </c>
      <c r="F1351" s="1" t="n">
        <v>5</v>
      </c>
      <c r="G1351" s="15" t="n">
        <v>570.1</v>
      </c>
      <c r="H1351" s="16" t="n">
        <v>0.01</v>
      </c>
      <c r="I1351" s="1" t="s">
        <v>29</v>
      </c>
      <c r="J1351" s="1" t="n">
        <v>1</v>
      </c>
      <c r="K1351" s="1" t="n">
        <v>1.3</v>
      </c>
      <c r="L1351" s="15" t="n">
        <v>2822</v>
      </c>
      <c r="M1351" s="15" t="n">
        <f aca="false">F1351*G1351</f>
        <v>2850.5</v>
      </c>
      <c r="N1351" s="15" t="n">
        <f aca="false">M1351-L1351</f>
        <v>28.5</v>
      </c>
      <c r="O1351" s="1" t="n">
        <f aca="false">YEAR(B1351)</f>
        <v>2025</v>
      </c>
      <c r="P1351" s="1" t="n">
        <f aca="false">MONTH(B1351)</f>
        <v>9</v>
      </c>
      <c r="Q1351" s="1" t="str">
        <f aca="false">TEXT(B1351,"mmm")</f>
        <v>Sep</v>
      </c>
      <c r="R1351" s="1" t="str">
        <f aca="false">"Q"&amp;ROUNDUP(MONTH(B1351)/3,0)</f>
        <v>Q3</v>
      </c>
    </row>
    <row r="1352" customFormat="false" ht="15" hidden="false" customHeight="true" outlineLevel="0" collapsed="false">
      <c r="A1352" s="1" t="n">
        <v>11351</v>
      </c>
      <c r="B1352" s="14" t="n">
        <v>45912</v>
      </c>
      <c r="C1352" s="1" t="n">
        <v>1786</v>
      </c>
      <c r="D1352" s="1" t="s">
        <v>37</v>
      </c>
      <c r="E1352" s="1" t="s">
        <v>28</v>
      </c>
      <c r="F1352" s="1" t="n">
        <v>6</v>
      </c>
      <c r="G1352" s="15" t="n">
        <v>50.56</v>
      </c>
      <c r="H1352" s="16" t="n">
        <v>0.26</v>
      </c>
      <c r="I1352" s="1" t="s">
        <v>33</v>
      </c>
      <c r="J1352" s="1" t="n">
        <v>7</v>
      </c>
      <c r="K1352" s="1" t="n">
        <v>2.5</v>
      </c>
      <c r="L1352" s="15" t="n">
        <v>224.49</v>
      </c>
      <c r="M1352" s="15" t="n">
        <f aca="false">F1352*G1352</f>
        <v>303.36</v>
      </c>
      <c r="N1352" s="15" t="n">
        <f aca="false">M1352-L1352</f>
        <v>78.87</v>
      </c>
      <c r="O1352" s="1" t="n">
        <f aca="false">YEAR(B1352)</f>
        <v>2025</v>
      </c>
      <c r="P1352" s="1" t="n">
        <f aca="false">MONTH(B1352)</f>
        <v>9</v>
      </c>
      <c r="Q1352" s="1" t="str">
        <f aca="false">TEXT(B1352,"mmm")</f>
        <v>Sep</v>
      </c>
      <c r="R1352" s="1" t="str">
        <f aca="false">"Q"&amp;ROUNDUP(MONTH(B1352)/3,0)</f>
        <v>Q3</v>
      </c>
    </row>
    <row r="1353" customFormat="false" ht="15" hidden="false" customHeight="true" outlineLevel="0" collapsed="false">
      <c r="A1353" s="1" t="n">
        <v>11352</v>
      </c>
      <c r="B1353" s="14" t="n">
        <v>45913</v>
      </c>
      <c r="C1353" s="1" t="n">
        <v>1723</v>
      </c>
      <c r="D1353" s="1" t="s">
        <v>27</v>
      </c>
      <c r="E1353" s="1" t="s">
        <v>32</v>
      </c>
      <c r="F1353" s="1" t="n">
        <v>6</v>
      </c>
      <c r="G1353" s="15" t="n">
        <v>540.49</v>
      </c>
      <c r="H1353" s="16" t="n">
        <v>0.23</v>
      </c>
      <c r="I1353" s="1" t="s">
        <v>31</v>
      </c>
      <c r="J1353" s="1" t="n">
        <v>8</v>
      </c>
      <c r="K1353" s="1" t="n">
        <v>4</v>
      </c>
      <c r="L1353" s="15" t="n">
        <v>2497.06</v>
      </c>
      <c r="M1353" s="15" t="n">
        <f aca="false">F1353*G1353</f>
        <v>3242.94</v>
      </c>
      <c r="N1353" s="15" t="n">
        <f aca="false">M1353-L1353</f>
        <v>745.88</v>
      </c>
      <c r="O1353" s="1" t="n">
        <f aca="false">YEAR(B1353)</f>
        <v>2025</v>
      </c>
      <c r="P1353" s="1" t="n">
        <f aca="false">MONTH(B1353)</f>
        <v>9</v>
      </c>
      <c r="Q1353" s="1" t="str">
        <f aca="false">TEXT(B1353,"mmm")</f>
        <v>Sep</v>
      </c>
      <c r="R1353" s="1" t="str">
        <f aca="false">"Q"&amp;ROUNDUP(MONTH(B1353)/3,0)</f>
        <v>Q3</v>
      </c>
    </row>
    <row r="1354" customFormat="false" ht="15" hidden="false" customHeight="true" outlineLevel="0" collapsed="false">
      <c r="A1354" s="1" t="n">
        <v>11353</v>
      </c>
      <c r="B1354" s="14" t="n">
        <v>45914</v>
      </c>
      <c r="C1354" s="1" t="n">
        <v>1224</v>
      </c>
      <c r="D1354" s="1" t="s">
        <v>30</v>
      </c>
      <c r="E1354" s="1" t="s">
        <v>36</v>
      </c>
      <c r="F1354" s="1" t="n">
        <v>4</v>
      </c>
      <c r="G1354" s="15" t="n">
        <v>193.1</v>
      </c>
      <c r="H1354" s="16" t="n">
        <v>0.27</v>
      </c>
      <c r="I1354" s="1" t="s">
        <v>31</v>
      </c>
      <c r="J1354" s="1" t="n">
        <v>7</v>
      </c>
      <c r="K1354" s="1" t="n">
        <v>3.9</v>
      </c>
      <c r="L1354" s="15" t="n">
        <v>563.85</v>
      </c>
      <c r="M1354" s="15" t="n">
        <f aca="false">F1354*G1354</f>
        <v>772.4</v>
      </c>
      <c r="N1354" s="15" t="n">
        <f aca="false">M1354-L1354</f>
        <v>208.55</v>
      </c>
      <c r="O1354" s="1" t="n">
        <f aca="false">YEAR(B1354)</f>
        <v>2025</v>
      </c>
      <c r="P1354" s="1" t="n">
        <f aca="false">MONTH(B1354)</f>
        <v>9</v>
      </c>
      <c r="Q1354" s="1" t="str">
        <f aca="false">TEXT(B1354,"mmm")</f>
        <v>Sep</v>
      </c>
      <c r="R1354" s="1" t="str">
        <f aca="false">"Q"&amp;ROUNDUP(MONTH(B1354)/3,0)</f>
        <v>Q3</v>
      </c>
    </row>
    <row r="1355" customFormat="false" ht="15" hidden="false" customHeight="true" outlineLevel="0" collapsed="false">
      <c r="A1355" s="1" t="n">
        <v>11354</v>
      </c>
      <c r="B1355" s="14" t="n">
        <v>45915</v>
      </c>
      <c r="C1355" s="1" t="n">
        <v>1531</v>
      </c>
      <c r="D1355" s="1" t="s">
        <v>37</v>
      </c>
      <c r="E1355" s="1" t="s">
        <v>32</v>
      </c>
      <c r="F1355" s="1" t="n">
        <v>7</v>
      </c>
      <c r="G1355" s="15" t="n">
        <v>307.59</v>
      </c>
      <c r="H1355" s="16" t="n">
        <v>0.17</v>
      </c>
      <c r="I1355" s="1" t="s">
        <v>33</v>
      </c>
      <c r="J1355" s="1" t="n">
        <v>5</v>
      </c>
      <c r="K1355" s="1" t="n">
        <v>3.3</v>
      </c>
      <c r="L1355" s="15" t="n">
        <v>1787.1</v>
      </c>
      <c r="M1355" s="15" t="n">
        <f aca="false">F1355*G1355</f>
        <v>2153.13</v>
      </c>
      <c r="N1355" s="15" t="n">
        <f aca="false">M1355-L1355</f>
        <v>366.03</v>
      </c>
      <c r="O1355" s="1" t="n">
        <f aca="false">YEAR(B1355)</f>
        <v>2025</v>
      </c>
      <c r="P1355" s="1" t="n">
        <f aca="false">MONTH(B1355)</f>
        <v>9</v>
      </c>
      <c r="Q1355" s="1" t="str">
        <f aca="false">TEXT(B1355,"mmm")</f>
        <v>Sep</v>
      </c>
      <c r="R1355" s="1" t="str">
        <f aca="false">"Q"&amp;ROUNDUP(MONTH(B1355)/3,0)</f>
        <v>Q3</v>
      </c>
    </row>
    <row r="1356" customFormat="false" ht="15" hidden="false" customHeight="true" outlineLevel="0" collapsed="false">
      <c r="A1356" s="1" t="n">
        <v>11355</v>
      </c>
      <c r="B1356" s="14" t="n">
        <v>45916</v>
      </c>
      <c r="C1356" s="1" t="n">
        <v>1112</v>
      </c>
      <c r="D1356" s="1" t="s">
        <v>34</v>
      </c>
      <c r="E1356" s="1" t="s">
        <v>36</v>
      </c>
      <c r="F1356" s="1" t="n">
        <v>7</v>
      </c>
      <c r="G1356" s="15" t="n">
        <v>262.08</v>
      </c>
      <c r="H1356" s="16" t="n">
        <v>0.35</v>
      </c>
      <c r="I1356" s="1" t="s">
        <v>31</v>
      </c>
      <c r="J1356" s="1" t="n">
        <v>7</v>
      </c>
      <c r="K1356" s="1" t="n">
        <v>3.3</v>
      </c>
      <c r="L1356" s="15" t="n">
        <v>1192.46</v>
      </c>
      <c r="M1356" s="15" t="n">
        <f aca="false">F1356*G1356</f>
        <v>1834.56</v>
      </c>
      <c r="N1356" s="15" t="n">
        <f aca="false">M1356-L1356</f>
        <v>642.1</v>
      </c>
      <c r="O1356" s="1" t="n">
        <f aca="false">YEAR(B1356)</f>
        <v>2025</v>
      </c>
      <c r="P1356" s="1" t="n">
        <f aca="false">MONTH(B1356)</f>
        <v>9</v>
      </c>
      <c r="Q1356" s="1" t="str">
        <f aca="false">TEXT(B1356,"mmm")</f>
        <v>Sep</v>
      </c>
      <c r="R1356" s="1" t="str">
        <f aca="false">"Q"&amp;ROUNDUP(MONTH(B1356)/3,0)</f>
        <v>Q3</v>
      </c>
    </row>
    <row r="1357" customFormat="false" ht="15" hidden="false" customHeight="true" outlineLevel="0" collapsed="false">
      <c r="A1357" s="1" t="n">
        <v>11356</v>
      </c>
      <c r="B1357" s="14" t="n">
        <v>45917</v>
      </c>
      <c r="C1357" s="1" t="n">
        <v>1139</v>
      </c>
      <c r="D1357" s="1" t="s">
        <v>27</v>
      </c>
      <c r="E1357" s="1" t="s">
        <v>36</v>
      </c>
      <c r="F1357" s="1" t="n">
        <v>2</v>
      </c>
      <c r="G1357" s="15" t="n">
        <v>115.52</v>
      </c>
      <c r="H1357" s="16" t="n">
        <v>0.02</v>
      </c>
      <c r="I1357" s="1" t="s">
        <v>33</v>
      </c>
      <c r="J1357" s="1" t="n">
        <v>10</v>
      </c>
      <c r="K1357" s="1" t="n">
        <v>1.4</v>
      </c>
      <c r="L1357" s="15" t="n">
        <v>226.42</v>
      </c>
      <c r="M1357" s="15" t="n">
        <f aca="false">F1357*G1357</f>
        <v>231.04</v>
      </c>
      <c r="N1357" s="15" t="n">
        <f aca="false">M1357-L1357</f>
        <v>4.62</v>
      </c>
      <c r="O1357" s="1" t="n">
        <f aca="false">YEAR(B1357)</f>
        <v>2025</v>
      </c>
      <c r="P1357" s="1" t="n">
        <f aca="false">MONTH(B1357)</f>
        <v>9</v>
      </c>
      <c r="Q1357" s="1" t="str">
        <f aca="false">TEXT(B1357,"mmm")</f>
        <v>Sep</v>
      </c>
      <c r="R1357" s="1" t="str">
        <f aca="false">"Q"&amp;ROUNDUP(MONTH(B1357)/3,0)</f>
        <v>Q3</v>
      </c>
    </row>
    <row r="1358" customFormat="false" ht="15" hidden="false" customHeight="true" outlineLevel="0" collapsed="false">
      <c r="A1358" s="1" t="n">
        <v>11357</v>
      </c>
      <c r="B1358" s="14" t="n">
        <v>45918</v>
      </c>
      <c r="C1358" s="1" t="n">
        <v>1558</v>
      </c>
      <c r="D1358" s="1" t="s">
        <v>34</v>
      </c>
      <c r="E1358" s="1" t="s">
        <v>36</v>
      </c>
      <c r="F1358" s="1" t="n">
        <v>2</v>
      </c>
      <c r="G1358" s="15" t="n">
        <v>224.52</v>
      </c>
      <c r="H1358" s="16" t="n">
        <v>0.08</v>
      </c>
      <c r="I1358" s="1" t="s">
        <v>31</v>
      </c>
      <c r="J1358" s="1" t="n">
        <v>11</v>
      </c>
      <c r="K1358" s="1" t="n">
        <v>1.7</v>
      </c>
      <c r="L1358" s="15" t="n">
        <v>413.12</v>
      </c>
      <c r="M1358" s="15" t="n">
        <f aca="false">F1358*G1358</f>
        <v>449.04</v>
      </c>
      <c r="N1358" s="15" t="n">
        <f aca="false">M1358-L1358</f>
        <v>35.92</v>
      </c>
      <c r="O1358" s="1" t="n">
        <f aca="false">YEAR(B1358)</f>
        <v>2025</v>
      </c>
      <c r="P1358" s="1" t="n">
        <f aca="false">MONTH(B1358)</f>
        <v>9</v>
      </c>
      <c r="Q1358" s="1" t="str">
        <f aca="false">TEXT(B1358,"mmm")</f>
        <v>Sep</v>
      </c>
      <c r="R1358" s="1" t="str">
        <f aca="false">"Q"&amp;ROUNDUP(MONTH(B1358)/3,0)</f>
        <v>Q3</v>
      </c>
    </row>
    <row r="1359" customFormat="false" ht="15" hidden="false" customHeight="true" outlineLevel="0" collapsed="false">
      <c r="A1359" s="1" t="n">
        <v>11358</v>
      </c>
      <c r="B1359" s="14" t="n">
        <v>45919</v>
      </c>
      <c r="C1359" s="1" t="n">
        <v>1000</v>
      </c>
      <c r="D1359" s="1" t="s">
        <v>30</v>
      </c>
      <c r="E1359" s="1" t="s">
        <v>32</v>
      </c>
      <c r="F1359" s="1" t="n">
        <v>2</v>
      </c>
      <c r="G1359" s="15" t="n">
        <v>127.87</v>
      </c>
      <c r="H1359" s="16" t="n">
        <v>0.14</v>
      </c>
      <c r="I1359" s="1" t="s">
        <v>31</v>
      </c>
      <c r="J1359" s="1" t="n">
        <v>2</v>
      </c>
      <c r="K1359" s="1" t="n">
        <v>3.1</v>
      </c>
      <c r="L1359" s="15" t="n">
        <v>219.94</v>
      </c>
      <c r="M1359" s="15" t="n">
        <f aca="false">F1359*G1359</f>
        <v>255.74</v>
      </c>
      <c r="N1359" s="15" t="n">
        <f aca="false">M1359-L1359</f>
        <v>35.8</v>
      </c>
      <c r="O1359" s="1" t="n">
        <f aca="false">YEAR(B1359)</f>
        <v>2025</v>
      </c>
      <c r="P1359" s="1" t="n">
        <f aca="false">MONTH(B1359)</f>
        <v>9</v>
      </c>
      <c r="Q1359" s="1" t="str">
        <f aca="false">TEXT(B1359,"mmm")</f>
        <v>Sep</v>
      </c>
      <c r="R1359" s="1" t="str">
        <f aca="false">"Q"&amp;ROUNDUP(MONTH(B1359)/3,0)</f>
        <v>Q3</v>
      </c>
    </row>
    <row r="1360" customFormat="false" ht="15" hidden="false" customHeight="true" outlineLevel="0" collapsed="false">
      <c r="A1360" s="1" t="n">
        <v>11359</v>
      </c>
      <c r="B1360" s="14" t="n">
        <v>45920</v>
      </c>
      <c r="C1360" s="1" t="n">
        <v>1089</v>
      </c>
      <c r="D1360" s="1" t="s">
        <v>37</v>
      </c>
      <c r="E1360" s="1" t="s">
        <v>32</v>
      </c>
      <c r="F1360" s="1" t="n">
        <v>7</v>
      </c>
      <c r="G1360" s="15" t="n">
        <v>134.27</v>
      </c>
      <c r="H1360" s="16" t="n">
        <v>0.16</v>
      </c>
      <c r="I1360" s="1" t="s">
        <v>33</v>
      </c>
      <c r="J1360" s="1" t="n">
        <v>9</v>
      </c>
      <c r="K1360" s="1" t="n">
        <v>2.4</v>
      </c>
      <c r="L1360" s="15" t="n">
        <v>789.51</v>
      </c>
      <c r="M1360" s="15" t="n">
        <f aca="false">F1360*G1360</f>
        <v>939.89</v>
      </c>
      <c r="N1360" s="15" t="n">
        <f aca="false">M1360-L1360</f>
        <v>150.38</v>
      </c>
      <c r="O1360" s="1" t="n">
        <f aca="false">YEAR(B1360)</f>
        <v>2025</v>
      </c>
      <c r="P1360" s="1" t="n">
        <f aca="false">MONTH(B1360)</f>
        <v>9</v>
      </c>
      <c r="Q1360" s="1" t="str">
        <f aca="false">TEXT(B1360,"mmm")</f>
        <v>Sep</v>
      </c>
      <c r="R1360" s="1" t="str">
        <f aca="false">"Q"&amp;ROUNDUP(MONTH(B1360)/3,0)</f>
        <v>Q3</v>
      </c>
    </row>
    <row r="1361" customFormat="false" ht="15" hidden="false" customHeight="true" outlineLevel="0" collapsed="false">
      <c r="A1361" s="1" t="n">
        <v>11360</v>
      </c>
      <c r="B1361" s="14" t="n">
        <v>45921</v>
      </c>
      <c r="C1361" s="1" t="n">
        <v>1653</v>
      </c>
      <c r="D1361" s="1" t="s">
        <v>37</v>
      </c>
      <c r="E1361" s="1" t="s">
        <v>32</v>
      </c>
      <c r="F1361" s="1" t="n">
        <v>6</v>
      </c>
      <c r="G1361" s="15" t="n">
        <v>124.43</v>
      </c>
      <c r="H1361" s="16" t="n">
        <v>0.32</v>
      </c>
      <c r="I1361" s="1" t="s">
        <v>33</v>
      </c>
      <c r="J1361" s="1" t="n">
        <v>2</v>
      </c>
      <c r="K1361" s="1" t="n">
        <v>1.1</v>
      </c>
      <c r="L1361" s="15" t="n">
        <v>507.67</v>
      </c>
      <c r="M1361" s="15" t="n">
        <f aca="false">F1361*G1361</f>
        <v>746.58</v>
      </c>
      <c r="N1361" s="15" t="n">
        <f aca="false">M1361-L1361</f>
        <v>238.91</v>
      </c>
      <c r="O1361" s="1" t="n">
        <f aca="false">YEAR(B1361)</f>
        <v>2025</v>
      </c>
      <c r="P1361" s="1" t="n">
        <f aca="false">MONTH(B1361)</f>
        <v>9</v>
      </c>
      <c r="Q1361" s="1" t="str">
        <f aca="false">TEXT(B1361,"mmm")</f>
        <v>Sep</v>
      </c>
      <c r="R1361" s="1" t="str">
        <f aca="false">"Q"&amp;ROUNDUP(MONTH(B1361)/3,0)</f>
        <v>Q3</v>
      </c>
    </row>
    <row r="1362" customFormat="false" ht="15" hidden="false" customHeight="true" outlineLevel="0" collapsed="false">
      <c r="A1362" s="1" t="n">
        <v>11361</v>
      </c>
      <c r="B1362" s="14" t="n">
        <v>45922</v>
      </c>
      <c r="C1362" s="1" t="n">
        <v>1319</v>
      </c>
      <c r="D1362" s="1" t="s">
        <v>34</v>
      </c>
      <c r="E1362" s="1" t="s">
        <v>35</v>
      </c>
      <c r="F1362" s="1" t="n">
        <v>7</v>
      </c>
      <c r="G1362" s="15" t="n">
        <v>301.08</v>
      </c>
      <c r="H1362" s="16" t="n">
        <v>0.2</v>
      </c>
      <c r="I1362" s="1" t="s">
        <v>31</v>
      </c>
      <c r="J1362" s="1" t="n">
        <v>2</v>
      </c>
      <c r="K1362" s="1" t="n">
        <v>4.2</v>
      </c>
      <c r="L1362" s="15" t="n">
        <v>1686.05</v>
      </c>
      <c r="M1362" s="15" t="n">
        <f aca="false">F1362*G1362</f>
        <v>2107.56</v>
      </c>
      <c r="N1362" s="15" t="n">
        <f aca="false">M1362-L1362</f>
        <v>421.51</v>
      </c>
      <c r="O1362" s="1" t="n">
        <f aca="false">YEAR(B1362)</f>
        <v>2025</v>
      </c>
      <c r="P1362" s="1" t="n">
        <f aca="false">MONTH(B1362)</f>
        <v>9</v>
      </c>
      <c r="Q1362" s="1" t="str">
        <f aca="false">TEXT(B1362,"mmm")</f>
        <v>Sep</v>
      </c>
      <c r="R1362" s="1" t="str">
        <f aca="false">"Q"&amp;ROUNDUP(MONTH(B1362)/3,0)</f>
        <v>Q3</v>
      </c>
    </row>
    <row r="1363" customFormat="false" ht="15" hidden="false" customHeight="true" outlineLevel="0" collapsed="false">
      <c r="A1363" s="1" t="n">
        <v>11362</v>
      </c>
      <c r="B1363" s="14" t="n">
        <v>45923</v>
      </c>
      <c r="C1363" s="1" t="n">
        <v>1549</v>
      </c>
      <c r="D1363" s="1" t="s">
        <v>27</v>
      </c>
      <c r="E1363" s="1" t="s">
        <v>32</v>
      </c>
      <c r="F1363" s="1" t="n">
        <v>2</v>
      </c>
      <c r="G1363" s="15" t="n">
        <v>481.79</v>
      </c>
      <c r="H1363" s="16" t="n">
        <v>0.02</v>
      </c>
      <c r="I1363" s="1" t="s">
        <v>31</v>
      </c>
      <c r="J1363" s="1" t="n">
        <v>5</v>
      </c>
      <c r="K1363" s="1" t="n">
        <v>3.6</v>
      </c>
      <c r="L1363" s="15" t="n">
        <v>944.31</v>
      </c>
      <c r="M1363" s="15" t="n">
        <f aca="false">F1363*G1363</f>
        <v>963.58</v>
      </c>
      <c r="N1363" s="15" t="n">
        <f aca="false">M1363-L1363</f>
        <v>19.2700000000001</v>
      </c>
      <c r="O1363" s="1" t="n">
        <f aca="false">YEAR(B1363)</f>
        <v>2025</v>
      </c>
      <c r="P1363" s="1" t="n">
        <f aca="false">MONTH(B1363)</f>
        <v>9</v>
      </c>
      <c r="Q1363" s="1" t="str">
        <f aca="false">TEXT(B1363,"mmm")</f>
        <v>Sep</v>
      </c>
      <c r="R1363" s="1" t="str">
        <f aca="false">"Q"&amp;ROUNDUP(MONTH(B1363)/3,0)</f>
        <v>Q3</v>
      </c>
    </row>
    <row r="1364" customFormat="false" ht="15" hidden="false" customHeight="true" outlineLevel="0" collapsed="false">
      <c r="A1364" s="1" t="n">
        <v>11363</v>
      </c>
      <c r="B1364" s="14" t="n">
        <v>45924</v>
      </c>
      <c r="C1364" s="1" t="n">
        <v>1804</v>
      </c>
      <c r="D1364" s="1" t="s">
        <v>34</v>
      </c>
      <c r="E1364" s="1" t="s">
        <v>35</v>
      </c>
      <c r="F1364" s="1" t="n">
        <v>5</v>
      </c>
      <c r="G1364" s="15" t="n">
        <v>347.85</v>
      </c>
      <c r="H1364" s="16" t="n">
        <v>0.14</v>
      </c>
      <c r="I1364" s="1" t="s">
        <v>31</v>
      </c>
      <c r="J1364" s="1" t="n">
        <v>8</v>
      </c>
      <c r="K1364" s="1" t="n">
        <v>2.3</v>
      </c>
      <c r="L1364" s="15" t="n">
        <v>1495.76</v>
      </c>
      <c r="M1364" s="15" t="n">
        <f aca="false">F1364*G1364</f>
        <v>1739.25</v>
      </c>
      <c r="N1364" s="15" t="n">
        <f aca="false">M1364-L1364</f>
        <v>243.49</v>
      </c>
      <c r="O1364" s="1" t="n">
        <f aca="false">YEAR(B1364)</f>
        <v>2025</v>
      </c>
      <c r="P1364" s="1" t="n">
        <f aca="false">MONTH(B1364)</f>
        <v>9</v>
      </c>
      <c r="Q1364" s="1" t="str">
        <f aca="false">TEXT(B1364,"mmm")</f>
        <v>Sep</v>
      </c>
      <c r="R1364" s="1" t="str">
        <f aca="false">"Q"&amp;ROUNDUP(MONTH(B1364)/3,0)</f>
        <v>Q3</v>
      </c>
    </row>
    <row r="1365" customFormat="false" ht="15" hidden="false" customHeight="true" outlineLevel="0" collapsed="false">
      <c r="A1365" s="1" t="n">
        <v>11364</v>
      </c>
      <c r="B1365" s="14" t="n">
        <v>45925</v>
      </c>
      <c r="C1365" s="1" t="n">
        <v>1893</v>
      </c>
      <c r="D1365" s="1" t="s">
        <v>30</v>
      </c>
      <c r="E1365" s="1" t="s">
        <v>35</v>
      </c>
      <c r="F1365" s="1" t="n">
        <v>1</v>
      </c>
      <c r="G1365" s="15" t="n">
        <v>537.53</v>
      </c>
      <c r="H1365" s="16" t="n">
        <v>0.15</v>
      </c>
      <c r="I1365" s="1" t="s">
        <v>31</v>
      </c>
      <c r="J1365" s="1" t="n">
        <v>6</v>
      </c>
      <c r="K1365" s="1" t="n">
        <v>1.4</v>
      </c>
      <c r="L1365" s="15" t="n">
        <v>456.9</v>
      </c>
      <c r="M1365" s="15" t="n">
        <f aca="false">F1365*G1365</f>
        <v>537.53</v>
      </c>
      <c r="N1365" s="15" t="n">
        <f aca="false">M1365-L1365</f>
        <v>80.63</v>
      </c>
      <c r="O1365" s="1" t="n">
        <f aca="false">YEAR(B1365)</f>
        <v>2025</v>
      </c>
      <c r="P1365" s="1" t="n">
        <f aca="false">MONTH(B1365)</f>
        <v>9</v>
      </c>
      <c r="Q1365" s="1" t="str">
        <f aca="false">TEXT(B1365,"mmm")</f>
        <v>Sep</v>
      </c>
      <c r="R1365" s="1" t="str">
        <f aca="false">"Q"&amp;ROUNDUP(MONTH(B1365)/3,0)</f>
        <v>Q3</v>
      </c>
    </row>
    <row r="1366" customFormat="false" ht="15" hidden="false" customHeight="true" outlineLevel="0" collapsed="false">
      <c r="A1366" s="1" t="n">
        <v>11365</v>
      </c>
      <c r="B1366" s="14" t="n">
        <v>45926</v>
      </c>
      <c r="C1366" s="1" t="n">
        <v>1138</v>
      </c>
      <c r="D1366" s="1" t="s">
        <v>34</v>
      </c>
      <c r="E1366" s="1" t="s">
        <v>35</v>
      </c>
      <c r="F1366" s="1" t="n">
        <v>6</v>
      </c>
      <c r="G1366" s="15" t="n">
        <v>387.38</v>
      </c>
      <c r="H1366" s="16" t="n">
        <v>0.34</v>
      </c>
      <c r="I1366" s="1" t="s">
        <v>33</v>
      </c>
      <c r="J1366" s="1" t="n">
        <v>9</v>
      </c>
      <c r="K1366" s="1" t="n">
        <v>3.4</v>
      </c>
      <c r="L1366" s="15" t="n">
        <v>1534.02</v>
      </c>
      <c r="M1366" s="15" t="n">
        <f aca="false">F1366*G1366</f>
        <v>2324.28</v>
      </c>
      <c r="N1366" s="15" t="n">
        <f aca="false">M1366-L1366</f>
        <v>790.26</v>
      </c>
      <c r="O1366" s="1" t="n">
        <f aca="false">YEAR(B1366)</f>
        <v>2025</v>
      </c>
      <c r="P1366" s="1" t="n">
        <f aca="false">MONTH(B1366)</f>
        <v>9</v>
      </c>
      <c r="Q1366" s="1" t="str">
        <f aca="false">TEXT(B1366,"mmm")</f>
        <v>Sep</v>
      </c>
      <c r="R1366" s="1" t="str">
        <f aca="false">"Q"&amp;ROUNDUP(MONTH(B1366)/3,0)</f>
        <v>Q3</v>
      </c>
    </row>
    <row r="1367" customFormat="false" ht="15" hidden="false" customHeight="true" outlineLevel="0" collapsed="false">
      <c r="A1367" s="1" t="n">
        <v>11366</v>
      </c>
      <c r="B1367" s="14" t="n">
        <v>45927</v>
      </c>
      <c r="C1367" s="1" t="n">
        <v>1510</v>
      </c>
      <c r="D1367" s="1" t="s">
        <v>34</v>
      </c>
      <c r="E1367" s="1" t="s">
        <v>28</v>
      </c>
      <c r="F1367" s="1" t="n">
        <v>5</v>
      </c>
      <c r="G1367" s="15" t="n">
        <v>418.26</v>
      </c>
      <c r="H1367" s="16" t="n">
        <v>0.21</v>
      </c>
      <c r="I1367" s="1" t="s">
        <v>33</v>
      </c>
      <c r="J1367" s="1" t="n">
        <v>6</v>
      </c>
      <c r="K1367" s="1" t="n">
        <v>2.4</v>
      </c>
      <c r="L1367" s="15" t="n">
        <v>1652.13</v>
      </c>
      <c r="M1367" s="15" t="n">
        <f aca="false">F1367*G1367</f>
        <v>2091.3</v>
      </c>
      <c r="N1367" s="15" t="n">
        <f aca="false">M1367-L1367</f>
        <v>439.17</v>
      </c>
      <c r="O1367" s="1" t="n">
        <f aca="false">YEAR(B1367)</f>
        <v>2025</v>
      </c>
      <c r="P1367" s="1" t="n">
        <f aca="false">MONTH(B1367)</f>
        <v>9</v>
      </c>
      <c r="Q1367" s="1" t="str">
        <f aca="false">TEXT(B1367,"mmm")</f>
        <v>Sep</v>
      </c>
      <c r="R1367" s="1" t="str">
        <f aca="false">"Q"&amp;ROUNDUP(MONTH(B1367)/3,0)</f>
        <v>Q3</v>
      </c>
    </row>
    <row r="1368" customFormat="false" ht="15" hidden="false" customHeight="true" outlineLevel="0" collapsed="false">
      <c r="A1368" s="1" t="n">
        <v>11367</v>
      </c>
      <c r="B1368" s="14" t="n">
        <v>45928</v>
      </c>
      <c r="C1368" s="1" t="n">
        <v>1867</v>
      </c>
      <c r="D1368" s="1" t="s">
        <v>30</v>
      </c>
      <c r="E1368" s="1" t="s">
        <v>28</v>
      </c>
      <c r="F1368" s="1" t="n">
        <v>3</v>
      </c>
      <c r="G1368" s="15" t="n">
        <v>405.55</v>
      </c>
      <c r="H1368" s="16" t="n">
        <v>0.22</v>
      </c>
      <c r="I1368" s="1" t="s">
        <v>31</v>
      </c>
      <c r="J1368" s="1" t="n">
        <v>5</v>
      </c>
      <c r="K1368" s="1" t="n">
        <v>2</v>
      </c>
      <c r="L1368" s="15" t="n">
        <v>948.99</v>
      </c>
      <c r="M1368" s="15" t="n">
        <f aca="false">F1368*G1368</f>
        <v>1216.65</v>
      </c>
      <c r="N1368" s="15" t="n">
        <f aca="false">M1368-L1368</f>
        <v>267.66</v>
      </c>
      <c r="O1368" s="1" t="n">
        <f aca="false">YEAR(B1368)</f>
        <v>2025</v>
      </c>
      <c r="P1368" s="1" t="n">
        <f aca="false">MONTH(B1368)</f>
        <v>9</v>
      </c>
      <c r="Q1368" s="1" t="str">
        <f aca="false">TEXT(B1368,"mmm")</f>
        <v>Sep</v>
      </c>
      <c r="R1368" s="1" t="str">
        <f aca="false">"Q"&amp;ROUNDUP(MONTH(B1368)/3,0)</f>
        <v>Q3</v>
      </c>
    </row>
    <row r="1369" customFormat="false" ht="15" hidden="false" customHeight="true" outlineLevel="0" collapsed="false">
      <c r="A1369" s="1" t="n">
        <v>11368</v>
      </c>
      <c r="B1369" s="14" t="n">
        <v>45929</v>
      </c>
      <c r="C1369" s="1" t="n">
        <v>1844</v>
      </c>
      <c r="D1369" s="1" t="s">
        <v>30</v>
      </c>
      <c r="E1369" s="1" t="s">
        <v>28</v>
      </c>
      <c r="F1369" s="1" t="n">
        <v>5</v>
      </c>
      <c r="G1369" s="15" t="n">
        <v>277.93</v>
      </c>
      <c r="H1369" s="16" t="n">
        <v>0.25</v>
      </c>
      <c r="I1369" s="1" t="s">
        <v>31</v>
      </c>
      <c r="J1369" s="1" t="n">
        <v>1</v>
      </c>
      <c r="K1369" s="1" t="n">
        <v>3.9</v>
      </c>
      <c r="L1369" s="15" t="n">
        <v>1042.24</v>
      </c>
      <c r="M1369" s="15" t="n">
        <f aca="false">F1369*G1369</f>
        <v>1389.65</v>
      </c>
      <c r="N1369" s="15" t="n">
        <f aca="false">M1369-L1369</f>
        <v>347.41</v>
      </c>
      <c r="O1369" s="1" t="n">
        <f aca="false">YEAR(B1369)</f>
        <v>2025</v>
      </c>
      <c r="P1369" s="1" t="n">
        <f aca="false">MONTH(B1369)</f>
        <v>9</v>
      </c>
      <c r="Q1369" s="1" t="str">
        <f aca="false">TEXT(B1369,"mmm")</f>
        <v>Sep</v>
      </c>
      <c r="R1369" s="1" t="str">
        <f aca="false">"Q"&amp;ROUNDUP(MONTH(B1369)/3,0)</f>
        <v>Q3</v>
      </c>
    </row>
    <row r="1370" customFormat="false" ht="15" hidden="false" customHeight="true" outlineLevel="0" collapsed="false">
      <c r="A1370" s="1" t="n">
        <v>11369</v>
      </c>
      <c r="B1370" s="14" t="n">
        <v>45930</v>
      </c>
      <c r="C1370" s="1" t="n">
        <v>1258</v>
      </c>
      <c r="D1370" s="1" t="s">
        <v>34</v>
      </c>
      <c r="E1370" s="1" t="s">
        <v>35</v>
      </c>
      <c r="F1370" s="1" t="n">
        <v>5</v>
      </c>
      <c r="G1370" s="15" t="n">
        <v>418.26</v>
      </c>
      <c r="H1370" s="16" t="n">
        <v>0.27</v>
      </c>
      <c r="I1370" s="1" t="s">
        <v>31</v>
      </c>
      <c r="J1370" s="1" t="n">
        <v>8</v>
      </c>
      <c r="K1370" s="1" t="n">
        <v>2.3</v>
      </c>
      <c r="L1370" s="15" t="n">
        <v>1526.65</v>
      </c>
      <c r="M1370" s="15" t="n">
        <f aca="false">F1370*G1370</f>
        <v>2091.3</v>
      </c>
      <c r="N1370" s="15" t="n">
        <f aca="false">M1370-L1370</f>
        <v>564.65</v>
      </c>
      <c r="O1370" s="1" t="n">
        <f aca="false">YEAR(B1370)</f>
        <v>2025</v>
      </c>
      <c r="P1370" s="1" t="n">
        <f aca="false">MONTH(B1370)</f>
        <v>9</v>
      </c>
      <c r="Q1370" s="1" t="str">
        <f aca="false">TEXT(B1370,"mmm")</f>
        <v>Sep</v>
      </c>
      <c r="R1370" s="1" t="str">
        <f aca="false">"Q"&amp;ROUNDUP(MONTH(B1370)/3,0)</f>
        <v>Q3</v>
      </c>
    </row>
    <row r="1371" customFormat="false" ht="15" hidden="false" customHeight="true" outlineLevel="0" collapsed="false">
      <c r="A1371" s="1" t="n">
        <v>11370</v>
      </c>
      <c r="B1371" s="14" t="n">
        <v>45931</v>
      </c>
      <c r="C1371" s="1" t="n">
        <v>1672</v>
      </c>
      <c r="D1371" s="1" t="s">
        <v>34</v>
      </c>
      <c r="E1371" s="1" t="s">
        <v>35</v>
      </c>
      <c r="F1371" s="1" t="n">
        <v>3</v>
      </c>
      <c r="G1371" s="15" t="n">
        <v>55.78</v>
      </c>
      <c r="H1371" s="16" t="n">
        <v>0.22</v>
      </c>
      <c r="I1371" s="1" t="s">
        <v>31</v>
      </c>
      <c r="J1371" s="1" t="n">
        <v>3</v>
      </c>
      <c r="K1371" s="1" t="n">
        <v>1.5</v>
      </c>
      <c r="L1371" s="15" t="n">
        <v>130.53</v>
      </c>
      <c r="M1371" s="15" t="n">
        <f aca="false">F1371*G1371</f>
        <v>167.34</v>
      </c>
      <c r="N1371" s="15" t="n">
        <f aca="false">M1371-L1371</f>
        <v>36.81</v>
      </c>
      <c r="O1371" s="1" t="n">
        <f aca="false">YEAR(B1371)</f>
        <v>2025</v>
      </c>
      <c r="P1371" s="1" t="n">
        <f aca="false">MONTH(B1371)</f>
        <v>10</v>
      </c>
      <c r="Q1371" s="1" t="str">
        <f aca="false">TEXT(B1371,"mmm")</f>
        <v>Oct</v>
      </c>
      <c r="R1371" s="1" t="str">
        <f aca="false">"Q"&amp;ROUNDUP(MONTH(B1371)/3,0)</f>
        <v>Q4</v>
      </c>
    </row>
    <row r="1372" customFormat="false" ht="15" hidden="false" customHeight="true" outlineLevel="0" collapsed="false">
      <c r="A1372" s="1" t="n">
        <v>11371</v>
      </c>
      <c r="B1372" s="14" t="n">
        <v>45932</v>
      </c>
      <c r="C1372" s="1" t="n">
        <v>1901</v>
      </c>
      <c r="D1372" s="1" t="s">
        <v>30</v>
      </c>
      <c r="E1372" s="1" t="s">
        <v>36</v>
      </c>
      <c r="F1372" s="1" t="n">
        <v>5</v>
      </c>
      <c r="G1372" s="15" t="n">
        <v>518.01</v>
      </c>
      <c r="H1372" s="16" t="n">
        <v>0.08</v>
      </c>
      <c r="I1372" s="1" t="s">
        <v>33</v>
      </c>
      <c r="J1372" s="1" t="n">
        <v>2</v>
      </c>
      <c r="K1372" s="1" t="n">
        <v>2.9</v>
      </c>
      <c r="L1372" s="15" t="n">
        <v>2382.85</v>
      </c>
      <c r="M1372" s="15" t="n">
        <f aca="false">F1372*G1372</f>
        <v>2590.05</v>
      </c>
      <c r="N1372" s="15" t="n">
        <f aca="false">M1372-L1372</f>
        <v>207.2</v>
      </c>
      <c r="O1372" s="1" t="n">
        <f aca="false">YEAR(B1372)</f>
        <v>2025</v>
      </c>
      <c r="P1372" s="1" t="n">
        <f aca="false">MONTH(B1372)</f>
        <v>10</v>
      </c>
      <c r="Q1372" s="1" t="str">
        <f aca="false">TEXT(B1372,"mmm")</f>
        <v>Oct</v>
      </c>
      <c r="R1372" s="1" t="str">
        <f aca="false">"Q"&amp;ROUNDUP(MONTH(B1372)/3,0)</f>
        <v>Q4</v>
      </c>
    </row>
    <row r="1373" customFormat="false" ht="15" hidden="false" customHeight="true" outlineLevel="0" collapsed="false">
      <c r="A1373" s="1" t="n">
        <v>11372</v>
      </c>
      <c r="B1373" s="14" t="n">
        <v>45933</v>
      </c>
      <c r="C1373" s="1" t="n">
        <v>1689</v>
      </c>
      <c r="D1373" s="1" t="s">
        <v>37</v>
      </c>
      <c r="E1373" s="1" t="s">
        <v>35</v>
      </c>
      <c r="F1373" s="1" t="n">
        <v>1</v>
      </c>
      <c r="G1373" s="15" t="n">
        <v>470.02</v>
      </c>
      <c r="H1373" s="16" t="n">
        <v>0.31</v>
      </c>
      <c r="I1373" s="1" t="s">
        <v>31</v>
      </c>
      <c r="J1373" s="1" t="n">
        <v>7</v>
      </c>
      <c r="K1373" s="1" t="n">
        <v>4.3</v>
      </c>
      <c r="L1373" s="15" t="n">
        <v>324.31</v>
      </c>
      <c r="M1373" s="15" t="n">
        <f aca="false">F1373*G1373</f>
        <v>470.02</v>
      </c>
      <c r="N1373" s="15" t="n">
        <f aca="false">M1373-L1373</f>
        <v>145.71</v>
      </c>
      <c r="O1373" s="1" t="n">
        <f aca="false">YEAR(B1373)</f>
        <v>2025</v>
      </c>
      <c r="P1373" s="1" t="n">
        <f aca="false">MONTH(B1373)</f>
        <v>10</v>
      </c>
      <c r="Q1373" s="1" t="str">
        <f aca="false">TEXT(B1373,"mmm")</f>
        <v>Oct</v>
      </c>
      <c r="R1373" s="1" t="str">
        <f aca="false">"Q"&amp;ROUNDUP(MONTH(B1373)/3,0)</f>
        <v>Q4</v>
      </c>
    </row>
    <row r="1374" customFormat="false" ht="15" hidden="false" customHeight="true" outlineLevel="0" collapsed="false">
      <c r="A1374" s="1" t="n">
        <v>11373</v>
      </c>
      <c r="B1374" s="14" t="n">
        <v>45934</v>
      </c>
      <c r="C1374" s="1" t="n">
        <v>1009</v>
      </c>
      <c r="D1374" s="1" t="s">
        <v>27</v>
      </c>
      <c r="E1374" s="1" t="s">
        <v>28</v>
      </c>
      <c r="F1374" s="1" t="n">
        <v>6</v>
      </c>
      <c r="G1374" s="15" t="n">
        <v>158.46</v>
      </c>
      <c r="H1374" s="16" t="n">
        <v>0.26</v>
      </c>
      <c r="I1374" s="1" t="s">
        <v>31</v>
      </c>
      <c r="J1374" s="1" t="n">
        <v>11</v>
      </c>
      <c r="K1374" s="1" t="n">
        <v>4.4</v>
      </c>
      <c r="L1374" s="15" t="n">
        <v>703.56</v>
      </c>
      <c r="M1374" s="15" t="n">
        <f aca="false">F1374*G1374</f>
        <v>950.76</v>
      </c>
      <c r="N1374" s="15" t="n">
        <f aca="false">M1374-L1374</f>
        <v>247.2</v>
      </c>
      <c r="O1374" s="1" t="n">
        <f aca="false">YEAR(B1374)</f>
        <v>2025</v>
      </c>
      <c r="P1374" s="1" t="n">
        <f aca="false">MONTH(B1374)</f>
        <v>10</v>
      </c>
      <c r="Q1374" s="1" t="str">
        <f aca="false">TEXT(B1374,"mmm")</f>
        <v>Oct</v>
      </c>
      <c r="R1374" s="1" t="str">
        <f aca="false">"Q"&amp;ROUNDUP(MONTH(B1374)/3,0)</f>
        <v>Q4</v>
      </c>
    </row>
    <row r="1375" customFormat="false" ht="15" hidden="false" customHeight="true" outlineLevel="0" collapsed="false">
      <c r="A1375" s="1" t="n">
        <v>11374</v>
      </c>
      <c r="B1375" s="14" t="n">
        <v>45935</v>
      </c>
      <c r="C1375" s="1" t="n">
        <v>1260</v>
      </c>
      <c r="D1375" s="1" t="s">
        <v>34</v>
      </c>
      <c r="E1375" s="1" t="s">
        <v>35</v>
      </c>
      <c r="F1375" s="1" t="n">
        <v>4</v>
      </c>
      <c r="G1375" s="15" t="n">
        <v>464.3</v>
      </c>
      <c r="H1375" s="16" t="n">
        <v>0.26</v>
      </c>
      <c r="I1375" s="1" t="s">
        <v>33</v>
      </c>
      <c r="J1375" s="1" t="n">
        <v>2</v>
      </c>
      <c r="K1375" s="1" t="n">
        <v>4.4</v>
      </c>
      <c r="L1375" s="15" t="n">
        <v>1374.33</v>
      </c>
      <c r="M1375" s="15" t="n">
        <f aca="false">F1375*G1375</f>
        <v>1857.2</v>
      </c>
      <c r="N1375" s="15" t="n">
        <f aca="false">M1375-L1375</f>
        <v>482.87</v>
      </c>
      <c r="O1375" s="1" t="n">
        <f aca="false">YEAR(B1375)</f>
        <v>2025</v>
      </c>
      <c r="P1375" s="1" t="n">
        <f aca="false">MONTH(B1375)</f>
        <v>10</v>
      </c>
      <c r="Q1375" s="1" t="str">
        <f aca="false">TEXT(B1375,"mmm")</f>
        <v>Oct</v>
      </c>
      <c r="R1375" s="1" t="str">
        <f aca="false">"Q"&amp;ROUNDUP(MONTH(B1375)/3,0)</f>
        <v>Q4</v>
      </c>
    </row>
    <row r="1376" customFormat="false" ht="15" hidden="false" customHeight="true" outlineLevel="0" collapsed="false">
      <c r="A1376" s="1" t="n">
        <v>11375</v>
      </c>
      <c r="B1376" s="14" t="n">
        <v>45936</v>
      </c>
      <c r="C1376" s="1" t="n">
        <v>1918</v>
      </c>
      <c r="D1376" s="1" t="s">
        <v>30</v>
      </c>
      <c r="E1376" s="1" t="s">
        <v>35</v>
      </c>
      <c r="F1376" s="1" t="n">
        <v>7</v>
      </c>
      <c r="G1376" s="15" t="n">
        <v>22.4</v>
      </c>
      <c r="H1376" s="16" t="n">
        <v>0.35</v>
      </c>
      <c r="I1376" s="1" t="s">
        <v>31</v>
      </c>
      <c r="J1376" s="1" t="n">
        <v>1</v>
      </c>
      <c r="K1376" s="1" t="n">
        <v>2.7</v>
      </c>
      <c r="L1376" s="15" t="n">
        <v>101.92</v>
      </c>
      <c r="M1376" s="15" t="n">
        <f aca="false">F1376*G1376</f>
        <v>156.8</v>
      </c>
      <c r="N1376" s="15" t="n">
        <f aca="false">M1376-L1376</f>
        <v>54.88</v>
      </c>
      <c r="O1376" s="1" t="n">
        <f aca="false">YEAR(B1376)</f>
        <v>2025</v>
      </c>
      <c r="P1376" s="1" t="n">
        <f aca="false">MONTH(B1376)</f>
        <v>10</v>
      </c>
      <c r="Q1376" s="1" t="str">
        <f aca="false">TEXT(B1376,"mmm")</f>
        <v>Oct</v>
      </c>
      <c r="R1376" s="1" t="str">
        <f aca="false">"Q"&amp;ROUNDUP(MONTH(B1376)/3,0)</f>
        <v>Q4</v>
      </c>
    </row>
    <row r="1377" customFormat="false" ht="15" hidden="false" customHeight="true" outlineLevel="0" collapsed="false">
      <c r="A1377" s="1" t="n">
        <v>11376</v>
      </c>
      <c r="B1377" s="14" t="n">
        <v>45937</v>
      </c>
      <c r="C1377" s="1" t="n">
        <v>1649</v>
      </c>
      <c r="D1377" s="1" t="s">
        <v>34</v>
      </c>
      <c r="E1377" s="1" t="s">
        <v>36</v>
      </c>
      <c r="F1377" s="1" t="n">
        <v>3</v>
      </c>
      <c r="G1377" s="15" t="n">
        <v>142.09</v>
      </c>
      <c r="H1377" s="16" t="n">
        <v>0.28</v>
      </c>
      <c r="I1377" s="1" t="s">
        <v>33</v>
      </c>
      <c r="J1377" s="1" t="n">
        <v>11</v>
      </c>
      <c r="K1377" s="1" t="n">
        <v>4.2</v>
      </c>
      <c r="L1377" s="15" t="n">
        <v>306.91</v>
      </c>
      <c r="M1377" s="15" t="n">
        <f aca="false">F1377*G1377</f>
        <v>426.27</v>
      </c>
      <c r="N1377" s="15" t="n">
        <f aca="false">M1377-L1377</f>
        <v>119.36</v>
      </c>
      <c r="O1377" s="1" t="n">
        <f aca="false">YEAR(B1377)</f>
        <v>2025</v>
      </c>
      <c r="P1377" s="1" t="n">
        <f aca="false">MONTH(B1377)</f>
        <v>10</v>
      </c>
      <c r="Q1377" s="1" t="str">
        <f aca="false">TEXT(B1377,"mmm")</f>
        <v>Oct</v>
      </c>
      <c r="R1377" s="1" t="str">
        <f aca="false">"Q"&amp;ROUNDUP(MONTH(B1377)/3,0)</f>
        <v>Q4</v>
      </c>
    </row>
    <row r="1378" customFormat="false" ht="15" hidden="false" customHeight="true" outlineLevel="0" collapsed="false">
      <c r="A1378" s="1" t="n">
        <v>11377</v>
      </c>
      <c r="B1378" s="14" t="n">
        <v>45938</v>
      </c>
      <c r="C1378" s="1" t="n">
        <v>1171</v>
      </c>
      <c r="D1378" s="1" t="s">
        <v>34</v>
      </c>
      <c r="E1378" s="1" t="s">
        <v>35</v>
      </c>
      <c r="F1378" s="1" t="n">
        <v>6</v>
      </c>
      <c r="G1378" s="15" t="n">
        <v>53.11</v>
      </c>
      <c r="H1378" s="16" t="n">
        <v>0.29</v>
      </c>
      <c r="I1378" s="1" t="s">
        <v>33</v>
      </c>
      <c r="J1378" s="1" t="n">
        <v>2</v>
      </c>
      <c r="K1378" s="1" t="n">
        <v>4.4</v>
      </c>
      <c r="L1378" s="15" t="n">
        <v>226.25</v>
      </c>
      <c r="M1378" s="15" t="n">
        <f aca="false">F1378*G1378</f>
        <v>318.66</v>
      </c>
      <c r="N1378" s="15" t="n">
        <f aca="false">M1378-L1378</f>
        <v>92.41</v>
      </c>
      <c r="O1378" s="1" t="n">
        <f aca="false">YEAR(B1378)</f>
        <v>2025</v>
      </c>
      <c r="P1378" s="1" t="n">
        <f aca="false">MONTH(B1378)</f>
        <v>10</v>
      </c>
      <c r="Q1378" s="1" t="str">
        <f aca="false">TEXT(B1378,"mmm")</f>
        <v>Oct</v>
      </c>
      <c r="R1378" s="1" t="str">
        <f aca="false">"Q"&amp;ROUNDUP(MONTH(B1378)/3,0)</f>
        <v>Q4</v>
      </c>
    </row>
    <row r="1379" customFormat="false" ht="15" hidden="false" customHeight="true" outlineLevel="0" collapsed="false">
      <c r="A1379" s="1" t="n">
        <v>11378</v>
      </c>
      <c r="B1379" s="14" t="n">
        <v>45939</v>
      </c>
      <c r="C1379" s="1" t="n">
        <v>1897</v>
      </c>
      <c r="D1379" s="1" t="s">
        <v>37</v>
      </c>
      <c r="E1379" s="1" t="s">
        <v>32</v>
      </c>
      <c r="F1379" s="1" t="n">
        <v>2</v>
      </c>
      <c r="G1379" s="15" t="n">
        <v>471.43</v>
      </c>
      <c r="H1379" s="16" t="n">
        <v>0.33</v>
      </c>
      <c r="I1379" s="1" t="s">
        <v>31</v>
      </c>
      <c r="J1379" s="1" t="n">
        <v>6</v>
      </c>
      <c r="K1379" s="1" t="n">
        <v>2.8</v>
      </c>
      <c r="L1379" s="15" t="n">
        <v>631.72</v>
      </c>
      <c r="M1379" s="15" t="n">
        <f aca="false">F1379*G1379</f>
        <v>942.86</v>
      </c>
      <c r="N1379" s="15" t="n">
        <f aca="false">M1379-L1379</f>
        <v>311.14</v>
      </c>
      <c r="O1379" s="1" t="n">
        <f aca="false">YEAR(B1379)</f>
        <v>2025</v>
      </c>
      <c r="P1379" s="1" t="n">
        <f aca="false">MONTH(B1379)</f>
        <v>10</v>
      </c>
      <c r="Q1379" s="1" t="str">
        <f aca="false">TEXT(B1379,"mmm")</f>
        <v>Oct</v>
      </c>
      <c r="R1379" s="1" t="str">
        <f aca="false">"Q"&amp;ROUNDUP(MONTH(B1379)/3,0)</f>
        <v>Q4</v>
      </c>
    </row>
    <row r="1380" customFormat="false" ht="15" hidden="false" customHeight="true" outlineLevel="0" collapsed="false">
      <c r="A1380" s="1" t="n">
        <v>11379</v>
      </c>
      <c r="B1380" s="14" t="n">
        <v>45940</v>
      </c>
      <c r="C1380" s="1" t="n">
        <v>1012</v>
      </c>
      <c r="D1380" s="1" t="s">
        <v>30</v>
      </c>
      <c r="E1380" s="1" t="s">
        <v>36</v>
      </c>
      <c r="F1380" s="1" t="n">
        <v>1</v>
      </c>
      <c r="G1380" s="15" t="n">
        <v>457.19</v>
      </c>
      <c r="H1380" s="16" t="n">
        <v>0.05</v>
      </c>
      <c r="I1380" s="1" t="s">
        <v>33</v>
      </c>
      <c r="J1380" s="1" t="n">
        <v>2</v>
      </c>
      <c r="K1380" s="1" t="n">
        <v>2.3</v>
      </c>
      <c r="L1380" s="15" t="n">
        <v>434.33</v>
      </c>
      <c r="M1380" s="15" t="n">
        <f aca="false">F1380*G1380</f>
        <v>457.19</v>
      </c>
      <c r="N1380" s="15" t="n">
        <f aca="false">M1380-L1380</f>
        <v>22.86</v>
      </c>
      <c r="O1380" s="1" t="n">
        <f aca="false">YEAR(B1380)</f>
        <v>2025</v>
      </c>
      <c r="P1380" s="1" t="n">
        <f aca="false">MONTH(B1380)</f>
        <v>10</v>
      </c>
      <c r="Q1380" s="1" t="str">
        <f aca="false">TEXT(B1380,"mmm")</f>
        <v>Oct</v>
      </c>
      <c r="R1380" s="1" t="str">
        <f aca="false">"Q"&amp;ROUNDUP(MONTH(B1380)/3,0)</f>
        <v>Q4</v>
      </c>
    </row>
    <row r="1381" customFormat="false" ht="15" hidden="false" customHeight="true" outlineLevel="0" collapsed="false">
      <c r="A1381" s="1" t="n">
        <v>11380</v>
      </c>
      <c r="B1381" s="14" t="n">
        <v>45941</v>
      </c>
      <c r="C1381" s="1" t="n">
        <v>1167</v>
      </c>
      <c r="D1381" s="1" t="s">
        <v>34</v>
      </c>
      <c r="E1381" s="1" t="s">
        <v>35</v>
      </c>
      <c r="F1381" s="1" t="n">
        <v>4</v>
      </c>
      <c r="G1381" s="15" t="n">
        <v>490.98</v>
      </c>
      <c r="H1381" s="16" t="n">
        <v>0.17</v>
      </c>
      <c r="I1381" s="1" t="s">
        <v>33</v>
      </c>
      <c r="J1381" s="1" t="n">
        <v>1</v>
      </c>
      <c r="K1381" s="1" t="n">
        <v>3.8</v>
      </c>
      <c r="L1381" s="15" t="n">
        <v>1630.05</v>
      </c>
      <c r="M1381" s="15" t="n">
        <f aca="false">F1381*G1381</f>
        <v>1963.92</v>
      </c>
      <c r="N1381" s="15" t="n">
        <f aca="false">M1381-L1381</f>
        <v>333.87</v>
      </c>
      <c r="O1381" s="1" t="n">
        <f aca="false">YEAR(B1381)</f>
        <v>2025</v>
      </c>
      <c r="P1381" s="1" t="n">
        <f aca="false">MONTH(B1381)</f>
        <v>10</v>
      </c>
      <c r="Q1381" s="1" t="str">
        <f aca="false">TEXT(B1381,"mmm")</f>
        <v>Oct</v>
      </c>
      <c r="R1381" s="1" t="str">
        <f aca="false">"Q"&amp;ROUNDUP(MONTH(B1381)/3,0)</f>
        <v>Q4</v>
      </c>
    </row>
    <row r="1382" customFormat="false" ht="15" hidden="false" customHeight="true" outlineLevel="0" collapsed="false">
      <c r="A1382" s="1" t="n">
        <v>11381</v>
      </c>
      <c r="B1382" s="14" t="n">
        <v>45942</v>
      </c>
      <c r="C1382" s="1" t="n">
        <v>1641</v>
      </c>
      <c r="D1382" s="1" t="s">
        <v>34</v>
      </c>
      <c r="E1382" s="1" t="s">
        <v>35</v>
      </c>
      <c r="F1382" s="1" t="n">
        <v>1</v>
      </c>
      <c r="G1382" s="15" t="n">
        <v>17.62</v>
      </c>
      <c r="H1382" s="16" t="n">
        <v>0.2</v>
      </c>
      <c r="I1382" s="1" t="s">
        <v>33</v>
      </c>
      <c r="J1382" s="1" t="n">
        <v>1</v>
      </c>
      <c r="K1382" s="1" t="n">
        <v>4.6</v>
      </c>
      <c r="L1382" s="15" t="n">
        <v>14.1</v>
      </c>
      <c r="M1382" s="15" t="n">
        <f aca="false">F1382*G1382</f>
        <v>17.62</v>
      </c>
      <c r="N1382" s="15" t="n">
        <f aca="false">M1382-L1382</f>
        <v>3.52</v>
      </c>
      <c r="O1382" s="1" t="n">
        <f aca="false">YEAR(B1382)</f>
        <v>2025</v>
      </c>
      <c r="P1382" s="1" t="n">
        <f aca="false">MONTH(B1382)</f>
        <v>10</v>
      </c>
      <c r="Q1382" s="1" t="str">
        <f aca="false">TEXT(B1382,"mmm")</f>
        <v>Oct</v>
      </c>
      <c r="R1382" s="1" t="str">
        <f aca="false">"Q"&amp;ROUNDUP(MONTH(B1382)/3,0)</f>
        <v>Q4</v>
      </c>
    </row>
    <row r="1383" customFormat="false" ht="15" hidden="false" customHeight="true" outlineLevel="0" collapsed="false">
      <c r="A1383" s="1" t="n">
        <v>11382</v>
      </c>
      <c r="B1383" s="14" t="n">
        <v>45943</v>
      </c>
      <c r="C1383" s="1" t="n">
        <v>1595</v>
      </c>
      <c r="D1383" s="1" t="s">
        <v>34</v>
      </c>
      <c r="E1383" s="1" t="s">
        <v>36</v>
      </c>
      <c r="F1383" s="1" t="n">
        <v>1</v>
      </c>
      <c r="G1383" s="15" t="n">
        <v>308.22</v>
      </c>
      <c r="H1383" s="16" t="n">
        <v>0.12</v>
      </c>
      <c r="I1383" s="1" t="s">
        <v>33</v>
      </c>
      <c r="J1383" s="1" t="n">
        <v>4</v>
      </c>
      <c r="K1383" s="1" t="n">
        <v>4.9</v>
      </c>
      <c r="L1383" s="15" t="n">
        <v>271.23</v>
      </c>
      <c r="M1383" s="15" t="n">
        <f aca="false">F1383*G1383</f>
        <v>308.22</v>
      </c>
      <c r="N1383" s="15" t="n">
        <f aca="false">M1383-L1383</f>
        <v>36.99</v>
      </c>
      <c r="O1383" s="1" t="n">
        <f aca="false">YEAR(B1383)</f>
        <v>2025</v>
      </c>
      <c r="P1383" s="1" t="n">
        <f aca="false">MONTH(B1383)</f>
        <v>10</v>
      </c>
      <c r="Q1383" s="1" t="str">
        <f aca="false">TEXT(B1383,"mmm")</f>
        <v>Oct</v>
      </c>
      <c r="R1383" s="1" t="str">
        <f aca="false">"Q"&amp;ROUNDUP(MONTH(B1383)/3,0)</f>
        <v>Q4</v>
      </c>
    </row>
    <row r="1384" customFormat="false" ht="15" hidden="false" customHeight="true" outlineLevel="0" collapsed="false">
      <c r="A1384" s="1" t="n">
        <v>11383</v>
      </c>
      <c r="B1384" s="14" t="n">
        <v>45944</v>
      </c>
      <c r="C1384" s="1" t="n">
        <v>1320</v>
      </c>
      <c r="D1384" s="1" t="s">
        <v>37</v>
      </c>
      <c r="E1384" s="1" t="s">
        <v>35</v>
      </c>
      <c r="F1384" s="1" t="n">
        <v>2</v>
      </c>
      <c r="G1384" s="15" t="n">
        <v>427.33</v>
      </c>
      <c r="H1384" s="16" t="n">
        <v>0.29</v>
      </c>
      <c r="I1384" s="1" t="s">
        <v>29</v>
      </c>
      <c r="J1384" s="1" t="n">
        <v>8</v>
      </c>
      <c r="K1384" s="1" t="n">
        <v>2.2</v>
      </c>
      <c r="L1384" s="15" t="n">
        <v>606.81</v>
      </c>
      <c r="M1384" s="15" t="n">
        <f aca="false">F1384*G1384</f>
        <v>854.66</v>
      </c>
      <c r="N1384" s="15" t="n">
        <f aca="false">M1384-L1384</f>
        <v>247.85</v>
      </c>
      <c r="O1384" s="1" t="n">
        <f aca="false">YEAR(B1384)</f>
        <v>2025</v>
      </c>
      <c r="P1384" s="1" t="n">
        <f aca="false">MONTH(B1384)</f>
        <v>10</v>
      </c>
      <c r="Q1384" s="1" t="str">
        <f aca="false">TEXT(B1384,"mmm")</f>
        <v>Oct</v>
      </c>
      <c r="R1384" s="1" t="str">
        <f aca="false">"Q"&amp;ROUNDUP(MONTH(B1384)/3,0)</f>
        <v>Q4</v>
      </c>
    </row>
    <row r="1385" customFormat="false" ht="15" hidden="false" customHeight="true" outlineLevel="0" collapsed="false">
      <c r="A1385" s="1" t="n">
        <v>11384</v>
      </c>
      <c r="B1385" s="14" t="n">
        <v>45945</v>
      </c>
      <c r="C1385" s="1" t="n">
        <v>1318</v>
      </c>
      <c r="D1385" s="1" t="s">
        <v>27</v>
      </c>
      <c r="E1385" s="1" t="s">
        <v>28</v>
      </c>
      <c r="F1385" s="1" t="n">
        <v>4</v>
      </c>
      <c r="G1385" s="15" t="n">
        <v>105.91</v>
      </c>
      <c r="H1385" s="16" t="n">
        <v>0.27</v>
      </c>
      <c r="I1385" s="1" t="s">
        <v>29</v>
      </c>
      <c r="J1385" s="1" t="n">
        <v>6</v>
      </c>
      <c r="K1385" s="1" t="n">
        <v>4.8</v>
      </c>
      <c r="L1385" s="15" t="n">
        <v>309.26</v>
      </c>
      <c r="M1385" s="15" t="n">
        <f aca="false">F1385*G1385</f>
        <v>423.64</v>
      </c>
      <c r="N1385" s="15" t="n">
        <f aca="false">M1385-L1385</f>
        <v>114.38</v>
      </c>
      <c r="O1385" s="1" t="n">
        <f aca="false">YEAR(B1385)</f>
        <v>2025</v>
      </c>
      <c r="P1385" s="1" t="n">
        <f aca="false">MONTH(B1385)</f>
        <v>10</v>
      </c>
      <c r="Q1385" s="1" t="str">
        <f aca="false">TEXT(B1385,"mmm")</f>
        <v>Oct</v>
      </c>
      <c r="R1385" s="1" t="str">
        <f aca="false">"Q"&amp;ROUNDUP(MONTH(B1385)/3,0)</f>
        <v>Q4</v>
      </c>
    </row>
    <row r="1386" customFormat="false" ht="15" hidden="false" customHeight="true" outlineLevel="0" collapsed="false">
      <c r="A1386" s="1" t="n">
        <v>11385</v>
      </c>
      <c r="B1386" s="14" t="n">
        <v>45946</v>
      </c>
      <c r="C1386" s="1" t="n">
        <v>1612</v>
      </c>
      <c r="D1386" s="1" t="s">
        <v>34</v>
      </c>
      <c r="E1386" s="1" t="s">
        <v>32</v>
      </c>
      <c r="F1386" s="1" t="n">
        <v>7</v>
      </c>
      <c r="G1386" s="15" t="n">
        <v>395.13</v>
      </c>
      <c r="H1386" s="16" t="n">
        <v>0.25</v>
      </c>
      <c r="I1386" s="1" t="s">
        <v>33</v>
      </c>
      <c r="J1386" s="1" t="n">
        <v>4</v>
      </c>
      <c r="K1386" s="1" t="n">
        <v>3</v>
      </c>
      <c r="L1386" s="15" t="n">
        <v>2074.43</v>
      </c>
      <c r="M1386" s="15" t="n">
        <f aca="false">F1386*G1386</f>
        <v>2765.91</v>
      </c>
      <c r="N1386" s="15" t="n">
        <f aca="false">M1386-L1386</f>
        <v>691.48</v>
      </c>
      <c r="O1386" s="1" t="n">
        <f aca="false">YEAR(B1386)</f>
        <v>2025</v>
      </c>
      <c r="P1386" s="1" t="n">
        <f aca="false">MONTH(B1386)</f>
        <v>10</v>
      </c>
      <c r="Q1386" s="1" t="str">
        <f aca="false">TEXT(B1386,"mmm")</f>
        <v>Oct</v>
      </c>
      <c r="R1386" s="1" t="str">
        <f aca="false">"Q"&amp;ROUNDUP(MONTH(B1386)/3,0)</f>
        <v>Q4</v>
      </c>
    </row>
    <row r="1387" customFormat="false" ht="15" hidden="false" customHeight="true" outlineLevel="0" collapsed="false">
      <c r="A1387" s="1" t="n">
        <v>11386</v>
      </c>
      <c r="B1387" s="14" t="n">
        <v>45947</v>
      </c>
      <c r="C1387" s="1" t="n">
        <v>1328</v>
      </c>
      <c r="D1387" s="1" t="s">
        <v>34</v>
      </c>
      <c r="E1387" s="1" t="s">
        <v>32</v>
      </c>
      <c r="F1387" s="1" t="n">
        <v>1</v>
      </c>
      <c r="G1387" s="15" t="n">
        <v>64.2</v>
      </c>
      <c r="H1387" s="16" t="n">
        <v>0.35</v>
      </c>
      <c r="I1387" s="1" t="s">
        <v>29</v>
      </c>
      <c r="J1387" s="1" t="n">
        <v>6</v>
      </c>
      <c r="K1387" s="1" t="n">
        <v>2.2</v>
      </c>
      <c r="L1387" s="15" t="n">
        <v>41.73</v>
      </c>
      <c r="M1387" s="15" t="n">
        <f aca="false">F1387*G1387</f>
        <v>64.2</v>
      </c>
      <c r="N1387" s="15" t="n">
        <f aca="false">M1387-L1387</f>
        <v>22.47</v>
      </c>
      <c r="O1387" s="1" t="n">
        <f aca="false">YEAR(B1387)</f>
        <v>2025</v>
      </c>
      <c r="P1387" s="1" t="n">
        <f aca="false">MONTH(B1387)</f>
        <v>10</v>
      </c>
      <c r="Q1387" s="1" t="str">
        <f aca="false">TEXT(B1387,"mmm")</f>
        <v>Oct</v>
      </c>
      <c r="R1387" s="1" t="str">
        <f aca="false">"Q"&amp;ROUNDUP(MONTH(B1387)/3,0)</f>
        <v>Q4</v>
      </c>
    </row>
    <row r="1388" customFormat="false" ht="15" hidden="false" customHeight="true" outlineLevel="0" collapsed="false">
      <c r="A1388" s="1" t="n">
        <v>11387</v>
      </c>
      <c r="B1388" s="14" t="n">
        <v>45948</v>
      </c>
      <c r="C1388" s="1" t="n">
        <v>1784</v>
      </c>
      <c r="D1388" s="1" t="s">
        <v>27</v>
      </c>
      <c r="E1388" s="1" t="s">
        <v>28</v>
      </c>
      <c r="F1388" s="1" t="n">
        <v>2</v>
      </c>
      <c r="G1388" s="15" t="n">
        <v>121.08</v>
      </c>
      <c r="H1388" s="16" t="n">
        <v>0.09</v>
      </c>
      <c r="I1388" s="1" t="s">
        <v>31</v>
      </c>
      <c r="J1388" s="1" t="n">
        <v>6</v>
      </c>
      <c r="K1388" s="1" t="n">
        <v>5</v>
      </c>
      <c r="L1388" s="15" t="n">
        <v>220.37</v>
      </c>
      <c r="M1388" s="15" t="n">
        <f aca="false">F1388*G1388</f>
        <v>242.16</v>
      </c>
      <c r="N1388" s="15" t="n">
        <f aca="false">M1388-L1388</f>
        <v>21.79</v>
      </c>
      <c r="O1388" s="1" t="n">
        <f aca="false">YEAR(B1388)</f>
        <v>2025</v>
      </c>
      <c r="P1388" s="1" t="n">
        <f aca="false">MONTH(B1388)</f>
        <v>10</v>
      </c>
      <c r="Q1388" s="1" t="str">
        <f aca="false">TEXT(B1388,"mmm")</f>
        <v>Oct</v>
      </c>
      <c r="R1388" s="1" t="str">
        <f aca="false">"Q"&amp;ROUNDUP(MONTH(B1388)/3,0)</f>
        <v>Q4</v>
      </c>
    </row>
    <row r="1389" customFormat="false" ht="15" hidden="false" customHeight="true" outlineLevel="0" collapsed="false">
      <c r="A1389" s="1" t="n">
        <v>11388</v>
      </c>
      <c r="B1389" s="14" t="n">
        <v>45949</v>
      </c>
      <c r="C1389" s="1" t="n">
        <v>1776</v>
      </c>
      <c r="D1389" s="1" t="s">
        <v>27</v>
      </c>
      <c r="E1389" s="1" t="s">
        <v>35</v>
      </c>
      <c r="F1389" s="1" t="n">
        <v>3</v>
      </c>
      <c r="G1389" s="15" t="n">
        <v>293.34</v>
      </c>
      <c r="H1389" s="16" t="n">
        <v>0.26</v>
      </c>
      <c r="I1389" s="1" t="s">
        <v>33</v>
      </c>
      <c r="J1389" s="1" t="n">
        <v>9</v>
      </c>
      <c r="K1389" s="1" t="n">
        <v>4.5</v>
      </c>
      <c r="L1389" s="15" t="n">
        <v>651.21</v>
      </c>
      <c r="M1389" s="15" t="n">
        <f aca="false">F1389*G1389</f>
        <v>880.02</v>
      </c>
      <c r="N1389" s="15" t="n">
        <f aca="false">M1389-L1389</f>
        <v>228.81</v>
      </c>
      <c r="O1389" s="1" t="n">
        <f aca="false">YEAR(B1389)</f>
        <v>2025</v>
      </c>
      <c r="P1389" s="1" t="n">
        <f aca="false">MONTH(B1389)</f>
        <v>10</v>
      </c>
      <c r="Q1389" s="1" t="str">
        <f aca="false">TEXT(B1389,"mmm")</f>
        <v>Oct</v>
      </c>
      <c r="R1389" s="1" t="str">
        <f aca="false">"Q"&amp;ROUNDUP(MONTH(B1389)/3,0)</f>
        <v>Q4</v>
      </c>
    </row>
    <row r="1390" customFormat="false" ht="15" hidden="false" customHeight="true" outlineLevel="0" collapsed="false">
      <c r="A1390" s="1" t="n">
        <v>11389</v>
      </c>
      <c r="B1390" s="14" t="n">
        <v>45950</v>
      </c>
      <c r="C1390" s="1" t="n">
        <v>1970</v>
      </c>
      <c r="D1390" s="1" t="s">
        <v>30</v>
      </c>
      <c r="E1390" s="1" t="s">
        <v>35</v>
      </c>
      <c r="F1390" s="1" t="n">
        <v>2</v>
      </c>
      <c r="G1390" s="15" t="n">
        <v>397.34</v>
      </c>
      <c r="H1390" s="16" t="n">
        <v>0.19</v>
      </c>
      <c r="I1390" s="1" t="s">
        <v>31</v>
      </c>
      <c r="J1390" s="1" t="n">
        <v>4</v>
      </c>
      <c r="K1390" s="1" t="n">
        <v>3.8</v>
      </c>
      <c r="L1390" s="15" t="n">
        <v>643.69</v>
      </c>
      <c r="M1390" s="15" t="n">
        <f aca="false">F1390*G1390</f>
        <v>794.68</v>
      </c>
      <c r="N1390" s="15" t="n">
        <f aca="false">M1390-L1390</f>
        <v>150.99</v>
      </c>
      <c r="O1390" s="1" t="n">
        <f aca="false">YEAR(B1390)</f>
        <v>2025</v>
      </c>
      <c r="P1390" s="1" t="n">
        <f aca="false">MONTH(B1390)</f>
        <v>10</v>
      </c>
      <c r="Q1390" s="1" t="str">
        <f aca="false">TEXT(B1390,"mmm")</f>
        <v>Oct</v>
      </c>
      <c r="R1390" s="1" t="str">
        <f aca="false">"Q"&amp;ROUNDUP(MONTH(B1390)/3,0)</f>
        <v>Q4</v>
      </c>
    </row>
    <row r="1391" customFormat="false" ht="15" hidden="false" customHeight="true" outlineLevel="0" collapsed="false">
      <c r="A1391" s="1" t="n">
        <v>11390</v>
      </c>
      <c r="B1391" s="14" t="n">
        <v>45951</v>
      </c>
      <c r="C1391" s="1" t="n">
        <v>1910</v>
      </c>
      <c r="D1391" s="1" t="s">
        <v>34</v>
      </c>
      <c r="E1391" s="1" t="s">
        <v>32</v>
      </c>
      <c r="F1391" s="1" t="n">
        <v>5</v>
      </c>
      <c r="G1391" s="15" t="n">
        <v>100.33</v>
      </c>
      <c r="H1391" s="16" t="n">
        <v>0.11</v>
      </c>
      <c r="I1391" s="1" t="s">
        <v>31</v>
      </c>
      <c r="J1391" s="1" t="n">
        <v>6</v>
      </c>
      <c r="K1391" s="1" t="n">
        <v>4.6</v>
      </c>
      <c r="L1391" s="15" t="n">
        <v>446.47</v>
      </c>
      <c r="M1391" s="15" t="n">
        <f aca="false">F1391*G1391</f>
        <v>501.65</v>
      </c>
      <c r="N1391" s="15" t="n">
        <f aca="false">M1391-L1391</f>
        <v>55.18</v>
      </c>
      <c r="O1391" s="1" t="n">
        <f aca="false">YEAR(B1391)</f>
        <v>2025</v>
      </c>
      <c r="P1391" s="1" t="n">
        <f aca="false">MONTH(B1391)</f>
        <v>10</v>
      </c>
      <c r="Q1391" s="1" t="str">
        <f aca="false">TEXT(B1391,"mmm")</f>
        <v>Oct</v>
      </c>
      <c r="R1391" s="1" t="str">
        <f aca="false">"Q"&amp;ROUNDUP(MONTH(B1391)/3,0)</f>
        <v>Q4</v>
      </c>
    </row>
    <row r="1392" customFormat="false" ht="15" hidden="false" customHeight="true" outlineLevel="0" collapsed="false">
      <c r="A1392" s="1" t="n">
        <v>11391</v>
      </c>
      <c r="B1392" s="14" t="n">
        <v>45952</v>
      </c>
      <c r="C1392" s="1" t="n">
        <v>1919</v>
      </c>
      <c r="D1392" s="1" t="s">
        <v>34</v>
      </c>
      <c r="E1392" s="1" t="s">
        <v>35</v>
      </c>
      <c r="F1392" s="1" t="n">
        <v>6</v>
      </c>
      <c r="G1392" s="15" t="n">
        <v>123.36</v>
      </c>
      <c r="H1392" s="16" t="n">
        <v>0.06</v>
      </c>
      <c r="I1392" s="1" t="s">
        <v>33</v>
      </c>
      <c r="J1392" s="1" t="n">
        <v>10</v>
      </c>
      <c r="K1392" s="1" t="n">
        <v>3.7</v>
      </c>
      <c r="L1392" s="15" t="n">
        <v>695.75</v>
      </c>
      <c r="M1392" s="15" t="n">
        <f aca="false">F1392*G1392</f>
        <v>740.16</v>
      </c>
      <c r="N1392" s="15" t="n">
        <f aca="false">M1392-L1392</f>
        <v>44.41</v>
      </c>
      <c r="O1392" s="1" t="n">
        <f aca="false">YEAR(B1392)</f>
        <v>2025</v>
      </c>
      <c r="P1392" s="1" t="n">
        <f aca="false">MONTH(B1392)</f>
        <v>10</v>
      </c>
      <c r="Q1392" s="1" t="str">
        <f aca="false">TEXT(B1392,"mmm")</f>
        <v>Oct</v>
      </c>
      <c r="R1392" s="1" t="str">
        <f aca="false">"Q"&amp;ROUNDUP(MONTH(B1392)/3,0)</f>
        <v>Q4</v>
      </c>
    </row>
    <row r="1393" customFormat="false" ht="15" hidden="false" customHeight="true" outlineLevel="0" collapsed="false">
      <c r="A1393" s="1" t="n">
        <v>11392</v>
      </c>
      <c r="B1393" s="14" t="n">
        <v>45953</v>
      </c>
      <c r="C1393" s="1" t="n">
        <v>1549</v>
      </c>
      <c r="D1393" s="1" t="s">
        <v>30</v>
      </c>
      <c r="E1393" s="1" t="s">
        <v>32</v>
      </c>
      <c r="F1393" s="1" t="n">
        <v>2</v>
      </c>
      <c r="G1393" s="15" t="n">
        <v>134.6</v>
      </c>
      <c r="H1393" s="16" t="n">
        <v>0.31</v>
      </c>
      <c r="I1393" s="1" t="s">
        <v>33</v>
      </c>
      <c r="J1393" s="1" t="n">
        <v>1</v>
      </c>
      <c r="K1393" s="1" t="n">
        <v>2.8</v>
      </c>
      <c r="L1393" s="15" t="n">
        <v>185.75</v>
      </c>
      <c r="M1393" s="15" t="n">
        <f aca="false">F1393*G1393</f>
        <v>269.2</v>
      </c>
      <c r="N1393" s="15" t="n">
        <f aca="false">M1393-L1393</f>
        <v>83.45</v>
      </c>
      <c r="O1393" s="1" t="n">
        <f aca="false">YEAR(B1393)</f>
        <v>2025</v>
      </c>
      <c r="P1393" s="1" t="n">
        <f aca="false">MONTH(B1393)</f>
        <v>10</v>
      </c>
      <c r="Q1393" s="1" t="str">
        <f aca="false">TEXT(B1393,"mmm")</f>
        <v>Oct</v>
      </c>
      <c r="R1393" s="1" t="str">
        <f aca="false">"Q"&amp;ROUNDUP(MONTH(B1393)/3,0)</f>
        <v>Q4</v>
      </c>
    </row>
    <row r="1394" customFormat="false" ht="15" hidden="false" customHeight="true" outlineLevel="0" collapsed="false">
      <c r="A1394" s="1" t="n">
        <v>11393</v>
      </c>
      <c r="B1394" s="14" t="n">
        <v>45954</v>
      </c>
      <c r="C1394" s="1" t="n">
        <v>1418</v>
      </c>
      <c r="D1394" s="1" t="s">
        <v>30</v>
      </c>
      <c r="E1394" s="1" t="s">
        <v>32</v>
      </c>
      <c r="F1394" s="1" t="n">
        <v>2</v>
      </c>
      <c r="G1394" s="15" t="n">
        <v>154.64</v>
      </c>
      <c r="H1394" s="16" t="n">
        <v>0.21</v>
      </c>
      <c r="I1394" s="1" t="s">
        <v>31</v>
      </c>
      <c r="J1394" s="1" t="n">
        <v>7</v>
      </c>
      <c r="K1394" s="1" t="n">
        <v>4.8</v>
      </c>
      <c r="L1394" s="15" t="n">
        <v>244.33</v>
      </c>
      <c r="M1394" s="15" t="n">
        <f aca="false">F1394*G1394</f>
        <v>309.28</v>
      </c>
      <c r="N1394" s="15" t="n">
        <f aca="false">M1394-L1394</f>
        <v>64.95</v>
      </c>
      <c r="O1394" s="1" t="n">
        <f aca="false">YEAR(B1394)</f>
        <v>2025</v>
      </c>
      <c r="P1394" s="1" t="n">
        <f aca="false">MONTH(B1394)</f>
        <v>10</v>
      </c>
      <c r="Q1394" s="1" t="str">
        <f aca="false">TEXT(B1394,"mmm")</f>
        <v>Oct</v>
      </c>
      <c r="R1394" s="1" t="str">
        <f aca="false">"Q"&amp;ROUNDUP(MONTH(B1394)/3,0)</f>
        <v>Q4</v>
      </c>
    </row>
    <row r="1395" customFormat="false" ht="15" hidden="false" customHeight="true" outlineLevel="0" collapsed="false">
      <c r="A1395" s="1" t="n">
        <v>11394</v>
      </c>
      <c r="B1395" s="14" t="n">
        <v>45955</v>
      </c>
      <c r="C1395" s="1" t="n">
        <v>1605</v>
      </c>
      <c r="D1395" s="1" t="s">
        <v>34</v>
      </c>
      <c r="E1395" s="1" t="s">
        <v>28</v>
      </c>
      <c r="F1395" s="1" t="n">
        <v>2</v>
      </c>
      <c r="G1395" s="15" t="n">
        <v>147.53</v>
      </c>
      <c r="H1395" s="16" t="n">
        <v>0.29</v>
      </c>
      <c r="I1395" s="1" t="s">
        <v>33</v>
      </c>
      <c r="J1395" s="1" t="n">
        <v>7</v>
      </c>
      <c r="K1395" s="1" t="n">
        <v>4.9</v>
      </c>
      <c r="L1395" s="15" t="n">
        <v>209.49</v>
      </c>
      <c r="M1395" s="15" t="n">
        <f aca="false">F1395*G1395</f>
        <v>295.06</v>
      </c>
      <c r="N1395" s="15" t="n">
        <f aca="false">M1395-L1395</f>
        <v>85.57</v>
      </c>
      <c r="O1395" s="1" t="n">
        <f aca="false">YEAR(B1395)</f>
        <v>2025</v>
      </c>
      <c r="P1395" s="1" t="n">
        <f aca="false">MONTH(B1395)</f>
        <v>10</v>
      </c>
      <c r="Q1395" s="1" t="str">
        <f aca="false">TEXT(B1395,"mmm")</f>
        <v>Oct</v>
      </c>
      <c r="R1395" s="1" t="str">
        <f aca="false">"Q"&amp;ROUNDUP(MONTH(B1395)/3,0)</f>
        <v>Q4</v>
      </c>
    </row>
    <row r="1396" customFormat="false" ht="15" hidden="false" customHeight="true" outlineLevel="0" collapsed="false">
      <c r="A1396" s="1" t="n">
        <v>11395</v>
      </c>
      <c r="B1396" s="14" t="n">
        <v>45956</v>
      </c>
      <c r="C1396" s="1" t="n">
        <v>1094</v>
      </c>
      <c r="D1396" s="1" t="s">
        <v>30</v>
      </c>
      <c r="E1396" s="1" t="s">
        <v>32</v>
      </c>
      <c r="F1396" s="1" t="n">
        <v>7</v>
      </c>
      <c r="G1396" s="15" t="n">
        <v>246.16</v>
      </c>
      <c r="H1396" s="16" t="n">
        <v>0.19</v>
      </c>
      <c r="I1396" s="1" t="s">
        <v>33</v>
      </c>
      <c r="J1396" s="1" t="n">
        <v>11</v>
      </c>
      <c r="K1396" s="1" t="n">
        <v>2.3</v>
      </c>
      <c r="L1396" s="15" t="n">
        <v>1395.73</v>
      </c>
      <c r="M1396" s="15" t="n">
        <f aca="false">F1396*G1396</f>
        <v>1723.12</v>
      </c>
      <c r="N1396" s="15" t="n">
        <f aca="false">M1396-L1396</f>
        <v>327.39</v>
      </c>
      <c r="O1396" s="1" t="n">
        <f aca="false">YEAR(B1396)</f>
        <v>2025</v>
      </c>
      <c r="P1396" s="1" t="n">
        <f aca="false">MONTH(B1396)</f>
        <v>10</v>
      </c>
      <c r="Q1396" s="1" t="str">
        <f aca="false">TEXT(B1396,"mmm")</f>
        <v>Oct</v>
      </c>
      <c r="R1396" s="1" t="str">
        <f aca="false">"Q"&amp;ROUNDUP(MONTH(B1396)/3,0)</f>
        <v>Q4</v>
      </c>
    </row>
    <row r="1397" customFormat="false" ht="15" hidden="false" customHeight="true" outlineLevel="0" collapsed="false">
      <c r="A1397" s="1" t="n">
        <v>11396</v>
      </c>
      <c r="B1397" s="14" t="n">
        <v>45957</v>
      </c>
      <c r="C1397" s="1" t="n">
        <v>1816</v>
      </c>
      <c r="D1397" s="1" t="s">
        <v>34</v>
      </c>
      <c r="E1397" s="1" t="s">
        <v>35</v>
      </c>
      <c r="F1397" s="1" t="n">
        <v>1</v>
      </c>
      <c r="G1397" s="15" t="n">
        <v>397.47</v>
      </c>
      <c r="H1397" s="16" t="n">
        <v>0.08</v>
      </c>
      <c r="I1397" s="1" t="s">
        <v>31</v>
      </c>
      <c r="J1397" s="1" t="n">
        <v>1</v>
      </c>
      <c r="K1397" s="1" t="n">
        <v>2.4</v>
      </c>
      <c r="L1397" s="15" t="n">
        <v>365.67</v>
      </c>
      <c r="M1397" s="15" t="n">
        <f aca="false">F1397*G1397</f>
        <v>397.47</v>
      </c>
      <c r="N1397" s="15" t="n">
        <f aca="false">M1397-L1397</f>
        <v>31.8</v>
      </c>
      <c r="O1397" s="1" t="n">
        <f aca="false">YEAR(B1397)</f>
        <v>2025</v>
      </c>
      <c r="P1397" s="1" t="n">
        <f aca="false">MONTH(B1397)</f>
        <v>10</v>
      </c>
      <c r="Q1397" s="1" t="str">
        <f aca="false">TEXT(B1397,"mmm")</f>
        <v>Oct</v>
      </c>
      <c r="R1397" s="1" t="str">
        <f aca="false">"Q"&amp;ROUNDUP(MONTH(B1397)/3,0)</f>
        <v>Q4</v>
      </c>
    </row>
    <row r="1398" customFormat="false" ht="15" hidden="false" customHeight="true" outlineLevel="0" collapsed="false">
      <c r="A1398" s="1" t="n">
        <v>11397</v>
      </c>
      <c r="B1398" s="14" t="n">
        <v>45958</v>
      </c>
      <c r="C1398" s="1" t="n">
        <v>1580</v>
      </c>
      <c r="D1398" s="1" t="s">
        <v>37</v>
      </c>
      <c r="E1398" s="1" t="s">
        <v>35</v>
      </c>
      <c r="F1398" s="1" t="n">
        <v>7</v>
      </c>
      <c r="G1398" s="15" t="n">
        <v>271.25</v>
      </c>
      <c r="H1398" s="16" t="n">
        <v>0.12</v>
      </c>
      <c r="I1398" s="1" t="s">
        <v>31</v>
      </c>
      <c r="J1398" s="1" t="n">
        <v>8</v>
      </c>
      <c r="K1398" s="1" t="n">
        <v>2.5</v>
      </c>
      <c r="L1398" s="15" t="n">
        <v>1670.9</v>
      </c>
      <c r="M1398" s="15" t="n">
        <f aca="false">F1398*G1398</f>
        <v>1898.75</v>
      </c>
      <c r="N1398" s="15" t="n">
        <f aca="false">M1398-L1398</f>
        <v>227.85</v>
      </c>
      <c r="O1398" s="1" t="n">
        <f aca="false">YEAR(B1398)</f>
        <v>2025</v>
      </c>
      <c r="P1398" s="1" t="n">
        <f aca="false">MONTH(B1398)</f>
        <v>10</v>
      </c>
      <c r="Q1398" s="1" t="str">
        <f aca="false">TEXT(B1398,"mmm")</f>
        <v>Oct</v>
      </c>
      <c r="R1398" s="1" t="str">
        <f aca="false">"Q"&amp;ROUNDUP(MONTH(B1398)/3,0)</f>
        <v>Q4</v>
      </c>
    </row>
    <row r="1399" customFormat="false" ht="15" hidden="false" customHeight="true" outlineLevel="0" collapsed="false">
      <c r="A1399" s="1" t="n">
        <v>11398</v>
      </c>
      <c r="B1399" s="14" t="n">
        <v>45959</v>
      </c>
      <c r="C1399" s="1" t="n">
        <v>1317</v>
      </c>
      <c r="D1399" s="1" t="s">
        <v>34</v>
      </c>
      <c r="E1399" s="1" t="s">
        <v>36</v>
      </c>
      <c r="F1399" s="1" t="n">
        <v>4</v>
      </c>
      <c r="G1399" s="15" t="n">
        <v>468.94</v>
      </c>
      <c r="H1399" s="16" t="n">
        <v>0.13</v>
      </c>
      <c r="I1399" s="1" t="s">
        <v>31</v>
      </c>
      <c r="J1399" s="1" t="n">
        <v>5</v>
      </c>
      <c r="K1399" s="1" t="n">
        <v>4.3</v>
      </c>
      <c r="L1399" s="15" t="n">
        <v>1631.91</v>
      </c>
      <c r="M1399" s="15" t="n">
        <f aca="false">F1399*G1399</f>
        <v>1875.76</v>
      </c>
      <c r="N1399" s="15" t="n">
        <f aca="false">M1399-L1399</f>
        <v>243.85</v>
      </c>
      <c r="O1399" s="1" t="n">
        <f aca="false">YEAR(B1399)</f>
        <v>2025</v>
      </c>
      <c r="P1399" s="1" t="n">
        <f aca="false">MONTH(B1399)</f>
        <v>10</v>
      </c>
      <c r="Q1399" s="1" t="str">
        <f aca="false">TEXT(B1399,"mmm")</f>
        <v>Oct</v>
      </c>
      <c r="R1399" s="1" t="str">
        <f aca="false">"Q"&amp;ROUNDUP(MONTH(B1399)/3,0)</f>
        <v>Q4</v>
      </c>
    </row>
    <row r="1400" customFormat="false" ht="15" hidden="false" customHeight="true" outlineLevel="0" collapsed="false">
      <c r="A1400" s="1" t="n">
        <v>11399</v>
      </c>
      <c r="B1400" s="14" t="n">
        <v>45960</v>
      </c>
      <c r="C1400" s="1" t="n">
        <v>1955</v>
      </c>
      <c r="D1400" s="1" t="s">
        <v>34</v>
      </c>
      <c r="E1400" s="1" t="s">
        <v>35</v>
      </c>
      <c r="F1400" s="1" t="n">
        <v>2</v>
      </c>
      <c r="G1400" s="15" t="n">
        <v>435.77</v>
      </c>
      <c r="H1400" s="16" t="n">
        <v>0.34</v>
      </c>
      <c r="I1400" s="1" t="s">
        <v>31</v>
      </c>
      <c r="J1400" s="1" t="n">
        <v>9</v>
      </c>
      <c r="K1400" s="1" t="n">
        <v>4.2</v>
      </c>
      <c r="L1400" s="15" t="n">
        <v>575.22</v>
      </c>
      <c r="M1400" s="15" t="n">
        <f aca="false">F1400*G1400</f>
        <v>871.54</v>
      </c>
      <c r="N1400" s="15" t="n">
        <f aca="false">M1400-L1400</f>
        <v>296.32</v>
      </c>
      <c r="O1400" s="1" t="n">
        <f aca="false">YEAR(B1400)</f>
        <v>2025</v>
      </c>
      <c r="P1400" s="1" t="n">
        <f aca="false">MONTH(B1400)</f>
        <v>10</v>
      </c>
      <c r="Q1400" s="1" t="str">
        <f aca="false">TEXT(B1400,"mmm")</f>
        <v>Oct</v>
      </c>
      <c r="R1400" s="1" t="str">
        <f aca="false">"Q"&amp;ROUNDUP(MONTH(B1400)/3,0)</f>
        <v>Q4</v>
      </c>
    </row>
    <row r="1401" customFormat="false" ht="15" hidden="false" customHeight="true" outlineLevel="0" collapsed="false">
      <c r="A1401" s="1" t="n">
        <v>11400</v>
      </c>
      <c r="B1401" s="14" t="n">
        <v>45961</v>
      </c>
      <c r="C1401" s="1" t="n">
        <v>1235</v>
      </c>
      <c r="D1401" s="1" t="s">
        <v>30</v>
      </c>
      <c r="E1401" s="1" t="s">
        <v>36</v>
      </c>
      <c r="F1401" s="1" t="n">
        <v>2</v>
      </c>
      <c r="G1401" s="15" t="n">
        <v>89.02</v>
      </c>
      <c r="H1401" s="16" t="n">
        <v>0</v>
      </c>
      <c r="I1401" s="1" t="s">
        <v>33</v>
      </c>
      <c r="J1401" s="1" t="n">
        <v>8</v>
      </c>
      <c r="K1401" s="1" t="n">
        <v>4.9</v>
      </c>
      <c r="L1401" s="15" t="n">
        <v>178.04</v>
      </c>
      <c r="M1401" s="15" t="n">
        <f aca="false">F1401*G1401</f>
        <v>178.04</v>
      </c>
      <c r="N1401" s="15" t="n">
        <f aca="false">M1401-L1401</f>
        <v>0</v>
      </c>
      <c r="O1401" s="1" t="n">
        <f aca="false">YEAR(B1401)</f>
        <v>2025</v>
      </c>
      <c r="P1401" s="1" t="n">
        <f aca="false">MONTH(B1401)</f>
        <v>10</v>
      </c>
      <c r="Q1401" s="1" t="str">
        <f aca="false">TEXT(B1401,"mmm")</f>
        <v>Oct</v>
      </c>
      <c r="R1401" s="1" t="str">
        <f aca="false">"Q"&amp;ROUNDUP(MONTH(B1401)/3,0)</f>
        <v>Q4</v>
      </c>
    </row>
    <row r="1402" customFormat="false" ht="15" hidden="false" customHeight="true" outlineLevel="0" collapsed="false">
      <c r="A1402" s="1" t="n">
        <v>11401</v>
      </c>
      <c r="B1402" s="14" t="n">
        <v>45962</v>
      </c>
      <c r="C1402" s="1" t="n">
        <v>1945</v>
      </c>
      <c r="D1402" s="1" t="s">
        <v>30</v>
      </c>
      <c r="E1402" s="1" t="s">
        <v>32</v>
      </c>
      <c r="F1402" s="1" t="n">
        <v>5</v>
      </c>
      <c r="G1402" s="15" t="n">
        <v>43.57</v>
      </c>
      <c r="H1402" s="16" t="n">
        <v>0.34</v>
      </c>
      <c r="I1402" s="1" t="s">
        <v>31</v>
      </c>
      <c r="J1402" s="1" t="n">
        <v>3</v>
      </c>
      <c r="K1402" s="1" t="n">
        <v>2.9</v>
      </c>
      <c r="L1402" s="15" t="n">
        <v>143.78</v>
      </c>
      <c r="M1402" s="15" t="n">
        <f aca="false">F1402*G1402</f>
        <v>217.85</v>
      </c>
      <c r="N1402" s="15" t="n">
        <f aca="false">M1402-L1402</f>
        <v>74.07</v>
      </c>
      <c r="O1402" s="1" t="n">
        <f aca="false">YEAR(B1402)</f>
        <v>2025</v>
      </c>
      <c r="P1402" s="1" t="n">
        <f aca="false">MONTH(B1402)</f>
        <v>11</v>
      </c>
      <c r="Q1402" s="1" t="str">
        <f aca="false">TEXT(B1402,"mmm")</f>
        <v>Nov</v>
      </c>
      <c r="R1402" s="1" t="str">
        <f aca="false">"Q"&amp;ROUNDUP(MONTH(B1402)/3,0)</f>
        <v>Q4</v>
      </c>
    </row>
    <row r="1403" customFormat="false" ht="15" hidden="false" customHeight="true" outlineLevel="0" collapsed="false">
      <c r="A1403" s="1" t="n">
        <v>11402</v>
      </c>
      <c r="B1403" s="14" t="n">
        <v>45963</v>
      </c>
      <c r="C1403" s="1" t="n">
        <v>1333</v>
      </c>
      <c r="D1403" s="1" t="s">
        <v>27</v>
      </c>
      <c r="E1403" s="1" t="s">
        <v>35</v>
      </c>
      <c r="F1403" s="1" t="n">
        <v>5</v>
      </c>
      <c r="G1403" s="15" t="n">
        <v>528.6</v>
      </c>
      <c r="H1403" s="16" t="n">
        <v>0.34</v>
      </c>
      <c r="I1403" s="1" t="s">
        <v>31</v>
      </c>
      <c r="J1403" s="1" t="n">
        <v>1</v>
      </c>
      <c r="K1403" s="1" t="n">
        <v>3.9</v>
      </c>
      <c r="L1403" s="15" t="n">
        <v>1744.38</v>
      </c>
      <c r="M1403" s="15" t="n">
        <f aca="false">F1403*G1403</f>
        <v>2643</v>
      </c>
      <c r="N1403" s="15" t="n">
        <f aca="false">M1403-L1403</f>
        <v>898.62</v>
      </c>
      <c r="O1403" s="1" t="n">
        <f aca="false">YEAR(B1403)</f>
        <v>2025</v>
      </c>
      <c r="P1403" s="1" t="n">
        <f aca="false">MONTH(B1403)</f>
        <v>11</v>
      </c>
      <c r="Q1403" s="1" t="str">
        <f aca="false">TEXT(B1403,"mmm")</f>
        <v>Nov</v>
      </c>
      <c r="R1403" s="1" t="str">
        <f aca="false">"Q"&amp;ROUNDUP(MONTH(B1403)/3,0)</f>
        <v>Q4</v>
      </c>
    </row>
    <row r="1404" customFormat="false" ht="15" hidden="false" customHeight="true" outlineLevel="0" collapsed="false">
      <c r="A1404" s="1" t="n">
        <v>11403</v>
      </c>
      <c r="B1404" s="14" t="n">
        <v>45964</v>
      </c>
      <c r="C1404" s="1" t="n">
        <v>1884</v>
      </c>
      <c r="D1404" s="1" t="s">
        <v>30</v>
      </c>
      <c r="E1404" s="1" t="s">
        <v>28</v>
      </c>
      <c r="F1404" s="1" t="n">
        <v>3</v>
      </c>
      <c r="G1404" s="15" t="n">
        <v>61.7</v>
      </c>
      <c r="H1404" s="16" t="n">
        <v>0.35</v>
      </c>
      <c r="I1404" s="1" t="s">
        <v>33</v>
      </c>
      <c r="J1404" s="1" t="n">
        <v>3</v>
      </c>
      <c r="K1404" s="1" t="n">
        <v>4.4</v>
      </c>
      <c r="L1404" s="15" t="n">
        <v>120.32</v>
      </c>
      <c r="M1404" s="15" t="n">
        <f aca="false">F1404*G1404</f>
        <v>185.1</v>
      </c>
      <c r="N1404" s="15" t="n">
        <f aca="false">M1404-L1404</f>
        <v>64.78</v>
      </c>
      <c r="O1404" s="1" t="n">
        <f aca="false">YEAR(B1404)</f>
        <v>2025</v>
      </c>
      <c r="P1404" s="1" t="n">
        <f aca="false">MONTH(B1404)</f>
        <v>11</v>
      </c>
      <c r="Q1404" s="1" t="str">
        <f aca="false">TEXT(B1404,"mmm")</f>
        <v>Nov</v>
      </c>
      <c r="R1404" s="1" t="str">
        <f aca="false">"Q"&amp;ROUNDUP(MONTH(B1404)/3,0)</f>
        <v>Q4</v>
      </c>
    </row>
    <row r="1405" customFormat="false" ht="15" hidden="false" customHeight="true" outlineLevel="0" collapsed="false">
      <c r="A1405" s="1" t="n">
        <v>11404</v>
      </c>
      <c r="B1405" s="14" t="n">
        <v>45965</v>
      </c>
      <c r="C1405" s="1" t="n">
        <v>1375</v>
      </c>
      <c r="D1405" s="1" t="s">
        <v>34</v>
      </c>
      <c r="E1405" s="1" t="s">
        <v>28</v>
      </c>
      <c r="F1405" s="1" t="n">
        <v>3</v>
      </c>
      <c r="G1405" s="15" t="n">
        <v>101.78</v>
      </c>
      <c r="H1405" s="16" t="n">
        <v>0.17</v>
      </c>
      <c r="I1405" s="1" t="s">
        <v>33</v>
      </c>
      <c r="J1405" s="1" t="n">
        <v>2</v>
      </c>
      <c r="K1405" s="1" t="n">
        <v>1.9</v>
      </c>
      <c r="L1405" s="15" t="n">
        <v>253.43</v>
      </c>
      <c r="M1405" s="15" t="n">
        <f aca="false">F1405*G1405</f>
        <v>305.34</v>
      </c>
      <c r="N1405" s="15" t="n">
        <f aca="false">M1405-L1405</f>
        <v>51.91</v>
      </c>
      <c r="O1405" s="1" t="n">
        <f aca="false">YEAR(B1405)</f>
        <v>2025</v>
      </c>
      <c r="P1405" s="1" t="n">
        <f aca="false">MONTH(B1405)</f>
        <v>11</v>
      </c>
      <c r="Q1405" s="1" t="str">
        <f aca="false">TEXT(B1405,"mmm")</f>
        <v>Nov</v>
      </c>
      <c r="R1405" s="1" t="str">
        <f aca="false">"Q"&amp;ROUNDUP(MONTH(B1405)/3,0)</f>
        <v>Q4</v>
      </c>
    </row>
    <row r="1406" customFormat="false" ht="15" hidden="false" customHeight="true" outlineLevel="0" collapsed="false">
      <c r="A1406" s="1" t="n">
        <v>11405</v>
      </c>
      <c r="B1406" s="14" t="n">
        <v>45966</v>
      </c>
      <c r="C1406" s="1" t="n">
        <v>1458</v>
      </c>
      <c r="D1406" s="1" t="s">
        <v>37</v>
      </c>
      <c r="E1406" s="1" t="s">
        <v>28</v>
      </c>
      <c r="F1406" s="1" t="n">
        <v>5</v>
      </c>
      <c r="G1406" s="15" t="n">
        <v>27.95</v>
      </c>
      <c r="H1406" s="16" t="n">
        <v>0.34</v>
      </c>
      <c r="I1406" s="1" t="s">
        <v>31</v>
      </c>
      <c r="J1406" s="1" t="n">
        <v>2</v>
      </c>
      <c r="K1406" s="1" t="n">
        <v>3.5</v>
      </c>
      <c r="L1406" s="15" t="n">
        <v>92.23</v>
      </c>
      <c r="M1406" s="15" t="n">
        <f aca="false">F1406*G1406</f>
        <v>139.75</v>
      </c>
      <c r="N1406" s="15" t="n">
        <f aca="false">M1406-L1406</f>
        <v>47.52</v>
      </c>
      <c r="O1406" s="1" t="n">
        <f aca="false">YEAR(B1406)</f>
        <v>2025</v>
      </c>
      <c r="P1406" s="1" t="n">
        <f aca="false">MONTH(B1406)</f>
        <v>11</v>
      </c>
      <c r="Q1406" s="1" t="str">
        <f aca="false">TEXT(B1406,"mmm")</f>
        <v>Nov</v>
      </c>
      <c r="R1406" s="1" t="str">
        <f aca="false">"Q"&amp;ROUNDUP(MONTH(B1406)/3,0)</f>
        <v>Q4</v>
      </c>
    </row>
    <row r="1407" customFormat="false" ht="15" hidden="false" customHeight="true" outlineLevel="0" collapsed="false">
      <c r="A1407" s="1" t="n">
        <v>11406</v>
      </c>
      <c r="B1407" s="14" t="n">
        <v>45967</v>
      </c>
      <c r="C1407" s="1" t="n">
        <v>1136</v>
      </c>
      <c r="D1407" s="1" t="s">
        <v>34</v>
      </c>
      <c r="E1407" s="1" t="s">
        <v>32</v>
      </c>
      <c r="F1407" s="1" t="n">
        <v>4</v>
      </c>
      <c r="G1407" s="15" t="n">
        <v>382.58</v>
      </c>
      <c r="H1407" s="16" t="n">
        <v>0.14</v>
      </c>
      <c r="I1407" s="1" t="s">
        <v>31</v>
      </c>
      <c r="J1407" s="1" t="n">
        <v>11</v>
      </c>
      <c r="K1407" s="1" t="n">
        <v>3.2</v>
      </c>
      <c r="L1407" s="15" t="n">
        <v>1316.08</v>
      </c>
      <c r="M1407" s="15" t="n">
        <f aca="false">F1407*G1407</f>
        <v>1530.32</v>
      </c>
      <c r="N1407" s="15" t="n">
        <f aca="false">M1407-L1407</f>
        <v>214.24</v>
      </c>
      <c r="O1407" s="1" t="n">
        <f aca="false">YEAR(B1407)</f>
        <v>2025</v>
      </c>
      <c r="P1407" s="1" t="n">
        <f aca="false">MONTH(B1407)</f>
        <v>11</v>
      </c>
      <c r="Q1407" s="1" t="str">
        <f aca="false">TEXT(B1407,"mmm")</f>
        <v>Nov</v>
      </c>
      <c r="R1407" s="1" t="str">
        <f aca="false">"Q"&amp;ROUNDUP(MONTH(B1407)/3,0)</f>
        <v>Q4</v>
      </c>
    </row>
    <row r="1408" customFormat="false" ht="15" hidden="false" customHeight="true" outlineLevel="0" collapsed="false">
      <c r="A1408" s="1" t="n">
        <v>11407</v>
      </c>
      <c r="B1408" s="14" t="n">
        <v>45968</v>
      </c>
      <c r="C1408" s="1" t="n">
        <v>1929</v>
      </c>
      <c r="D1408" s="1" t="s">
        <v>27</v>
      </c>
      <c r="E1408" s="1" t="s">
        <v>32</v>
      </c>
      <c r="F1408" s="1" t="n">
        <v>3</v>
      </c>
      <c r="G1408" s="15" t="n">
        <v>355.69</v>
      </c>
      <c r="H1408" s="16" t="n">
        <v>0.01</v>
      </c>
      <c r="I1408" s="1" t="s">
        <v>31</v>
      </c>
      <c r="J1408" s="1" t="n">
        <v>4</v>
      </c>
      <c r="K1408" s="1" t="n">
        <v>4</v>
      </c>
      <c r="L1408" s="15" t="n">
        <v>1056.4</v>
      </c>
      <c r="M1408" s="15" t="n">
        <f aca="false">F1408*G1408</f>
        <v>1067.07</v>
      </c>
      <c r="N1408" s="15" t="n">
        <f aca="false">M1408-L1408</f>
        <v>10.6699999999998</v>
      </c>
      <c r="O1408" s="1" t="n">
        <f aca="false">YEAR(B1408)</f>
        <v>2025</v>
      </c>
      <c r="P1408" s="1" t="n">
        <f aca="false">MONTH(B1408)</f>
        <v>11</v>
      </c>
      <c r="Q1408" s="1" t="str">
        <f aca="false">TEXT(B1408,"mmm")</f>
        <v>Nov</v>
      </c>
      <c r="R1408" s="1" t="str">
        <f aca="false">"Q"&amp;ROUNDUP(MONTH(B1408)/3,0)</f>
        <v>Q4</v>
      </c>
    </row>
    <row r="1409" customFormat="false" ht="15" hidden="false" customHeight="true" outlineLevel="0" collapsed="false">
      <c r="A1409" s="1" t="n">
        <v>11408</v>
      </c>
      <c r="B1409" s="14" t="n">
        <v>45969</v>
      </c>
      <c r="C1409" s="1" t="n">
        <v>1587</v>
      </c>
      <c r="D1409" s="1" t="s">
        <v>30</v>
      </c>
      <c r="E1409" s="1" t="s">
        <v>36</v>
      </c>
      <c r="F1409" s="1" t="n">
        <v>6</v>
      </c>
      <c r="G1409" s="15" t="n">
        <v>592.34</v>
      </c>
      <c r="H1409" s="16" t="n">
        <v>0.08</v>
      </c>
      <c r="I1409" s="1" t="s">
        <v>33</v>
      </c>
      <c r="J1409" s="1" t="n">
        <v>2</v>
      </c>
      <c r="K1409" s="1" t="n">
        <v>3.8</v>
      </c>
      <c r="L1409" s="15" t="n">
        <v>3269.72</v>
      </c>
      <c r="M1409" s="15" t="n">
        <f aca="false">F1409*G1409</f>
        <v>3554.04</v>
      </c>
      <c r="N1409" s="15" t="n">
        <f aca="false">M1409-L1409</f>
        <v>284.32</v>
      </c>
      <c r="O1409" s="1" t="n">
        <f aca="false">YEAR(B1409)</f>
        <v>2025</v>
      </c>
      <c r="P1409" s="1" t="n">
        <f aca="false">MONTH(B1409)</f>
        <v>11</v>
      </c>
      <c r="Q1409" s="1" t="str">
        <f aca="false">TEXT(B1409,"mmm")</f>
        <v>Nov</v>
      </c>
      <c r="R1409" s="1" t="str">
        <f aca="false">"Q"&amp;ROUNDUP(MONTH(B1409)/3,0)</f>
        <v>Q4</v>
      </c>
    </row>
    <row r="1410" customFormat="false" ht="15" hidden="false" customHeight="true" outlineLevel="0" collapsed="false">
      <c r="A1410" s="1" t="n">
        <v>11409</v>
      </c>
      <c r="B1410" s="14" t="n">
        <v>45970</v>
      </c>
      <c r="C1410" s="1" t="n">
        <v>1994</v>
      </c>
      <c r="D1410" s="1" t="s">
        <v>30</v>
      </c>
      <c r="E1410" s="1" t="s">
        <v>28</v>
      </c>
      <c r="F1410" s="1" t="n">
        <v>6</v>
      </c>
      <c r="G1410" s="15" t="n">
        <v>533.86</v>
      </c>
      <c r="H1410" s="16" t="n">
        <v>0.33</v>
      </c>
      <c r="I1410" s="1" t="s">
        <v>29</v>
      </c>
      <c r="J1410" s="1" t="n">
        <v>8</v>
      </c>
      <c r="K1410" s="1" t="n">
        <v>4.3</v>
      </c>
      <c r="L1410" s="15" t="n">
        <v>2146.12</v>
      </c>
      <c r="M1410" s="15" t="n">
        <f aca="false">F1410*G1410</f>
        <v>3203.16</v>
      </c>
      <c r="N1410" s="15" t="n">
        <f aca="false">M1410-L1410</f>
        <v>1057.04</v>
      </c>
      <c r="O1410" s="1" t="n">
        <f aca="false">YEAR(B1410)</f>
        <v>2025</v>
      </c>
      <c r="P1410" s="1" t="n">
        <f aca="false">MONTH(B1410)</f>
        <v>11</v>
      </c>
      <c r="Q1410" s="1" t="str">
        <f aca="false">TEXT(B1410,"mmm")</f>
        <v>Nov</v>
      </c>
      <c r="R1410" s="1" t="str">
        <f aca="false">"Q"&amp;ROUNDUP(MONTH(B1410)/3,0)</f>
        <v>Q4</v>
      </c>
    </row>
    <row r="1411" customFormat="false" ht="15" hidden="false" customHeight="true" outlineLevel="0" collapsed="false">
      <c r="A1411" s="1" t="n">
        <v>11410</v>
      </c>
      <c r="B1411" s="14" t="n">
        <v>45971</v>
      </c>
      <c r="C1411" s="1" t="n">
        <v>1546</v>
      </c>
      <c r="D1411" s="1" t="s">
        <v>34</v>
      </c>
      <c r="E1411" s="1" t="s">
        <v>36</v>
      </c>
      <c r="F1411" s="1" t="n">
        <v>4</v>
      </c>
      <c r="G1411" s="15" t="n">
        <v>255.34</v>
      </c>
      <c r="H1411" s="16" t="n">
        <v>0</v>
      </c>
      <c r="I1411" s="1" t="s">
        <v>33</v>
      </c>
      <c r="J1411" s="1" t="n">
        <v>5</v>
      </c>
      <c r="K1411" s="1" t="n">
        <v>2.2</v>
      </c>
      <c r="L1411" s="15" t="n">
        <v>1021.36</v>
      </c>
      <c r="M1411" s="15" t="n">
        <f aca="false">F1411*G1411</f>
        <v>1021.36</v>
      </c>
      <c r="N1411" s="15" t="n">
        <f aca="false">M1411-L1411</f>
        <v>0</v>
      </c>
      <c r="O1411" s="1" t="n">
        <f aca="false">YEAR(B1411)</f>
        <v>2025</v>
      </c>
      <c r="P1411" s="1" t="n">
        <f aca="false">MONTH(B1411)</f>
        <v>11</v>
      </c>
      <c r="Q1411" s="1" t="str">
        <f aca="false">TEXT(B1411,"mmm")</f>
        <v>Nov</v>
      </c>
      <c r="R1411" s="1" t="str">
        <f aca="false">"Q"&amp;ROUNDUP(MONTH(B1411)/3,0)</f>
        <v>Q4</v>
      </c>
    </row>
    <row r="1412" customFormat="false" ht="15" hidden="false" customHeight="true" outlineLevel="0" collapsed="false">
      <c r="A1412" s="1" t="n">
        <v>11411</v>
      </c>
      <c r="B1412" s="14" t="n">
        <v>45972</v>
      </c>
      <c r="C1412" s="1" t="n">
        <v>1512</v>
      </c>
      <c r="D1412" s="1" t="s">
        <v>30</v>
      </c>
      <c r="E1412" s="1" t="s">
        <v>36</v>
      </c>
      <c r="F1412" s="1" t="n">
        <v>5</v>
      </c>
      <c r="G1412" s="15" t="n">
        <v>232.38</v>
      </c>
      <c r="H1412" s="16" t="n">
        <v>0.19</v>
      </c>
      <c r="I1412" s="1" t="s">
        <v>31</v>
      </c>
      <c r="J1412" s="1" t="n">
        <v>1</v>
      </c>
      <c r="K1412" s="1" t="n">
        <v>1.9</v>
      </c>
      <c r="L1412" s="15" t="n">
        <v>941.14</v>
      </c>
      <c r="M1412" s="15" t="n">
        <f aca="false">F1412*G1412</f>
        <v>1161.9</v>
      </c>
      <c r="N1412" s="15" t="n">
        <f aca="false">M1412-L1412</f>
        <v>220.76</v>
      </c>
      <c r="O1412" s="1" t="n">
        <f aca="false">YEAR(B1412)</f>
        <v>2025</v>
      </c>
      <c r="P1412" s="1" t="n">
        <f aca="false">MONTH(B1412)</f>
        <v>11</v>
      </c>
      <c r="Q1412" s="1" t="str">
        <f aca="false">TEXT(B1412,"mmm")</f>
        <v>Nov</v>
      </c>
      <c r="R1412" s="1" t="str">
        <f aca="false">"Q"&amp;ROUNDUP(MONTH(B1412)/3,0)</f>
        <v>Q4</v>
      </c>
    </row>
    <row r="1413" customFormat="false" ht="15" hidden="false" customHeight="true" outlineLevel="0" collapsed="false">
      <c r="A1413" s="1" t="n">
        <v>11412</v>
      </c>
      <c r="B1413" s="14" t="n">
        <v>45973</v>
      </c>
      <c r="C1413" s="1" t="n">
        <v>1295</v>
      </c>
      <c r="D1413" s="1" t="s">
        <v>37</v>
      </c>
      <c r="E1413" s="1" t="s">
        <v>35</v>
      </c>
      <c r="F1413" s="1" t="n">
        <v>3</v>
      </c>
      <c r="G1413" s="15" t="n">
        <v>188.66</v>
      </c>
      <c r="H1413" s="16" t="n">
        <v>0.03</v>
      </c>
      <c r="I1413" s="1" t="s">
        <v>33</v>
      </c>
      <c r="J1413" s="1" t="n">
        <v>6</v>
      </c>
      <c r="K1413" s="1" t="n">
        <v>4.2</v>
      </c>
      <c r="L1413" s="15" t="n">
        <v>549</v>
      </c>
      <c r="M1413" s="15" t="n">
        <f aca="false">F1413*G1413</f>
        <v>565.98</v>
      </c>
      <c r="N1413" s="15" t="n">
        <f aca="false">M1413-L1413</f>
        <v>16.98</v>
      </c>
      <c r="O1413" s="1" t="n">
        <f aca="false">YEAR(B1413)</f>
        <v>2025</v>
      </c>
      <c r="P1413" s="1" t="n">
        <f aca="false">MONTH(B1413)</f>
        <v>11</v>
      </c>
      <c r="Q1413" s="1" t="str">
        <f aca="false">TEXT(B1413,"mmm")</f>
        <v>Nov</v>
      </c>
      <c r="R1413" s="1" t="str">
        <f aca="false">"Q"&amp;ROUNDUP(MONTH(B1413)/3,0)</f>
        <v>Q4</v>
      </c>
    </row>
    <row r="1414" customFormat="false" ht="15" hidden="false" customHeight="true" outlineLevel="0" collapsed="false">
      <c r="A1414" s="1" t="n">
        <v>11413</v>
      </c>
      <c r="B1414" s="14" t="n">
        <v>45974</v>
      </c>
      <c r="C1414" s="1" t="n">
        <v>1319</v>
      </c>
      <c r="D1414" s="1" t="s">
        <v>37</v>
      </c>
      <c r="E1414" s="1" t="s">
        <v>35</v>
      </c>
      <c r="F1414" s="1" t="n">
        <v>2</v>
      </c>
      <c r="G1414" s="15" t="n">
        <v>104.16</v>
      </c>
      <c r="H1414" s="16" t="n">
        <v>0.1</v>
      </c>
      <c r="I1414" s="1" t="s">
        <v>31</v>
      </c>
      <c r="J1414" s="1" t="n">
        <v>7</v>
      </c>
      <c r="K1414" s="1" t="n">
        <v>2.4</v>
      </c>
      <c r="L1414" s="15" t="n">
        <v>187.49</v>
      </c>
      <c r="M1414" s="15" t="n">
        <f aca="false">F1414*G1414</f>
        <v>208.32</v>
      </c>
      <c r="N1414" s="15" t="n">
        <f aca="false">M1414-L1414</f>
        <v>20.83</v>
      </c>
      <c r="O1414" s="1" t="n">
        <f aca="false">YEAR(B1414)</f>
        <v>2025</v>
      </c>
      <c r="P1414" s="1" t="n">
        <f aca="false">MONTH(B1414)</f>
        <v>11</v>
      </c>
      <c r="Q1414" s="1" t="str">
        <f aca="false">TEXT(B1414,"mmm")</f>
        <v>Nov</v>
      </c>
      <c r="R1414" s="1" t="str">
        <f aca="false">"Q"&amp;ROUNDUP(MONTH(B1414)/3,0)</f>
        <v>Q4</v>
      </c>
    </row>
    <row r="1415" customFormat="false" ht="15" hidden="false" customHeight="true" outlineLevel="0" collapsed="false">
      <c r="A1415" s="1" t="n">
        <v>11414</v>
      </c>
      <c r="B1415" s="14" t="n">
        <v>45975</v>
      </c>
      <c r="C1415" s="1" t="n">
        <v>1917</v>
      </c>
      <c r="D1415" s="1" t="s">
        <v>34</v>
      </c>
      <c r="E1415" s="1" t="s">
        <v>28</v>
      </c>
      <c r="F1415" s="1" t="n">
        <v>5</v>
      </c>
      <c r="G1415" s="15" t="n">
        <v>95.78</v>
      </c>
      <c r="H1415" s="16" t="n">
        <v>0.03</v>
      </c>
      <c r="I1415" s="1" t="s">
        <v>31</v>
      </c>
      <c r="J1415" s="1" t="n">
        <v>1</v>
      </c>
      <c r="K1415" s="1" t="n">
        <v>2.2</v>
      </c>
      <c r="L1415" s="15" t="n">
        <v>464.53</v>
      </c>
      <c r="M1415" s="15" t="n">
        <f aca="false">F1415*G1415</f>
        <v>478.9</v>
      </c>
      <c r="N1415" s="15" t="n">
        <f aca="false">M1415-L1415</f>
        <v>14.37</v>
      </c>
      <c r="O1415" s="1" t="n">
        <f aca="false">YEAR(B1415)</f>
        <v>2025</v>
      </c>
      <c r="P1415" s="1" t="n">
        <f aca="false">MONTH(B1415)</f>
        <v>11</v>
      </c>
      <c r="Q1415" s="1" t="str">
        <f aca="false">TEXT(B1415,"mmm")</f>
        <v>Nov</v>
      </c>
      <c r="R1415" s="1" t="str">
        <f aca="false">"Q"&amp;ROUNDUP(MONTH(B1415)/3,0)</f>
        <v>Q4</v>
      </c>
    </row>
    <row r="1416" customFormat="false" ht="15" hidden="false" customHeight="true" outlineLevel="0" collapsed="false">
      <c r="A1416" s="1" t="n">
        <v>11415</v>
      </c>
      <c r="B1416" s="14" t="n">
        <v>45976</v>
      </c>
      <c r="C1416" s="1" t="n">
        <v>1571</v>
      </c>
      <c r="D1416" s="1" t="s">
        <v>34</v>
      </c>
      <c r="E1416" s="1" t="s">
        <v>32</v>
      </c>
      <c r="F1416" s="1" t="n">
        <v>3</v>
      </c>
      <c r="G1416" s="15" t="n">
        <v>92.39</v>
      </c>
      <c r="H1416" s="16" t="n">
        <v>0.3</v>
      </c>
      <c r="I1416" s="1" t="s">
        <v>31</v>
      </c>
      <c r="J1416" s="1" t="n">
        <v>3</v>
      </c>
      <c r="K1416" s="1" t="n">
        <v>2.3</v>
      </c>
      <c r="L1416" s="15" t="n">
        <v>194.02</v>
      </c>
      <c r="M1416" s="15" t="n">
        <f aca="false">F1416*G1416</f>
        <v>277.17</v>
      </c>
      <c r="N1416" s="15" t="n">
        <f aca="false">M1416-L1416</f>
        <v>83.15</v>
      </c>
      <c r="O1416" s="1" t="n">
        <f aca="false">YEAR(B1416)</f>
        <v>2025</v>
      </c>
      <c r="P1416" s="1" t="n">
        <f aca="false">MONTH(B1416)</f>
        <v>11</v>
      </c>
      <c r="Q1416" s="1" t="str">
        <f aca="false">TEXT(B1416,"mmm")</f>
        <v>Nov</v>
      </c>
      <c r="R1416" s="1" t="str">
        <f aca="false">"Q"&amp;ROUNDUP(MONTH(B1416)/3,0)</f>
        <v>Q4</v>
      </c>
    </row>
    <row r="1417" customFormat="false" ht="15" hidden="false" customHeight="true" outlineLevel="0" collapsed="false">
      <c r="A1417" s="1" t="n">
        <v>11416</v>
      </c>
      <c r="B1417" s="14" t="n">
        <v>45977</v>
      </c>
      <c r="C1417" s="1" t="n">
        <v>1831</v>
      </c>
      <c r="D1417" s="1" t="s">
        <v>37</v>
      </c>
      <c r="E1417" s="1" t="s">
        <v>35</v>
      </c>
      <c r="F1417" s="1" t="n">
        <v>4</v>
      </c>
      <c r="G1417" s="15" t="n">
        <v>81.76</v>
      </c>
      <c r="H1417" s="16" t="n">
        <v>0.21</v>
      </c>
      <c r="I1417" s="1" t="s">
        <v>33</v>
      </c>
      <c r="J1417" s="1" t="n">
        <v>9</v>
      </c>
      <c r="K1417" s="1" t="n">
        <v>1.3</v>
      </c>
      <c r="L1417" s="15" t="n">
        <v>258.36</v>
      </c>
      <c r="M1417" s="15" t="n">
        <f aca="false">F1417*G1417</f>
        <v>327.04</v>
      </c>
      <c r="N1417" s="15" t="n">
        <f aca="false">M1417-L1417</f>
        <v>68.68</v>
      </c>
      <c r="O1417" s="1" t="n">
        <f aca="false">YEAR(B1417)</f>
        <v>2025</v>
      </c>
      <c r="P1417" s="1" t="n">
        <f aca="false">MONTH(B1417)</f>
        <v>11</v>
      </c>
      <c r="Q1417" s="1" t="str">
        <f aca="false">TEXT(B1417,"mmm")</f>
        <v>Nov</v>
      </c>
      <c r="R1417" s="1" t="str">
        <f aca="false">"Q"&amp;ROUNDUP(MONTH(B1417)/3,0)</f>
        <v>Q4</v>
      </c>
    </row>
    <row r="1418" customFormat="false" ht="15" hidden="false" customHeight="true" outlineLevel="0" collapsed="false">
      <c r="A1418" s="1" t="n">
        <v>11417</v>
      </c>
      <c r="B1418" s="14" t="n">
        <v>45978</v>
      </c>
      <c r="C1418" s="1" t="n">
        <v>1348</v>
      </c>
      <c r="D1418" s="1" t="s">
        <v>27</v>
      </c>
      <c r="E1418" s="1" t="s">
        <v>32</v>
      </c>
      <c r="F1418" s="1" t="n">
        <v>6</v>
      </c>
      <c r="G1418" s="15" t="n">
        <v>155.7</v>
      </c>
      <c r="H1418" s="16" t="n">
        <v>0.32</v>
      </c>
      <c r="I1418" s="1" t="s">
        <v>33</v>
      </c>
      <c r="J1418" s="1" t="n">
        <v>7</v>
      </c>
      <c r="K1418" s="1" t="n">
        <v>4.1</v>
      </c>
      <c r="L1418" s="15" t="n">
        <v>635.26</v>
      </c>
      <c r="M1418" s="15" t="n">
        <f aca="false">F1418*G1418</f>
        <v>934.2</v>
      </c>
      <c r="N1418" s="15" t="n">
        <f aca="false">M1418-L1418</f>
        <v>298.94</v>
      </c>
      <c r="O1418" s="1" t="n">
        <f aca="false">YEAR(B1418)</f>
        <v>2025</v>
      </c>
      <c r="P1418" s="1" t="n">
        <f aca="false">MONTH(B1418)</f>
        <v>11</v>
      </c>
      <c r="Q1418" s="1" t="str">
        <f aca="false">TEXT(B1418,"mmm")</f>
        <v>Nov</v>
      </c>
      <c r="R1418" s="1" t="str">
        <f aca="false">"Q"&amp;ROUNDUP(MONTH(B1418)/3,0)</f>
        <v>Q4</v>
      </c>
    </row>
    <row r="1419" customFormat="false" ht="15" hidden="false" customHeight="true" outlineLevel="0" collapsed="false">
      <c r="A1419" s="1" t="n">
        <v>11418</v>
      </c>
      <c r="B1419" s="14" t="n">
        <v>45979</v>
      </c>
      <c r="C1419" s="1" t="n">
        <v>1839</v>
      </c>
      <c r="D1419" s="1" t="s">
        <v>34</v>
      </c>
      <c r="E1419" s="1" t="s">
        <v>36</v>
      </c>
      <c r="F1419" s="1" t="n">
        <v>4</v>
      </c>
      <c r="G1419" s="15" t="n">
        <v>194.4</v>
      </c>
      <c r="H1419" s="16" t="n">
        <v>0.24</v>
      </c>
      <c r="I1419" s="1" t="s">
        <v>33</v>
      </c>
      <c r="J1419" s="1" t="n">
        <v>4</v>
      </c>
      <c r="K1419" s="1" t="n">
        <v>3.9</v>
      </c>
      <c r="L1419" s="15" t="n">
        <v>590.98</v>
      </c>
      <c r="M1419" s="15" t="n">
        <f aca="false">F1419*G1419</f>
        <v>777.6</v>
      </c>
      <c r="N1419" s="15" t="n">
        <f aca="false">M1419-L1419</f>
        <v>186.62</v>
      </c>
      <c r="O1419" s="1" t="n">
        <f aca="false">YEAR(B1419)</f>
        <v>2025</v>
      </c>
      <c r="P1419" s="1" t="n">
        <f aca="false">MONTH(B1419)</f>
        <v>11</v>
      </c>
      <c r="Q1419" s="1" t="str">
        <f aca="false">TEXT(B1419,"mmm")</f>
        <v>Nov</v>
      </c>
      <c r="R1419" s="1" t="str">
        <f aca="false">"Q"&amp;ROUNDUP(MONTH(B1419)/3,0)</f>
        <v>Q4</v>
      </c>
    </row>
    <row r="1420" customFormat="false" ht="15" hidden="false" customHeight="true" outlineLevel="0" collapsed="false">
      <c r="A1420" s="1" t="n">
        <v>11419</v>
      </c>
      <c r="B1420" s="14" t="n">
        <v>45980</v>
      </c>
      <c r="C1420" s="1" t="n">
        <v>1778</v>
      </c>
      <c r="D1420" s="1" t="s">
        <v>30</v>
      </c>
      <c r="E1420" s="1" t="s">
        <v>36</v>
      </c>
      <c r="F1420" s="1" t="n">
        <v>3</v>
      </c>
      <c r="G1420" s="15" t="n">
        <v>577.52</v>
      </c>
      <c r="H1420" s="16" t="n">
        <v>0.34</v>
      </c>
      <c r="I1420" s="1" t="s">
        <v>33</v>
      </c>
      <c r="J1420" s="1" t="n">
        <v>6</v>
      </c>
      <c r="K1420" s="1" t="n">
        <v>3.2</v>
      </c>
      <c r="L1420" s="15" t="n">
        <v>1143.49</v>
      </c>
      <c r="M1420" s="15" t="n">
        <f aca="false">F1420*G1420</f>
        <v>1732.56</v>
      </c>
      <c r="N1420" s="15" t="n">
        <f aca="false">M1420-L1420</f>
        <v>589.07</v>
      </c>
      <c r="O1420" s="1" t="n">
        <f aca="false">YEAR(B1420)</f>
        <v>2025</v>
      </c>
      <c r="P1420" s="1" t="n">
        <f aca="false">MONTH(B1420)</f>
        <v>11</v>
      </c>
      <c r="Q1420" s="1" t="str">
        <f aca="false">TEXT(B1420,"mmm")</f>
        <v>Nov</v>
      </c>
      <c r="R1420" s="1" t="str">
        <f aca="false">"Q"&amp;ROUNDUP(MONTH(B1420)/3,0)</f>
        <v>Q4</v>
      </c>
    </row>
    <row r="1421" customFormat="false" ht="15" hidden="false" customHeight="true" outlineLevel="0" collapsed="false">
      <c r="A1421" s="1" t="n">
        <v>11420</v>
      </c>
      <c r="B1421" s="14" t="n">
        <v>45981</v>
      </c>
      <c r="C1421" s="1" t="n">
        <v>1872</v>
      </c>
      <c r="D1421" s="1" t="s">
        <v>34</v>
      </c>
      <c r="E1421" s="1" t="s">
        <v>36</v>
      </c>
      <c r="F1421" s="1" t="n">
        <v>4</v>
      </c>
      <c r="G1421" s="15" t="n">
        <v>353.41</v>
      </c>
      <c r="H1421" s="16" t="n">
        <v>0.18</v>
      </c>
      <c r="I1421" s="1" t="s">
        <v>31</v>
      </c>
      <c r="J1421" s="1" t="n">
        <v>6</v>
      </c>
      <c r="K1421" s="1" t="n">
        <v>3.9</v>
      </c>
      <c r="L1421" s="15" t="n">
        <v>1159.18</v>
      </c>
      <c r="M1421" s="15" t="n">
        <f aca="false">F1421*G1421</f>
        <v>1413.64</v>
      </c>
      <c r="N1421" s="15" t="n">
        <f aca="false">M1421-L1421</f>
        <v>254.46</v>
      </c>
      <c r="O1421" s="1" t="n">
        <f aca="false">YEAR(B1421)</f>
        <v>2025</v>
      </c>
      <c r="P1421" s="1" t="n">
        <f aca="false">MONTH(B1421)</f>
        <v>11</v>
      </c>
      <c r="Q1421" s="1" t="str">
        <f aca="false">TEXT(B1421,"mmm")</f>
        <v>Nov</v>
      </c>
      <c r="R1421" s="1" t="str">
        <f aca="false">"Q"&amp;ROUNDUP(MONTH(B1421)/3,0)</f>
        <v>Q4</v>
      </c>
    </row>
    <row r="1422" customFormat="false" ht="15" hidden="false" customHeight="true" outlineLevel="0" collapsed="false">
      <c r="A1422" s="1" t="n">
        <v>11421</v>
      </c>
      <c r="B1422" s="14" t="n">
        <v>45982</v>
      </c>
      <c r="C1422" s="1" t="n">
        <v>1228</v>
      </c>
      <c r="D1422" s="1" t="s">
        <v>27</v>
      </c>
      <c r="E1422" s="1" t="s">
        <v>36</v>
      </c>
      <c r="F1422" s="1" t="n">
        <v>3</v>
      </c>
      <c r="G1422" s="15" t="n">
        <v>592.74</v>
      </c>
      <c r="H1422" s="16" t="n">
        <v>0.22</v>
      </c>
      <c r="I1422" s="1" t="s">
        <v>31</v>
      </c>
      <c r="J1422" s="1" t="n">
        <v>3</v>
      </c>
      <c r="K1422" s="1" t="n">
        <v>2.5</v>
      </c>
      <c r="L1422" s="15" t="n">
        <v>1387.01</v>
      </c>
      <c r="M1422" s="15" t="n">
        <f aca="false">F1422*G1422</f>
        <v>1778.22</v>
      </c>
      <c r="N1422" s="15" t="n">
        <f aca="false">M1422-L1422</f>
        <v>391.21</v>
      </c>
      <c r="O1422" s="1" t="n">
        <f aca="false">YEAR(B1422)</f>
        <v>2025</v>
      </c>
      <c r="P1422" s="1" t="n">
        <f aca="false">MONTH(B1422)</f>
        <v>11</v>
      </c>
      <c r="Q1422" s="1" t="str">
        <f aca="false">TEXT(B1422,"mmm")</f>
        <v>Nov</v>
      </c>
      <c r="R1422" s="1" t="str">
        <f aca="false">"Q"&amp;ROUNDUP(MONTH(B1422)/3,0)</f>
        <v>Q4</v>
      </c>
    </row>
    <row r="1423" customFormat="false" ht="15" hidden="false" customHeight="true" outlineLevel="0" collapsed="false">
      <c r="A1423" s="1" t="n">
        <v>11422</v>
      </c>
      <c r="B1423" s="14" t="n">
        <v>45983</v>
      </c>
      <c r="C1423" s="1" t="n">
        <v>1269</v>
      </c>
      <c r="D1423" s="1" t="s">
        <v>34</v>
      </c>
      <c r="E1423" s="1" t="s">
        <v>28</v>
      </c>
      <c r="F1423" s="1" t="n">
        <v>3</v>
      </c>
      <c r="G1423" s="15" t="n">
        <v>232.89</v>
      </c>
      <c r="H1423" s="16" t="n">
        <v>0.2</v>
      </c>
      <c r="I1423" s="1" t="s">
        <v>33</v>
      </c>
      <c r="J1423" s="1" t="n">
        <v>2</v>
      </c>
      <c r="K1423" s="1" t="n">
        <v>2.2</v>
      </c>
      <c r="L1423" s="15" t="n">
        <v>558.94</v>
      </c>
      <c r="M1423" s="15" t="n">
        <f aca="false">F1423*G1423</f>
        <v>698.67</v>
      </c>
      <c r="N1423" s="15" t="n">
        <f aca="false">M1423-L1423</f>
        <v>139.73</v>
      </c>
      <c r="O1423" s="1" t="n">
        <f aca="false">YEAR(B1423)</f>
        <v>2025</v>
      </c>
      <c r="P1423" s="1" t="n">
        <f aca="false">MONTH(B1423)</f>
        <v>11</v>
      </c>
      <c r="Q1423" s="1" t="str">
        <f aca="false">TEXT(B1423,"mmm")</f>
        <v>Nov</v>
      </c>
      <c r="R1423" s="1" t="str">
        <f aca="false">"Q"&amp;ROUNDUP(MONTH(B1423)/3,0)</f>
        <v>Q4</v>
      </c>
    </row>
    <row r="1424" customFormat="false" ht="15" hidden="false" customHeight="true" outlineLevel="0" collapsed="false">
      <c r="A1424" s="1" t="n">
        <v>11423</v>
      </c>
      <c r="B1424" s="14" t="n">
        <v>45984</v>
      </c>
      <c r="C1424" s="1" t="n">
        <v>1827</v>
      </c>
      <c r="D1424" s="1" t="s">
        <v>34</v>
      </c>
      <c r="E1424" s="1" t="s">
        <v>36</v>
      </c>
      <c r="F1424" s="1" t="n">
        <v>4</v>
      </c>
      <c r="G1424" s="15" t="n">
        <v>282.71</v>
      </c>
      <c r="H1424" s="16" t="n">
        <v>0.17</v>
      </c>
      <c r="I1424" s="1" t="s">
        <v>33</v>
      </c>
      <c r="J1424" s="1" t="n">
        <v>5</v>
      </c>
      <c r="K1424" s="1" t="n">
        <v>4.4</v>
      </c>
      <c r="L1424" s="15" t="n">
        <v>938.6</v>
      </c>
      <c r="M1424" s="15" t="n">
        <f aca="false">F1424*G1424</f>
        <v>1130.84</v>
      </c>
      <c r="N1424" s="15" t="n">
        <f aca="false">M1424-L1424</f>
        <v>192.24</v>
      </c>
      <c r="O1424" s="1" t="n">
        <f aca="false">YEAR(B1424)</f>
        <v>2025</v>
      </c>
      <c r="P1424" s="1" t="n">
        <f aca="false">MONTH(B1424)</f>
        <v>11</v>
      </c>
      <c r="Q1424" s="1" t="str">
        <f aca="false">TEXT(B1424,"mmm")</f>
        <v>Nov</v>
      </c>
      <c r="R1424" s="1" t="str">
        <f aca="false">"Q"&amp;ROUNDUP(MONTH(B1424)/3,0)</f>
        <v>Q4</v>
      </c>
    </row>
    <row r="1425" customFormat="false" ht="15" hidden="false" customHeight="true" outlineLevel="0" collapsed="false">
      <c r="A1425" s="1" t="n">
        <v>11424</v>
      </c>
      <c r="B1425" s="14" t="n">
        <v>45985</v>
      </c>
      <c r="C1425" s="1" t="n">
        <v>1797</v>
      </c>
      <c r="D1425" s="1" t="s">
        <v>37</v>
      </c>
      <c r="E1425" s="1" t="s">
        <v>35</v>
      </c>
      <c r="F1425" s="1" t="n">
        <v>1</v>
      </c>
      <c r="G1425" s="15" t="n">
        <v>204.88</v>
      </c>
      <c r="H1425" s="16" t="n">
        <v>0.3</v>
      </c>
      <c r="I1425" s="1" t="s">
        <v>33</v>
      </c>
      <c r="J1425" s="1" t="n">
        <v>8</v>
      </c>
      <c r="K1425" s="1" t="n">
        <v>2.7</v>
      </c>
      <c r="L1425" s="15" t="n">
        <v>143.42</v>
      </c>
      <c r="M1425" s="15" t="n">
        <f aca="false">F1425*G1425</f>
        <v>204.88</v>
      </c>
      <c r="N1425" s="15" t="n">
        <f aca="false">M1425-L1425</f>
        <v>61.46</v>
      </c>
      <c r="O1425" s="1" t="n">
        <f aca="false">YEAR(B1425)</f>
        <v>2025</v>
      </c>
      <c r="P1425" s="1" t="n">
        <f aca="false">MONTH(B1425)</f>
        <v>11</v>
      </c>
      <c r="Q1425" s="1" t="str">
        <f aca="false">TEXT(B1425,"mmm")</f>
        <v>Nov</v>
      </c>
      <c r="R1425" s="1" t="str">
        <f aca="false">"Q"&amp;ROUNDUP(MONTH(B1425)/3,0)</f>
        <v>Q4</v>
      </c>
    </row>
    <row r="1426" customFormat="false" ht="15" hidden="false" customHeight="true" outlineLevel="0" collapsed="false">
      <c r="A1426" s="1" t="n">
        <v>11425</v>
      </c>
      <c r="B1426" s="14" t="n">
        <v>45986</v>
      </c>
      <c r="C1426" s="1" t="n">
        <v>1290</v>
      </c>
      <c r="D1426" s="1" t="s">
        <v>34</v>
      </c>
      <c r="E1426" s="1" t="s">
        <v>36</v>
      </c>
      <c r="F1426" s="1" t="n">
        <v>2</v>
      </c>
      <c r="G1426" s="15" t="n">
        <v>121.99</v>
      </c>
      <c r="H1426" s="16" t="n">
        <v>0.23</v>
      </c>
      <c r="I1426" s="1" t="s">
        <v>31</v>
      </c>
      <c r="J1426" s="1" t="n">
        <v>3</v>
      </c>
      <c r="K1426" s="1" t="n">
        <v>1.8</v>
      </c>
      <c r="L1426" s="15" t="n">
        <v>187.86</v>
      </c>
      <c r="M1426" s="15" t="n">
        <f aca="false">F1426*G1426</f>
        <v>243.98</v>
      </c>
      <c r="N1426" s="15" t="n">
        <f aca="false">M1426-L1426</f>
        <v>56.12</v>
      </c>
      <c r="O1426" s="1" t="n">
        <f aca="false">YEAR(B1426)</f>
        <v>2025</v>
      </c>
      <c r="P1426" s="1" t="n">
        <f aca="false">MONTH(B1426)</f>
        <v>11</v>
      </c>
      <c r="Q1426" s="1" t="str">
        <f aca="false">TEXT(B1426,"mmm")</f>
        <v>Nov</v>
      </c>
      <c r="R1426" s="1" t="str">
        <f aca="false">"Q"&amp;ROUNDUP(MONTH(B1426)/3,0)</f>
        <v>Q4</v>
      </c>
    </row>
    <row r="1427" customFormat="false" ht="15" hidden="false" customHeight="true" outlineLevel="0" collapsed="false">
      <c r="A1427" s="1" t="n">
        <v>11426</v>
      </c>
      <c r="B1427" s="14" t="n">
        <v>45987</v>
      </c>
      <c r="C1427" s="1" t="n">
        <v>1724</v>
      </c>
      <c r="D1427" s="1" t="s">
        <v>30</v>
      </c>
      <c r="E1427" s="1" t="s">
        <v>32</v>
      </c>
      <c r="F1427" s="1" t="n">
        <v>5</v>
      </c>
      <c r="G1427" s="15" t="n">
        <v>98.75</v>
      </c>
      <c r="H1427" s="16" t="n">
        <v>0.28</v>
      </c>
      <c r="I1427" s="1" t="s">
        <v>33</v>
      </c>
      <c r="J1427" s="1" t="n">
        <v>5</v>
      </c>
      <c r="K1427" s="1" t="n">
        <v>4</v>
      </c>
      <c r="L1427" s="15" t="n">
        <v>355.5</v>
      </c>
      <c r="M1427" s="15" t="n">
        <f aca="false">F1427*G1427</f>
        <v>493.75</v>
      </c>
      <c r="N1427" s="15" t="n">
        <f aca="false">M1427-L1427</f>
        <v>138.25</v>
      </c>
      <c r="O1427" s="1" t="n">
        <f aca="false">YEAR(B1427)</f>
        <v>2025</v>
      </c>
      <c r="P1427" s="1" t="n">
        <f aca="false">MONTH(B1427)</f>
        <v>11</v>
      </c>
      <c r="Q1427" s="1" t="str">
        <f aca="false">TEXT(B1427,"mmm")</f>
        <v>Nov</v>
      </c>
      <c r="R1427" s="1" t="str">
        <f aca="false">"Q"&amp;ROUNDUP(MONTH(B1427)/3,0)</f>
        <v>Q4</v>
      </c>
    </row>
    <row r="1428" customFormat="false" ht="15" hidden="false" customHeight="true" outlineLevel="0" collapsed="false">
      <c r="A1428" s="1" t="n">
        <v>11427</v>
      </c>
      <c r="B1428" s="14" t="n">
        <v>45988</v>
      </c>
      <c r="C1428" s="1" t="n">
        <v>1164</v>
      </c>
      <c r="D1428" s="1" t="s">
        <v>30</v>
      </c>
      <c r="E1428" s="1" t="s">
        <v>35</v>
      </c>
      <c r="F1428" s="1" t="n">
        <v>6</v>
      </c>
      <c r="G1428" s="15" t="n">
        <v>567.87</v>
      </c>
      <c r="H1428" s="16" t="n">
        <v>0.28</v>
      </c>
      <c r="I1428" s="1" t="s">
        <v>31</v>
      </c>
      <c r="J1428" s="1" t="n">
        <v>3</v>
      </c>
      <c r="K1428" s="1" t="n">
        <v>2.3</v>
      </c>
      <c r="L1428" s="15" t="n">
        <v>2453.2</v>
      </c>
      <c r="M1428" s="15" t="n">
        <f aca="false">F1428*G1428</f>
        <v>3407.22</v>
      </c>
      <c r="N1428" s="15" t="n">
        <f aca="false">M1428-L1428</f>
        <v>954.02</v>
      </c>
      <c r="O1428" s="1" t="n">
        <f aca="false">YEAR(B1428)</f>
        <v>2025</v>
      </c>
      <c r="P1428" s="1" t="n">
        <f aca="false">MONTH(B1428)</f>
        <v>11</v>
      </c>
      <c r="Q1428" s="1" t="str">
        <f aca="false">TEXT(B1428,"mmm")</f>
        <v>Nov</v>
      </c>
      <c r="R1428" s="1" t="str">
        <f aca="false">"Q"&amp;ROUNDUP(MONTH(B1428)/3,0)</f>
        <v>Q4</v>
      </c>
    </row>
    <row r="1429" customFormat="false" ht="15" hidden="false" customHeight="true" outlineLevel="0" collapsed="false">
      <c r="A1429" s="1" t="n">
        <v>11428</v>
      </c>
      <c r="B1429" s="14" t="n">
        <v>45989</v>
      </c>
      <c r="C1429" s="1" t="n">
        <v>1004</v>
      </c>
      <c r="D1429" s="1" t="s">
        <v>34</v>
      </c>
      <c r="E1429" s="1" t="s">
        <v>32</v>
      </c>
      <c r="F1429" s="1" t="n">
        <v>2</v>
      </c>
      <c r="G1429" s="15" t="n">
        <v>592.28</v>
      </c>
      <c r="H1429" s="16" t="n">
        <v>0.07</v>
      </c>
      <c r="I1429" s="1" t="s">
        <v>33</v>
      </c>
      <c r="J1429" s="1" t="n">
        <v>7</v>
      </c>
      <c r="K1429" s="1" t="n">
        <v>1.8</v>
      </c>
      <c r="L1429" s="15" t="n">
        <v>1101.64</v>
      </c>
      <c r="M1429" s="15" t="n">
        <f aca="false">F1429*G1429</f>
        <v>1184.56</v>
      </c>
      <c r="N1429" s="15" t="n">
        <f aca="false">M1429-L1429</f>
        <v>82.9199999999999</v>
      </c>
      <c r="O1429" s="1" t="n">
        <f aca="false">YEAR(B1429)</f>
        <v>2025</v>
      </c>
      <c r="P1429" s="1" t="n">
        <f aca="false">MONTH(B1429)</f>
        <v>11</v>
      </c>
      <c r="Q1429" s="1" t="str">
        <f aca="false">TEXT(B1429,"mmm")</f>
        <v>Nov</v>
      </c>
      <c r="R1429" s="1" t="str">
        <f aca="false">"Q"&amp;ROUNDUP(MONTH(B1429)/3,0)</f>
        <v>Q4</v>
      </c>
    </row>
    <row r="1430" customFormat="false" ht="15" hidden="false" customHeight="true" outlineLevel="0" collapsed="false">
      <c r="A1430" s="1" t="n">
        <v>11429</v>
      </c>
      <c r="B1430" s="14" t="n">
        <v>45990</v>
      </c>
      <c r="C1430" s="1" t="n">
        <v>1850</v>
      </c>
      <c r="D1430" s="1" t="s">
        <v>30</v>
      </c>
      <c r="E1430" s="1" t="s">
        <v>32</v>
      </c>
      <c r="F1430" s="1" t="n">
        <v>5</v>
      </c>
      <c r="G1430" s="15" t="n">
        <v>41.27</v>
      </c>
      <c r="H1430" s="16" t="n">
        <v>0.23</v>
      </c>
      <c r="I1430" s="1" t="s">
        <v>33</v>
      </c>
      <c r="J1430" s="1" t="n">
        <v>6</v>
      </c>
      <c r="K1430" s="1" t="n">
        <v>1.1</v>
      </c>
      <c r="L1430" s="15" t="n">
        <v>158.89</v>
      </c>
      <c r="M1430" s="15" t="n">
        <f aca="false">F1430*G1430</f>
        <v>206.35</v>
      </c>
      <c r="N1430" s="15" t="n">
        <f aca="false">M1430-L1430</f>
        <v>47.46</v>
      </c>
      <c r="O1430" s="1" t="n">
        <f aca="false">YEAR(B1430)</f>
        <v>2025</v>
      </c>
      <c r="P1430" s="1" t="n">
        <f aca="false">MONTH(B1430)</f>
        <v>11</v>
      </c>
      <c r="Q1430" s="1" t="str">
        <f aca="false">TEXT(B1430,"mmm")</f>
        <v>Nov</v>
      </c>
      <c r="R1430" s="1" t="str">
        <f aca="false">"Q"&amp;ROUNDUP(MONTH(B1430)/3,0)</f>
        <v>Q4</v>
      </c>
    </row>
    <row r="1431" customFormat="false" ht="15" hidden="false" customHeight="true" outlineLevel="0" collapsed="false">
      <c r="A1431" s="1" t="n">
        <v>11430</v>
      </c>
      <c r="B1431" s="14" t="n">
        <v>45991</v>
      </c>
      <c r="C1431" s="1" t="n">
        <v>1378</v>
      </c>
      <c r="D1431" s="1" t="s">
        <v>30</v>
      </c>
      <c r="E1431" s="1" t="s">
        <v>28</v>
      </c>
      <c r="F1431" s="1" t="n">
        <v>5</v>
      </c>
      <c r="G1431" s="15" t="n">
        <v>102.95</v>
      </c>
      <c r="H1431" s="16" t="n">
        <v>0.07</v>
      </c>
      <c r="I1431" s="1" t="s">
        <v>29</v>
      </c>
      <c r="J1431" s="1" t="n">
        <v>6</v>
      </c>
      <c r="K1431" s="1" t="n">
        <v>4.9</v>
      </c>
      <c r="L1431" s="15" t="n">
        <v>478.72</v>
      </c>
      <c r="M1431" s="15" t="n">
        <f aca="false">F1431*G1431</f>
        <v>514.75</v>
      </c>
      <c r="N1431" s="15" t="n">
        <f aca="false">M1431-L1431</f>
        <v>36.03</v>
      </c>
      <c r="O1431" s="1" t="n">
        <f aca="false">YEAR(B1431)</f>
        <v>2025</v>
      </c>
      <c r="P1431" s="1" t="n">
        <f aca="false">MONTH(B1431)</f>
        <v>11</v>
      </c>
      <c r="Q1431" s="1" t="str">
        <f aca="false">TEXT(B1431,"mmm")</f>
        <v>Nov</v>
      </c>
      <c r="R1431" s="1" t="str">
        <f aca="false">"Q"&amp;ROUNDUP(MONTH(B1431)/3,0)</f>
        <v>Q4</v>
      </c>
    </row>
    <row r="1432" customFormat="false" ht="15" hidden="false" customHeight="true" outlineLevel="0" collapsed="false">
      <c r="A1432" s="1" t="n">
        <v>11431</v>
      </c>
      <c r="B1432" s="14" t="n">
        <v>45992</v>
      </c>
      <c r="C1432" s="1" t="n">
        <v>1077</v>
      </c>
      <c r="D1432" s="1" t="s">
        <v>34</v>
      </c>
      <c r="E1432" s="1" t="s">
        <v>28</v>
      </c>
      <c r="F1432" s="1" t="n">
        <v>6</v>
      </c>
      <c r="G1432" s="15" t="n">
        <v>262.76</v>
      </c>
      <c r="H1432" s="16" t="n">
        <v>0.2</v>
      </c>
      <c r="I1432" s="1" t="s">
        <v>31</v>
      </c>
      <c r="J1432" s="1" t="n">
        <v>1</v>
      </c>
      <c r="K1432" s="1" t="n">
        <v>2.9</v>
      </c>
      <c r="L1432" s="15" t="n">
        <v>1261.25</v>
      </c>
      <c r="M1432" s="15" t="n">
        <f aca="false">F1432*G1432</f>
        <v>1576.56</v>
      </c>
      <c r="N1432" s="15" t="n">
        <f aca="false">M1432-L1432</f>
        <v>315.31</v>
      </c>
      <c r="O1432" s="1" t="n">
        <f aca="false">YEAR(B1432)</f>
        <v>2025</v>
      </c>
      <c r="P1432" s="1" t="n">
        <f aca="false">MONTH(B1432)</f>
        <v>12</v>
      </c>
      <c r="Q1432" s="1" t="str">
        <f aca="false">TEXT(B1432,"mmm")</f>
        <v>Dec</v>
      </c>
      <c r="R1432" s="1" t="str">
        <f aca="false">"Q"&amp;ROUNDUP(MONTH(B1432)/3,0)</f>
        <v>Q4</v>
      </c>
    </row>
    <row r="1433" customFormat="false" ht="15" hidden="false" customHeight="true" outlineLevel="0" collapsed="false">
      <c r="A1433" s="1" t="n">
        <v>11432</v>
      </c>
      <c r="B1433" s="14" t="n">
        <v>45993</v>
      </c>
      <c r="C1433" s="1" t="n">
        <v>1409</v>
      </c>
      <c r="D1433" s="1" t="s">
        <v>30</v>
      </c>
      <c r="E1433" s="1" t="s">
        <v>32</v>
      </c>
      <c r="F1433" s="1" t="n">
        <v>2</v>
      </c>
      <c r="G1433" s="15" t="n">
        <v>124.01</v>
      </c>
      <c r="H1433" s="16" t="n">
        <v>0.24</v>
      </c>
      <c r="I1433" s="1" t="s">
        <v>33</v>
      </c>
      <c r="J1433" s="1" t="n">
        <v>2</v>
      </c>
      <c r="K1433" s="1" t="n">
        <v>1.6</v>
      </c>
      <c r="L1433" s="15" t="n">
        <v>188.5</v>
      </c>
      <c r="M1433" s="15" t="n">
        <f aca="false">F1433*G1433</f>
        <v>248.02</v>
      </c>
      <c r="N1433" s="15" t="n">
        <f aca="false">M1433-L1433</f>
        <v>59.52</v>
      </c>
      <c r="O1433" s="1" t="n">
        <f aca="false">YEAR(B1433)</f>
        <v>2025</v>
      </c>
      <c r="P1433" s="1" t="n">
        <f aca="false">MONTH(B1433)</f>
        <v>12</v>
      </c>
      <c r="Q1433" s="1" t="str">
        <f aca="false">TEXT(B1433,"mmm")</f>
        <v>Dec</v>
      </c>
      <c r="R1433" s="1" t="str">
        <f aca="false">"Q"&amp;ROUNDUP(MONTH(B1433)/3,0)</f>
        <v>Q4</v>
      </c>
    </row>
    <row r="1434" customFormat="false" ht="15" hidden="false" customHeight="true" outlineLevel="0" collapsed="false">
      <c r="A1434" s="1" t="n">
        <v>11433</v>
      </c>
      <c r="B1434" s="14" t="n">
        <v>45994</v>
      </c>
      <c r="C1434" s="1" t="n">
        <v>1573</v>
      </c>
      <c r="D1434" s="1" t="s">
        <v>37</v>
      </c>
      <c r="E1434" s="1" t="s">
        <v>32</v>
      </c>
      <c r="F1434" s="1" t="n">
        <v>6</v>
      </c>
      <c r="G1434" s="15" t="n">
        <v>227.87</v>
      </c>
      <c r="H1434" s="16" t="n">
        <v>0.35</v>
      </c>
      <c r="I1434" s="1" t="s">
        <v>33</v>
      </c>
      <c r="J1434" s="1" t="n">
        <v>6</v>
      </c>
      <c r="K1434" s="1" t="n">
        <v>4</v>
      </c>
      <c r="L1434" s="15" t="n">
        <v>888.69</v>
      </c>
      <c r="M1434" s="15" t="n">
        <f aca="false">F1434*G1434</f>
        <v>1367.22</v>
      </c>
      <c r="N1434" s="15" t="n">
        <f aca="false">M1434-L1434</f>
        <v>478.53</v>
      </c>
      <c r="O1434" s="1" t="n">
        <f aca="false">YEAR(B1434)</f>
        <v>2025</v>
      </c>
      <c r="P1434" s="1" t="n">
        <f aca="false">MONTH(B1434)</f>
        <v>12</v>
      </c>
      <c r="Q1434" s="1" t="str">
        <f aca="false">TEXT(B1434,"mmm")</f>
        <v>Dec</v>
      </c>
      <c r="R1434" s="1" t="str">
        <f aca="false">"Q"&amp;ROUNDUP(MONTH(B1434)/3,0)</f>
        <v>Q4</v>
      </c>
    </row>
    <row r="1435" customFormat="false" ht="15" hidden="false" customHeight="true" outlineLevel="0" collapsed="false">
      <c r="A1435" s="1" t="n">
        <v>11434</v>
      </c>
      <c r="B1435" s="14" t="n">
        <v>45995</v>
      </c>
      <c r="C1435" s="1" t="n">
        <v>1131</v>
      </c>
      <c r="D1435" s="1" t="s">
        <v>37</v>
      </c>
      <c r="E1435" s="1" t="s">
        <v>36</v>
      </c>
      <c r="F1435" s="1" t="n">
        <v>3</v>
      </c>
      <c r="G1435" s="15" t="n">
        <v>90.52</v>
      </c>
      <c r="H1435" s="16" t="n">
        <v>0.01</v>
      </c>
      <c r="I1435" s="1" t="s">
        <v>31</v>
      </c>
      <c r="J1435" s="1" t="n">
        <v>8</v>
      </c>
      <c r="K1435" s="1" t="n">
        <v>4.6</v>
      </c>
      <c r="L1435" s="15" t="n">
        <v>268.84</v>
      </c>
      <c r="M1435" s="15" t="n">
        <f aca="false">F1435*G1435</f>
        <v>271.56</v>
      </c>
      <c r="N1435" s="15" t="n">
        <f aca="false">M1435-L1435</f>
        <v>2.72000000000003</v>
      </c>
      <c r="O1435" s="1" t="n">
        <f aca="false">YEAR(B1435)</f>
        <v>2025</v>
      </c>
      <c r="P1435" s="1" t="n">
        <f aca="false">MONTH(B1435)</f>
        <v>12</v>
      </c>
      <c r="Q1435" s="1" t="str">
        <f aca="false">TEXT(B1435,"mmm")</f>
        <v>Dec</v>
      </c>
      <c r="R1435" s="1" t="str">
        <f aca="false">"Q"&amp;ROUNDUP(MONTH(B1435)/3,0)</f>
        <v>Q4</v>
      </c>
    </row>
    <row r="1436" customFormat="false" ht="15" hidden="false" customHeight="true" outlineLevel="0" collapsed="false">
      <c r="A1436" s="1" t="n">
        <v>11435</v>
      </c>
      <c r="B1436" s="14" t="n">
        <v>45996</v>
      </c>
      <c r="C1436" s="1" t="n">
        <v>1600</v>
      </c>
      <c r="D1436" s="1" t="s">
        <v>34</v>
      </c>
      <c r="E1436" s="1" t="s">
        <v>35</v>
      </c>
      <c r="F1436" s="1" t="n">
        <v>6</v>
      </c>
      <c r="G1436" s="15" t="n">
        <v>282.06</v>
      </c>
      <c r="H1436" s="16" t="n">
        <v>0.03</v>
      </c>
      <c r="I1436" s="1" t="s">
        <v>31</v>
      </c>
      <c r="J1436" s="1" t="n">
        <v>5</v>
      </c>
      <c r="K1436" s="1" t="n">
        <v>3.1</v>
      </c>
      <c r="L1436" s="15" t="n">
        <v>1641.59</v>
      </c>
      <c r="M1436" s="15" t="n">
        <f aca="false">F1436*G1436</f>
        <v>1692.36</v>
      </c>
      <c r="N1436" s="15" t="n">
        <f aca="false">M1436-L1436</f>
        <v>50.7700000000002</v>
      </c>
      <c r="O1436" s="1" t="n">
        <f aca="false">YEAR(B1436)</f>
        <v>2025</v>
      </c>
      <c r="P1436" s="1" t="n">
        <f aca="false">MONTH(B1436)</f>
        <v>12</v>
      </c>
      <c r="Q1436" s="1" t="str">
        <f aca="false">TEXT(B1436,"mmm")</f>
        <v>Dec</v>
      </c>
      <c r="R1436" s="1" t="str">
        <f aca="false">"Q"&amp;ROUNDUP(MONTH(B1436)/3,0)</f>
        <v>Q4</v>
      </c>
    </row>
    <row r="1437" customFormat="false" ht="15" hidden="false" customHeight="true" outlineLevel="0" collapsed="false">
      <c r="A1437" s="1" t="n">
        <v>11436</v>
      </c>
      <c r="B1437" s="14" t="n">
        <v>45997</v>
      </c>
      <c r="C1437" s="1" t="n">
        <v>1748</v>
      </c>
      <c r="D1437" s="1" t="s">
        <v>34</v>
      </c>
      <c r="E1437" s="1" t="s">
        <v>36</v>
      </c>
      <c r="F1437" s="1" t="n">
        <v>4</v>
      </c>
      <c r="G1437" s="15" t="n">
        <v>173.94</v>
      </c>
      <c r="H1437" s="16" t="n">
        <v>0.03</v>
      </c>
      <c r="I1437" s="1" t="s">
        <v>33</v>
      </c>
      <c r="J1437" s="1" t="n">
        <v>2</v>
      </c>
      <c r="K1437" s="1" t="n">
        <v>1.1</v>
      </c>
      <c r="L1437" s="15" t="n">
        <v>674.89</v>
      </c>
      <c r="M1437" s="15" t="n">
        <f aca="false">F1437*G1437</f>
        <v>695.76</v>
      </c>
      <c r="N1437" s="15" t="n">
        <f aca="false">M1437-L1437</f>
        <v>20.87</v>
      </c>
      <c r="O1437" s="1" t="n">
        <f aca="false">YEAR(B1437)</f>
        <v>2025</v>
      </c>
      <c r="P1437" s="1" t="n">
        <f aca="false">MONTH(B1437)</f>
        <v>12</v>
      </c>
      <c r="Q1437" s="1" t="str">
        <f aca="false">TEXT(B1437,"mmm")</f>
        <v>Dec</v>
      </c>
      <c r="R1437" s="1" t="str">
        <f aca="false">"Q"&amp;ROUNDUP(MONTH(B1437)/3,0)</f>
        <v>Q4</v>
      </c>
    </row>
    <row r="1438" customFormat="false" ht="15" hidden="false" customHeight="true" outlineLevel="0" collapsed="false">
      <c r="A1438" s="1" t="n">
        <v>11437</v>
      </c>
      <c r="B1438" s="14" t="n">
        <v>45998</v>
      </c>
      <c r="C1438" s="1" t="n">
        <v>1041</v>
      </c>
      <c r="D1438" s="1" t="s">
        <v>34</v>
      </c>
      <c r="E1438" s="1" t="s">
        <v>28</v>
      </c>
      <c r="F1438" s="1" t="n">
        <v>1</v>
      </c>
      <c r="G1438" s="15" t="n">
        <v>220.86</v>
      </c>
      <c r="H1438" s="16" t="n">
        <v>0.14</v>
      </c>
      <c r="I1438" s="1" t="s">
        <v>31</v>
      </c>
      <c r="J1438" s="1" t="n">
        <v>5</v>
      </c>
      <c r="K1438" s="1" t="n">
        <v>2.5</v>
      </c>
      <c r="L1438" s="15" t="n">
        <v>189.94</v>
      </c>
      <c r="M1438" s="15" t="n">
        <f aca="false">F1438*G1438</f>
        <v>220.86</v>
      </c>
      <c r="N1438" s="15" t="n">
        <f aca="false">M1438-L1438</f>
        <v>30.92</v>
      </c>
      <c r="O1438" s="1" t="n">
        <f aca="false">YEAR(B1438)</f>
        <v>2025</v>
      </c>
      <c r="P1438" s="1" t="n">
        <f aca="false">MONTH(B1438)</f>
        <v>12</v>
      </c>
      <c r="Q1438" s="1" t="str">
        <f aca="false">TEXT(B1438,"mmm")</f>
        <v>Dec</v>
      </c>
      <c r="R1438" s="1" t="str">
        <f aca="false">"Q"&amp;ROUNDUP(MONTH(B1438)/3,0)</f>
        <v>Q4</v>
      </c>
    </row>
    <row r="1439" customFormat="false" ht="15" hidden="false" customHeight="true" outlineLevel="0" collapsed="false">
      <c r="A1439" s="1" t="n">
        <v>11438</v>
      </c>
      <c r="B1439" s="14" t="n">
        <v>45999</v>
      </c>
      <c r="C1439" s="1" t="n">
        <v>1088</v>
      </c>
      <c r="D1439" s="1" t="s">
        <v>30</v>
      </c>
      <c r="E1439" s="1" t="s">
        <v>28</v>
      </c>
      <c r="F1439" s="1" t="n">
        <v>1</v>
      </c>
      <c r="G1439" s="15" t="n">
        <v>70.17</v>
      </c>
      <c r="H1439" s="16" t="n">
        <v>0.29</v>
      </c>
      <c r="I1439" s="1" t="s">
        <v>31</v>
      </c>
      <c r="J1439" s="1" t="n">
        <v>9</v>
      </c>
      <c r="K1439" s="1" t="n">
        <v>2</v>
      </c>
      <c r="L1439" s="15" t="n">
        <v>49.82</v>
      </c>
      <c r="M1439" s="15" t="n">
        <f aca="false">F1439*G1439</f>
        <v>70.17</v>
      </c>
      <c r="N1439" s="15" t="n">
        <f aca="false">M1439-L1439</f>
        <v>20.35</v>
      </c>
      <c r="O1439" s="1" t="n">
        <f aca="false">YEAR(B1439)</f>
        <v>2025</v>
      </c>
      <c r="P1439" s="1" t="n">
        <f aca="false">MONTH(B1439)</f>
        <v>12</v>
      </c>
      <c r="Q1439" s="1" t="str">
        <f aca="false">TEXT(B1439,"mmm")</f>
        <v>Dec</v>
      </c>
      <c r="R1439" s="1" t="str">
        <f aca="false">"Q"&amp;ROUNDUP(MONTH(B1439)/3,0)</f>
        <v>Q4</v>
      </c>
    </row>
    <row r="1440" customFormat="false" ht="15" hidden="false" customHeight="true" outlineLevel="0" collapsed="false">
      <c r="A1440" s="1" t="n">
        <v>11439</v>
      </c>
      <c r="B1440" s="14" t="n">
        <v>46000</v>
      </c>
      <c r="C1440" s="1" t="n">
        <v>1401</v>
      </c>
      <c r="D1440" s="1" t="s">
        <v>30</v>
      </c>
      <c r="E1440" s="1" t="s">
        <v>36</v>
      </c>
      <c r="F1440" s="1" t="n">
        <v>1</v>
      </c>
      <c r="G1440" s="15" t="n">
        <v>265.45</v>
      </c>
      <c r="H1440" s="16" t="n">
        <v>0.3</v>
      </c>
      <c r="I1440" s="1" t="s">
        <v>29</v>
      </c>
      <c r="J1440" s="1" t="n">
        <v>6</v>
      </c>
      <c r="K1440" s="1" t="n">
        <v>3.5</v>
      </c>
      <c r="L1440" s="15" t="n">
        <v>185.81</v>
      </c>
      <c r="M1440" s="15" t="n">
        <f aca="false">F1440*G1440</f>
        <v>265.45</v>
      </c>
      <c r="N1440" s="15" t="n">
        <f aca="false">M1440-L1440</f>
        <v>79.64</v>
      </c>
      <c r="O1440" s="1" t="n">
        <f aca="false">YEAR(B1440)</f>
        <v>2025</v>
      </c>
      <c r="P1440" s="1" t="n">
        <f aca="false">MONTH(B1440)</f>
        <v>12</v>
      </c>
      <c r="Q1440" s="1" t="str">
        <f aca="false">TEXT(B1440,"mmm")</f>
        <v>Dec</v>
      </c>
      <c r="R1440" s="1" t="str">
        <f aca="false">"Q"&amp;ROUNDUP(MONTH(B1440)/3,0)</f>
        <v>Q4</v>
      </c>
    </row>
    <row r="1441" customFormat="false" ht="15" hidden="false" customHeight="true" outlineLevel="0" collapsed="false">
      <c r="A1441" s="1" t="n">
        <v>11440</v>
      </c>
      <c r="B1441" s="14" t="n">
        <v>46001</v>
      </c>
      <c r="C1441" s="1" t="n">
        <v>1295</v>
      </c>
      <c r="D1441" s="1" t="s">
        <v>37</v>
      </c>
      <c r="E1441" s="1" t="s">
        <v>35</v>
      </c>
      <c r="F1441" s="1" t="n">
        <v>2</v>
      </c>
      <c r="G1441" s="15" t="n">
        <v>590.21</v>
      </c>
      <c r="H1441" s="16" t="n">
        <v>0.26</v>
      </c>
      <c r="I1441" s="1" t="s">
        <v>33</v>
      </c>
      <c r="J1441" s="1" t="n">
        <v>5</v>
      </c>
      <c r="K1441" s="1" t="n">
        <v>3.1</v>
      </c>
      <c r="L1441" s="15" t="n">
        <v>873.51</v>
      </c>
      <c r="M1441" s="15" t="n">
        <f aca="false">F1441*G1441</f>
        <v>1180.42</v>
      </c>
      <c r="N1441" s="15" t="n">
        <f aca="false">M1441-L1441</f>
        <v>306.91</v>
      </c>
      <c r="O1441" s="1" t="n">
        <f aca="false">YEAR(B1441)</f>
        <v>2025</v>
      </c>
      <c r="P1441" s="1" t="n">
        <f aca="false">MONTH(B1441)</f>
        <v>12</v>
      </c>
      <c r="Q1441" s="1" t="str">
        <f aca="false">TEXT(B1441,"mmm")</f>
        <v>Dec</v>
      </c>
      <c r="R1441" s="1" t="str">
        <f aca="false">"Q"&amp;ROUNDUP(MONTH(B1441)/3,0)</f>
        <v>Q4</v>
      </c>
    </row>
    <row r="1442" customFormat="false" ht="15" hidden="false" customHeight="true" outlineLevel="0" collapsed="false">
      <c r="A1442" s="1" t="n">
        <v>11441</v>
      </c>
      <c r="B1442" s="14" t="n">
        <v>46002</v>
      </c>
      <c r="C1442" s="1" t="n">
        <v>1839</v>
      </c>
      <c r="D1442" s="1" t="s">
        <v>34</v>
      </c>
      <c r="E1442" s="1" t="s">
        <v>32</v>
      </c>
      <c r="F1442" s="1" t="n">
        <v>2</v>
      </c>
      <c r="G1442" s="15" t="n">
        <v>207.37</v>
      </c>
      <c r="H1442" s="16" t="n">
        <v>0.31</v>
      </c>
      <c r="I1442" s="1" t="s">
        <v>31</v>
      </c>
      <c r="J1442" s="1" t="n">
        <v>10</v>
      </c>
      <c r="K1442" s="1" t="n">
        <v>2.4</v>
      </c>
      <c r="L1442" s="15" t="n">
        <v>286.17</v>
      </c>
      <c r="M1442" s="15" t="n">
        <f aca="false">F1442*G1442</f>
        <v>414.74</v>
      </c>
      <c r="N1442" s="15" t="n">
        <f aca="false">M1442-L1442</f>
        <v>128.57</v>
      </c>
      <c r="O1442" s="1" t="n">
        <f aca="false">YEAR(B1442)</f>
        <v>2025</v>
      </c>
      <c r="P1442" s="1" t="n">
        <f aca="false">MONTH(B1442)</f>
        <v>12</v>
      </c>
      <c r="Q1442" s="1" t="str">
        <f aca="false">TEXT(B1442,"mmm")</f>
        <v>Dec</v>
      </c>
      <c r="R1442" s="1" t="str">
        <f aca="false">"Q"&amp;ROUNDUP(MONTH(B1442)/3,0)</f>
        <v>Q4</v>
      </c>
    </row>
    <row r="1443" customFormat="false" ht="15" hidden="false" customHeight="true" outlineLevel="0" collapsed="false">
      <c r="A1443" s="1" t="n">
        <v>11442</v>
      </c>
      <c r="B1443" s="14" t="n">
        <v>46003</v>
      </c>
      <c r="C1443" s="1" t="n">
        <v>1294</v>
      </c>
      <c r="D1443" s="1" t="s">
        <v>34</v>
      </c>
      <c r="E1443" s="1" t="s">
        <v>36</v>
      </c>
      <c r="F1443" s="1" t="n">
        <v>3</v>
      </c>
      <c r="G1443" s="15" t="n">
        <v>527.71</v>
      </c>
      <c r="H1443" s="16" t="n">
        <v>0.11</v>
      </c>
      <c r="I1443" s="1" t="s">
        <v>33</v>
      </c>
      <c r="J1443" s="1" t="n">
        <v>6</v>
      </c>
      <c r="K1443" s="1" t="n">
        <v>3.6</v>
      </c>
      <c r="L1443" s="15" t="n">
        <v>1408.99</v>
      </c>
      <c r="M1443" s="15" t="n">
        <f aca="false">F1443*G1443</f>
        <v>1583.13</v>
      </c>
      <c r="N1443" s="15" t="n">
        <f aca="false">M1443-L1443</f>
        <v>174.14</v>
      </c>
      <c r="O1443" s="1" t="n">
        <f aca="false">YEAR(B1443)</f>
        <v>2025</v>
      </c>
      <c r="P1443" s="1" t="n">
        <f aca="false">MONTH(B1443)</f>
        <v>12</v>
      </c>
      <c r="Q1443" s="1" t="str">
        <f aca="false">TEXT(B1443,"mmm")</f>
        <v>Dec</v>
      </c>
      <c r="R1443" s="1" t="str">
        <f aca="false">"Q"&amp;ROUNDUP(MONTH(B1443)/3,0)</f>
        <v>Q4</v>
      </c>
    </row>
    <row r="1444" customFormat="false" ht="15" hidden="false" customHeight="true" outlineLevel="0" collapsed="false">
      <c r="A1444" s="1" t="n">
        <v>11443</v>
      </c>
      <c r="B1444" s="14" t="n">
        <v>46004</v>
      </c>
      <c r="C1444" s="1" t="n">
        <v>1615</v>
      </c>
      <c r="D1444" s="1" t="s">
        <v>30</v>
      </c>
      <c r="E1444" s="1" t="s">
        <v>28</v>
      </c>
      <c r="F1444" s="1" t="n">
        <v>7</v>
      </c>
      <c r="G1444" s="15" t="n">
        <v>508.27</v>
      </c>
      <c r="H1444" s="16" t="n">
        <v>0.03</v>
      </c>
      <c r="I1444" s="1" t="s">
        <v>33</v>
      </c>
      <c r="J1444" s="1" t="n">
        <v>11</v>
      </c>
      <c r="K1444" s="1" t="n">
        <v>3.3</v>
      </c>
      <c r="L1444" s="15" t="n">
        <v>3451.15</v>
      </c>
      <c r="M1444" s="15" t="n">
        <f aca="false">F1444*G1444</f>
        <v>3557.89</v>
      </c>
      <c r="N1444" s="15" t="n">
        <f aca="false">M1444-L1444</f>
        <v>106.74</v>
      </c>
      <c r="O1444" s="1" t="n">
        <f aca="false">YEAR(B1444)</f>
        <v>2025</v>
      </c>
      <c r="P1444" s="1" t="n">
        <f aca="false">MONTH(B1444)</f>
        <v>12</v>
      </c>
      <c r="Q1444" s="1" t="str">
        <f aca="false">TEXT(B1444,"mmm")</f>
        <v>Dec</v>
      </c>
      <c r="R1444" s="1" t="str">
        <f aca="false">"Q"&amp;ROUNDUP(MONTH(B1444)/3,0)</f>
        <v>Q4</v>
      </c>
    </row>
    <row r="1445" customFormat="false" ht="15" hidden="false" customHeight="true" outlineLevel="0" collapsed="false">
      <c r="A1445" s="1" t="n">
        <v>11444</v>
      </c>
      <c r="B1445" s="14" t="n">
        <v>46005</v>
      </c>
      <c r="C1445" s="1" t="n">
        <v>1525</v>
      </c>
      <c r="D1445" s="1" t="s">
        <v>37</v>
      </c>
      <c r="E1445" s="1" t="s">
        <v>35</v>
      </c>
      <c r="F1445" s="1" t="n">
        <v>1</v>
      </c>
      <c r="G1445" s="15" t="n">
        <v>571.95</v>
      </c>
      <c r="H1445" s="16" t="n">
        <v>0.02</v>
      </c>
      <c r="I1445" s="1" t="s">
        <v>29</v>
      </c>
      <c r="J1445" s="1" t="n">
        <v>9</v>
      </c>
      <c r="K1445" s="1" t="n">
        <v>4.6</v>
      </c>
      <c r="L1445" s="15" t="n">
        <v>560.51</v>
      </c>
      <c r="M1445" s="15" t="n">
        <f aca="false">F1445*G1445</f>
        <v>571.95</v>
      </c>
      <c r="N1445" s="15" t="n">
        <f aca="false">M1445-L1445</f>
        <v>11.4400000000001</v>
      </c>
      <c r="O1445" s="1" t="n">
        <f aca="false">YEAR(B1445)</f>
        <v>2025</v>
      </c>
      <c r="P1445" s="1" t="n">
        <f aca="false">MONTH(B1445)</f>
        <v>12</v>
      </c>
      <c r="Q1445" s="1" t="str">
        <f aca="false">TEXT(B1445,"mmm")</f>
        <v>Dec</v>
      </c>
      <c r="R1445" s="1" t="str">
        <f aca="false">"Q"&amp;ROUNDUP(MONTH(B1445)/3,0)</f>
        <v>Q4</v>
      </c>
    </row>
    <row r="1446" customFormat="false" ht="15" hidden="false" customHeight="true" outlineLevel="0" collapsed="false">
      <c r="A1446" s="1" t="n">
        <v>11445</v>
      </c>
      <c r="B1446" s="14" t="n">
        <v>46006</v>
      </c>
      <c r="C1446" s="1" t="n">
        <v>1799</v>
      </c>
      <c r="D1446" s="1" t="s">
        <v>34</v>
      </c>
      <c r="E1446" s="1" t="s">
        <v>28</v>
      </c>
      <c r="F1446" s="1" t="n">
        <v>3</v>
      </c>
      <c r="G1446" s="15" t="n">
        <v>477.21</v>
      </c>
      <c r="H1446" s="16" t="n">
        <v>0.3</v>
      </c>
      <c r="I1446" s="1" t="s">
        <v>33</v>
      </c>
      <c r="J1446" s="1" t="n">
        <v>7</v>
      </c>
      <c r="K1446" s="1" t="n">
        <v>3.4</v>
      </c>
      <c r="L1446" s="15" t="n">
        <v>1002.14</v>
      </c>
      <c r="M1446" s="15" t="n">
        <f aca="false">F1446*G1446</f>
        <v>1431.63</v>
      </c>
      <c r="N1446" s="15" t="n">
        <f aca="false">M1446-L1446</f>
        <v>429.49</v>
      </c>
      <c r="O1446" s="1" t="n">
        <f aca="false">YEAR(B1446)</f>
        <v>2025</v>
      </c>
      <c r="P1446" s="1" t="n">
        <f aca="false">MONTH(B1446)</f>
        <v>12</v>
      </c>
      <c r="Q1446" s="1" t="str">
        <f aca="false">TEXT(B1446,"mmm")</f>
        <v>Dec</v>
      </c>
      <c r="R1446" s="1" t="str">
        <f aca="false">"Q"&amp;ROUNDUP(MONTH(B1446)/3,0)</f>
        <v>Q4</v>
      </c>
    </row>
    <row r="1447" customFormat="false" ht="15" hidden="false" customHeight="true" outlineLevel="0" collapsed="false">
      <c r="A1447" s="1" t="n">
        <v>11446</v>
      </c>
      <c r="B1447" s="14" t="n">
        <v>46007</v>
      </c>
      <c r="C1447" s="1" t="n">
        <v>1690</v>
      </c>
      <c r="D1447" s="1" t="s">
        <v>30</v>
      </c>
      <c r="E1447" s="1" t="s">
        <v>35</v>
      </c>
      <c r="F1447" s="1" t="n">
        <v>7</v>
      </c>
      <c r="G1447" s="15" t="n">
        <v>400.86</v>
      </c>
      <c r="H1447" s="16" t="n">
        <v>0.26</v>
      </c>
      <c r="I1447" s="1" t="s">
        <v>29</v>
      </c>
      <c r="J1447" s="1" t="n">
        <v>10</v>
      </c>
      <c r="K1447" s="1" t="n">
        <v>3</v>
      </c>
      <c r="L1447" s="15" t="n">
        <v>2076.45</v>
      </c>
      <c r="M1447" s="15" t="n">
        <f aca="false">F1447*G1447</f>
        <v>2806.02</v>
      </c>
      <c r="N1447" s="15" t="n">
        <f aca="false">M1447-L1447</f>
        <v>729.57</v>
      </c>
      <c r="O1447" s="1" t="n">
        <f aca="false">YEAR(B1447)</f>
        <v>2025</v>
      </c>
      <c r="P1447" s="1" t="n">
        <f aca="false">MONTH(B1447)</f>
        <v>12</v>
      </c>
      <c r="Q1447" s="1" t="str">
        <f aca="false">TEXT(B1447,"mmm")</f>
        <v>Dec</v>
      </c>
      <c r="R1447" s="1" t="str">
        <f aca="false">"Q"&amp;ROUNDUP(MONTH(B1447)/3,0)</f>
        <v>Q4</v>
      </c>
    </row>
    <row r="1448" customFormat="false" ht="15" hidden="false" customHeight="true" outlineLevel="0" collapsed="false">
      <c r="A1448" s="1" t="n">
        <v>11447</v>
      </c>
      <c r="B1448" s="14" t="n">
        <v>46008</v>
      </c>
      <c r="C1448" s="1" t="n">
        <v>1636</v>
      </c>
      <c r="D1448" s="1" t="s">
        <v>34</v>
      </c>
      <c r="E1448" s="1" t="s">
        <v>35</v>
      </c>
      <c r="F1448" s="1" t="n">
        <v>1</v>
      </c>
      <c r="G1448" s="15" t="n">
        <v>516.1</v>
      </c>
      <c r="H1448" s="16" t="n">
        <v>0.24</v>
      </c>
      <c r="I1448" s="1" t="s">
        <v>31</v>
      </c>
      <c r="J1448" s="1" t="n">
        <v>3</v>
      </c>
      <c r="K1448" s="1" t="n">
        <v>4.3</v>
      </c>
      <c r="L1448" s="15" t="n">
        <v>392.24</v>
      </c>
      <c r="M1448" s="15" t="n">
        <f aca="false">F1448*G1448</f>
        <v>516.1</v>
      </c>
      <c r="N1448" s="15" t="n">
        <f aca="false">M1448-L1448</f>
        <v>123.86</v>
      </c>
      <c r="O1448" s="1" t="n">
        <f aca="false">YEAR(B1448)</f>
        <v>2025</v>
      </c>
      <c r="P1448" s="1" t="n">
        <f aca="false">MONTH(B1448)</f>
        <v>12</v>
      </c>
      <c r="Q1448" s="1" t="str">
        <f aca="false">TEXT(B1448,"mmm")</f>
        <v>Dec</v>
      </c>
      <c r="R1448" s="1" t="str">
        <f aca="false">"Q"&amp;ROUNDUP(MONTH(B1448)/3,0)</f>
        <v>Q4</v>
      </c>
    </row>
    <row r="1449" customFormat="false" ht="15" hidden="false" customHeight="true" outlineLevel="0" collapsed="false">
      <c r="A1449" s="1" t="n">
        <v>11448</v>
      </c>
      <c r="B1449" s="14" t="n">
        <v>46009</v>
      </c>
      <c r="C1449" s="1" t="n">
        <v>1421</v>
      </c>
      <c r="D1449" s="1" t="s">
        <v>27</v>
      </c>
      <c r="E1449" s="1" t="s">
        <v>35</v>
      </c>
      <c r="F1449" s="1" t="n">
        <v>2</v>
      </c>
      <c r="G1449" s="15" t="n">
        <v>59.25</v>
      </c>
      <c r="H1449" s="16" t="n">
        <v>0.12</v>
      </c>
      <c r="I1449" s="1" t="s">
        <v>33</v>
      </c>
      <c r="J1449" s="1" t="n">
        <v>10</v>
      </c>
      <c r="K1449" s="1" t="n">
        <v>1.8</v>
      </c>
      <c r="L1449" s="15" t="n">
        <v>104.28</v>
      </c>
      <c r="M1449" s="15" t="n">
        <f aca="false">F1449*G1449</f>
        <v>118.5</v>
      </c>
      <c r="N1449" s="15" t="n">
        <f aca="false">M1449-L1449</f>
        <v>14.22</v>
      </c>
      <c r="O1449" s="1" t="n">
        <f aca="false">YEAR(B1449)</f>
        <v>2025</v>
      </c>
      <c r="P1449" s="1" t="n">
        <f aca="false">MONTH(B1449)</f>
        <v>12</v>
      </c>
      <c r="Q1449" s="1" t="str">
        <f aca="false">TEXT(B1449,"mmm")</f>
        <v>Dec</v>
      </c>
      <c r="R1449" s="1" t="str">
        <f aca="false">"Q"&amp;ROUNDUP(MONTH(B1449)/3,0)</f>
        <v>Q4</v>
      </c>
    </row>
    <row r="1450" customFormat="false" ht="15" hidden="false" customHeight="true" outlineLevel="0" collapsed="false">
      <c r="A1450" s="1" t="n">
        <v>11449</v>
      </c>
      <c r="B1450" s="14" t="n">
        <v>46010</v>
      </c>
      <c r="C1450" s="1" t="n">
        <v>1864</v>
      </c>
      <c r="D1450" s="1" t="s">
        <v>27</v>
      </c>
      <c r="E1450" s="1" t="s">
        <v>36</v>
      </c>
      <c r="F1450" s="1" t="n">
        <v>7</v>
      </c>
      <c r="G1450" s="15" t="n">
        <v>285.76</v>
      </c>
      <c r="H1450" s="16" t="n">
        <v>0.13</v>
      </c>
      <c r="I1450" s="1" t="s">
        <v>31</v>
      </c>
      <c r="J1450" s="1" t="n">
        <v>10</v>
      </c>
      <c r="K1450" s="1" t="n">
        <v>2</v>
      </c>
      <c r="L1450" s="15" t="n">
        <v>1740.28</v>
      </c>
      <c r="M1450" s="15" t="n">
        <f aca="false">F1450*G1450</f>
        <v>2000.32</v>
      </c>
      <c r="N1450" s="15" t="n">
        <f aca="false">M1450-L1450</f>
        <v>260.04</v>
      </c>
      <c r="O1450" s="1" t="n">
        <f aca="false">YEAR(B1450)</f>
        <v>2025</v>
      </c>
      <c r="P1450" s="1" t="n">
        <f aca="false">MONTH(B1450)</f>
        <v>12</v>
      </c>
      <c r="Q1450" s="1" t="str">
        <f aca="false">TEXT(B1450,"mmm")</f>
        <v>Dec</v>
      </c>
      <c r="R1450" s="1" t="str">
        <f aca="false">"Q"&amp;ROUNDUP(MONTH(B1450)/3,0)</f>
        <v>Q4</v>
      </c>
    </row>
    <row r="1451" customFormat="false" ht="15" hidden="false" customHeight="true" outlineLevel="0" collapsed="false">
      <c r="A1451" s="1" t="n">
        <v>11450</v>
      </c>
      <c r="B1451" s="14" t="n">
        <v>46011</v>
      </c>
      <c r="C1451" s="1" t="n">
        <v>1022</v>
      </c>
      <c r="D1451" s="1" t="s">
        <v>34</v>
      </c>
      <c r="E1451" s="1" t="s">
        <v>36</v>
      </c>
      <c r="F1451" s="1" t="n">
        <v>4</v>
      </c>
      <c r="G1451" s="15" t="n">
        <v>593.71</v>
      </c>
      <c r="H1451" s="16" t="n">
        <v>0.34</v>
      </c>
      <c r="I1451" s="1" t="s">
        <v>31</v>
      </c>
      <c r="J1451" s="1" t="n">
        <v>5</v>
      </c>
      <c r="K1451" s="1" t="n">
        <v>4.1</v>
      </c>
      <c r="L1451" s="15" t="n">
        <v>1567.39</v>
      </c>
      <c r="M1451" s="15" t="n">
        <f aca="false">F1451*G1451</f>
        <v>2374.84</v>
      </c>
      <c r="N1451" s="15" t="n">
        <f aca="false">M1451-L1451</f>
        <v>807.45</v>
      </c>
      <c r="O1451" s="1" t="n">
        <f aca="false">YEAR(B1451)</f>
        <v>2025</v>
      </c>
      <c r="P1451" s="1" t="n">
        <f aca="false">MONTH(B1451)</f>
        <v>12</v>
      </c>
      <c r="Q1451" s="1" t="str">
        <f aca="false">TEXT(B1451,"mmm")</f>
        <v>Dec</v>
      </c>
      <c r="R1451" s="1" t="str">
        <f aca="false">"Q"&amp;ROUNDUP(MONTH(B1451)/3,0)</f>
        <v>Q4</v>
      </c>
    </row>
    <row r="1452" customFormat="false" ht="15" hidden="false" customHeight="true" outlineLevel="0" collapsed="false">
      <c r="A1452" s="1" t="n">
        <v>11451</v>
      </c>
      <c r="B1452" s="14" t="n">
        <v>46012</v>
      </c>
      <c r="C1452" s="1" t="n">
        <v>1574</v>
      </c>
      <c r="D1452" s="1" t="s">
        <v>34</v>
      </c>
      <c r="E1452" s="1" t="s">
        <v>36</v>
      </c>
      <c r="F1452" s="1" t="n">
        <v>4</v>
      </c>
      <c r="G1452" s="15" t="n">
        <v>465.22</v>
      </c>
      <c r="H1452" s="16" t="n">
        <v>0.02</v>
      </c>
      <c r="I1452" s="1" t="s">
        <v>33</v>
      </c>
      <c r="J1452" s="1" t="n">
        <v>4</v>
      </c>
      <c r="K1452" s="1" t="n">
        <v>2.8</v>
      </c>
      <c r="L1452" s="15" t="n">
        <v>1823.66</v>
      </c>
      <c r="M1452" s="15" t="n">
        <f aca="false">F1452*G1452</f>
        <v>1860.88</v>
      </c>
      <c r="N1452" s="15" t="n">
        <f aca="false">M1452-L1452</f>
        <v>37.22</v>
      </c>
      <c r="O1452" s="1" t="n">
        <f aca="false">YEAR(B1452)</f>
        <v>2025</v>
      </c>
      <c r="P1452" s="1" t="n">
        <f aca="false">MONTH(B1452)</f>
        <v>12</v>
      </c>
      <c r="Q1452" s="1" t="str">
        <f aca="false">TEXT(B1452,"mmm")</f>
        <v>Dec</v>
      </c>
      <c r="R1452" s="1" t="str">
        <f aca="false">"Q"&amp;ROUNDUP(MONTH(B1452)/3,0)</f>
        <v>Q4</v>
      </c>
    </row>
    <row r="1453" customFormat="false" ht="15" hidden="false" customHeight="true" outlineLevel="0" collapsed="false">
      <c r="A1453" s="1" t="n">
        <v>11452</v>
      </c>
      <c r="B1453" s="14" t="n">
        <v>46013</v>
      </c>
      <c r="C1453" s="1" t="n">
        <v>1142</v>
      </c>
      <c r="D1453" s="1" t="s">
        <v>30</v>
      </c>
      <c r="E1453" s="1" t="s">
        <v>35</v>
      </c>
      <c r="F1453" s="1" t="n">
        <v>4</v>
      </c>
      <c r="G1453" s="15" t="n">
        <v>577.81</v>
      </c>
      <c r="H1453" s="16" t="n">
        <v>0.27</v>
      </c>
      <c r="I1453" s="1" t="s">
        <v>31</v>
      </c>
      <c r="J1453" s="1" t="n">
        <v>11</v>
      </c>
      <c r="K1453" s="1" t="n">
        <v>2.6</v>
      </c>
      <c r="L1453" s="15" t="n">
        <v>1687.21</v>
      </c>
      <c r="M1453" s="15" t="n">
        <f aca="false">F1453*G1453</f>
        <v>2311.24</v>
      </c>
      <c r="N1453" s="15" t="n">
        <f aca="false">M1453-L1453</f>
        <v>624.03</v>
      </c>
      <c r="O1453" s="1" t="n">
        <f aca="false">YEAR(B1453)</f>
        <v>2025</v>
      </c>
      <c r="P1453" s="1" t="n">
        <f aca="false">MONTH(B1453)</f>
        <v>12</v>
      </c>
      <c r="Q1453" s="1" t="str">
        <f aca="false">TEXT(B1453,"mmm")</f>
        <v>Dec</v>
      </c>
      <c r="R1453" s="1" t="str">
        <f aca="false">"Q"&amp;ROUNDUP(MONTH(B1453)/3,0)</f>
        <v>Q4</v>
      </c>
    </row>
    <row r="1454" customFormat="false" ht="15" hidden="false" customHeight="true" outlineLevel="0" collapsed="false">
      <c r="A1454" s="1" t="n">
        <v>11453</v>
      </c>
      <c r="B1454" s="14" t="n">
        <v>46014</v>
      </c>
      <c r="C1454" s="1" t="n">
        <v>1992</v>
      </c>
      <c r="D1454" s="1" t="s">
        <v>34</v>
      </c>
      <c r="E1454" s="1" t="s">
        <v>35</v>
      </c>
      <c r="F1454" s="1" t="n">
        <v>6</v>
      </c>
      <c r="G1454" s="15" t="n">
        <v>471.09</v>
      </c>
      <c r="H1454" s="16" t="n">
        <v>0.11</v>
      </c>
      <c r="I1454" s="1" t="s">
        <v>33</v>
      </c>
      <c r="J1454" s="1" t="n">
        <v>5</v>
      </c>
      <c r="K1454" s="1" t="n">
        <v>4.5</v>
      </c>
      <c r="L1454" s="15" t="n">
        <v>2515.62</v>
      </c>
      <c r="M1454" s="15" t="n">
        <f aca="false">F1454*G1454</f>
        <v>2826.54</v>
      </c>
      <c r="N1454" s="15" t="n">
        <f aca="false">M1454-L1454</f>
        <v>310.92</v>
      </c>
      <c r="O1454" s="1" t="n">
        <f aca="false">YEAR(B1454)</f>
        <v>2025</v>
      </c>
      <c r="P1454" s="1" t="n">
        <f aca="false">MONTH(B1454)</f>
        <v>12</v>
      </c>
      <c r="Q1454" s="1" t="str">
        <f aca="false">TEXT(B1454,"mmm")</f>
        <v>Dec</v>
      </c>
      <c r="R1454" s="1" t="str">
        <f aca="false">"Q"&amp;ROUNDUP(MONTH(B1454)/3,0)</f>
        <v>Q4</v>
      </c>
    </row>
    <row r="1455" customFormat="false" ht="15" hidden="false" customHeight="true" outlineLevel="0" collapsed="false">
      <c r="A1455" s="1" t="n">
        <v>11454</v>
      </c>
      <c r="B1455" s="14" t="n">
        <v>46015</v>
      </c>
      <c r="C1455" s="1" t="n">
        <v>1664</v>
      </c>
      <c r="D1455" s="1" t="s">
        <v>37</v>
      </c>
      <c r="E1455" s="1" t="s">
        <v>28</v>
      </c>
      <c r="F1455" s="1" t="n">
        <v>4</v>
      </c>
      <c r="G1455" s="15" t="n">
        <v>526.81</v>
      </c>
      <c r="H1455" s="16" t="n">
        <v>0.01</v>
      </c>
      <c r="I1455" s="1" t="s">
        <v>29</v>
      </c>
      <c r="J1455" s="1" t="n">
        <v>8</v>
      </c>
      <c r="K1455" s="1" t="n">
        <v>3.4</v>
      </c>
      <c r="L1455" s="15" t="n">
        <v>2086.17</v>
      </c>
      <c r="M1455" s="15" t="n">
        <f aca="false">F1455*G1455</f>
        <v>2107.24</v>
      </c>
      <c r="N1455" s="15" t="n">
        <f aca="false">M1455-L1455</f>
        <v>21.0699999999997</v>
      </c>
      <c r="O1455" s="1" t="n">
        <f aca="false">YEAR(B1455)</f>
        <v>2025</v>
      </c>
      <c r="P1455" s="1" t="n">
        <f aca="false">MONTH(B1455)</f>
        <v>12</v>
      </c>
      <c r="Q1455" s="1" t="str">
        <f aca="false">TEXT(B1455,"mmm")</f>
        <v>Dec</v>
      </c>
      <c r="R1455" s="1" t="str">
        <f aca="false">"Q"&amp;ROUNDUP(MONTH(B1455)/3,0)</f>
        <v>Q4</v>
      </c>
    </row>
    <row r="1456" customFormat="false" ht="15" hidden="false" customHeight="true" outlineLevel="0" collapsed="false">
      <c r="A1456" s="1" t="n">
        <v>11455</v>
      </c>
      <c r="B1456" s="14" t="n">
        <v>46016</v>
      </c>
      <c r="C1456" s="1" t="n">
        <v>1144</v>
      </c>
      <c r="D1456" s="1" t="s">
        <v>37</v>
      </c>
      <c r="E1456" s="1" t="s">
        <v>32</v>
      </c>
      <c r="F1456" s="1" t="n">
        <v>5</v>
      </c>
      <c r="G1456" s="15" t="n">
        <v>428.32</v>
      </c>
      <c r="H1456" s="16" t="n">
        <v>0.26</v>
      </c>
      <c r="I1456" s="1" t="s">
        <v>31</v>
      </c>
      <c r="J1456" s="1" t="n">
        <v>11</v>
      </c>
      <c r="K1456" s="1" t="n">
        <v>4.2</v>
      </c>
      <c r="L1456" s="15" t="n">
        <v>1584.78</v>
      </c>
      <c r="M1456" s="15" t="n">
        <f aca="false">F1456*G1456</f>
        <v>2141.6</v>
      </c>
      <c r="N1456" s="15" t="n">
        <f aca="false">M1456-L1456</f>
        <v>556.82</v>
      </c>
      <c r="O1456" s="1" t="n">
        <f aca="false">YEAR(B1456)</f>
        <v>2025</v>
      </c>
      <c r="P1456" s="1" t="n">
        <f aca="false">MONTH(B1456)</f>
        <v>12</v>
      </c>
      <c r="Q1456" s="1" t="str">
        <f aca="false">TEXT(B1456,"mmm")</f>
        <v>Dec</v>
      </c>
      <c r="R1456" s="1" t="str">
        <f aca="false">"Q"&amp;ROUNDUP(MONTH(B1456)/3,0)</f>
        <v>Q4</v>
      </c>
    </row>
    <row r="1457" customFormat="false" ht="15" hidden="false" customHeight="true" outlineLevel="0" collapsed="false">
      <c r="A1457" s="1" t="n">
        <v>11456</v>
      </c>
      <c r="B1457" s="14" t="n">
        <v>46017</v>
      </c>
      <c r="C1457" s="1" t="n">
        <v>1224</v>
      </c>
      <c r="D1457" s="1" t="s">
        <v>37</v>
      </c>
      <c r="E1457" s="1" t="s">
        <v>36</v>
      </c>
      <c r="F1457" s="1" t="n">
        <v>1</v>
      </c>
      <c r="G1457" s="15" t="n">
        <v>459.89</v>
      </c>
      <c r="H1457" s="16" t="n">
        <v>0.12</v>
      </c>
      <c r="I1457" s="1" t="s">
        <v>31</v>
      </c>
      <c r="J1457" s="1" t="n">
        <v>6</v>
      </c>
      <c r="K1457" s="1" t="n">
        <v>4.2</v>
      </c>
      <c r="L1457" s="15" t="n">
        <v>404.7</v>
      </c>
      <c r="M1457" s="15" t="n">
        <f aca="false">F1457*G1457</f>
        <v>459.89</v>
      </c>
      <c r="N1457" s="15" t="n">
        <f aca="false">M1457-L1457</f>
        <v>55.19</v>
      </c>
      <c r="O1457" s="1" t="n">
        <f aca="false">YEAR(B1457)</f>
        <v>2025</v>
      </c>
      <c r="P1457" s="1" t="n">
        <f aca="false">MONTH(B1457)</f>
        <v>12</v>
      </c>
      <c r="Q1457" s="1" t="str">
        <f aca="false">TEXT(B1457,"mmm")</f>
        <v>Dec</v>
      </c>
      <c r="R1457" s="1" t="str">
        <f aca="false">"Q"&amp;ROUNDUP(MONTH(B1457)/3,0)</f>
        <v>Q4</v>
      </c>
    </row>
    <row r="1458" customFormat="false" ht="15" hidden="false" customHeight="true" outlineLevel="0" collapsed="false">
      <c r="A1458" s="1" t="n">
        <v>11457</v>
      </c>
      <c r="B1458" s="14" t="n">
        <v>46018</v>
      </c>
      <c r="C1458" s="1" t="n">
        <v>1502</v>
      </c>
      <c r="D1458" s="1" t="s">
        <v>37</v>
      </c>
      <c r="E1458" s="1" t="s">
        <v>35</v>
      </c>
      <c r="F1458" s="1" t="n">
        <v>4</v>
      </c>
      <c r="G1458" s="15" t="n">
        <v>321.06</v>
      </c>
      <c r="H1458" s="16" t="n">
        <v>0.25</v>
      </c>
      <c r="I1458" s="1" t="s">
        <v>33</v>
      </c>
      <c r="J1458" s="1" t="n">
        <v>4</v>
      </c>
      <c r="K1458" s="1" t="n">
        <v>1.5</v>
      </c>
      <c r="L1458" s="15" t="n">
        <v>963.18</v>
      </c>
      <c r="M1458" s="15" t="n">
        <f aca="false">F1458*G1458</f>
        <v>1284.24</v>
      </c>
      <c r="N1458" s="15" t="n">
        <f aca="false">M1458-L1458</f>
        <v>321.06</v>
      </c>
      <c r="O1458" s="1" t="n">
        <f aca="false">YEAR(B1458)</f>
        <v>2025</v>
      </c>
      <c r="P1458" s="1" t="n">
        <f aca="false">MONTH(B1458)</f>
        <v>12</v>
      </c>
      <c r="Q1458" s="1" t="str">
        <f aca="false">TEXT(B1458,"mmm")</f>
        <v>Dec</v>
      </c>
      <c r="R1458" s="1" t="str">
        <f aca="false">"Q"&amp;ROUNDUP(MONTH(B1458)/3,0)</f>
        <v>Q4</v>
      </c>
    </row>
    <row r="1459" customFormat="false" ht="15" hidden="false" customHeight="true" outlineLevel="0" collapsed="false">
      <c r="A1459" s="1" t="n">
        <v>11458</v>
      </c>
      <c r="B1459" s="14" t="n">
        <v>46019</v>
      </c>
      <c r="C1459" s="1" t="n">
        <v>1961</v>
      </c>
      <c r="D1459" s="1" t="s">
        <v>30</v>
      </c>
      <c r="E1459" s="1" t="s">
        <v>28</v>
      </c>
      <c r="F1459" s="1" t="n">
        <v>7</v>
      </c>
      <c r="G1459" s="15" t="n">
        <v>555.68</v>
      </c>
      <c r="H1459" s="16" t="n">
        <v>0.25</v>
      </c>
      <c r="I1459" s="1" t="s">
        <v>29</v>
      </c>
      <c r="J1459" s="1" t="n">
        <v>5</v>
      </c>
      <c r="K1459" s="1" t="n">
        <v>3.6</v>
      </c>
      <c r="L1459" s="15" t="n">
        <v>2917.32</v>
      </c>
      <c r="M1459" s="15" t="n">
        <f aca="false">F1459*G1459</f>
        <v>3889.76</v>
      </c>
      <c r="N1459" s="15" t="n">
        <f aca="false">M1459-L1459</f>
        <v>972.44</v>
      </c>
      <c r="O1459" s="1" t="n">
        <f aca="false">YEAR(B1459)</f>
        <v>2025</v>
      </c>
      <c r="P1459" s="1" t="n">
        <f aca="false">MONTH(B1459)</f>
        <v>12</v>
      </c>
      <c r="Q1459" s="1" t="str">
        <f aca="false">TEXT(B1459,"mmm")</f>
        <v>Dec</v>
      </c>
      <c r="R1459" s="1" t="str">
        <f aca="false">"Q"&amp;ROUNDUP(MONTH(B1459)/3,0)</f>
        <v>Q4</v>
      </c>
    </row>
    <row r="1460" customFormat="false" ht="15" hidden="false" customHeight="true" outlineLevel="0" collapsed="false">
      <c r="A1460" s="1" t="n">
        <v>11459</v>
      </c>
      <c r="B1460" s="14" t="n">
        <v>46020</v>
      </c>
      <c r="C1460" s="1" t="n">
        <v>1973</v>
      </c>
      <c r="D1460" s="1" t="s">
        <v>34</v>
      </c>
      <c r="E1460" s="1" t="s">
        <v>28</v>
      </c>
      <c r="F1460" s="1" t="n">
        <v>5</v>
      </c>
      <c r="G1460" s="15" t="n">
        <v>497.65</v>
      </c>
      <c r="H1460" s="16" t="n">
        <v>0.19</v>
      </c>
      <c r="I1460" s="1" t="s">
        <v>33</v>
      </c>
      <c r="J1460" s="1" t="n">
        <v>11</v>
      </c>
      <c r="K1460" s="1" t="n">
        <v>4.8</v>
      </c>
      <c r="L1460" s="15" t="n">
        <v>2015.48</v>
      </c>
      <c r="M1460" s="15" t="n">
        <f aca="false">F1460*G1460</f>
        <v>2488.25</v>
      </c>
      <c r="N1460" s="15" t="n">
        <f aca="false">M1460-L1460</f>
        <v>472.77</v>
      </c>
      <c r="O1460" s="1" t="n">
        <f aca="false">YEAR(B1460)</f>
        <v>2025</v>
      </c>
      <c r="P1460" s="1" t="n">
        <f aca="false">MONTH(B1460)</f>
        <v>12</v>
      </c>
      <c r="Q1460" s="1" t="str">
        <f aca="false">TEXT(B1460,"mmm")</f>
        <v>Dec</v>
      </c>
      <c r="R1460" s="1" t="str">
        <f aca="false">"Q"&amp;ROUNDUP(MONTH(B1460)/3,0)</f>
        <v>Q4</v>
      </c>
    </row>
    <row r="1461" customFormat="false" ht="15" hidden="false" customHeight="true" outlineLevel="0" collapsed="false">
      <c r="A1461" s="1" t="n">
        <v>11460</v>
      </c>
      <c r="B1461" s="14" t="n">
        <v>46021</v>
      </c>
      <c r="C1461" s="1" t="n">
        <v>1820</v>
      </c>
      <c r="D1461" s="1" t="s">
        <v>37</v>
      </c>
      <c r="E1461" s="1" t="s">
        <v>28</v>
      </c>
      <c r="F1461" s="1" t="n">
        <v>5</v>
      </c>
      <c r="G1461" s="15" t="n">
        <v>508.67</v>
      </c>
      <c r="H1461" s="16" t="n">
        <v>0.27</v>
      </c>
      <c r="I1461" s="1" t="s">
        <v>33</v>
      </c>
      <c r="J1461" s="1" t="n">
        <v>7</v>
      </c>
      <c r="K1461" s="1" t="n">
        <v>2.9</v>
      </c>
      <c r="L1461" s="15" t="n">
        <v>1856.65</v>
      </c>
      <c r="M1461" s="15" t="n">
        <f aca="false">F1461*G1461</f>
        <v>2543.35</v>
      </c>
      <c r="N1461" s="15" t="n">
        <f aca="false">M1461-L1461</f>
        <v>686.7</v>
      </c>
      <c r="O1461" s="1" t="n">
        <f aca="false">YEAR(B1461)</f>
        <v>2025</v>
      </c>
      <c r="P1461" s="1" t="n">
        <f aca="false">MONTH(B1461)</f>
        <v>12</v>
      </c>
      <c r="Q1461" s="1" t="str">
        <f aca="false">TEXT(B1461,"mmm")</f>
        <v>Dec</v>
      </c>
      <c r="R1461" s="1" t="str">
        <f aca="false">"Q"&amp;ROUNDUP(MONTH(B1461)/3,0)</f>
        <v>Q4</v>
      </c>
    </row>
    <row r="1462" customFormat="false" ht="15" hidden="false" customHeight="true" outlineLevel="0" collapsed="false">
      <c r="A1462" s="1" t="n">
        <v>11461</v>
      </c>
      <c r="B1462" s="14" t="n">
        <v>46022</v>
      </c>
      <c r="C1462" s="1" t="n">
        <v>1615</v>
      </c>
      <c r="D1462" s="1" t="s">
        <v>30</v>
      </c>
      <c r="E1462" s="1" t="s">
        <v>36</v>
      </c>
      <c r="F1462" s="1" t="n">
        <v>5</v>
      </c>
      <c r="G1462" s="15" t="n">
        <v>408.71</v>
      </c>
      <c r="H1462" s="16" t="n">
        <v>0.2</v>
      </c>
      <c r="I1462" s="1" t="s">
        <v>31</v>
      </c>
      <c r="J1462" s="1" t="n">
        <v>8</v>
      </c>
      <c r="K1462" s="1" t="n">
        <v>3.9</v>
      </c>
      <c r="L1462" s="15" t="n">
        <v>1634.84</v>
      </c>
      <c r="M1462" s="15" t="n">
        <f aca="false">F1462*G1462</f>
        <v>2043.55</v>
      </c>
      <c r="N1462" s="15" t="n">
        <f aca="false">M1462-L1462</f>
        <v>408.71</v>
      </c>
      <c r="O1462" s="1" t="n">
        <f aca="false">YEAR(B1462)</f>
        <v>2025</v>
      </c>
      <c r="P1462" s="1" t="n">
        <f aca="false">MONTH(B1462)</f>
        <v>12</v>
      </c>
      <c r="Q1462" s="1" t="str">
        <f aca="false">TEXT(B1462,"mmm")</f>
        <v>Dec</v>
      </c>
      <c r="R1462" s="1" t="str">
        <f aca="false">"Q"&amp;ROUNDUP(MONTH(B1462)/3,0)</f>
        <v>Q4</v>
      </c>
    </row>
    <row r="1463" customFormat="false" ht="15" hidden="false" customHeight="true" outlineLevel="0" collapsed="false">
      <c r="A1463" s="1" t="n">
        <v>11462</v>
      </c>
      <c r="B1463" s="14" t="n">
        <v>46023</v>
      </c>
      <c r="C1463" s="1" t="n">
        <v>1103</v>
      </c>
      <c r="D1463" s="1" t="s">
        <v>37</v>
      </c>
      <c r="E1463" s="1" t="s">
        <v>36</v>
      </c>
      <c r="F1463" s="1" t="n">
        <v>3</v>
      </c>
      <c r="G1463" s="15" t="n">
        <v>193.18</v>
      </c>
      <c r="H1463" s="16" t="n">
        <v>0.1</v>
      </c>
      <c r="I1463" s="1" t="s">
        <v>31</v>
      </c>
      <c r="J1463" s="1" t="n">
        <v>5</v>
      </c>
      <c r="K1463" s="1" t="n">
        <v>3.3</v>
      </c>
      <c r="L1463" s="15" t="n">
        <v>521.59</v>
      </c>
      <c r="M1463" s="15" t="n">
        <f aca="false">F1463*G1463</f>
        <v>579.54</v>
      </c>
      <c r="N1463" s="15" t="n">
        <f aca="false">M1463-L1463</f>
        <v>57.9499999999999</v>
      </c>
      <c r="O1463" s="1" t="n">
        <f aca="false">YEAR(B1463)</f>
        <v>2026</v>
      </c>
      <c r="P1463" s="1" t="n">
        <f aca="false">MONTH(B1463)</f>
        <v>1</v>
      </c>
      <c r="Q1463" s="1" t="str">
        <f aca="false">TEXT(B1463,"mmm")</f>
        <v>Jan</v>
      </c>
      <c r="R1463" s="1" t="str">
        <f aca="false">"Q"&amp;ROUNDUP(MONTH(B1463)/3,0)</f>
        <v>Q1</v>
      </c>
    </row>
    <row r="1464" customFormat="false" ht="15" hidden="false" customHeight="true" outlineLevel="0" collapsed="false">
      <c r="A1464" s="1" t="n">
        <v>11463</v>
      </c>
      <c r="B1464" s="14" t="n">
        <v>46024</v>
      </c>
      <c r="C1464" s="1" t="n">
        <v>1946</v>
      </c>
      <c r="D1464" s="1" t="s">
        <v>34</v>
      </c>
      <c r="E1464" s="1" t="s">
        <v>32</v>
      </c>
      <c r="F1464" s="1" t="n">
        <v>7</v>
      </c>
      <c r="G1464" s="15" t="n">
        <v>35.84</v>
      </c>
      <c r="H1464" s="16" t="n">
        <v>0.26</v>
      </c>
      <c r="I1464" s="1" t="s">
        <v>33</v>
      </c>
      <c r="J1464" s="1" t="n">
        <v>2</v>
      </c>
      <c r="K1464" s="1" t="n">
        <v>1.8</v>
      </c>
      <c r="L1464" s="15" t="n">
        <v>185.65</v>
      </c>
      <c r="M1464" s="15" t="n">
        <f aca="false">F1464*G1464</f>
        <v>250.88</v>
      </c>
      <c r="N1464" s="15" t="n">
        <f aca="false">M1464-L1464</f>
        <v>65.23</v>
      </c>
      <c r="O1464" s="1" t="n">
        <f aca="false">YEAR(B1464)</f>
        <v>2026</v>
      </c>
      <c r="P1464" s="1" t="n">
        <f aca="false">MONTH(B1464)</f>
        <v>1</v>
      </c>
      <c r="Q1464" s="1" t="str">
        <f aca="false">TEXT(B1464,"mmm")</f>
        <v>Jan</v>
      </c>
      <c r="R1464" s="1" t="str">
        <f aca="false">"Q"&amp;ROUNDUP(MONTH(B1464)/3,0)</f>
        <v>Q1</v>
      </c>
    </row>
    <row r="1465" customFormat="false" ht="15" hidden="false" customHeight="true" outlineLevel="0" collapsed="false">
      <c r="A1465" s="1" t="n">
        <v>11464</v>
      </c>
      <c r="B1465" s="14" t="n">
        <v>46025</v>
      </c>
      <c r="C1465" s="1" t="n">
        <v>1038</v>
      </c>
      <c r="D1465" s="1" t="s">
        <v>34</v>
      </c>
      <c r="E1465" s="1" t="s">
        <v>28</v>
      </c>
      <c r="F1465" s="1" t="n">
        <v>3</v>
      </c>
      <c r="G1465" s="15" t="n">
        <v>562.36</v>
      </c>
      <c r="H1465" s="16" t="n">
        <v>0.21</v>
      </c>
      <c r="I1465" s="1" t="s">
        <v>31</v>
      </c>
      <c r="J1465" s="1" t="n">
        <v>6</v>
      </c>
      <c r="K1465" s="1" t="n">
        <v>1.8</v>
      </c>
      <c r="L1465" s="15" t="n">
        <v>1332.79</v>
      </c>
      <c r="M1465" s="15" t="n">
        <f aca="false">F1465*G1465</f>
        <v>1687.08</v>
      </c>
      <c r="N1465" s="15" t="n">
        <f aca="false">M1465-L1465</f>
        <v>354.29</v>
      </c>
      <c r="O1465" s="1" t="n">
        <f aca="false">YEAR(B1465)</f>
        <v>2026</v>
      </c>
      <c r="P1465" s="1" t="n">
        <f aca="false">MONTH(B1465)</f>
        <v>1</v>
      </c>
      <c r="Q1465" s="1" t="str">
        <f aca="false">TEXT(B1465,"mmm")</f>
        <v>Jan</v>
      </c>
      <c r="R1465" s="1" t="str">
        <f aca="false">"Q"&amp;ROUNDUP(MONTH(B1465)/3,0)</f>
        <v>Q1</v>
      </c>
    </row>
    <row r="1466" customFormat="false" ht="15" hidden="false" customHeight="true" outlineLevel="0" collapsed="false">
      <c r="A1466" s="1" t="n">
        <v>11465</v>
      </c>
      <c r="B1466" s="14" t="n">
        <v>46026</v>
      </c>
      <c r="C1466" s="1" t="n">
        <v>1946</v>
      </c>
      <c r="D1466" s="1" t="s">
        <v>27</v>
      </c>
      <c r="E1466" s="1" t="s">
        <v>36</v>
      </c>
      <c r="F1466" s="1" t="n">
        <v>5</v>
      </c>
      <c r="G1466" s="15" t="n">
        <v>357.88</v>
      </c>
      <c r="H1466" s="16" t="n">
        <v>0</v>
      </c>
      <c r="I1466" s="1" t="s">
        <v>29</v>
      </c>
      <c r="J1466" s="1" t="n">
        <v>9</v>
      </c>
      <c r="K1466" s="1" t="n">
        <v>2.7</v>
      </c>
      <c r="L1466" s="15" t="n">
        <v>1789.4</v>
      </c>
      <c r="M1466" s="15" t="n">
        <f aca="false">F1466*G1466</f>
        <v>1789.4</v>
      </c>
      <c r="N1466" s="15" t="n">
        <f aca="false">M1466-L1466</f>
        <v>0</v>
      </c>
      <c r="O1466" s="1" t="n">
        <f aca="false">YEAR(B1466)</f>
        <v>2026</v>
      </c>
      <c r="P1466" s="1" t="n">
        <f aca="false">MONTH(B1466)</f>
        <v>1</v>
      </c>
      <c r="Q1466" s="1" t="str">
        <f aca="false">TEXT(B1466,"mmm")</f>
        <v>Jan</v>
      </c>
      <c r="R1466" s="1" t="str">
        <f aca="false">"Q"&amp;ROUNDUP(MONTH(B1466)/3,0)</f>
        <v>Q1</v>
      </c>
    </row>
    <row r="1467" customFormat="false" ht="15" hidden="false" customHeight="true" outlineLevel="0" collapsed="false">
      <c r="A1467" s="1" t="n">
        <v>11466</v>
      </c>
      <c r="B1467" s="14" t="n">
        <v>46027</v>
      </c>
      <c r="C1467" s="1" t="n">
        <v>1197</v>
      </c>
      <c r="D1467" s="1" t="s">
        <v>34</v>
      </c>
      <c r="E1467" s="1" t="s">
        <v>28</v>
      </c>
      <c r="F1467" s="1" t="n">
        <v>6</v>
      </c>
      <c r="G1467" s="15" t="n">
        <v>189.41</v>
      </c>
      <c r="H1467" s="16" t="n">
        <v>0.32</v>
      </c>
      <c r="I1467" s="1" t="s">
        <v>33</v>
      </c>
      <c r="J1467" s="1" t="n">
        <v>3</v>
      </c>
      <c r="K1467" s="1" t="n">
        <v>2.9</v>
      </c>
      <c r="L1467" s="15" t="n">
        <v>772.79</v>
      </c>
      <c r="M1467" s="15" t="n">
        <f aca="false">F1467*G1467</f>
        <v>1136.46</v>
      </c>
      <c r="N1467" s="15" t="n">
        <f aca="false">M1467-L1467</f>
        <v>363.67</v>
      </c>
      <c r="O1467" s="1" t="n">
        <f aca="false">YEAR(B1467)</f>
        <v>2026</v>
      </c>
      <c r="P1467" s="1" t="n">
        <f aca="false">MONTH(B1467)</f>
        <v>1</v>
      </c>
      <c r="Q1467" s="1" t="str">
        <f aca="false">TEXT(B1467,"mmm")</f>
        <v>Jan</v>
      </c>
      <c r="R1467" s="1" t="str">
        <f aca="false">"Q"&amp;ROUNDUP(MONTH(B1467)/3,0)</f>
        <v>Q1</v>
      </c>
    </row>
    <row r="1468" customFormat="false" ht="15" hidden="false" customHeight="true" outlineLevel="0" collapsed="false">
      <c r="A1468" s="1" t="n">
        <v>11467</v>
      </c>
      <c r="B1468" s="14" t="n">
        <v>46028</v>
      </c>
      <c r="C1468" s="1" t="n">
        <v>1645</v>
      </c>
      <c r="D1468" s="1" t="s">
        <v>27</v>
      </c>
      <c r="E1468" s="1" t="s">
        <v>35</v>
      </c>
      <c r="F1468" s="1" t="n">
        <v>4</v>
      </c>
      <c r="G1468" s="15" t="n">
        <v>102.24</v>
      </c>
      <c r="H1468" s="16" t="n">
        <v>0.19</v>
      </c>
      <c r="I1468" s="1" t="s">
        <v>33</v>
      </c>
      <c r="J1468" s="1" t="n">
        <v>7</v>
      </c>
      <c r="K1468" s="1" t="n">
        <v>3</v>
      </c>
      <c r="L1468" s="15" t="n">
        <v>331.26</v>
      </c>
      <c r="M1468" s="15" t="n">
        <f aca="false">F1468*G1468</f>
        <v>408.96</v>
      </c>
      <c r="N1468" s="15" t="n">
        <f aca="false">M1468-L1468</f>
        <v>77.7</v>
      </c>
      <c r="O1468" s="1" t="n">
        <f aca="false">YEAR(B1468)</f>
        <v>2026</v>
      </c>
      <c r="P1468" s="1" t="n">
        <f aca="false">MONTH(B1468)</f>
        <v>1</v>
      </c>
      <c r="Q1468" s="1" t="str">
        <f aca="false">TEXT(B1468,"mmm")</f>
        <v>Jan</v>
      </c>
      <c r="R1468" s="1" t="str">
        <f aca="false">"Q"&amp;ROUNDUP(MONTH(B1468)/3,0)</f>
        <v>Q1</v>
      </c>
    </row>
    <row r="1469" customFormat="false" ht="15" hidden="false" customHeight="true" outlineLevel="0" collapsed="false">
      <c r="A1469" s="1" t="n">
        <v>11468</v>
      </c>
      <c r="B1469" s="14" t="n">
        <v>46029</v>
      </c>
      <c r="C1469" s="1" t="n">
        <v>1578</v>
      </c>
      <c r="D1469" s="1" t="s">
        <v>27</v>
      </c>
      <c r="E1469" s="1" t="s">
        <v>28</v>
      </c>
      <c r="F1469" s="1" t="n">
        <v>1</v>
      </c>
      <c r="G1469" s="15" t="n">
        <v>500.27</v>
      </c>
      <c r="H1469" s="16" t="n">
        <v>0.3</v>
      </c>
      <c r="I1469" s="1" t="s">
        <v>33</v>
      </c>
      <c r="J1469" s="1" t="n">
        <v>8</v>
      </c>
      <c r="K1469" s="1" t="n">
        <v>4.8</v>
      </c>
      <c r="L1469" s="15" t="n">
        <v>350.19</v>
      </c>
      <c r="M1469" s="15" t="n">
        <f aca="false">F1469*G1469</f>
        <v>500.27</v>
      </c>
      <c r="N1469" s="15" t="n">
        <f aca="false">M1469-L1469</f>
        <v>150.08</v>
      </c>
      <c r="O1469" s="1" t="n">
        <f aca="false">YEAR(B1469)</f>
        <v>2026</v>
      </c>
      <c r="P1469" s="1" t="n">
        <f aca="false">MONTH(B1469)</f>
        <v>1</v>
      </c>
      <c r="Q1469" s="1" t="str">
        <f aca="false">TEXT(B1469,"mmm")</f>
        <v>Jan</v>
      </c>
      <c r="R1469" s="1" t="str">
        <f aca="false">"Q"&amp;ROUNDUP(MONTH(B1469)/3,0)</f>
        <v>Q1</v>
      </c>
    </row>
    <row r="1470" customFormat="false" ht="15" hidden="false" customHeight="true" outlineLevel="0" collapsed="false">
      <c r="A1470" s="1" t="n">
        <v>11469</v>
      </c>
      <c r="B1470" s="14" t="n">
        <v>46030</v>
      </c>
      <c r="C1470" s="1" t="n">
        <v>1390</v>
      </c>
      <c r="D1470" s="1" t="s">
        <v>37</v>
      </c>
      <c r="E1470" s="1" t="s">
        <v>32</v>
      </c>
      <c r="F1470" s="1" t="n">
        <v>7</v>
      </c>
      <c r="G1470" s="15" t="n">
        <v>504.36</v>
      </c>
      <c r="H1470" s="16" t="n">
        <v>0.31</v>
      </c>
      <c r="I1470" s="1" t="s">
        <v>33</v>
      </c>
      <c r="J1470" s="1" t="n">
        <v>6</v>
      </c>
      <c r="K1470" s="1" t="n">
        <v>1.4</v>
      </c>
      <c r="L1470" s="15" t="n">
        <v>2436.06</v>
      </c>
      <c r="M1470" s="15" t="n">
        <f aca="false">F1470*G1470</f>
        <v>3530.52</v>
      </c>
      <c r="N1470" s="15" t="n">
        <f aca="false">M1470-L1470</f>
        <v>1094.46</v>
      </c>
      <c r="O1470" s="1" t="n">
        <f aca="false">YEAR(B1470)</f>
        <v>2026</v>
      </c>
      <c r="P1470" s="1" t="n">
        <f aca="false">MONTH(B1470)</f>
        <v>1</v>
      </c>
      <c r="Q1470" s="1" t="str">
        <f aca="false">TEXT(B1470,"mmm")</f>
        <v>Jan</v>
      </c>
      <c r="R1470" s="1" t="str">
        <f aca="false">"Q"&amp;ROUNDUP(MONTH(B1470)/3,0)</f>
        <v>Q1</v>
      </c>
    </row>
    <row r="1471" customFormat="false" ht="15" hidden="false" customHeight="true" outlineLevel="0" collapsed="false">
      <c r="A1471" s="1" t="n">
        <v>11470</v>
      </c>
      <c r="B1471" s="14" t="n">
        <v>46031</v>
      </c>
      <c r="C1471" s="1" t="n">
        <v>1178</v>
      </c>
      <c r="D1471" s="1" t="s">
        <v>37</v>
      </c>
      <c r="E1471" s="1" t="s">
        <v>36</v>
      </c>
      <c r="F1471" s="1" t="n">
        <v>6</v>
      </c>
      <c r="G1471" s="15" t="n">
        <v>491.49</v>
      </c>
      <c r="H1471" s="16" t="n">
        <v>0.16</v>
      </c>
      <c r="I1471" s="1" t="s">
        <v>33</v>
      </c>
      <c r="J1471" s="1" t="n">
        <v>3</v>
      </c>
      <c r="K1471" s="1" t="n">
        <v>2.5</v>
      </c>
      <c r="L1471" s="15" t="n">
        <v>2477.11</v>
      </c>
      <c r="M1471" s="15" t="n">
        <f aca="false">F1471*G1471</f>
        <v>2948.94</v>
      </c>
      <c r="N1471" s="15" t="n">
        <f aca="false">M1471-L1471</f>
        <v>471.83</v>
      </c>
      <c r="O1471" s="1" t="n">
        <f aca="false">YEAR(B1471)</f>
        <v>2026</v>
      </c>
      <c r="P1471" s="1" t="n">
        <f aca="false">MONTH(B1471)</f>
        <v>1</v>
      </c>
      <c r="Q1471" s="1" t="str">
        <f aca="false">TEXT(B1471,"mmm")</f>
        <v>Jan</v>
      </c>
      <c r="R1471" s="1" t="str">
        <f aca="false">"Q"&amp;ROUNDUP(MONTH(B1471)/3,0)</f>
        <v>Q1</v>
      </c>
    </row>
    <row r="1472" customFormat="false" ht="15" hidden="false" customHeight="true" outlineLevel="0" collapsed="false">
      <c r="A1472" s="1" t="n">
        <v>11471</v>
      </c>
      <c r="B1472" s="14" t="n">
        <v>46032</v>
      </c>
      <c r="C1472" s="1" t="n">
        <v>1967</v>
      </c>
      <c r="D1472" s="1" t="s">
        <v>30</v>
      </c>
      <c r="E1472" s="1" t="s">
        <v>35</v>
      </c>
      <c r="F1472" s="1" t="n">
        <v>2</v>
      </c>
      <c r="G1472" s="15" t="n">
        <v>392.37</v>
      </c>
      <c r="H1472" s="16" t="n">
        <v>0.18</v>
      </c>
      <c r="I1472" s="1" t="s">
        <v>29</v>
      </c>
      <c r="J1472" s="1" t="n">
        <v>1</v>
      </c>
      <c r="K1472" s="1" t="n">
        <v>3.1</v>
      </c>
      <c r="L1472" s="15" t="n">
        <v>643.49</v>
      </c>
      <c r="M1472" s="15" t="n">
        <f aca="false">F1472*G1472</f>
        <v>784.74</v>
      </c>
      <c r="N1472" s="15" t="n">
        <f aca="false">M1472-L1472</f>
        <v>141.25</v>
      </c>
      <c r="O1472" s="1" t="n">
        <f aca="false">YEAR(B1472)</f>
        <v>2026</v>
      </c>
      <c r="P1472" s="1" t="n">
        <f aca="false">MONTH(B1472)</f>
        <v>1</v>
      </c>
      <c r="Q1472" s="1" t="str">
        <f aca="false">TEXT(B1472,"mmm")</f>
        <v>Jan</v>
      </c>
      <c r="R1472" s="1" t="str">
        <f aca="false">"Q"&amp;ROUNDUP(MONTH(B1472)/3,0)</f>
        <v>Q1</v>
      </c>
    </row>
    <row r="1473" customFormat="false" ht="15" hidden="false" customHeight="true" outlineLevel="0" collapsed="false">
      <c r="A1473" s="1" t="n">
        <v>11472</v>
      </c>
      <c r="B1473" s="14" t="n">
        <v>46033</v>
      </c>
      <c r="C1473" s="1" t="n">
        <v>1553</v>
      </c>
      <c r="D1473" s="1" t="s">
        <v>27</v>
      </c>
      <c r="E1473" s="1" t="s">
        <v>36</v>
      </c>
      <c r="F1473" s="1" t="n">
        <v>3</v>
      </c>
      <c r="G1473" s="15" t="n">
        <v>229.12</v>
      </c>
      <c r="H1473" s="16" t="n">
        <v>0.15</v>
      </c>
      <c r="I1473" s="1" t="s">
        <v>29</v>
      </c>
      <c r="J1473" s="1" t="n">
        <v>3</v>
      </c>
      <c r="K1473" s="1" t="n">
        <v>4.9</v>
      </c>
      <c r="L1473" s="15" t="n">
        <v>584.26</v>
      </c>
      <c r="M1473" s="15" t="n">
        <f aca="false">F1473*G1473</f>
        <v>687.36</v>
      </c>
      <c r="N1473" s="15" t="n">
        <f aca="false">M1473-L1473</f>
        <v>103.1</v>
      </c>
      <c r="O1473" s="1" t="n">
        <f aca="false">YEAR(B1473)</f>
        <v>2026</v>
      </c>
      <c r="P1473" s="1" t="n">
        <f aca="false">MONTH(B1473)</f>
        <v>1</v>
      </c>
      <c r="Q1473" s="1" t="str">
        <f aca="false">TEXT(B1473,"mmm")</f>
        <v>Jan</v>
      </c>
      <c r="R1473" s="1" t="str">
        <f aca="false">"Q"&amp;ROUNDUP(MONTH(B1473)/3,0)</f>
        <v>Q1</v>
      </c>
    </row>
    <row r="1474" customFormat="false" ht="15" hidden="false" customHeight="true" outlineLevel="0" collapsed="false">
      <c r="A1474" s="1" t="n">
        <v>11473</v>
      </c>
      <c r="B1474" s="14" t="n">
        <v>46034</v>
      </c>
      <c r="C1474" s="1" t="n">
        <v>1447</v>
      </c>
      <c r="D1474" s="1" t="s">
        <v>34</v>
      </c>
      <c r="E1474" s="1" t="s">
        <v>35</v>
      </c>
      <c r="F1474" s="1" t="n">
        <v>4</v>
      </c>
      <c r="G1474" s="15" t="n">
        <v>192.88</v>
      </c>
      <c r="H1474" s="16" t="n">
        <v>0.16</v>
      </c>
      <c r="I1474" s="1" t="s">
        <v>29</v>
      </c>
      <c r="J1474" s="1" t="n">
        <v>11</v>
      </c>
      <c r="K1474" s="1" t="n">
        <v>3</v>
      </c>
      <c r="L1474" s="15" t="n">
        <v>648.08</v>
      </c>
      <c r="M1474" s="15" t="n">
        <f aca="false">F1474*G1474</f>
        <v>771.52</v>
      </c>
      <c r="N1474" s="15" t="n">
        <f aca="false">M1474-L1474</f>
        <v>123.44</v>
      </c>
      <c r="O1474" s="1" t="n">
        <f aca="false">YEAR(B1474)</f>
        <v>2026</v>
      </c>
      <c r="P1474" s="1" t="n">
        <f aca="false">MONTH(B1474)</f>
        <v>1</v>
      </c>
      <c r="Q1474" s="1" t="str">
        <f aca="false">TEXT(B1474,"mmm")</f>
        <v>Jan</v>
      </c>
      <c r="R1474" s="1" t="str">
        <f aca="false">"Q"&amp;ROUNDUP(MONTH(B1474)/3,0)</f>
        <v>Q1</v>
      </c>
    </row>
    <row r="1475" customFormat="false" ht="15" hidden="false" customHeight="true" outlineLevel="0" collapsed="false">
      <c r="A1475" s="1" t="n">
        <v>11474</v>
      </c>
      <c r="B1475" s="14" t="n">
        <v>46035</v>
      </c>
      <c r="C1475" s="1" t="n">
        <v>1499</v>
      </c>
      <c r="D1475" s="1" t="s">
        <v>30</v>
      </c>
      <c r="E1475" s="1" t="s">
        <v>28</v>
      </c>
      <c r="F1475" s="1" t="n">
        <v>4</v>
      </c>
      <c r="G1475" s="15" t="n">
        <v>20</v>
      </c>
      <c r="H1475" s="16" t="n">
        <v>0.31</v>
      </c>
      <c r="I1475" s="1" t="s">
        <v>29</v>
      </c>
      <c r="J1475" s="1" t="n">
        <v>6</v>
      </c>
      <c r="K1475" s="1" t="n">
        <v>4.1</v>
      </c>
      <c r="L1475" s="15" t="n">
        <v>55.2</v>
      </c>
      <c r="M1475" s="15" t="n">
        <f aca="false">F1475*G1475</f>
        <v>80</v>
      </c>
      <c r="N1475" s="15" t="n">
        <f aca="false">M1475-L1475</f>
        <v>24.8</v>
      </c>
      <c r="O1475" s="1" t="n">
        <f aca="false">YEAR(B1475)</f>
        <v>2026</v>
      </c>
      <c r="P1475" s="1" t="n">
        <f aca="false">MONTH(B1475)</f>
        <v>1</v>
      </c>
      <c r="Q1475" s="1" t="str">
        <f aca="false">TEXT(B1475,"mmm")</f>
        <v>Jan</v>
      </c>
      <c r="R1475" s="1" t="str">
        <f aca="false">"Q"&amp;ROUNDUP(MONTH(B1475)/3,0)</f>
        <v>Q1</v>
      </c>
    </row>
    <row r="1476" customFormat="false" ht="15" hidden="false" customHeight="true" outlineLevel="0" collapsed="false">
      <c r="A1476" s="1" t="n">
        <v>11475</v>
      </c>
      <c r="B1476" s="14" t="n">
        <v>46036</v>
      </c>
      <c r="C1476" s="1" t="n">
        <v>1014</v>
      </c>
      <c r="D1476" s="1" t="s">
        <v>30</v>
      </c>
      <c r="E1476" s="1" t="s">
        <v>28</v>
      </c>
      <c r="F1476" s="1" t="n">
        <v>2</v>
      </c>
      <c r="G1476" s="15" t="n">
        <v>502.66</v>
      </c>
      <c r="H1476" s="16" t="n">
        <v>0.28</v>
      </c>
      <c r="I1476" s="1" t="s">
        <v>33</v>
      </c>
      <c r="J1476" s="1" t="n">
        <v>11</v>
      </c>
      <c r="K1476" s="1" t="n">
        <v>4</v>
      </c>
      <c r="L1476" s="15" t="n">
        <v>723.83</v>
      </c>
      <c r="M1476" s="15" t="n">
        <f aca="false">F1476*G1476</f>
        <v>1005.32</v>
      </c>
      <c r="N1476" s="15" t="n">
        <f aca="false">M1476-L1476</f>
        <v>281.49</v>
      </c>
      <c r="O1476" s="1" t="n">
        <f aca="false">YEAR(B1476)</f>
        <v>2026</v>
      </c>
      <c r="P1476" s="1" t="n">
        <f aca="false">MONTH(B1476)</f>
        <v>1</v>
      </c>
      <c r="Q1476" s="1" t="str">
        <f aca="false">TEXT(B1476,"mmm")</f>
        <v>Jan</v>
      </c>
      <c r="R1476" s="1" t="str">
        <f aca="false">"Q"&amp;ROUNDUP(MONTH(B1476)/3,0)</f>
        <v>Q1</v>
      </c>
    </row>
    <row r="1477" customFormat="false" ht="15" hidden="false" customHeight="true" outlineLevel="0" collapsed="false">
      <c r="A1477" s="1" t="n">
        <v>11476</v>
      </c>
      <c r="B1477" s="14" t="n">
        <v>46037</v>
      </c>
      <c r="C1477" s="1" t="n">
        <v>1622</v>
      </c>
      <c r="D1477" s="1" t="s">
        <v>30</v>
      </c>
      <c r="E1477" s="1" t="s">
        <v>32</v>
      </c>
      <c r="F1477" s="1" t="n">
        <v>2</v>
      </c>
      <c r="G1477" s="15" t="n">
        <v>66.15</v>
      </c>
      <c r="H1477" s="16" t="n">
        <v>0.04</v>
      </c>
      <c r="I1477" s="1" t="s">
        <v>33</v>
      </c>
      <c r="J1477" s="1" t="n">
        <v>4</v>
      </c>
      <c r="K1477" s="1" t="n">
        <v>3.3</v>
      </c>
      <c r="L1477" s="15" t="n">
        <v>127.01</v>
      </c>
      <c r="M1477" s="15" t="n">
        <f aca="false">F1477*G1477</f>
        <v>132.3</v>
      </c>
      <c r="N1477" s="15" t="n">
        <f aca="false">M1477-L1477</f>
        <v>5.29000000000001</v>
      </c>
      <c r="O1477" s="1" t="n">
        <f aca="false">YEAR(B1477)</f>
        <v>2026</v>
      </c>
      <c r="P1477" s="1" t="n">
        <f aca="false">MONTH(B1477)</f>
        <v>1</v>
      </c>
      <c r="Q1477" s="1" t="str">
        <f aca="false">TEXT(B1477,"mmm")</f>
        <v>Jan</v>
      </c>
      <c r="R1477" s="1" t="str">
        <f aca="false">"Q"&amp;ROUNDUP(MONTH(B1477)/3,0)</f>
        <v>Q1</v>
      </c>
    </row>
    <row r="1478" customFormat="false" ht="15" hidden="false" customHeight="true" outlineLevel="0" collapsed="false">
      <c r="A1478" s="1" t="n">
        <v>11477</v>
      </c>
      <c r="B1478" s="14" t="n">
        <v>46038</v>
      </c>
      <c r="C1478" s="1" t="n">
        <v>1668</v>
      </c>
      <c r="D1478" s="1" t="s">
        <v>30</v>
      </c>
      <c r="E1478" s="1" t="s">
        <v>32</v>
      </c>
      <c r="F1478" s="1" t="n">
        <v>7</v>
      </c>
      <c r="G1478" s="15" t="n">
        <v>383.99</v>
      </c>
      <c r="H1478" s="16" t="n">
        <v>0.21</v>
      </c>
      <c r="I1478" s="1" t="s">
        <v>31</v>
      </c>
      <c r="J1478" s="1" t="n">
        <v>1</v>
      </c>
      <c r="K1478" s="1" t="n">
        <v>1.5</v>
      </c>
      <c r="L1478" s="15" t="n">
        <v>2123.46</v>
      </c>
      <c r="M1478" s="15" t="n">
        <f aca="false">F1478*G1478</f>
        <v>2687.93</v>
      </c>
      <c r="N1478" s="15" t="n">
        <f aca="false">M1478-L1478</f>
        <v>564.47</v>
      </c>
      <c r="O1478" s="1" t="n">
        <f aca="false">YEAR(B1478)</f>
        <v>2026</v>
      </c>
      <c r="P1478" s="1" t="n">
        <f aca="false">MONTH(B1478)</f>
        <v>1</v>
      </c>
      <c r="Q1478" s="1" t="str">
        <f aca="false">TEXT(B1478,"mmm")</f>
        <v>Jan</v>
      </c>
      <c r="R1478" s="1" t="str">
        <f aca="false">"Q"&amp;ROUNDUP(MONTH(B1478)/3,0)</f>
        <v>Q1</v>
      </c>
    </row>
    <row r="1479" customFormat="false" ht="15" hidden="false" customHeight="true" outlineLevel="0" collapsed="false">
      <c r="A1479" s="1" t="n">
        <v>11478</v>
      </c>
      <c r="B1479" s="14" t="n">
        <v>46039</v>
      </c>
      <c r="C1479" s="1" t="n">
        <v>1288</v>
      </c>
      <c r="D1479" s="1" t="s">
        <v>34</v>
      </c>
      <c r="E1479" s="1" t="s">
        <v>35</v>
      </c>
      <c r="F1479" s="1" t="n">
        <v>4</v>
      </c>
      <c r="G1479" s="15" t="n">
        <v>309.88</v>
      </c>
      <c r="H1479" s="16" t="n">
        <v>0.35</v>
      </c>
      <c r="I1479" s="1" t="s">
        <v>31</v>
      </c>
      <c r="J1479" s="1" t="n">
        <v>6</v>
      </c>
      <c r="K1479" s="1" t="n">
        <v>1.9</v>
      </c>
      <c r="L1479" s="15" t="n">
        <v>805.69</v>
      </c>
      <c r="M1479" s="15" t="n">
        <f aca="false">F1479*G1479</f>
        <v>1239.52</v>
      </c>
      <c r="N1479" s="15" t="n">
        <f aca="false">M1479-L1479</f>
        <v>433.83</v>
      </c>
      <c r="O1479" s="1" t="n">
        <f aca="false">YEAR(B1479)</f>
        <v>2026</v>
      </c>
      <c r="P1479" s="1" t="n">
        <f aca="false">MONTH(B1479)</f>
        <v>1</v>
      </c>
      <c r="Q1479" s="1" t="str">
        <f aca="false">TEXT(B1479,"mmm")</f>
        <v>Jan</v>
      </c>
      <c r="R1479" s="1" t="str">
        <f aca="false">"Q"&amp;ROUNDUP(MONTH(B1479)/3,0)</f>
        <v>Q1</v>
      </c>
    </row>
    <row r="1480" customFormat="false" ht="15" hidden="false" customHeight="true" outlineLevel="0" collapsed="false">
      <c r="A1480" s="1" t="n">
        <v>11479</v>
      </c>
      <c r="B1480" s="14" t="n">
        <v>46040</v>
      </c>
      <c r="C1480" s="1" t="n">
        <v>1477</v>
      </c>
      <c r="D1480" s="1" t="s">
        <v>30</v>
      </c>
      <c r="E1480" s="1" t="s">
        <v>32</v>
      </c>
      <c r="F1480" s="1" t="n">
        <v>2</v>
      </c>
      <c r="G1480" s="15" t="n">
        <v>323.11</v>
      </c>
      <c r="H1480" s="16" t="n">
        <v>0.21</v>
      </c>
      <c r="I1480" s="1" t="s">
        <v>31</v>
      </c>
      <c r="J1480" s="1" t="n">
        <v>1</v>
      </c>
      <c r="K1480" s="1" t="n">
        <v>2</v>
      </c>
      <c r="L1480" s="15" t="n">
        <v>510.51</v>
      </c>
      <c r="M1480" s="15" t="n">
        <f aca="false">F1480*G1480</f>
        <v>646.22</v>
      </c>
      <c r="N1480" s="15" t="n">
        <f aca="false">M1480-L1480</f>
        <v>135.71</v>
      </c>
      <c r="O1480" s="1" t="n">
        <f aca="false">YEAR(B1480)</f>
        <v>2026</v>
      </c>
      <c r="P1480" s="1" t="n">
        <f aca="false">MONTH(B1480)</f>
        <v>1</v>
      </c>
      <c r="Q1480" s="1" t="str">
        <f aca="false">TEXT(B1480,"mmm")</f>
        <v>Jan</v>
      </c>
      <c r="R1480" s="1" t="str">
        <f aca="false">"Q"&amp;ROUNDUP(MONTH(B1480)/3,0)</f>
        <v>Q1</v>
      </c>
    </row>
    <row r="1481" customFormat="false" ht="15" hidden="false" customHeight="true" outlineLevel="0" collapsed="false">
      <c r="A1481" s="1" t="n">
        <v>11480</v>
      </c>
      <c r="B1481" s="14" t="n">
        <v>46041</v>
      </c>
      <c r="C1481" s="1" t="n">
        <v>1230</v>
      </c>
      <c r="D1481" s="1" t="s">
        <v>27</v>
      </c>
      <c r="E1481" s="1" t="s">
        <v>32</v>
      </c>
      <c r="F1481" s="1" t="n">
        <v>4</v>
      </c>
      <c r="G1481" s="15" t="n">
        <v>557.13</v>
      </c>
      <c r="H1481" s="16" t="n">
        <v>0.28</v>
      </c>
      <c r="I1481" s="1" t="s">
        <v>31</v>
      </c>
      <c r="J1481" s="1" t="n">
        <v>8</v>
      </c>
      <c r="K1481" s="1" t="n">
        <v>1.2</v>
      </c>
      <c r="L1481" s="15" t="n">
        <v>1604.53</v>
      </c>
      <c r="M1481" s="15" t="n">
        <f aca="false">F1481*G1481</f>
        <v>2228.52</v>
      </c>
      <c r="N1481" s="15" t="n">
        <f aca="false">M1481-L1481</f>
        <v>623.99</v>
      </c>
      <c r="O1481" s="1" t="n">
        <f aca="false">YEAR(B1481)</f>
        <v>2026</v>
      </c>
      <c r="P1481" s="1" t="n">
        <f aca="false">MONTH(B1481)</f>
        <v>1</v>
      </c>
      <c r="Q1481" s="1" t="str">
        <f aca="false">TEXT(B1481,"mmm")</f>
        <v>Jan</v>
      </c>
      <c r="R1481" s="1" t="str">
        <f aca="false">"Q"&amp;ROUNDUP(MONTH(B1481)/3,0)</f>
        <v>Q1</v>
      </c>
    </row>
    <row r="1482" customFormat="false" ht="15" hidden="false" customHeight="true" outlineLevel="0" collapsed="false">
      <c r="A1482" s="1" t="n">
        <v>11481</v>
      </c>
      <c r="B1482" s="14" t="n">
        <v>46042</v>
      </c>
      <c r="C1482" s="1" t="n">
        <v>1922</v>
      </c>
      <c r="D1482" s="1" t="s">
        <v>34</v>
      </c>
      <c r="E1482" s="1" t="s">
        <v>32</v>
      </c>
      <c r="F1482" s="1" t="n">
        <v>6</v>
      </c>
      <c r="G1482" s="15" t="n">
        <v>33.49</v>
      </c>
      <c r="H1482" s="16" t="n">
        <v>0.27</v>
      </c>
      <c r="I1482" s="1" t="s">
        <v>31</v>
      </c>
      <c r="J1482" s="1" t="n">
        <v>3</v>
      </c>
      <c r="K1482" s="1" t="n">
        <v>2.5</v>
      </c>
      <c r="L1482" s="15" t="n">
        <v>146.69</v>
      </c>
      <c r="M1482" s="15" t="n">
        <f aca="false">F1482*G1482</f>
        <v>200.94</v>
      </c>
      <c r="N1482" s="15" t="n">
        <f aca="false">M1482-L1482</f>
        <v>54.25</v>
      </c>
      <c r="O1482" s="1" t="n">
        <f aca="false">YEAR(B1482)</f>
        <v>2026</v>
      </c>
      <c r="P1482" s="1" t="n">
        <f aca="false">MONTH(B1482)</f>
        <v>1</v>
      </c>
      <c r="Q1482" s="1" t="str">
        <f aca="false">TEXT(B1482,"mmm")</f>
        <v>Jan</v>
      </c>
      <c r="R1482" s="1" t="str">
        <f aca="false">"Q"&amp;ROUNDUP(MONTH(B1482)/3,0)</f>
        <v>Q1</v>
      </c>
    </row>
    <row r="1483" customFormat="false" ht="15" hidden="false" customHeight="true" outlineLevel="0" collapsed="false">
      <c r="A1483" s="1" t="n">
        <v>11482</v>
      </c>
      <c r="B1483" s="14" t="n">
        <v>46043</v>
      </c>
      <c r="C1483" s="1" t="n">
        <v>1419</v>
      </c>
      <c r="D1483" s="1" t="s">
        <v>27</v>
      </c>
      <c r="E1483" s="1" t="s">
        <v>32</v>
      </c>
      <c r="F1483" s="1" t="n">
        <v>7</v>
      </c>
      <c r="G1483" s="15" t="n">
        <v>467.43</v>
      </c>
      <c r="H1483" s="16" t="n">
        <v>0.12</v>
      </c>
      <c r="I1483" s="1" t="s">
        <v>31</v>
      </c>
      <c r="J1483" s="1" t="n">
        <v>3</v>
      </c>
      <c r="K1483" s="1" t="n">
        <v>3.4</v>
      </c>
      <c r="L1483" s="15" t="n">
        <v>2879.37</v>
      </c>
      <c r="M1483" s="15" t="n">
        <f aca="false">F1483*G1483</f>
        <v>3272.01</v>
      </c>
      <c r="N1483" s="15" t="n">
        <f aca="false">M1483-L1483</f>
        <v>392.64</v>
      </c>
      <c r="O1483" s="1" t="n">
        <f aca="false">YEAR(B1483)</f>
        <v>2026</v>
      </c>
      <c r="P1483" s="1" t="n">
        <f aca="false">MONTH(B1483)</f>
        <v>1</v>
      </c>
      <c r="Q1483" s="1" t="str">
        <f aca="false">TEXT(B1483,"mmm")</f>
        <v>Jan</v>
      </c>
      <c r="R1483" s="1" t="str">
        <f aca="false">"Q"&amp;ROUNDUP(MONTH(B1483)/3,0)</f>
        <v>Q1</v>
      </c>
    </row>
    <row r="1484" customFormat="false" ht="15" hidden="false" customHeight="true" outlineLevel="0" collapsed="false">
      <c r="A1484" s="1" t="n">
        <v>11483</v>
      </c>
      <c r="B1484" s="14" t="n">
        <v>46044</v>
      </c>
      <c r="C1484" s="1" t="n">
        <v>1156</v>
      </c>
      <c r="D1484" s="1" t="s">
        <v>37</v>
      </c>
      <c r="E1484" s="1" t="s">
        <v>28</v>
      </c>
      <c r="F1484" s="1" t="n">
        <v>2</v>
      </c>
      <c r="G1484" s="15" t="n">
        <v>45.45</v>
      </c>
      <c r="H1484" s="16" t="n">
        <v>0.13</v>
      </c>
      <c r="I1484" s="1" t="s">
        <v>29</v>
      </c>
      <c r="J1484" s="1" t="n">
        <v>1</v>
      </c>
      <c r="K1484" s="1" t="n">
        <v>1.6</v>
      </c>
      <c r="L1484" s="15" t="n">
        <v>79.08</v>
      </c>
      <c r="M1484" s="15" t="n">
        <f aca="false">F1484*G1484</f>
        <v>90.9</v>
      </c>
      <c r="N1484" s="15" t="n">
        <f aca="false">M1484-L1484</f>
        <v>11.82</v>
      </c>
      <c r="O1484" s="1" t="n">
        <f aca="false">YEAR(B1484)</f>
        <v>2026</v>
      </c>
      <c r="P1484" s="1" t="n">
        <f aca="false">MONTH(B1484)</f>
        <v>1</v>
      </c>
      <c r="Q1484" s="1" t="str">
        <f aca="false">TEXT(B1484,"mmm")</f>
        <v>Jan</v>
      </c>
      <c r="R1484" s="1" t="str">
        <f aca="false">"Q"&amp;ROUNDUP(MONTH(B1484)/3,0)</f>
        <v>Q1</v>
      </c>
    </row>
    <row r="1485" customFormat="false" ht="15" hidden="false" customHeight="true" outlineLevel="0" collapsed="false">
      <c r="A1485" s="1" t="n">
        <v>11484</v>
      </c>
      <c r="B1485" s="14" t="n">
        <v>46045</v>
      </c>
      <c r="C1485" s="1" t="n">
        <v>1549</v>
      </c>
      <c r="D1485" s="1" t="s">
        <v>37</v>
      </c>
      <c r="E1485" s="1" t="s">
        <v>32</v>
      </c>
      <c r="F1485" s="1" t="n">
        <v>6</v>
      </c>
      <c r="G1485" s="15" t="n">
        <v>37.32</v>
      </c>
      <c r="H1485" s="16" t="n">
        <v>0.25</v>
      </c>
      <c r="I1485" s="1" t="s">
        <v>29</v>
      </c>
      <c r="J1485" s="1" t="n">
        <v>3</v>
      </c>
      <c r="K1485" s="1" t="n">
        <v>1.7</v>
      </c>
      <c r="L1485" s="15" t="n">
        <v>167.94</v>
      </c>
      <c r="M1485" s="15" t="n">
        <f aca="false">F1485*G1485</f>
        <v>223.92</v>
      </c>
      <c r="N1485" s="15" t="n">
        <f aca="false">M1485-L1485</f>
        <v>55.98</v>
      </c>
      <c r="O1485" s="1" t="n">
        <f aca="false">YEAR(B1485)</f>
        <v>2026</v>
      </c>
      <c r="P1485" s="1" t="n">
        <f aca="false">MONTH(B1485)</f>
        <v>1</v>
      </c>
      <c r="Q1485" s="1" t="str">
        <f aca="false">TEXT(B1485,"mmm")</f>
        <v>Jan</v>
      </c>
      <c r="R1485" s="1" t="str">
        <f aca="false">"Q"&amp;ROUNDUP(MONTH(B1485)/3,0)</f>
        <v>Q1</v>
      </c>
    </row>
    <row r="1486" customFormat="false" ht="15" hidden="false" customHeight="true" outlineLevel="0" collapsed="false">
      <c r="A1486" s="1" t="n">
        <v>11485</v>
      </c>
      <c r="B1486" s="14" t="n">
        <v>46046</v>
      </c>
      <c r="C1486" s="1" t="n">
        <v>1440</v>
      </c>
      <c r="D1486" s="1" t="s">
        <v>30</v>
      </c>
      <c r="E1486" s="1" t="s">
        <v>28</v>
      </c>
      <c r="F1486" s="1" t="n">
        <v>6</v>
      </c>
      <c r="G1486" s="15" t="n">
        <v>266.44</v>
      </c>
      <c r="H1486" s="16" t="n">
        <v>0.17</v>
      </c>
      <c r="I1486" s="1" t="s">
        <v>31</v>
      </c>
      <c r="J1486" s="1" t="n">
        <v>7</v>
      </c>
      <c r="K1486" s="1" t="n">
        <v>3.8</v>
      </c>
      <c r="L1486" s="15" t="n">
        <v>1326.87</v>
      </c>
      <c r="M1486" s="15" t="n">
        <f aca="false">F1486*G1486</f>
        <v>1598.64</v>
      </c>
      <c r="N1486" s="15" t="n">
        <f aca="false">M1486-L1486</f>
        <v>271.77</v>
      </c>
      <c r="O1486" s="1" t="n">
        <f aca="false">YEAR(B1486)</f>
        <v>2026</v>
      </c>
      <c r="P1486" s="1" t="n">
        <f aca="false">MONTH(B1486)</f>
        <v>1</v>
      </c>
      <c r="Q1486" s="1" t="str">
        <f aca="false">TEXT(B1486,"mmm")</f>
        <v>Jan</v>
      </c>
      <c r="R1486" s="1" t="str">
        <f aca="false">"Q"&amp;ROUNDUP(MONTH(B1486)/3,0)</f>
        <v>Q1</v>
      </c>
    </row>
    <row r="1487" customFormat="false" ht="15" hidden="false" customHeight="true" outlineLevel="0" collapsed="false">
      <c r="A1487" s="1" t="n">
        <v>11486</v>
      </c>
      <c r="B1487" s="14" t="n">
        <v>46047</v>
      </c>
      <c r="C1487" s="1" t="n">
        <v>1096</v>
      </c>
      <c r="D1487" s="1" t="s">
        <v>37</v>
      </c>
      <c r="E1487" s="1" t="s">
        <v>28</v>
      </c>
      <c r="F1487" s="1" t="n">
        <v>2</v>
      </c>
      <c r="G1487" s="15" t="n">
        <v>51.9</v>
      </c>
      <c r="H1487" s="16" t="n">
        <v>0.2</v>
      </c>
      <c r="I1487" s="1" t="s">
        <v>31</v>
      </c>
      <c r="J1487" s="1" t="n">
        <v>10</v>
      </c>
      <c r="K1487" s="1" t="n">
        <v>1.7</v>
      </c>
      <c r="L1487" s="15" t="n">
        <v>83.04</v>
      </c>
      <c r="M1487" s="15" t="n">
        <f aca="false">F1487*G1487</f>
        <v>103.8</v>
      </c>
      <c r="N1487" s="15" t="n">
        <f aca="false">M1487-L1487</f>
        <v>20.76</v>
      </c>
      <c r="O1487" s="1" t="n">
        <f aca="false">YEAR(B1487)</f>
        <v>2026</v>
      </c>
      <c r="P1487" s="1" t="n">
        <f aca="false">MONTH(B1487)</f>
        <v>1</v>
      </c>
      <c r="Q1487" s="1" t="str">
        <f aca="false">TEXT(B1487,"mmm")</f>
        <v>Jan</v>
      </c>
      <c r="R1487" s="1" t="str">
        <f aca="false">"Q"&amp;ROUNDUP(MONTH(B1487)/3,0)</f>
        <v>Q1</v>
      </c>
    </row>
    <row r="1488" customFormat="false" ht="15" hidden="false" customHeight="true" outlineLevel="0" collapsed="false">
      <c r="A1488" s="1" t="n">
        <v>11487</v>
      </c>
      <c r="B1488" s="14" t="n">
        <v>46048</v>
      </c>
      <c r="C1488" s="1" t="n">
        <v>1996</v>
      </c>
      <c r="D1488" s="1" t="s">
        <v>34</v>
      </c>
      <c r="E1488" s="1" t="s">
        <v>36</v>
      </c>
      <c r="F1488" s="1" t="n">
        <v>7</v>
      </c>
      <c r="G1488" s="15" t="n">
        <v>476.65</v>
      </c>
      <c r="H1488" s="16" t="n">
        <v>0.25</v>
      </c>
      <c r="I1488" s="1" t="s">
        <v>29</v>
      </c>
      <c r="J1488" s="1" t="n">
        <v>8</v>
      </c>
      <c r="K1488" s="1" t="n">
        <v>1.5</v>
      </c>
      <c r="L1488" s="15" t="n">
        <v>2502.41</v>
      </c>
      <c r="M1488" s="15" t="n">
        <f aca="false">F1488*G1488</f>
        <v>3336.55</v>
      </c>
      <c r="N1488" s="15" t="n">
        <f aca="false">M1488-L1488</f>
        <v>834.14</v>
      </c>
      <c r="O1488" s="1" t="n">
        <f aca="false">YEAR(B1488)</f>
        <v>2026</v>
      </c>
      <c r="P1488" s="1" t="n">
        <f aca="false">MONTH(B1488)</f>
        <v>1</v>
      </c>
      <c r="Q1488" s="1" t="str">
        <f aca="false">TEXT(B1488,"mmm")</f>
        <v>Jan</v>
      </c>
      <c r="R1488" s="1" t="str">
        <f aca="false">"Q"&amp;ROUNDUP(MONTH(B1488)/3,0)</f>
        <v>Q1</v>
      </c>
    </row>
    <row r="1489" customFormat="false" ht="15" hidden="false" customHeight="true" outlineLevel="0" collapsed="false">
      <c r="A1489" s="1" t="n">
        <v>11488</v>
      </c>
      <c r="B1489" s="14" t="n">
        <v>46049</v>
      </c>
      <c r="C1489" s="1" t="n">
        <v>1410</v>
      </c>
      <c r="D1489" s="1" t="s">
        <v>37</v>
      </c>
      <c r="E1489" s="1" t="s">
        <v>28</v>
      </c>
      <c r="F1489" s="1" t="n">
        <v>4</v>
      </c>
      <c r="G1489" s="15" t="n">
        <v>324.79</v>
      </c>
      <c r="H1489" s="16" t="n">
        <v>0.27</v>
      </c>
      <c r="I1489" s="1" t="s">
        <v>29</v>
      </c>
      <c r="J1489" s="1" t="n">
        <v>11</v>
      </c>
      <c r="K1489" s="1" t="n">
        <v>4.9</v>
      </c>
      <c r="L1489" s="15" t="n">
        <v>948.39</v>
      </c>
      <c r="M1489" s="15" t="n">
        <f aca="false">F1489*G1489</f>
        <v>1299.16</v>
      </c>
      <c r="N1489" s="15" t="n">
        <f aca="false">M1489-L1489</f>
        <v>350.77</v>
      </c>
      <c r="O1489" s="1" t="n">
        <f aca="false">YEAR(B1489)</f>
        <v>2026</v>
      </c>
      <c r="P1489" s="1" t="n">
        <f aca="false">MONTH(B1489)</f>
        <v>1</v>
      </c>
      <c r="Q1489" s="1" t="str">
        <f aca="false">TEXT(B1489,"mmm")</f>
        <v>Jan</v>
      </c>
      <c r="R1489" s="1" t="str">
        <f aca="false">"Q"&amp;ROUNDUP(MONTH(B1489)/3,0)</f>
        <v>Q1</v>
      </c>
    </row>
    <row r="1490" customFormat="false" ht="15" hidden="false" customHeight="true" outlineLevel="0" collapsed="false">
      <c r="A1490" s="1" t="n">
        <v>11489</v>
      </c>
      <c r="B1490" s="14" t="n">
        <v>46050</v>
      </c>
      <c r="C1490" s="1" t="n">
        <v>1950</v>
      </c>
      <c r="D1490" s="1" t="s">
        <v>34</v>
      </c>
      <c r="E1490" s="1" t="s">
        <v>28</v>
      </c>
      <c r="F1490" s="1" t="n">
        <v>5</v>
      </c>
      <c r="G1490" s="15" t="n">
        <v>31.99</v>
      </c>
      <c r="H1490" s="16" t="n">
        <v>0.1</v>
      </c>
      <c r="I1490" s="1" t="s">
        <v>29</v>
      </c>
      <c r="J1490" s="1" t="n">
        <v>8</v>
      </c>
      <c r="K1490" s="1" t="n">
        <v>1.1</v>
      </c>
      <c r="L1490" s="15" t="n">
        <v>143.95</v>
      </c>
      <c r="M1490" s="15" t="n">
        <f aca="false">F1490*G1490</f>
        <v>159.95</v>
      </c>
      <c r="N1490" s="15" t="n">
        <f aca="false">M1490-L1490</f>
        <v>16</v>
      </c>
      <c r="O1490" s="1" t="n">
        <f aca="false">YEAR(B1490)</f>
        <v>2026</v>
      </c>
      <c r="P1490" s="1" t="n">
        <f aca="false">MONTH(B1490)</f>
        <v>1</v>
      </c>
      <c r="Q1490" s="1" t="str">
        <f aca="false">TEXT(B1490,"mmm")</f>
        <v>Jan</v>
      </c>
      <c r="R1490" s="1" t="str">
        <f aca="false">"Q"&amp;ROUNDUP(MONTH(B1490)/3,0)</f>
        <v>Q1</v>
      </c>
    </row>
    <row r="1491" customFormat="false" ht="15" hidden="false" customHeight="true" outlineLevel="0" collapsed="false">
      <c r="A1491" s="1" t="n">
        <v>11490</v>
      </c>
      <c r="B1491" s="14" t="n">
        <v>46051</v>
      </c>
      <c r="C1491" s="1" t="n">
        <v>1288</v>
      </c>
      <c r="D1491" s="1" t="s">
        <v>27</v>
      </c>
      <c r="E1491" s="1" t="s">
        <v>32</v>
      </c>
      <c r="F1491" s="1" t="n">
        <v>4</v>
      </c>
      <c r="G1491" s="15" t="n">
        <v>38.69</v>
      </c>
      <c r="H1491" s="16" t="n">
        <v>0.05</v>
      </c>
      <c r="I1491" s="1" t="s">
        <v>29</v>
      </c>
      <c r="J1491" s="1" t="n">
        <v>3</v>
      </c>
      <c r="K1491" s="1" t="n">
        <v>2.3</v>
      </c>
      <c r="L1491" s="15" t="n">
        <v>147.02</v>
      </c>
      <c r="M1491" s="15" t="n">
        <f aca="false">F1491*G1491</f>
        <v>154.76</v>
      </c>
      <c r="N1491" s="15" t="n">
        <f aca="false">M1491-L1491</f>
        <v>7.73999999999998</v>
      </c>
      <c r="O1491" s="1" t="n">
        <f aca="false">YEAR(B1491)</f>
        <v>2026</v>
      </c>
      <c r="P1491" s="1" t="n">
        <f aca="false">MONTH(B1491)</f>
        <v>1</v>
      </c>
      <c r="Q1491" s="1" t="str">
        <f aca="false">TEXT(B1491,"mmm")</f>
        <v>Jan</v>
      </c>
      <c r="R1491" s="1" t="str">
        <f aca="false">"Q"&amp;ROUNDUP(MONTH(B1491)/3,0)</f>
        <v>Q1</v>
      </c>
    </row>
    <row r="1492" customFormat="false" ht="15" hidden="false" customHeight="true" outlineLevel="0" collapsed="false">
      <c r="A1492" s="1" t="n">
        <v>11491</v>
      </c>
      <c r="B1492" s="14" t="n">
        <v>46052</v>
      </c>
      <c r="C1492" s="1" t="n">
        <v>1253</v>
      </c>
      <c r="D1492" s="1" t="s">
        <v>27</v>
      </c>
      <c r="E1492" s="1" t="s">
        <v>28</v>
      </c>
      <c r="F1492" s="1" t="n">
        <v>1</v>
      </c>
      <c r="G1492" s="15" t="n">
        <v>373.41</v>
      </c>
      <c r="H1492" s="16" t="n">
        <v>0.1</v>
      </c>
      <c r="I1492" s="1" t="s">
        <v>29</v>
      </c>
      <c r="J1492" s="1" t="n">
        <v>5</v>
      </c>
      <c r="K1492" s="1" t="n">
        <v>1.1</v>
      </c>
      <c r="L1492" s="15" t="n">
        <v>336.07</v>
      </c>
      <c r="M1492" s="15" t="n">
        <f aca="false">F1492*G1492</f>
        <v>373.41</v>
      </c>
      <c r="N1492" s="15" t="n">
        <f aca="false">M1492-L1492</f>
        <v>37.34</v>
      </c>
      <c r="O1492" s="1" t="n">
        <f aca="false">YEAR(B1492)</f>
        <v>2026</v>
      </c>
      <c r="P1492" s="1" t="n">
        <f aca="false">MONTH(B1492)</f>
        <v>1</v>
      </c>
      <c r="Q1492" s="1" t="str">
        <f aca="false">TEXT(B1492,"mmm")</f>
        <v>Jan</v>
      </c>
      <c r="R1492" s="1" t="str">
        <f aca="false">"Q"&amp;ROUNDUP(MONTH(B1492)/3,0)</f>
        <v>Q1</v>
      </c>
    </row>
    <row r="1493" customFormat="false" ht="15" hidden="false" customHeight="true" outlineLevel="0" collapsed="false">
      <c r="A1493" s="1" t="n">
        <v>11492</v>
      </c>
      <c r="B1493" s="14" t="n">
        <v>46053</v>
      </c>
      <c r="C1493" s="1" t="n">
        <v>1195</v>
      </c>
      <c r="D1493" s="1" t="s">
        <v>34</v>
      </c>
      <c r="E1493" s="1" t="s">
        <v>35</v>
      </c>
      <c r="F1493" s="1" t="n">
        <v>2</v>
      </c>
      <c r="G1493" s="15" t="n">
        <v>486.58</v>
      </c>
      <c r="H1493" s="16" t="n">
        <v>0.18</v>
      </c>
      <c r="I1493" s="1" t="s">
        <v>31</v>
      </c>
      <c r="J1493" s="1" t="n">
        <v>1</v>
      </c>
      <c r="K1493" s="1" t="n">
        <v>4.4</v>
      </c>
      <c r="L1493" s="15" t="n">
        <v>797.99</v>
      </c>
      <c r="M1493" s="15" t="n">
        <f aca="false">F1493*G1493</f>
        <v>973.16</v>
      </c>
      <c r="N1493" s="15" t="n">
        <f aca="false">M1493-L1493</f>
        <v>175.17</v>
      </c>
      <c r="O1493" s="1" t="n">
        <f aca="false">YEAR(B1493)</f>
        <v>2026</v>
      </c>
      <c r="P1493" s="1" t="n">
        <f aca="false">MONTH(B1493)</f>
        <v>1</v>
      </c>
      <c r="Q1493" s="1" t="str">
        <f aca="false">TEXT(B1493,"mmm")</f>
        <v>Jan</v>
      </c>
      <c r="R1493" s="1" t="str">
        <f aca="false">"Q"&amp;ROUNDUP(MONTH(B1493)/3,0)</f>
        <v>Q1</v>
      </c>
    </row>
    <row r="1494" customFormat="false" ht="15" hidden="false" customHeight="true" outlineLevel="0" collapsed="false">
      <c r="A1494" s="1" t="n">
        <v>11493</v>
      </c>
      <c r="B1494" s="14" t="n">
        <v>46054</v>
      </c>
      <c r="C1494" s="1" t="n">
        <v>1597</v>
      </c>
      <c r="D1494" s="1" t="s">
        <v>34</v>
      </c>
      <c r="E1494" s="1" t="s">
        <v>32</v>
      </c>
      <c r="F1494" s="1" t="n">
        <v>3</v>
      </c>
      <c r="G1494" s="15" t="n">
        <v>271.11</v>
      </c>
      <c r="H1494" s="16" t="n">
        <v>0.12</v>
      </c>
      <c r="I1494" s="1" t="s">
        <v>31</v>
      </c>
      <c r="J1494" s="1" t="n">
        <v>9</v>
      </c>
      <c r="K1494" s="1" t="n">
        <v>3.3</v>
      </c>
      <c r="L1494" s="15" t="n">
        <v>715.73</v>
      </c>
      <c r="M1494" s="15" t="n">
        <f aca="false">F1494*G1494</f>
        <v>813.33</v>
      </c>
      <c r="N1494" s="15" t="n">
        <f aca="false">M1494-L1494</f>
        <v>97.6</v>
      </c>
      <c r="O1494" s="1" t="n">
        <f aca="false">YEAR(B1494)</f>
        <v>2026</v>
      </c>
      <c r="P1494" s="1" t="n">
        <f aca="false">MONTH(B1494)</f>
        <v>2</v>
      </c>
      <c r="Q1494" s="1" t="str">
        <f aca="false">TEXT(B1494,"mmm")</f>
        <v>Feb</v>
      </c>
      <c r="R1494" s="1" t="str">
        <f aca="false">"Q"&amp;ROUNDUP(MONTH(B1494)/3,0)</f>
        <v>Q1</v>
      </c>
    </row>
    <row r="1495" customFormat="false" ht="15" hidden="false" customHeight="true" outlineLevel="0" collapsed="false">
      <c r="A1495" s="1" t="n">
        <v>11494</v>
      </c>
      <c r="B1495" s="14" t="n">
        <v>46055</v>
      </c>
      <c r="C1495" s="1" t="n">
        <v>1833</v>
      </c>
      <c r="D1495" s="1" t="s">
        <v>37</v>
      </c>
      <c r="E1495" s="1" t="s">
        <v>32</v>
      </c>
      <c r="F1495" s="1" t="n">
        <v>7</v>
      </c>
      <c r="G1495" s="15" t="n">
        <v>339.43</v>
      </c>
      <c r="H1495" s="16" t="n">
        <v>0.2</v>
      </c>
      <c r="I1495" s="1" t="s">
        <v>33</v>
      </c>
      <c r="J1495" s="1" t="n">
        <v>8</v>
      </c>
      <c r="K1495" s="1" t="n">
        <v>1.2</v>
      </c>
      <c r="L1495" s="15" t="n">
        <v>1900.81</v>
      </c>
      <c r="M1495" s="15" t="n">
        <f aca="false">F1495*G1495</f>
        <v>2376.01</v>
      </c>
      <c r="N1495" s="15" t="n">
        <f aca="false">M1495-L1495</f>
        <v>475.2</v>
      </c>
      <c r="O1495" s="1" t="n">
        <f aca="false">YEAR(B1495)</f>
        <v>2026</v>
      </c>
      <c r="P1495" s="1" t="n">
        <f aca="false">MONTH(B1495)</f>
        <v>2</v>
      </c>
      <c r="Q1495" s="1" t="str">
        <f aca="false">TEXT(B1495,"mmm")</f>
        <v>Feb</v>
      </c>
      <c r="R1495" s="1" t="str">
        <f aca="false">"Q"&amp;ROUNDUP(MONTH(B1495)/3,0)</f>
        <v>Q1</v>
      </c>
    </row>
    <row r="1496" customFormat="false" ht="15" hidden="false" customHeight="true" outlineLevel="0" collapsed="false">
      <c r="A1496" s="1" t="n">
        <v>11495</v>
      </c>
      <c r="B1496" s="14" t="n">
        <v>46056</v>
      </c>
      <c r="C1496" s="1" t="n">
        <v>1521</v>
      </c>
      <c r="D1496" s="1" t="s">
        <v>34</v>
      </c>
      <c r="E1496" s="1" t="s">
        <v>32</v>
      </c>
      <c r="F1496" s="1" t="n">
        <v>2</v>
      </c>
      <c r="G1496" s="15" t="n">
        <v>482.9</v>
      </c>
      <c r="H1496" s="16" t="n">
        <v>0.02</v>
      </c>
      <c r="I1496" s="1" t="s">
        <v>31</v>
      </c>
      <c r="J1496" s="1" t="n">
        <v>10</v>
      </c>
      <c r="K1496" s="1" t="n">
        <v>3.5</v>
      </c>
      <c r="L1496" s="15" t="n">
        <v>946.48</v>
      </c>
      <c r="M1496" s="15" t="n">
        <f aca="false">F1496*G1496</f>
        <v>965.8</v>
      </c>
      <c r="N1496" s="15" t="n">
        <f aca="false">M1496-L1496</f>
        <v>19.3199999999999</v>
      </c>
      <c r="O1496" s="1" t="n">
        <f aca="false">YEAR(B1496)</f>
        <v>2026</v>
      </c>
      <c r="P1496" s="1" t="n">
        <f aca="false">MONTH(B1496)</f>
        <v>2</v>
      </c>
      <c r="Q1496" s="1" t="str">
        <f aca="false">TEXT(B1496,"mmm")</f>
        <v>Feb</v>
      </c>
      <c r="R1496" s="1" t="str">
        <f aca="false">"Q"&amp;ROUNDUP(MONTH(B1496)/3,0)</f>
        <v>Q1</v>
      </c>
    </row>
    <row r="1497" customFormat="false" ht="15" hidden="false" customHeight="true" outlineLevel="0" collapsed="false">
      <c r="A1497" s="1" t="n">
        <v>11496</v>
      </c>
      <c r="B1497" s="14" t="n">
        <v>46057</v>
      </c>
      <c r="C1497" s="1" t="n">
        <v>1516</v>
      </c>
      <c r="D1497" s="1" t="s">
        <v>27</v>
      </c>
      <c r="E1497" s="1" t="s">
        <v>36</v>
      </c>
      <c r="F1497" s="1" t="n">
        <v>1</v>
      </c>
      <c r="G1497" s="15" t="n">
        <v>372.15</v>
      </c>
      <c r="H1497" s="16" t="n">
        <v>0.18</v>
      </c>
      <c r="I1497" s="1" t="s">
        <v>29</v>
      </c>
      <c r="J1497" s="1" t="n">
        <v>2</v>
      </c>
      <c r="K1497" s="1" t="n">
        <v>1.5</v>
      </c>
      <c r="L1497" s="15" t="n">
        <v>305.16</v>
      </c>
      <c r="M1497" s="15" t="n">
        <f aca="false">F1497*G1497</f>
        <v>372.15</v>
      </c>
      <c r="N1497" s="15" t="n">
        <f aca="false">M1497-L1497</f>
        <v>66.99</v>
      </c>
      <c r="O1497" s="1" t="n">
        <f aca="false">YEAR(B1497)</f>
        <v>2026</v>
      </c>
      <c r="P1497" s="1" t="n">
        <f aca="false">MONTH(B1497)</f>
        <v>2</v>
      </c>
      <c r="Q1497" s="1" t="str">
        <f aca="false">TEXT(B1497,"mmm")</f>
        <v>Feb</v>
      </c>
      <c r="R1497" s="1" t="str">
        <f aca="false">"Q"&amp;ROUNDUP(MONTH(B1497)/3,0)</f>
        <v>Q1</v>
      </c>
    </row>
    <row r="1498" customFormat="false" ht="15" hidden="false" customHeight="true" outlineLevel="0" collapsed="false">
      <c r="A1498" s="1" t="n">
        <v>11497</v>
      </c>
      <c r="B1498" s="14" t="n">
        <v>46058</v>
      </c>
      <c r="C1498" s="1" t="n">
        <v>1634</v>
      </c>
      <c r="D1498" s="1" t="s">
        <v>34</v>
      </c>
      <c r="E1498" s="1" t="s">
        <v>32</v>
      </c>
      <c r="F1498" s="1" t="n">
        <v>6</v>
      </c>
      <c r="G1498" s="15" t="n">
        <v>146.48</v>
      </c>
      <c r="H1498" s="16" t="n">
        <v>0.13</v>
      </c>
      <c r="I1498" s="1" t="s">
        <v>33</v>
      </c>
      <c r="J1498" s="1" t="n">
        <v>10</v>
      </c>
      <c r="K1498" s="1" t="n">
        <v>3</v>
      </c>
      <c r="L1498" s="15" t="n">
        <v>764.63</v>
      </c>
      <c r="M1498" s="15" t="n">
        <f aca="false">F1498*G1498</f>
        <v>878.88</v>
      </c>
      <c r="N1498" s="15" t="n">
        <f aca="false">M1498-L1498</f>
        <v>114.25</v>
      </c>
      <c r="O1498" s="1" t="n">
        <f aca="false">YEAR(B1498)</f>
        <v>2026</v>
      </c>
      <c r="P1498" s="1" t="n">
        <f aca="false">MONTH(B1498)</f>
        <v>2</v>
      </c>
      <c r="Q1498" s="1" t="str">
        <f aca="false">TEXT(B1498,"mmm")</f>
        <v>Feb</v>
      </c>
      <c r="R1498" s="1" t="str">
        <f aca="false">"Q"&amp;ROUNDUP(MONTH(B1498)/3,0)</f>
        <v>Q1</v>
      </c>
    </row>
    <row r="1499" customFormat="false" ht="15" hidden="false" customHeight="true" outlineLevel="0" collapsed="false">
      <c r="A1499" s="1" t="n">
        <v>11498</v>
      </c>
      <c r="B1499" s="14" t="n">
        <v>46059</v>
      </c>
      <c r="C1499" s="1" t="n">
        <v>1841</v>
      </c>
      <c r="D1499" s="1" t="s">
        <v>34</v>
      </c>
      <c r="E1499" s="1" t="s">
        <v>28</v>
      </c>
      <c r="F1499" s="1" t="n">
        <v>3</v>
      </c>
      <c r="G1499" s="15" t="n">
        <v>373.64</v>
      </c>
      <c r="H1499" s="16" t="n">
        <v>0.19</v>
      </c>
      <c r="I1499" s="1" t="s">
        <v>33</v>
      </c>
      <c r="J1499" s="1" t="n">
        <v>1</v>
      </c>
      <c r="K1499" s="1" t="n">
        <v>3.7</v>
      </c>
      <c r="L1499" s="15" t="n">
        <v>907.95</v>
      </c>
      <c r="M1499" s="15" t="n">
        <f aca="false">F1499*G1499</f>
        <v>1120.92</v>
      </c>
      <c r="N1499" s="15" t="n">
        <f aca="false">M1499-L1499</f>
        <v>212.97</v>
      </c>
      <c r="O1499" s="1" t="n">
        <f aca="false">YEAR(B1499)</f>
        <v>2026</v>
      </c>
      <c r="P1499" s="1" t="n">
        <f aca="false">MONTH(B1499)</f>
        <v>2</v>
      </c>
      <c r="Q1499" s="1" t="str">
        <f aca="false">TEXT(B1499,"mmm")</f>
        <v>Feb</v>
      </c>
      <c r="R1499" s="1" t="str">
        <f aca="false">"Q"&amp;ROUNDUP(MONTH(B1499)/3,0)</f>
        <v>Q1</v>
      </c>
    </row>
    <row r="1500" customFormat="false" ht="15" hidden="false" customHeight="true" outlineLevel="0" collapsed="false">
      <c r="A1500" s="1" t="n">
        <v>11499</v>
      </c>
      <c r="B1500" s="14" t="n">
        <v>46060</v>
      </c>
      <c r="C1500" s="1" t="n">
        <v>1864</v>
      </c>
      <c r="D1500" s="1" t="s">
        <v>27</v>
      </c>
      <c r="E1500" s="1" t="s">
        <v>35</v>
      </c>
      <c r="F1500" s="1" t="n">
        <v>3</v>
      </c>
      <c r="G1500" s="15" t="n">
        <v>382.54</v>
      </c>
      <c r="H1500" s="16" t="n">
        <v>0.15</v>
      </c>
      <c r="I1500" s="1" t="s">
        <v>31</v>
      </c>
      <c r="J1500" s="1" t="n">
        <v>4</v>
      </c>
      <c r="K1500" s="1" t="n">
        <v>1.6</v>
      </c>
      <c r="L1500" s="15" t="n">
        <v>975.48</v>
      </c>
      <c r="M1500" s="15" t="n">
        <f aca="false">F1500*G1500</f>
        <v>1147.62</v>
      </c>
      <c r="N1500" s="15" t="n">
        <f aca="false">M1500-L1500</f>
        <v>172.14</v>
      </c>
      <c r="O1500" s="1" t="n">
        <f aca="false">YEAR(B1500)</f>
        <v>2026</v>
      </c>
      <c r="P1500" s="1" t="n">
        <f aca="false">MONTH(B1500)</f>
        <v>2</v>
      </c>
      <c r="Q1500" s="1" t="str">
        <f aca="false">TEXT(B1500,"mmm")</f>
        <v>Feb</v>
      </c>
      <c r="R1500" s="1" t="str">
        <f aca="false">"Q"&amp;ROUNDUP(MONTH(B1500)/3,0)</f>
        <v>Q1</v>
      </c>
    </row>
    <row r="1501" customFormat="false" ht="15" hidden="false" customHeight="true" outlineLevel="0" collapsed="false">
      <c r="A1501" s="1" t="n">
        <v>11500</v>
      </c>
      <c r="B1501" s="14" t="n">
        <v>46061</v>
      </c>
      <c r="C1501" s="1" t="n">
        <v>1117</v>
      </c>
      <c r="D1501" s="1" t="s">
        <v>37</v>
      </c>
      <c r="E1501" s="1" t="s">
        <v>32</v>
      </c>
      <c r="F1501" s="1" t="n">
        <v>4</v>
      </c>
      <c r="G1501" s="15" t="n">
        <v>444.45</v>
      </c>
      <c r="H1501" s="16" t="n">
        <v>0.1</v>
      </c>
      <c r="I1501" s="1" t="s">
        <v>33</v>
      </c>
      <c r="J1501" s="1" t="n">
        <v>9</v>
      </c>
      <c r="K1501" s="1" t="n">
        <v>3</v>
      </c>
      <c r="L1501" s="15" t="n">
        <v>1600.02</v>
      </c>
      <c r="M1501" s="15" t="n">
        <f aca="false">F1501*G1501</f>
        <v>1777.8</v>
      </c>
      <c r="N1501" s="15" t="n">
        <f aca="false">M1501-L1501</f>
        <v>177.78</v>
      </c>
      <c r="O1501" s="1" t="n">
        <f aca="false">YEAR(B1501)</f>
        <v>2026</v>
      </c>
      <c r="P1501" s="1" t="n">
        <f aca="false">MONTH(B1501)</f>
        <v>2</v>
      </c>
      <c r="Q1501" s="1" t="str">
        <f aca="false">TEXT(B1501,"mmm")</f>
        <v>Feb</v>
      </c>
      <c r="R1501" s="1" t="str">
        <f aca="false">"Q"&amp;ROUNDUP(MONTH(B1501)/3,0)</f>
        <v>Q1</v>
      </c>
    </row>
    <row r="1502" customFormat="false" ht="15" hidden="false" customHeight="true" outlineLevel="0" collapsed="false">
      <c r="A1502" s="1" t="n">
        <v>11501</v>
      </c>
      <c r="B1502" s="14" t="n">
        <v>46062</v>
      </c>
      <c r="C1502" s="1" t="n">
        <v>1805</v>
      </c>
      <c r="D1502" s="1" t="s">
        <v>37</v>
      </c>
      <c r="E1502" s="1" t="s">
        <v>32</v>
      </c>
      <c r="F1502" s="1" t="n">
        <v>5</v>
      </c>
      <c r="G1502" s="15" t="n">
        <v>378.21</v>
      </c>
      <c r="H1502" s="16" t="n">
        <v>0.32</v>
      </c>
      <c r="I1502" s="1" t="s">
        <v>33</v>
      </c>
      <c r="J1502" s="1" t="n">
        <v>8</v>
      </c>
      <c r="K1502" s="1" t="n">
        <v>2.8</v>
      </c>
      <c r="L1502" s="15" t="n">
        <v>1285.91</v>
      </c>
      <c r="M1502" s="15" t="n">
        <f aca="false">F1502*G1502</f>
        <v>1891.05</v>
      </c>
      <c r="N1502" s="15" t="n">
        <f aca="false">M1502-L1502</f>
        <v>605.14</v>
      </c>
      <c r="O1502" s="1" t="n">
        <f aca="false">YEAR(B1502)</f>
        <v>2026</v>
      </c>
      <c r="P1502" s="1" t="n">
        <f aca="false">MONTH(B1502)</f>
        <v>2</v>
      </c>
      <c r="Q1502" s="1" t="str">
        <f aca="false">TEXT(B1502,"mmm")</f>
        <v>Feb</v>
      </c>
      <c r="R1502" s="1" t="str">
        <f aca="false">"Q"&amp;ROUNDUP(MONTH(B1502)/3,0)</f>
        <v>Q1</v>
      </c>
    </row>
    <row r="1503" customFormat="false" ht="15" hidden="false" customHeight="true" outlineLevel="0" collapsed="false">
      <c r="A1503" s="1" t="n">
        <v>11502</v>
      </c>
      <c r="B1503" s="14" t="n">
        <v>46063</v>
      </c>
      <c r="C1503" s="1" t="n">
        <v>1908</v>
      </c>
      <c r="D1503" s="1" t="s">
        <v>34</v>
      </c>
      <c r="E1503" s="1" t="s">
        <v>35</v>
      </c>
      <c r="F1503" s="1" t="n">
        <v>4</v>
      </c>
      <c r="G1503" s="15" t="n">
        <v>582.01</v>
      </c>
      <c r="H1503" s="16" t="n">
        <v>0.06</v>
      </c>
      <c r="I1503" s="1" t="s">
        <v>29</v>
      </c>
      <c r="J1503" s="1" t="n">
        <v>3</v>
      </c>
      <c r="K1503" s="1" t="n">
        <v>4.7</v>
      </c>
      <c r="L1503" s="15" t="n">
        <v>2188.36</v>
      </c>
      <c r="M1503" s="15" t="n">
        <f aca="false">F1503*G1503</f>
        <v>2328.04</v>
      </c>
      <c r="N1503" s="15" t="n">
        <f aca="false">M1503-L1503</f>
        <v>139.68</v>
      </c>
      <c r="O1503" s="1" t="n">
        <f aca="false">YEAR(B1503)</f>
        <v>2026</v>
      </c>
      <c r="P1503" s="1" t="n">
        <f aca="false">MONTH(B1503)</f>
        <v>2</v>
      </c>
      <c r="Q1503" s="1" t="str">
        <f aca="false">TEXT(B1503,"mmm")</f>
        <v>Feb</v>
      </c>
      <c r="R1503" s="1" t="str">
        <f aca="false">"Q"&amp;ROUNDUP(MONTH(B1503)/3,0)</f>
        <v>Q1</v>
      </c>
    </row>
    <row r="1504" customFormat="false" ht="15" hidden="false" customHeight="true" outlineLevel="0" collapsed="false">
      <c r="A1504" s="1" t="n">
        <v>11503</v>
      </c>
      <c r="B1504" s="14" t="n">
        <v>46064</v>
      </c>
      <c r="C1504" s="1" t="n">
        <v>1158</v>
      </c>
      <c r="D1504" s="1" t="s">
        <v>37</v>
      </c>
      <c r="E1504" s="1" t="s">
        <v>32</v>
      </c>
      <c r="F1504" s="1" t="n">
        <v>7</v>
      </c>
      <c r="G1504" s="15" t="n">
        <v>130.41</v>
      </c>
      <c r="H1504" s="16" t="n">
        <v>0.24</v>
      </c>
      <c r="I1504" s="1" t="s">
        <v>31</v>
      </c>
      <c r="J1504" s="1" t="n">
        <v>10</v>
      </c>
      <c r="K1504" s="1" t="n">
        <v>5</v>
      </c>
      <c r="L1504" s="15" t="n">
        <v>693.78</v>
      </c>
      <c r="M1504" s="15" t="n">
        <f aca="false">F1504*G1504</f>
        <v>912.87</v>
      </c>
      <c r="N1504" s="15" t="n">
        <f aca="false">M1504-L1504</f>
        <v>219.09</v>
      </c>
      <c r="O1504" s="1" t="n">
        <f aca="false">YEAR(B1504)</f>
        <v>2026</v>
      </c>
      <c r="P1504" s="1" t="n">
        <f aca="false">MONTH(B1504)</f>
        <v>2</v>
      </c>
      <c r="Q1504" s="1" t="str">
        <f aca="false">TEXT(B1504,"mmm")</f>
        <v>Feb</v>
      </c>
      <c r="R1504" s="1" t="str">
        <f aca="false">"Q"&amp;ROUNDUP(MONTH(B1504)/3,0)</f>
        <v>Q1</v>
      </c>
    </row>
    <row r="1505" customFormat="false" ht="15" hidden="false" customHeight="true" outlineLevel="0" collapsed="false">
      <c r="A1505" s="1" t="n">
        <v>11504</v>
      </c>
      <c r="B1505" s="14" t="n">
        <v>46065</v>
      </c>
      <c r="C1505" s="1" t="n">
        <v>1814</v>
      </c>
      <c r="D1505" s="1" t="s">
        <v>30</v>
      </c>
      <c r="E1505" s="1" t="s">
        <v>36</v>
      </c>
      <c r="F1505" s="1" t="n">
        <v>3</v>
      </c>
      <c r="G1505" s="15" t="n">
        <v>571.39</v>
      </c>
      <c r="H1505" s="16" t="n">
        <v>0.32</v>
      </c>
      <c r="I1505" s="1" t="s">
        <v>29</v>
      </c>
      <c r="J1505" s="1" t="n">
        <v>6</v>
      </c>
      <c r="K1505" s="1" t="n">
        <v>3.6</v>
      </c>
      <c r="L1505" s="15" t="n">
        <v>1165.64</v>
      </c>
      <c r="M1505" s="15" t="n">
        <f aca="false">F1505*G1505</f>
        <v>1714.17</v>
      </c>
      <c r="N1505" s="15" t="n">
        <f aca="false">M1505-L1505</f>
        <v>548.53</v>
      </c>
      <c r="O1505" s="1" t="n">
        <f aca="false">YEAR(B1505)</f>
        <v>2026</v>
      </c>
      <c r="P1505" s="1" t="n">
        <f aca="false">MONTH(B1505)</f>
        <v>2</v>
      </c>
      <c r="Q1505" s="1" t="str">
        <f aca="false">TEXT(B1505,"mmm")</f>
        <v>Feb</v>
      </c>
      <c r="R1505" s="1" t="str">
        <f aca="false">"Q"&amp;ROUNDUP(MONTH(B1505)/3,0)</f>
        <v>Q1</v>
      </c>
    </row>
    <row r="1506" customFormat="false" ht="15" hidden="false" customHeight="true" outlineLevel="0" collapsed="false">
      <c r="A1506" s="1" t="n">
        <v>11505</v>
      </c>
      <c r="B1506" s="14" t="n">
        <v>46066</v>
      </c>
      <c r="C1506" s="1" t="n">
        <v>1227</v>
      </c>
      <c r="D1506" s="1" t="s">
        <v>30</v>
      </c>
      <c r="E1506" s="1" t="s">
        <v>28</v>
      </c>
      <c r="F1506" s="1" t="n">
        <v>3</v>
      </c>
      <c r="G1506" s="15" t="n">
        <v>329.93</v>
      </c>
      <c r="H1506" s="16" t="n">
        <v>0.19</v>
      </c>
      <c r="I1506" s="1" t="s">
        <v>29</v>
      </c>
      <c r="J1506" s="1" t="n">
        <v>9</v>
      </c>
      <c r="K1506" s="1" t="n">
        <v>4.4</v>
      </c>
      <c r="L1506" s="15" t="n">
        <v>801.73</v>
      </c>
      <c r="M1506" s="15" t="n">
        <f aca="false">F1506*G1506</f>
        <v>989.79</v>
      </c>
      <c r="N1506" s="15" t="n">
        <f aca="false">M1506-L1506</f>
        <v>188.06</v>
      </c>
      <c r="O1506" s="1" t="n">
        <f aca="false">YEAR(B1506)</f>
        <v>2026</v>
      </c>
      <c r="P1506" s="1" t="n">
        <f aca="false">MONTH(B1506)</f>
        <v>2</v>
      </c>
      <c r="Q1506" s="1" t="str">
        <f aca="false">TEXT(B1506,"mmm")</f>
        <v>Feb</v>
      </c>
      <c r="R1506" s="1" t="str">
        <f aca="false">"Q"&amp;ROUNDUP(MONTH(B1506)/3,0)</f>
        <v>Q1</v>
      </c>
    </row>
    <row r="1507" customFormat="false" ht="15" hidden="false" customHeight="true" outlineLevel="0" collapsed="false">
      <c r="A1507" s="1" t="n">
        <v>11506</v>
      </c>
      <c r="B1507" s="14" t="n">
        <v>46067</v>
      </c>
      <c r="C1507" s="1" t="n">
        <v>1876</v>
      </c>
      <c r="D1507" s="1" t="s">
        <v>37</v>
      </c>
      <c r="E1507" s="1" t="s">
        <v>35</v>
      </c>
      <c r="F1507" s="1" t="n">
        <v>5</v>
      </c>
      <c r="G1507" s="15" t="n">
        <v>408.09</v>
      </c>
      <c r="H1507" s="16" t="n">
        <v>0.31</v>
      </c>
      <c r="I1507" s="1" t="s">
        <v>33</v>
      </c>
      <c r="J1507" s="1" t="n">
        <v>10</v>
      </c>
      <c r="K1507" s="1" t="n">
        <v>3.6</v>
      </c>
      <c r="L1507" s="15" t="n">
        <v>1407.91</v>
      </c>
      <c r="M1507" s="15" t="n">
        <f aca="false">F1507*G1507</f>
        <v>2040.45</v>
      </c>
      <c r="N1507" s="15" t="n">
        <f aca="false">M1507-L1507</f>
        <v>632.54</v>
      </c>
      <c r="O1507" s="1" t="n">
        <f aca="false">YEAR(B1507)</f>
        <v>2026</v>
      </c>
      <c r="P1507" s="1" t="n">
        <f aca="false">MONTH(B1507)</f>
        <v>2</v>
      </c>
      <c r="Q1507" s="1" t="str">
        <f aca="false">TEXT(B1507,"mmm")</f>
        <v>Feb</v>
      </c>
      <c r="R1507" s="1" t="str">
        <f aca="false">"Q"&amp;ROUNDUP(MONTH(B1507)/3,0)</f>
        <v>Q1</v>
      </c>
    </row>
    <row r="1508" customFormat="false" ht="15" hidden="false" customHeight="true" outlineLevel="0" collapsed="false">
      <c r="A1508" s="1" t="n">
        <v>11507</v>
      </c>
      <c r="B1508" s="14" t="n">
        <v>46068</v>
      </c>
      <c r="C1508" s="1" t="n">
        <v>1215</v>
      </c>
      <c r="D1508" s="1" t="s">
        <v>30</v>
      </c>
      <c r="E1508" s="1" t="s">
        <v>35</v>
      </c>
      <c r="F1508" s="1" t="n">
        <v>7</v>
      </c>
      <c r="G1508" s="15" t="n">
        <v>73.19</v>
      </c>
      <c r="H1508" s="16" t="n">
        <v>0.04</v>
      </c>
      <c r="I1508" s="1" t="s">
        <v>33</v>
      </c>
      <c r="J1508" s="1" t="n">
        <v>8</v>
      </c>
      <c r="K1508" s="1" t="n">
        <v>4.5</v>
      </c>
      <c r="L1508" s="15" t="n">
        <v>491.84</v>
      </c>
      <c r="M1508" s="15" t="n">
        <f aca="false">F1508*G1508</f>
        <v>512.33</v>
      </c>
      <c r="N1508" s="15" t="n">
        <f aca="false">M1508-L1508</f>
        <v>20.49</v>
      </c>
      <c r="O1508" s="1" t="n">
        <f aca="false">YEAR(B1508)</f>
        <v>2026</v>
      </c>
      <c r="P1508" s="1" t="n">
        <f aca="false">MONTH(B1508)</f>
        <v>2</v>
      </c>
      <c r="Q1508" s="1" t="str">
        <f aca="false">TEXT(B1508,"mmm")</f>
        <v>Feb</v>
      </c>
      <c r="R1508" s="1" t="str">
        <f aca="false">"Q"&amp;ROUNDUP(MONTH(B1508)/3,0)</f>
        <v>Q1</v>
      </c>
    </row>
    <row r="1509" customFormat="false" ht="15" hidden="false" customHeight="true" outlineLevel="0" collapsed="false">
      <c r="A1509" s="1" t="n">
        <v>11508</v>
      </c>
      <c r="B1509" s="14" t="n">
        <v>46069</v>
      </c>
      <c r="C1509" s="1" t="n">
        <v>1947</v>
      </c>
      <c r="D1509" s="1" t="s">
        <v>30</v>
      </c>
      <c r="E1509" s="1" t="s">
        <v>36</v>
      </c>
      <c r="F1509" s="1" t="n">
        <v>2</v>
      </c>
      <c r="G1509" s="15" t="n">
        <v>237.64</v>
      </c>
      <c r="H1509" s="16" t="n">
        <v>0.17</v>
      </c>
      <c r="I1509" s="1" t="s">
        <v>33</v>
      </c>
      <c r="J1509" s="1" t="n">
        <v>10</v>
      </c>
      <c r="K1509" s="1" t="n">
        <v>2.7</v>
      </c>
      <c r="L1509" s="15" t="n">
        <v>394.48</v>
      </c>
      <c r="M1509" s="15" t="n">
        <f aca="false">F1509*G1509</f>
        <v>475.28</v>
      </c>
      <c r="N1509" s="15" t="n">
        <f aca="false">M1509-L1509</f>
        <v>80.8</v>
      </c>
      <c r="O1509" s="1" t="n">
        <f aca="false">YEAR(B1509)</f>
        <v>2026</v>
      </c>
      <c r="P1509" s="1" t="n">
        <f aca="false">MONTH(B1509)</f>
        <v>2</v>
      </c>
      <c r="Q1509" s="1" t="str">
        <f aca="false">TEXT(B1509,"mmm")</f>
        <v>Feb</v>
      </c>
      <c r="R1509" s="1" t="str">
        <f aca="false">"Q"&amp;ROUNDUP(MONTH(B1509)/3,0)</f>
        <v>Q1</v>
      </c>
    </row>
    <row r="1510" customFormat="false" ht="15" hidden="false" customHeight="true" outlineLevel="0" collapsed="false">
      <c r="A1510" s="1" t="n">
        <v>11509</v>
      </c>
      <c r="B1510" s="14" t="n">
        <v>46070</v>
      </c>
      <c r="C1510" s="1" t="n">
        <v>1695</v>
      </c>
      <c r="D1510" s="1" t="s">
        <v>34</v>
      </c>
      <c r="E1510" s="1" t="s">
        <v>28</v>
      </c>
      <c r="F1510" s="1" t="n">
        <v>5</v>
      </c>
      <c r="G1510" s="15" t="n">
        <v>465.09</v>
      </c>
      <c r="H1510" s="16" t="n">
        <v>0.16</v>
      </c>
      <c r="I1510" s="1" t="s">
        <v>31</v>
      </c>
      <c r="J1510" s="1" t="n">
        <v>5</v>
      </c>
      <c r="K1510" s="1" t="n">
        <v>3.4</v>
      </c>
      <c r="L1510" s="15" t="n">
        <v>1953.38</v>
      </c>
      <c r="M1510" s="15" t="n">
        <f aca="false">F1510*G1510</f>
        <v>2325.45</v>
      </c>
      <c r="N1510" s="15" t="n">
        <f aca="false">M1510-L1510</f>
        <v>372.07</v>
      </c>
      <c r="O1510" s="1" t="n">
        <f aca="false">YEAR(B1510)</f>
        <v>2026</v>
      </c>
      <c r="P1510" s="1" t="n">
        <f aca="false">MONTH(B1510)</f>
        <v>2</v>
      </c>
      <c r="Q1510" s="1" t="str">
        <f aca="false">TEXT(B1510,"mmm")</f>
        <v>Feb</v>
      </c>
      <c r="R1510" s="1" t="str">
        <f aca="false">"Q"&amp;ROUNDUP(MONTH(B1510)/3,0)</f>
        <v>Q1</v>
      </c>
    </row>
    <row r="1511" customFormat="false" ht="15" hidden="false" customHeight="true" outlineLevel="0" collapsed="false">
      <c r="A1511" s="1" t="n">
        <v>11510</v>
      </c>
      <c r="B1511" s="14" t="n">
        <v>46071</v>
      </c>
      <c r="C1511" s="1" t="n">
        <v>1014</v>
      </c>
      <c r="D1511" s="1" t="s">
        <v>37</v>
      </c>
      <c r="E1511" s="1" t="s">
        <v>36</v>
      </c>
      <c r="F1511" s="1" t="n">
        <v>6</v>
      </c>
      <c r="G1511" s="15" t="n">
        <v>428.54</v>
      </c>
      <c r="H1511" s="16" t="n">
        <v>0</v>
      </c>
      <c r="I1511" s="1" t="s">
        <v>31</v>
      </c>
      <c r="J1511" s="1" t="n">
        <v>9</v>
      </c>
      <c r="K1511" s="1" t="n">
        <v>4.4</v>
      </c>
      <c r="L1511" s="15" t="n">
        <v>2571.24</v>
      </c>
      <c r="M1511" s="15" t="n">
        <f aca="false">F1511*G1511</f>
        <v>2571.24</v>
      </c>
      <c r="N1511" s="15" t="n">
        <f aca="false">M1511-L1511</f>
        <v>0</v>
      </c>
      <c r="O1511" s="1" t="n">
        <f aca="false">YEAR(B1511)</f>
        <v>2026</v>
      </c>
      <c r="P1511" s="1" t="n">
        <f aca="false">MONTH(B1511)</f>
        <v>2</v>
      </c>
      <c r="Q1511" s="1" t="str">
        <f aca="false">TEXT(B1511,"mmm")</f>
        <v>Feb</v>
      </c>
      <c r="R1511" s="1" t="str">
        <f aca="false">"Q"&amp;ROUNDUP(MONTH(B1511)/3,0)</f>
        <v>Q1</v>
      </c>
    </row>
    <row r="1512" customFormat="false" ht="15" hidden="false" customHeight="true" outlineLevel="0" collapsed="false">
      <c r="A1512" s="1" t="n">
        <v>11511</v>
      </c>
      <c r="B1512" s="14" t="n">
        <v>46072</v>
      </c>
      <c r="C1512" s="1" t="n">
        <v>1156</v>
      </c>
      <c r="D1512" s="1" t="s">
        <v>34</v>
      </c>
      <c r="E1512" s="1" t="s">
        <v>28</v>
      </c>
      <c r="F1512" s="1" t="n">
        <v>4</v>
      </c>
      <c r="G1512" s="15" t="n">
        <v>38.48</v>
      </c>
      <c r="H1512" s="16" t="n">
        <v>0.16</v>
      </c>
      <c r="I1512" s="1" t="s">
        <v>29</v>
      </c>
      <c r="J1512" s="1" t="n">
        <v>9</v>
      </c>
      <c r="K1512" s="1" t="n">
        <v>4.7</v>
      </c>
      <c r="L1512" s="15" t="n">
        <v>129.29</v>
      </c>
      <c r="M1512" s="15" t="n">
        <f aca="false">F1512*G1512</f>
        <v>153.92</v>
      </c>
      <c r="N1512" s="15" t="n">
        <f aca="false">M1512-L1512</f>
        <v>24.63</v>
      </c>
      <c r="O1512" s="1" t="n">
        <f aca="false">YEAR(B1512)</f>
        <v>2026</v>
      </c>
      <c r="P1512" s="1" t="n">
        <f aca="false">MONTH(B1512)</f>
        <v>2</v>
      </c>
      <c r="Q1512" s="1" t="str">
        <f aca="false">TEXT(B1512,"mmm")</f>
        <v>Feb</v>
      </c>
      <c r="R1512" s="1" t="str">
        <f aca="false">"Q"&amp;ROUNDUP(MONTH(B1512)/3,0)</f>
        <v>Q1</v>
      </c>
    </row>
    <row r="1513" customFormat="false" ht="15" hidden="false" customHeight="true" outlineLevel="0" collapsed="false">
      <c r="A1513" s="1" t="n">
        <v>11512</v>
      </c>
      <c r="B1513" s="14" t="n">
        <v>46073</v>
      </c>
      <c r="C1513" s="1" t="n">
        <v>1647</v>
      </c>
      <c r="D1513" s="1" t="s">
        <v>37</v>
      </c>
      <c r="E1513" s="1" t="s">
        <v>36</v>
      </c>
      <c r="F1513" s="1" t="n">
        <v>2</v>
      </c>
      <c r="G1513" s="15" t="n">
        <v>334.76</v>
      </c>
      <c r="H1513" s="16" t="n">
        <v>0.13</v>
      </c>
      <c r="I1513" s="1" t="s">
        <v>33</v>
      </c>
      <c r="J1513" s="1" t="n">
        <v>3</v>
      </c>
      <c r="K1513" s="1" t="n">
        <v>1.1</v>
      </c>
      <c r="L1513" s="15" t="n">
        <v>582.48</v>
      </c>
      <c r="M1513" s="15" t="n">
        <f aca="false">F1513*G1513</f>
        <v>669.52</v>
      </c>
      <c r="N1513" s="15" t="n">
        <f aca="false">M1513-L1513</f>
        <v>87.04</v>
      </c>
      <c r="O1513" s="1" t="n">
        <f aca="false">YEAR(B1513)</f>
        <v>2026</v>
      </c>
      <c r="P1513" s="1" t="n">
        <f aca="false">MONTH(B1513)</f>
        <v>2</v>
      </c>
      <c r="Q1513" s="1" t="str">
        <f aca="false">TEXT(B1513,"mmm")</f>
        <v>Feb</v>
      </c>
      <c r="R1513" s="1" t="str">
        <f aca="false">"Q"&amp;ROUNDUP(MONTH(B1513)/3,0)</f>
        <v>Q1</v>
      </c>
    </row>
    <row r="1514" customFormat="false" ht="15" hidden="false" customHeight="true" outlineLevel="0" collapsed="false">
      <c r="A1514" s="1" t="n">
        <v>11513</v>
      </c>
      <c r="B1514" s="14" t="n">
        <v>46074</v>
      </c>
      <c r="C1514" s="1" t="n">
        <v>1260</v>
      </c>
      <c r="D1514" s="1" t="s">
        <v>34</v>
      </c>
      <c r="E1514" s="1" t="s">
        <v>32</v>
      </c>
      <c r="F1514" s="1" t="n">
        <v>4</v>
      </c>
      <c r="G1514" s="15" t="n">
        <v>66.64</v>
      </c>
      <c r="H1514" s="16" t="n">
        <v>0.23</v>
      </c>
      <c r="I1514" s="1" t="s">
        <v>31</v>
      </c>
      <c r="J1514" s="1" t="n">
        <v>8</v>
      </c>
      <c r="K1514" s="1" t="n">
        <v>1.4</v>
      </c>
      <c r="L1514" s="15" t="n">
        <v>205.25</v>
      </c>
      <c r="M1514" s="15" t="n">
        <f aca="false">F1514*G1514</f>
        <v>266.56</v>
      </c>
      <c r="N1514" s="15" t="n">
        <f aca="false">M1514-L1514</f>
        <v>61.31</v>
      </c>
      <c r="O1514" s="1" t="n">
        <f aca="false">YEAR(B1514)</f>
        <v>2026</v>
      </c>
      <c r="P1514" s="1" t="n">
        <f aca="false">MONTH(B1514)</f>
        <v>2</v>
      </c>
      <c r="Q1514" s="1" t="str">
        <f aca="false">TEXT(B1514,"mmm")</f>
        <v>Feb</v>
      </c>
      <c r="R1514" s="1" t="str">
        <f aca="false">"Q"&amp;ROUNDUP(MONTH(B1514)/3,0)</f>
        <v>Q1</v>
      </c>
    </row>
    <row r="1515" customFormat="false" ht="15" hidden="false" customHeight="true" outlineLevel="0" collapsed="false">
      <c r="A1515" s="1" t="n">
        <v>11514</v>
      </c>
      <c r="B1515" s="14" t="n">
        <v>46075</v>
      </c>
      <c r="C1515" s="1" t="n">
        <v>1156</v>
      </c>
      <c r="D1515" s="1" t="s">
        <v>30</v>
      </c>
      <c r="E1515" s="1" t="s">
        <v>36</v>
      </c>
      <c r="F1515" s="1" t="n">
        <v>5</v>
      </c>
      <c r="G1515" s="15" t="n">
        <v>597.58</v>
      </c>
      <c r="H1515" s="16" t="n">
        <v>0.33</v>
      </c>
      <c r="I1515" s="1" t="s">
        <v>33</v>
      </c>
      <c r="J1515" s="1" t="n">
        <v>4</v>
      </c>
      <c r="K1515" s="1" t="n">
        <v>4.7</v>
      </c>
      <c r="L1515" s="15" t="n">
        <v>2001.89</v>
      </c>
      <c r="M1515" s="15" t="n">
        <f aca="false">F1515*G1515</f>
        <v>2987.9</v>
      </c>
      <c r="N1515" s="15" t="n">
        <f aca="false">M1515-L1515</f>
        <v>986.01</v>
      </c>
      <c r="O1515" s="1" t="n">
        <f aca="false">YEAR(B1515)</f>
        <v>2026</v>
      </c>
      <c r="P1515" s="1" t="n">
        <f aca="false">MONTH(B1515)</f>
        <v>2</v>
      </c>
      <c r="Q1515" s="1" t="str">
        <f aca="false">TEXT(B1515,"mmm")</f>
        <v>Feb</v>
      </c>
      <c r="R1515" s="1" t="str">
        <f aca="false">"Q"&amp;ROUNDUP(MONTH(B1515)/3,0)</f>
        <v>Q1</v>
      </c>
    </row>
    <row r="1516" customFormat="false" ht="15" hidden="false" customHeight="true" outlineLevel="0" collapsed="false">
      <c r="A1516" s="1" t="n">
        <v>11515</v>
      </c>
      <c r="B1516" s="14" t="n">
        <v>46076</v>
      </c>
      <c r="C1516" s="1" t="n">
        <v>1046</v>
      </c>
      <c r="D1516" s="1" t="s">
        <v>37</v>
      </c>
      <c r="E1516" s="1" t="s">
        <v>35</v>
      </c>
      <c r="F1516" s="1" t="n">
        <v>2</v>
      </c>
      <c r="G1516" s="15" t="n">
        <v>539.92</v>
      </c>
      <c r="H1516" s="16" t="n">
        <v>0.03</v>
      </c>
      <c r="I1516" s="1" t="s">
        <v>31</v>
      </c>
      <c r="J1516" s="1" t="n">
        <v>10</v>
      </c>
      <c r="K1516" s="1" t="n">
        <v>3.3</v>
      </c>
      <c r="L1516" s="15" t="n">
        <v>1047.44</v>
      </c>
      <c r="M1516" s="15" t="n">
        <f aca="false">F1516*G1516</f>
        <v>1079.84</v>
      </c>
      <c r="N1516" s="15" t="n">
        <f aca="false">M1516-L1516</f>
        <v>32.3999999999999</v>
      </c>
      <c r="O1516" s="1" t="n">
        <f aca="false">YEAR(B1516)</f>
        <v>2026</v>
      </c>
      <c r="P1516" s="1" t="n">
        <f aca="false">MONTH(B1516)</f>
        <v>2</v>
      </c>
      <c r="Q1516" s="1" t="str">
        <f aca="false">TEXT(B1516,"mmm")</f>
        <v>Feb</v>
      </c>
      <c r="R1516" s="1" t="str">
        <f aca="false">"Q"&amp;ROUNDUP(MONTH(B1516)/3,0)</f>
        <v>Q1</v>
      </c>
    </row>
    <row r="1517" customFormat="false" ht="15" hidden="false" customHeight="true" outlineLevel="0" collapsed="false">
      <c r="A1517" s="1" t="n">
        <v>11516</v>
      </c>
      <c r="B1517" s="14" t="n">
        <v>46077</v>
      </c>
      <c r="C1517" s="1" t="n">
        <v>1323</v>
      </c>
      <c r="D1517" s="1" t="s">
        <v>34</v>
      </c>
      <c r="E1517" s="1" t="s">
        <v>35</v>
      </c>
      <c r="F1517" s="1" t="n">
        <v>5</v>
      </c>
      <c r="G1517" s="15" t="n">
        <v>27.33</v>
      </c>
      <c r="H1517" s="16" t="n">
        <v>0.11</v>
      </c>
      <c r="I1517" s="1" t="s">
        <v>31</v>
      </c>
      <c r="J1517" s="1" t="n">
        <v>7</v>
      </c>
      <c r="K1517" s="1" t="n">
        <v>5</v>
      </c>
      <c r="L1517" s="15" t="n">
        <v>121.62</v>
      </c>
      <c r="M1517" s="15" t="n">
        <f aca="false">F1517*G1517</f>
        <v>136.65</v>
      </c>
      <c r="N1517" s="15" t="n">
        <f aca="false">M1517-L1517</f>
        <v>15.03</v>
      </c>
      <c r="O1517" s="1" t="n">
        <f aca="false">YEAR(B1517)</f>
        <v>2026</v>
      </c>
      <c r="P1517" s="1" t="n">
        <f aca="false">MONTH(B1517)</f>
        <v>2</v>
      </c>
      <c r="Q1517" s="1" t="str">
        <f aca="false">TEXT(B1517,"mmm")</f>
        <v>Feb</v>
      </c>
      <c r="R1517" s="1" t="str">
        <f aca="false">"Q"&amp;ROUNDUP(MONTH(B1517)/3,0)</f>
        <v>Q1</v>
      </c>
    </row>
    <row r="1518" customFormat="false" ht="15" hidden="false" customHeight="true" outlineLevel="0" collapsed="false">
      <c r="A1518" s="1" t="n">
        <v>11517</v>
      </c>
      <c r="B1518" s="14" t="n">
        <v>46078</v>
      </c>
      <c r="C1518" s="1" t="n">
        <v>1843</v>
      </c>
      <c r="D1518" s="1" t="s">
        <v>34</v>
      </c>
      <c r="E1518" s="1" t="s">
        <v>35</v>
      </c>
      <c r="F1518" s="1" t="n">
        <v>6</v>
      </c>
      <c r="G1518" s="15" t="n">
        <v>517.31</v>
      </c>
      <c r="H1518" s="16" t="n">
        <v>0.16</v>
      </c>
      <c r="I1518" s="1" t="s">
        <v>33</v>
      </c>
      <c r="J1518" s="1" t="n">
        <v>10</v>
      </c>
      <c r="K1518" s="1" t="n">
        <v>4.2</v>
      </c>
      <c r="L1518" s="15" t="n">
        <v>2607.24</v>
      </c>
      <c r="M1518" s="15" t="n">
        <f aca="false">F1518*G1518</f>
        <v>3103.86</v>
      </c>
      <c r="N1518" s="15" t="n">
        <f aca="false">M1518-L1518</f>
        <v>496.62</v>
      </c>
      <c r="O1518" s="1" t="n">
        <f aca="false">YEAR(B1518)</f>
        <v>2026</v>
      </c>
      <c r="P1518" s="1" t="n">
        <f aca="false">MONTH(B1518)</f>
        <v>2</v>
      </c>
      <c r="Q1518" s="1" t="str">
        <f aca="false">TEXT(B1518,"mmm")</f>
        <v>Feb</v>
      </c>
      <c r="R1518" s="1" t="str">
        <f aca="false">"Q"&amp;ROUNDUP(MONTH(B1518)/3,0)</f>
        <v>Q1</v>
      </c>
    </row>
    <row r="1519" customFormat="false" ht="15" hidden="false" customHeight="true" outlineLevel="0" collapsed="false">
      <c r="A1519" s="1" t="n">
        <v>11518</v>
      </c>
      <c r="B1519" s="14" t="n">
        <v>46079</v>
      </c>
      <c r="C1519" s="1" t="n">
        <v>1684</v>
      </c>
      <c r="D1519" s="1" t="s">
        <v>34</v>
      </c>
      <c r="E1519" s="1" t="s">
        <v>36</v>
      </c>
      <c r="F1519" s="1" t="n">
        <v>1</v>
      </c>
      <c r="G1519" s="15" t="n">
        <v>552.87</v>
      </c>
      <c r="H1519" s="16" t="n">
        <v>0.16</v>
      </c>
      <c r="I1519" s="1" t="s">
        <v>31</v>
      </c>
      <c r="J1519" s="1" t="n">
        <v>8</v>
      </c>
      <c r="K1519" s="1" t="n">
        <v>4.3</v>
      </c>
      <c r="L1519" s="15" t="n">
        <v>464.41</v>
      </c>
      <c r="M1519" s="15" t="n">
        <f aca="false">F1519*G1519</f>
        <v>552.87</v>
      </c>
      <c r="N1519" s="15" t="n">
        <f aca="false">M1519-L1519</f>
        <v>88.46</v>
      </c>
      <c r="O1519" s="1" t="n">
        <f aca="false">YEAR(B1519)</f>
        <v>2026</v>
      </c>
      <c r="P1519" s="1" t="n">
        <f aca="false">MONTH(B1519)</f>
        <v>2</v>
      </c>
      <c r="Q1519" s="1" t="str">
        <f aca="false">TEXT(B1519,"mmm")</f>
        <v>Feb</v>
      </c>
      <c r="R1519" s="1" t="str">
        <f aca="false">"Q"&amp;ROUNDUP(MONTH(B1519)/3,0)</f>
        <v>Q1</v>
      </c>
    </row>
    <row r="1520" customFormat="false" ht="15" hidden="false" customHeight="true" outlineLevel="0" collapsed="false">
      <c r="A1520" s="1" t="n">
        <v>11519</v>
      </c>
      <c r="B1520" s="14" t="n">
        <v>46080</v>
      </c>
      <c r="C1520" s="1" t="n">
        <v>1129</v>
      </c>
      <c r="D1520" s="1" t="s">
        <v>30</v>
      </c>
      <c r="E1520" s="1" t="s">
        <v>35</v>
      </c>
      <c r="F1520" s="1" t="n">
        <v>3</v>
      </c>
      <c r="G1520" s="15" t="n">
        <v>221.83</v>
      </c>
      <c r="H1520" s="16" t="n">
        <v>0.27</v>
      </c>
      <c r="I1520" s="1" t="s">
        <v>31</v>
      </c>
      <c r="J1520" s="1" t="n">
        <v>7</v>
      </c>
      <c r="K1520" s="1" t="n">
        <v>2.5</v>
      </c>
      <c r="L1520" s="15" t="n">
        <v>485.81</v>
      </c>
      <c r="M1520" s="15" t="n">
        <f aca="false">F1520*G1520</f>
        <v>665.49</v>
      </c>
      <c r="N1520" s="15" t="n">
        <f aca="false">M1520-L1520</f>
        <v>179.68</v>
      </c>
      <c r="O1520" s="1" t="n">
        <f aca="false">YEAR(B1520)</f>
        <v>2026</v>
      </c>
      <c r="P1520" s="1" t="n">
        <f aca="false">MONTH(B1520)</f>
        <v>2</v>
      </c>
      <c r="Q1520" s="1" t="str">
        <f aca="false">TEXT(B1520,"mmm")</f>
        <v>Feb</v>
      </c>
      <c r="R1520" s="1" t="str">
        <f aca="false">"Q"&amp;ROUNDUP(MONTH(B1520)/3,0)</f>
        <v>Q1</v>
      </c>
    </row>
    <row r="1521" customFormat="false" ht="15" hidden="false" customHeight="true" outlineLevel="0" collapsed="false">
      <c r="A1521" s="1" t="n">
        <v>11520</v>
      </c>
      <c r="B1521" s="14" t="n">
        <v>46081</v>
      </c>
      <c r="C1521" s="1" t="n">
        <v>1410</v>
      </c>
      <c r="D1521" s="1" t="s">
        <v>37</v>
      </c>
      <c r="E1521" s="1" t="s">
        <v>35</v>
      </c>
      <c r="F1521" s="1" t="n">
        <v>7</v>
      </c>
      <c r="G1521" s="15" t="n">
        <v>435.91</v>
      </c>
      <c r="H1521" s="16" t="n">
        <v>0.16</v>
      </c>
      <c r="I1521" s="1" t="s">
        <v>33</v>
      </c>
      <c r="J1521" s="1" t="n">
        <v>5</v>
      </c>
      <c r="K1521" s="1" t="n">
        <v>2</v>
      </c>
      <c r="L1521" s="15" t="n">
        <v>2563.15</v>
      </c>
      <c r="M1521" s="15" t="n">
        <f aca="false">F1521*G1521</f>
        <v>3051.37</v>
      </c>
      <c r="N1521" s="15" t="n">
        <f aca="false">M1521-L1521</f>
        <v>488.22</v>
      </c>
      <c r="O1521" s="1" t="n">
        <f aca="false">YEAR(B1521)</f>
        <v>2026</v>
      </c>
      <c r="P1521" s="1" t="n">
        <f aca="false">MONTH(B1521)</f>
        <v>2</v>
      </c>
      <c r="Q1521" s="1" t="str">
        <f aca="false">TEXT(B1521,"mmm")</f>
        <v>Feb</v>
      </c>
      <c r="R1521" s="1" t="str">
        <f aca="false">"Q"&amp;ROUNDUP(MONTH(B1521)/3,0)</f>
        <v>Q1</v>
      </c>
    </row>
    <row r="1522" customFormat="false" ht="15" hidden="false" customHeight="true" outlineLevel="0" collapsed="false">
      <c r="A1522" s="1" t="n">
        <v>11521</v>
      </c>
      <c r="B1522" s="14" t="n">
        <v>46082</v>
      </c>
      <c r="C1522" s="1" t="n">
        <v>1094</v>
      </c>
      <c r="D1522" s="1" t="s">
        <v>34</v>
      </c>
      <c r="E1522" s="1" t="s">
        <v>32</v>
      </c>
      <c r="F1522" s="1" t="n">
        <v>2</v>
      </c>
      <c r="G1522" s="15" t="n">
        <v>273.63</v>
      </c>
      <c r="H1522" s="16" t="n">
        <v>0.01</v>
      </c>
      <c r="I1522" s="1" t="s">
        <v>33</v>
      </c>
      <c r="J1522" s="1" t="n">
        <v>11</v>
      </c>
      <c r="K1522" s="1" t="n">
        <v>3.4</v>
      </c>
      <c r="L1522" s="15" t="n">
        <v>541.79</v>
      </c>
      <c r="M1522" s="15" t="n">
        <f aca="false">F1522*G1522</f>
        <v>547.26</v>
      </c>
      <c r="N1522" s="15" t="n">
        <f aca="false">M1522-L1522</f>
        <v>5.47000000000003</v>
      </c>
      <c r="O1522" s="1" t="n">
        <f aca="false">YEAR(B1522)</f>
        <v>2026</v>
      </c>
      <c r="P1522" s="1" t="n">
        <f aca="false">MONTH(B1522)</f>
        <v>3</v>
      </c>
      <c r="Q1522" s="1" t="str">
        <f aca="false">TEXT(B1522,"mmm")</f>
        <v>Mar</v>
      </c>
      <c r="R1522" s="1" t="str">
        <f aca="false">"Q"&amp;ROUNDUP(MONTH(B1522)/3,0)</f>
        <v>Q1</v>
      </c>
    </row>
    <row r="1523" customFormat="false" ht="15" hidden="false" customHeight="true" outlineLevel="0" collapsed="false">
      <c r="A1523" s="1" t="n">
        <v>11522</v>
      </c>
      <c r="B1523" s="14" t="n">
        <v>46083</v>
      </c>
      <c r="C1523" s="1" t="n">
        <v>1626</v>
      </c>
      <c r="D1523" s="1" t="s">
        <v>37</v>
      </c>
      <c r="E1523" s="1" t="s">
        <v>32</v>
      </c>
      <c r="F1523" s="1" t="n">
        <v>3</v>
      </c>
      <c r="G1523" s="15" t="n">
        <v>398.31</v>
      </c>
      <c r="H1523" s="16" t="n">
        <v>0.25</v>
      </c>
      <c r="I1523" s="1" t="s">
        <v>31</v>
      </c>
      <c r="J1523" s="1" t="n">
        <v>1</v>
      </c>
      <c r="K1523" s="1" t="n">
        <v>4.5</v>
      </c>
      <c r="L1523" s="15" t="n">
        <v>896.2</v>
      </c>
      <c r="M1523" s="15" t="n">
        <f aca="false">F1523*G1523</f>
        <v>1194.93</v>
      </c>
      <c r="N1523" s="15" t="n">
        <f aca="false">M1523-L1523</f>
        <v>298.73</v>
      </c>
      <c r="O1523" s="1" t="n">
        <f aca="false">YEAR(B1523)</f>
        <v>2026</v>
      </c>
      <c r="P1523" s="1" t="n">
        <f aca="false">MONTH(B1523)</f>
        <v>3</v>
      </c>
      <c r="Q1523" s="1" t="str">
        <f aca="false">TEXT(B1523,"mmm")</f>
        <v>Mar</v>
      </c>
      <c r="R1523" s="1" t="str">
        <f aca="false">"Q"&amp;ROUNDUP(MONTH(B1523)/3,0)</f>
        <v>Q1</v>
      </c>
    </row>
    <row r="1524" customFormat="false" ht="15" hidden="false" customHeight="true" outlineLevel="0" collapsed="false">
      <c r="A1524" s="1" t="n">
        <v>11523</v>
      </c>
      <c r="B1524" s="14" t="n">
        <v>46084</v>
      </c>
      <c r="C1524" s="1" t="n">
        <v>1754</v>
      </c>
      <c r="D1524" s="1" t="s">
        <v>34</v>
      </c>
      <c r="E1524" s="1" t="s">
        <v>28</v>
      </c>
      <c r="F1524" s="1" t="n">
        <v>1</v>
      </c>
      <c r="G1524" s="15" t="n">
        <v>214.09</v>
      </c>
      <c r="H1524" s="16" t="n">
        <v>0.31</v>
      </c>
      <c r="I1524" s="1" t="s">
        <v>31</v>
      </c>
      <c r="J1524" s="1" t="n">
        <v>8</v>
      </c>
      <c r="K1524" s="1" t="n">
        <v>3.9</v>
      </c>
      <c r="L1524" s="15" t="n">
        <v>147.72</v>
      </c>
      <c r="M1524" s="15" t="n">
        <f aca="false">F1524*G1524</f>
        <v>214.09</v>
      </c>
      <c r="N1524" s="15" t="n">
        <f aca="false">M1524-L1524</f>
        <v>66.37</v>
      </c>
      <c r="O1524" s="1" t="n">
        <f aca="false">YEAR(B1524)</f>
        <v>2026</v>
      </c>
      <c r="P1524" s="1" t="n">
        <f aca="false">MONTH(B1524)</f>
        <v>3</v>
      </c>
      <c r="Q1524" s="1" t="str">
        <f aca="false">TEXT(B1524,"mmm")</f>
        <v>Mar</v>
      </c>
      <c r="R1524" s="1" t="str">
        <f aca="false">"Q"&amp;ROUNDUP(MONTH(B1524)/3,0)</f>
        <v>Q1</v>
      </c>
    </row>
    <row r="1525" customFormat="false" ht="15" hidden="false" customHeight="true" outlineLevel="0" collapsed="false">
      <c r="A1525" s="1" t="n">
        <v>11524</v>
      </c>
      <c r="B1525" s="14" t="n">
        <v>46085</v>
      </c>
      <c r="C1525" s="1" t="n">
        <v>1931</v>
      </c>
      <c r="D1525" s="1" t="s">
        <v>30</v>
      </c>
      <c r="E1525" s="1" t="s">
        <v>28</v>
      </c>
      <c r="F1525" s="1" t="n">
        <v>2</v>
      </c>
      <c r="G1525" s="15" t="n">
        <v>203.7</v>
      </c>
      <c r="H1525" s="16" t="n">
        <v>0.18</v>
      </c>
      <c r="I1525" s="1" t="s">
        <v>31</v>
      </c>
      <c r="J1525" s="1" t="n">
        <v>5</v>
      </c>
      <c r="K1525" s="1" t="n">
        <v>2.9</v>
      </c>
      <c r="L1525" s="15" t="n">
        <v>334.07</v>
      </c>
      <c r="M1525" s="15" t="n">
        <f aca="false">F1525*G1525</f>
        <v>407.4</v>
      </c>
      <c r="N1525" s="15" t="n">
        <f aca="false">M1525-L1525</f>
        <v>73.33</v>
      </c>
      <c r="O1525" s="1" t="n">
        <f aca="false">YEAR(B1525)</f>
        <v>2026</v>
      </c>
      <c r="P1525" s="1" t="n">
        <f aca="false">MONTH(B1525)</f>
        <v>3</v>
      </c>
      <c r="Q1525" s="1" t="str">
        <f aca="false">TEXT(B1525,"mmm")</f>
        <v>Mar</v>
      </c>
      <c r="R1525" s="1" t="str">
        <f aca="false">"Q"&amp;ROUNDUP(MONTH(B1525)/3,0)</f>
        <v>Q1</v>
      </c>
    </row>
    <row r="1526" customFormat="false" ht="15" hidden="false" customHeight="true" outlineLevel="0" collapsed="false">
      <c r="A1526" s="1" t="n">
        <v>11525</v>
      </c>
      <c r="B1526" s="14" t="n">
        <v>46086</v>
      </c>
      <c r="C1526" s="1" t="n">
        <v>1291</v>
      </c>
      <c r="D1526" s="1" t="s">
        <v>27</v>
      </c>
      <c r="E1526" s="1" t="s">
        <v>28</v>
      </c>
      <c r="F1526" s="1" t="n">
        <v>3</v>
      </c>
      <c r="G1526" s="15" t="n">
        <v>263.29</v>
      </c>
      <c r="H1526" s="16" t="n">
        <v>0.2</v>
      </c>
      <c r="I1526" s="1" t="s">
        <v>31</v>
      </c>
      <c r="J1526" s="1" t="n">
        <v>3</v>
      </c>
      <c r="K1526" s="1" t="n">
        <v>4</v>
      </c>
      <c r="L1526" s="15" t="n">
        <v>631.9</v>
      </c>
      <c r="M1526" s="15" t="n">
        <f aca="false">F1526*G1526</f>
        <v>789.87</v>
      </c>
      <c r="N1526" s="15" t="n">
        <f aca="false">M1526-L1526</f>
        <v>157.97</v>
      </c>
      <c r="O1526" s="1" t="n">
        <f aca="false">YEAR(B1526)</f>
        <v>2026</v>
      </c>
      <c r="P1526" s="1" t="n">
        <f aca="false">MONTH(B1526)</f>
        <v>3</v>
      </c>
      <c r="Q1526" s="1" t="str">
        <f aca="false">TEXT(B1526,"mmm")</f>
        <v>Mar</v>
      </c>
      <c r="R1526" s="1" t="str">
        <f aca="false">"Q"&amp;ROUNDUP(MONTH(B1526)/3,0)</f>
        <v>Q1</v>
      </c>
    </row>
    <row r="1527" customFormat="false" ht="15" hidden="false" customHeight="true" outlineLevel="0" collapsed="false">
      <c r="A1527" s="1" t="n">
        <v>11526</v>
      </c>
      <c r="B1527" s="14" t="n">
        <v>46087</v>
      </c>
      <c r="C1527" s="1" t="n">
        <v>1793</v>
      </c>
      <c r="D1527" s="1" t="s">
        <v>34</v>
      </c>
      <c r="E1527" s="1" t="s">
        <v>36</v>
      </c>
      <c r="F1527" s="1" t="n">
        <v>3</v>
      </c>
      <c r="G1527" s="15" t="n">
        <v>100.16</v>
      </c>
      <c r="H1527" s="16" t="n">
        <v>0.06</v>
      </c>
      <c r="I1527" s="1" t="s">
        <v>31</v>
      </c>
      <c r="J1527" s="1" t="n">
        <v>2</v>
      </c>
      <c r="K1527" s="1" t="n">
        <v>3.8</v>
      </c>
      <c r="L1527" s="15" t="n">
        <v>282.45</v>
      </c>
      <c r="M1527" s="15" t="n">
        <f aca="false">F1527*G1527</f>
        <v>300.48</v>
      </c>
      <c r="N1527" s="15" t="n">
        <f aca="false">M1527-L1527</f>
        <v>18.03</v>
      </c>
      <c r="O1527" s="1" t="n">
        <f aca="false">YEAR(B1527)</f>
        <v>2026</v>
      </c>
      <c r="P1527" s="1" t="n">
        <f aca="false">MONTH(B1527)</f>
        <v>3</v>
      </c>
      <c r="Q1527" s="1" t="str">
        <f aca="false">TEXT(B1527,"mmm")</f>
        <v>Mar</v>
      </c>
      <c r="R1527" s="1" t="str">
        <f aca="false">"Q"&amp;ROUNDUP(MONTH(B1527)/3,0)</f>
        <v>Q1</v>
      </c>
    </row>
    <row r="1528" customFormat="false" ht="15" hidden="false" customHeight="true" outlineLevel="0" collapsed="false">
      <c r="A1528" s="1" t="n">
        <v>11527</v>
      </c>
      <c r="B1528" s="14" t="n">
        <v>46088</v>
      </c>
      <c r="C1528" s="1" t="n">
        <v>1810</v>
      </c>
      <c r="D1528" s="1" t="s">
        <v>30</v>
      </c>
      <c r="E1528" s="1" t="s">
        <v>28</v>
      </c>
      <c r="F1528" s="1" t="n">
        <v>2</v>
      </c>
      <c r="G1528" s="15" t="n">
        <v>501.22</v>
      </c>
      <c r="H1528" s="16" t="n">
        <v>0.08</v>
      </c>
      <c r="I1528" s="1" t="s">
        <v>31</v>
      </c>
      <c r="J1528" s="1" t="n">
        <v>3</v>
      </c>
      <c r="K1528" s="1" t="n">
        <v>4.7</v>
      </c>
      <c r="L1528" s="15" t="n">
        <v>922.24</v>
      </c>
      <c r="M1528" s="15" t="n">
        <f aca="false">F1528*G1528</f>
        <v>1002.44</v>
      </c>
      <c r="N1528" s="15" t="n">
        <f aca="false">M1528-L1528</f>
        <v>80.2000000000001</v>
      </c>
      <c r="O1528" s="1" t="n">
        <f aca="false">YEAR(B1528)</f>
        <v>2026</v>
      </c>
      <c r="P1528" s="1" t="n">
        <f aca="false">MONTH(B1528)</f>
        <v>3</v>
      </c>
      <c r="Q1528" s="1" t="str">
        <f aca="false">TEXT(B1528,"mmm")</f>
        <v>Mar</v>
      </c>
      <c r="R1528" s="1" t="str">
        <f aca="false">"Q"&amp;ROUNDUP(MONTH(B1528)/3,0)</f>
        <v>Q1</v>
      </c>
    </row>
    <row r="1529" customFormat="false" ht="15" hidden="false" customHeight="true" outlineLevel="0" collapsed="false">
      <c r="A1529" s="1" t="n">
        <v>11528</v>
      </c>
      <c r="B1529" s="14" t="n">
        <v>46089</v>
      </c>
      <c r="C1529" s="1" t="n">
        <v>1282</v>
      </c>
      <c r="D1529" s="1" t="s">
        <v>34</v>
      </c>
      <c r="E1529" s="1" t="s">
        <v>36</v>
      </c>
      <c r="F1529" s="1" t="n">
        <v>3</v>
      </c>
      <c r="G1529" s="15" t="n">
        <v>218.99</v>
      </c>
      <c r="H1529" s="16" t="n">
        <v>0.08</v>
      </c>
      <c r="I1529" s="1" t="s">
        <v>31</v>
      </c>
      <c r="J1529" s="1" t="n">
        <v>9</v>
      </c>
      <c r="K1529" s="1" t="n">
        <v>2.1</v>
      </c>
      <c r="L1529" s="15" t="n">
        <v>604.41</v>
      </c>
      <c r="M1529" s="15" t="n">
        <f aca="false">F1529*G1529</f>
        <v>656.97</v>
      </c>
      <c r="N1529" s="15" t="n">
        <f aca="false">M1529-L1529</f>
        <v>52.5600000000001</v>
      </c>
      <c r="O1529" s="1" t="n">
        <f aca="false">YEAR(B1529)</f>
        <v>2026</v>
      </c>
      <c r="P1529" s="1" t="n">
        <f aca="false">MONTH(B1529)</f>
        <v>3</v>
      </c>
      <c r="Q1529" s="1" t="str">
        <f aca="false">TEXT(B1529,"mmm")</f>
        <v>Mar</v>
      </c>
      <c r="R1529" s="1" t="str">
        <f aca="false">"Q"&amp;ROUNDUP(MONTH(B1529)/3,0)</f>
        <v>Q1</v>
      </c>
    </row>
    <row r="1530" customFormat="false" ht="15" hidden="false" customHeight="true" outlineLevel="0" collapsed="false">
      <c r="A1530" s="1" t="n">
        <v>11529</v>
      </c>
      <c r="B1530" s="14" t="n">
        <v>46090</v>
      </c>
      <c r="C1530" s="1" t="n">
        <v>1068</v>
      </c>
      <c r="D1530" s="1" t="s">
        <v>34</v>
      </c>
      <c r="E1530" s="1" t="s">
        <v>36</v>
      </c>
      <c r="F1530" s="1" t="n">
        <v>3</v>
      </c>
      <c r="G1530" s="15" t="n">
        <v>249.09</v>
      </c>
      <c r="H1530" s="16" t="n">
        <v>0.15</v>
      </c>
      <c r="I1530" s="1" t="s">
        <v>29</v>
      </c>
      <c r="J1530" s="1" t="n">
        <v>2</v>
      </c>
      <c r="K1530" s="1" t="n">
        <v>1.5</v>
      </c>
      <c r="L1530" s="15" t="n">
        <v>635.18</v>
      </c>
      <c r="M1530" s="15" t="n">
        <f aca="false">F1530*G1530</f>
        <v>747.27</v>
      </c>
      <c r="N1530" s="15" t="n">
        <f aca="false">M1530-L1530</f>
        <v>112.09</v>
      </c>
      <c r="O1530" s="1" t="n">
        <f aca="false">YEAR(B1530)</f>
        <v>2026</v>
      </c>
      <c r="P1530" s="1" t="n">
        <f aca="false">MONTH(B1530)</f>
        <v>3</v>
      </c>
      <c r="Q1530" s="1" t="str">
        <f aca="false">TEXT(B1530,"mmm")</f>
        <v>Mar</v>
      </c>
      <c r="R1530" s="1" t="str">
        <f aca="false">"Q"&amp;ROUNDUP(MONTH(B1530)/3,0)</f>
        <v>Q1</v>
      </c>
    </row>
    <row r="1531" customFormat="false" ht="15" hidden="false" customHeight="true" outlineLevel="0" collapsed="false">
      <c r="A1531" s="1" t="n">
        <v>11530</v>
      </c>
      <c r="B1531" s="14" t="n">
        <v>46091</v>
      </c>
      <c r="C1531" s="1" t="n">
        <v>1659</v>
      </c>
      <c r="D1531" s="1" t="s">
        <v>34</v>
      </c>
      <c r="E1531" s="1" t="s">
        <v>28</v>
      </c>
      <c r="F1531" s="1" t="n">
        <v>2</v>
      </c>
      <c r="G1531" s="15" t="n">
        <v>538.02</v>
      </c>
      <c r="H1531" s="16" t="n">
        <v>0.32</v>
      </c>
      <c r="I1531" s="1" t="s">
        <v>31</v>
      </c>
      <c r="J1531" s="1" t="n">
        <v>10</v>
      </c>
      <c r="K1531" s="1" t="n">
        <v>2.9</v>
      </c>
      <c r="L1531" s="15" t="n">
        <v>731.71</v>
      </c>
      <c r="M1531" s="15" t="n">
        <f aca="false">F1531*G1531</f>
        <v>1076.04</v>
      </c>
      <c r="N1531" s="15" t="n">
        <f aca="false">M1531-L1531</f>
        <v>344.33</v>
      </c>
      <c r="O1531" s="1" t="n">
        <f aca="false">YEAR(B1531)</f>
        <v>2026</v>
      </c>
      <c r="P1531" s="1" t="n">
        <f aca="false">MONTH(B1531)</f>
        <v>3</v>
      </c>
      <c r="Q1531" s="1" t="str">
        <f aca="false">TEXT(B1531,"mmm")</f>
        <v>Mar</v>
      </c>
      <c r="R1531" s="1" t="str">
        <f aca="false">"Q"&amp;ROUNDUP(MONTH(B1531)/3,0)</f>
        <v>Q1</v>
      </c>
    </row>
    <row r="1532" customFormat="false" ht="15" hidden="false" customHeight="true" outlineLevel="0" collapsed="false">
      <c r="A1532" s="1" t="n">
        <v>11531</v>
      </c>
      <c r="B1532" s="14" t="n">
        <v>46092</v>
      </c>
      <c r="C1532" s="1" t="n">
        <v>1010</v>
      </c>
      <c r="D1532" s="1" t="s">
        <v>34</v>
      </c>
      <c r="E1532" s="1" t="s">
        <v>28</v>
      </c>
      <c r="F1532" s="1" t="n">
        <v>7</v>
      </c>
      <c r="G1532" s="15" t="n">
        <v>305.52</v>
      </c>
      <c r="H1532" s="16" t="n">
        <v>0.18</v>
      </c>
      <c r="I1532" s="1" t="s">
        <v>31</v>
      </c>
      <c r="J1532" s="1" t="n">
        <v>1</v>
      </c>
      <c r="K1532" s="1" t="n">
        <v>2.4</v>
      </c>
      <c r="L1532" s="15" t="n">
        <v>1753.68</v>
      </c>
      <c r="M1532" s="15" t="n">
        <f aca="false">F1532*G1532</f>
        <v>2138.64</v>
      </c>
      <c r="N1532" s="15" t="n">
        <f aca="false">M1532-L1532</f>
        <v>384.96</v>
      </c>
      <c r="O1532" s="1" t="n">
        <f aca="false">YEAR(B1532)</f>
        <v>2026</v>
      </c>
      <c r="P1532" s="1" t="n">
        <f aca="false">MONTH(B1532)</f>
        <v>3</v>
      </c>
      <c r="Q1532" s="1" t="str">
        <f aca="false">TEXT(B1532,"mmm")</f>
        <v>Mar</v>
      </c>
      <c r="R1532" s="1" t="str">
        <f aca="false">"Q"&amp;ROUNDUP(MONTH(B1532)/3,0)</f>
        <v>Q1</v>
      </c>
    </row>
    <row r="1533" customFormat="false" ht="15" hidden="false" customHeight="true" outlineLevel="0" collapsed="false">
      <c r="A1533" s="1" t="n">
        <v>11532</v>
      </c>
      <c r="B1533" s="14" t="n">
        <v>46093</v>
      </c>
      <c r="C1533" s="1" t="n">
        <v>1253</v>
      </c>
      <c r="D1533" s="1" t="s">
        <v>30</v>
      </c>
      <c r="E1533" s="1" t="s">
        <v>36</v>
      </c>
      <c r="F1533" s="1" t="n">
        <v>3</v>
      </c>
      <c r="G1533" s="15" t="n">
        <v>333.39</v>
      </c>
      <c r="H1533" s="16" t="n">
        <v>0.07</v>
      </c>
      <c r="I1533" s="1" t="s">
        <v>31</v>
      </c>
      <c r="J1533" s="1" t="n">
        <v>2</v>
      </c>
      <c r="K1533" s="1" t="n">
        <v>4.9</v>
      </c>
      <c r="L1533" s="15" t="n">
        <v>930.16</v>
      </c>
      <c r="M1533" s="15" t="n">
        <f aca="false">F1533*G1533</f>
        <v>1000.17</v>
      </c>
      <c r="N1533" s="15" t="n">
        <f aca="false">M1533-L1533</f>
        <v>70.01</v>
      </c>
      <c r="O1533" s="1" t="n">
        <f aca="false">YEAR(B1533)</f>
        <v>2026</v>
      </c>
      <c r="P1533" s="1" t="n">
        <f aca="false">MONTH(B1533)</f>
        <v>3</v>
      </c>
      <c r="Q1533" s="1" t="str">
        <f aca="false">TEXT(B1533,"mmm")</f>
        <v>Mar</v>
      </c>
      <c r="R1533" s="1" t="str">
        <f aca="false">"Q"&amp;ROUNDUP(MONTH(B1533)/3,0)</f>
        <v>Q1</v>
      </c>
    </row>
    <row r="1534" customFormat="false" ht="15" hidden="false" customHeight="true" outlineLevel="0" collapsed="false">
      <c r="A1534" s="1" t="n">
        <v>11533</v>
      </c>
      <c r="B1534" s="14" t="n">
        <v>46094</v>
      </c>
      <c r="C1534" s="1" t="n">
        <v>1841</v>
      </c>
      <c r="D1534" s="1" t="s">
        <v>30</v>
      </c>
      <c r="E1534" s="1" t="s">
        <v>32</v>
      </c>
      <c r="F1534" s="1" t="n">
        <v>3</v>
      </c>
      <c r="G1534" s="15" t="n">
        <v>574.55</v>
      </c>
      <c r="H1534" s="16" t="n">
        <v>0.09</v>
      </c>
      <c r="I1534" s="1" t="s">
        <v>31</v>
      </c>
      <c r="J1534" s="1" t="n">
        <v>2</v>
      </c>
      <c r="K1534" s="1" t="n">
        <v>1</v>
      </c>
      <c r="L1534" s="15" t="n">
        <v>1568.52</v>
      </c>
      <c r="M1534" s="15" t="n">
        <f aca="false">F1534*G1534</f>
        <v>1723.65</v>
      </c>
      <c r="N1534" s="15" t="n">
        <f aca="false">M1534-L1534</f>
        <v>155.13</v>
      </c>
      <c r="O1534" s="1" t="n">
        <f aca="false">YEAR(B1534)</f>
        <v>2026</v>
      </c>
      <c r="P1534" s="1" t="n">
        <f aca="false">MONTH(B1534)</f>
        <v>3</v>
      </c>
      <c r="Q1534" s="1" t="str">
        <f aca="false">TEXT(B1534,"mmm")</f>
        <v>Mar</v>
      </c>
      <c r="R1534" s="1" t="str">
        <f aca="false">"Q"&amp;ROUNDUP(MONTH(B1534)/3,0)</f>
        <v>Q1</v>
      </c>
    </row>
    <row r="1535" customFormat="false" ht="15" hidden="false" customHeight="true" outlineLevel="0" collapsed="false">
      <c r="A1535" s="1" t="n">
        <v>11534</v>
      </c>
      <c r="B1535" s="14" t="n">
        <v>46095</v>
      </c>
      <c r="C1535" s="1" t="n">
        <v>1871</v>
      </c>
      <c r="D1535" s="1" t="s">
        <v>30</v>
      </c>
      <c r="E1535" s="1" t="s">
        <v>35</v>
      </c>
      <c r="F1535" s="1" t="n">
        <v>7</v>
      </c>
      <c r="G1535" s="15" t="n">
        <v>533.73</v>
      </c>
      <c r="H1535" s="16" t="n">
        <v>0.13</v>
      </c>
      <c r="I1535" s="1" t="s">
        <v>33</v>
      </c>
      <c r="J1535" s="1" t="n">
        <v>11</v>
      </c>
      <c r="K1535" s="1" t="n">
        <v>4.7</v>
      </c>
      <c r="L1535" s="15" t="n">
        <v>3250.42</v>
      </c>
      <c r="M1535" s="15" t="n">
        <f aca="false">F1535*G1535</f>
        <v>3736.11</v>
      </c>
      <c r="N1535" s="15" t="n">
        <f aca="false">M1535-L1535</f>
        <v>485.69</v>
      </c>
      <c r="O1535" s="1" t="n">
        <f aca="false">YEAR(B1535)</f>
        <v>2026</v>
      </c>
      <c r="P1535" s="1" t="n">
        <f aca="false">MONTH(B1535)</f>
        <v>3</v>
      </c>
      <c r="Q1535" s="1" t="str">
        <f aca="false">TEXT(B1535,"mmm")</f>
        <v>Mar</v>
      </c>
      <c r="R1535" s="1" t="str">
        <f aca="false">"Q"&amp;ROUNDUP(MONTH(B1535)/3,0)</f>
        <v>Q1</v>
      </c>
    </row>
    <row r="1536" customFormat="false" ht="15" hidden="false" customHeight="true" outlineLevel="0" collapsed="false">
      <c r="A1536" s="1" t="n">
        <v>11535</v>
      </c>
      <c r="B1536" s="14" t="n">
        <v>46096</v>
      </c>
      <c r="C1536" s="1" t="n">
        <v>1549</v>
      </c>
      <c r="D1536" s="1" t="s">
        <v>34</v>
      </c>
      <c r="E1536" s="1" t="s">
        <v>35</v>
      </c>
      <c r="F1536" s="1" t="n">
        <v>4</v>
      </c>
      <c r="G1536" s="15" t="n">
        <v>114.14</v>
      </c>
      <c r="H1536" s="16" t="n">
        <v>0.22</v>
      </c>
      <c r="I1536" s="1" t="s">
        <v>31</v>
      </c>
      <c r="J1536" s="1" t="n">
        <v>5</v>
      </c>
      <c r="K1536" s="1" t="n">
        <v>4.8</v>
      </c>
      <c r="L1536" s="15" t="n">
        <v>356.12</v>
      </c>
      <c r="M1536" s="15" t="n">
        <f aca="false">F1536*G1536</f>
        <v>456.56</v>
      </c>
      <c r="N1536" s="15" t="n">
        <f aca="false">M1536-L1536</f>
        <v>100.44</v>
      </c>
      <c r="O1536" s="1" t="n">
        <f aca="false">YEAR(B1536)</f>
        <v>2026</v>
      </c>
      <c r="P1536" s="1" t="n">
        <f aca="false">MONTH(B1536)</f>
        <v>3</v>
      </c>
      <c r="Q1536" s="1" t="str">
        <f aca="false">TEXT(B1536,"mmm")</f>
        <v>Mar</v>
      </c>
      <c r="R1536" s="1" t="str">
        <f aca="false">"Q"&amp;ROUNDUP(MONTH(B1536)/3,0)</f>
        <v>Q1</v>
      </c>
    </row>
    <row r="1537" customFormat="false" ht="15" hidden="false" customHeight="true" outlineLevel="0" collapsed="false">
      <c r="A1537" s="1" t="n">
        <v>11536</v>
      </c>
      <c r="B1537" s="14" t="n">
        <v>46097</v>
      </c>
      <c r="C1537" s="1" t="n">
        <v>1133</v>
      </c>
      <c r="D1537" s="1" t="s">
        <v>34</v>
      </c>
      <c r="E1537" s="1" t="s">
        <v>35</v>
      </c>
      <c r="F1537" s="1" t="n">
        <v>6</v>
      </c>
      <c r="G1537" s="15" t="n">
        <v>291.83</v>
      </c>
      <c r="H1537" s="16" t="n">
        <v>0.15</v>
      </c>
      <c r="I1537" s="1" t="s">
        <v>31</v>
      </c>
      <c r="J1537" s="1" t="n">
        <v>1</v>
      </c>
      <c r="K1537" s="1" t="n">
        <v>1.2</v>
      </c>
      <c r="L1537" s="15" t="n">
        <v>1488.33</v>
      </c>
      <c r="M1537" s="15" t="n">
        <f aca="false">F1537*G1537</f>
        <v>1750.98</v>
      </c>
      <c r="N1537" s="15" t="n">
        <f aca="false">M1537-L1537</f>
        <v>262.65</v>
      </c>
      <c r="O1537" s="1" t="n">
        <f aca="false">YEAR(B1537)</f>
        <v>2026</v>
      </c>
      <c r="P1537" s="1" t="n">
        <f aca="false">MONTH(B1537)</f>
        <v>3</v>
      </c>
      <c r="Q1537" s="1" t="str">
        <f aca="false">TEXT(B1537,"mmm")</f>
        <v>Mar</v>
      </c>
      <c r="R1537" s="1" t="str">
        <f aca="false">"Q"&amp;ROUNDUP(MONTH(B1537)/3,0)</f>
        <v>Q1</v>
      </c>
    </row>
    <row r="1538" customFormat="false" ht="15" hidden="false" customHeight="true" outlineLevel="0" collapsed="false">
      <c r="A1538" s="1" t="n">
        <v>11537</v>
      </c>
      <c r="B1538" s="14" t="n">
        <v>46098</v>
      </c>
      <c r="C1538" s="1" t="n">
        <v>1711</v>
      </c>
      <c r="D1538" s="1" t="s">
        <v>37</v>
      </c>
      <c r="E1538" s="1" t="s">
        <v>32</v>
      </c>
      <c r="F1538" s="1" t="n">
        <v>4</v>
      </c>
      <c r="G1538" s="15" t="n">
        <v>583.21</v>
      </c>
      <c r="H1538" s="16" t="n">
        <v>0.14</v>
      </c>
      <c r="I1538" s="1" t="s">
        <v>31</v>
      </c>
      <c r="J1538" s="1" t="n">
        <v>10</v>
      </c>
      <c r="K1538" s="1" t="n">
        <v>4.6</v>
      </c>
      <c r="L1538" s="15" t="n">
        <v>2006.24</v>
      </c>
      <c r="M1538" s="15" t="n">
        <f aca="false">F1538*G1538</f>
        <v>2332.84</v>
      </c>
      <c r="N1538" s="15" t="n">
        <f aca="false">M1538-L1538</f>
        <v>326.6</v>
      </c>
      <c r="O1538" s="1" t="n">
        <f aca="false">YEAR(B1538)</f>
        <v>2026</v>
      </c>
      <c r="P1538" s="1" t="n">
        <f aca="false">MONTH(B1538)</f>
        <v>3</v>
      </c>
      <c r="Q1538" s="1" t="str">
        <f aca="false">TEXT(B1538,"mmm")</f>
        <v>Mar</v>
      </c>
      <c r="R1538" s="1" t="str">
        <f aca="false">"Q"&amp;ROUNDUP(MONTH(B1538)/3,0)</f>
        <v>Q1</v>
      </c>
    </row>
    <row r="1539" customFormat="false" ht="15" hidden="false" customHeight="true" outlineLevel="0" collapsed="false">
      <c r="A1539" s="1" t="n">
        <v>11538</v>
      </c>
      <c r="B1539" s="14" t="n">
        <v>46099</v>
      </c>
      <c r="C1539" s="1" t="n">
        <v>1022</v>
      </c>
      <c r="D1539" s="1" t="s">
        <v>27</v>
      </c>
      <c r="E1539" s="1" t="s">
        <v>36</v>
      </c>
      <c r="F1539" s="1" t="n">
        <v>1</v>
      </c>
      <c r="G1539" s="15" t="n">
        <v>232.83</v>
      </c>
      <c r="H1539" s="16" t="n">
        <v>0.2</v>
      </c>
      <c r="I1539" s="1" t="s">
        <v>33</v>
      </c>
      <c r="J1539" s="1" t="n">
        <v>8</v>
      </c>
      <c r="K1539" s="1" t="n">
        <v>2.9</v>
      </c>
      <c r="L1539" s="15" t="n">
        <v>186.26</v>
      </c>
      <c r="M1539" s="15" t="n">
        <f aca="false">F1539*G1539</f>
        <v>232.83</v>
      </c>
      <c r="N1539" s="15" t="n">
        <f aca="false">M1539-L1539</f>
        <v>46.57</v>
      </c>
      <c r="O1539" s="1" t="n">
        <f aca="false">YEAR(B1539)</f>
        <v>2026</v>
      </c>
      <c r="P1539" s="1" t="n">
        <f aca="false">MONTH(B1539)</f>
        <v>3</v>
      </c>
      <c r="Q1539" s="1" t="str">
        <f aca="false">TEXT(B1539,"mmm")</f>
        <v>Mar</v>
      </c>
      <c r="R1539" s="1" t="str">
        <f aca="false">"Q"&amp;ROUNDUP(MONTH(B1539)/3,0)</f>
        <v>Q1</v>
      </c>
    </row>
    <row r="1540" customFormat="false" ht="15" hidden="false" customHeight="true" outlineLevel="0" collapsed="false">
      <c r="A1540" s="1" t="n">
        <v>11539</v>
      </c>
      <c r="B1540" s="14" t="n">
        <v>46100</v>
      </c>
      <c r="C1540" s="1" t="n">
        <v>1814</v>
      </c>
      <c r="D1540" s="1" t="s">
        <v>34</v>
      </c>
      <c r="E1540" s="1" t="s">
        <v>28</v>
      </c>
      <c r="F1540" s="1" t="n">
        <v>4</v>
      </c>
      <c r="G1540" s="15" t="n">
        <v>232.37</v>
      </c>
      <c r="H1540" s="16" t="n">
        <v>0.08</v>
      </c>
      <c r="I1540" s="1" t="s">
        <v>31</v>
      </c>
      <c r="J1540" s="1" t="n">
        <v>2</v>
      </c>
      <c r="K1540" s="1" t="n">
        <v>4.1</v>
      </c>
      <c r="L1540" s="15" t="n">
        <v>855.12</v>
      </c>
      <c r="M1540" s="15" t="n">
        <f aca="false">F1540*G1540</f>
        <v>929.48</v>
      </c>
      <c r="N1540" s="15" t="n">
        <f aca="false">M1540-L1540</f>
        <v>74.36</v>
      </c>
      <c r="O1540" s="1" t="n">
        <f aca="false">YEAR(B1540)</f>
        <v>2026</v>
      </c>
      <c r="P1540" s="1" t="n">
        <f aca="false">MONTH(B1540)</f>
        <v>3</v>
      </c>
      <c r="Q1540" s="1" t="str">
        <f aca="false">TEXT(B1540,"mmm")</f>
        <v>Mar</v>
      </c>
      <c r="R1540" s="1" t="str">
        <f aca="false">"Q"&amp;ROUNDUP(MONTH(B1540)/3,0)</f>
        <v>Q1</v>
      </c>
    </row>
    <row r="1541" customFormat="false" ht="15" hidden="false" customHeight="true" outlineLevel="0" collapsed="false">
      <c r="A1541" s="1" t="n">
        <v>11540</v>
      </c>
      <c r="B1541" s="14" t="n">
        <v>46101</v>
      </c>
      <c r="C1541" s="1" t="n">
        <v>1345</v>
      </c>
      <c r="D1541" s="1" t="s">
        <v>27</v>
      </c>
      <c r="E1541" s="1" t="s">
        <v>36</v>
      </c>
      <c r="F1541" s="1" t="n">
        <v>4</v>
      </c>
      <c r="G1541" s="15" t="n">
        <v>129.09</v>
      </c>
      <c r="H1541" s="16" t="n">
        <v>0.03</v>
      </c>
      <c r="I1541" s="1" t="s">
        <v>33</v>
      </c>
      <c r="J1541" s="1" t="n">
        <v>6</v>
      </c>
      <c r="K1541" s="1" t="n">
        <v>1.3</v>
      </c>
      <c r="L1541" s="15" t="n">
        <v>500.87</v>
      </c>
      <c r="M1541" s="15" t="n">
        <f aca="false">F1541*G1541</f>
        <v>516.36</v>
      </c>
      <c r="N1541" s="15" t="n">
        <f aca="false">M1541-L1541</f>
        <v>15.49</v>
      </c>
      <c r="O1541" s="1" t="n">
        <f aca="false">YEAR(B1541)</f>
        <v>2026</v>
      </c>
      <c r="P1541" s="1" t="n">
        <f aca="false">MONTH(B1541)</f>
        <v>3</v>
      </c>
      <c r="Q1541" s="1" t="str">
        <f aca="false">TEXT(B1541,"mmm")</f>
        <v>Mar</v>
      </c>
      <c r="R1541" s="1" t="str">
        <f aca="false">"Q"&amp;ROUNDUP(MONTH(B1541)/3,0)</f>
        <v>Q1</v>
      </c>
    </row>
    <row r="1542" customFormat="false" ht="15" hidden="false" customHeight="true" outlineLevel="0" collapsed="false">
      <c r="A1542" s="1" t="n">
        <v>11541</v>
      </c>
      <c r="B1542" s="14" t="n">
        <v>46102</v>
      </c>
      <c r="C1542" s="1" t="n">
        <v>1301</v>
      </c>
      <c r="D1542" s="1" t="s">
        <v>30</v>
      </c>
      <c r="E1542" s="1" t="s">
        <v>36</v>
      </c>
      <c r="F1542" s="1" t="n">
        <v>1</v>
      </c>
      <c r="G1542" s="15" t="n">
        <v>81.88</v>
      </c>
      <c r="H1542" s="16" t="n">
        <v>0.01</v>
      </c>
      <c r="I1542" s="1" t="s">
        <v>31</v>
      </c>
      <c r="J1542" s="1" t="n">
        <v>5</v>
      </c>
      <c r="K1542" s="1" t="n">
        <v>4.8</v>
      </c>
      <c r="L1542" s="15" t="n">
        <v>81.06</v>
      </c>
      <c r="M1542" s="15" t="n">
        <f aca="false">F1542*G1542</f>
        <v>81.88</v>
      </c>
      <c r="N1542" s="15" t="n">
        <f aca="false">M1542-L1542</f>
        <v>0.819999999999993</v>
      </c>
      <c r="O1542" s="1" t="n">
        <f aca="false">YEAR(B1542)</f>
        <v>2026</v>
      </c>
      <c r="P1542" s="1" t="n">
        <f aca="false">MONTH(B1542)</f>
        <v>3</v>
      </c>
      <c r="Q1542" s="1" t="str">
        <f aca="false">TEXT(B1542,"mmm")</f>
        <v>Mar</v>
      </c>
      <c r="R1542" s="1" t="str">
        <f aca="false">"Q"&amp;ROUNDUP(MONTH(B1542)/3,0)</f>
        <v>Q1</v>
      </c>
    </row>
    <row r="1543" customFormat="false" ht="15" hidden="false" customHeight="true" outlineLevel="0" collapsed="false">
      <c r="A1543" s="1" t="n">
        <v>11542</v>
      </c>
      <c r="B1543" s="14" t="n">
        <v>46103</v>
      </c>
      <c r="C1543" s="1" t="n">
        <v>1362</v>
      </c>
      <c r="D1543" s="1" t="s">
        <v>30</v>
      </c>
      <c r="E1543" s="1" t="s">
        <v>28</v>
      </c>
      <c r="F1543" s="1" t="n">
        <v>3</v>
      </c>
      <c r="G1543" s="15" t="n">
        <v>448.08</v>
      </c>
      <c r="H1543" s="16" t="n">
        <v>0.09</v>
      </c>
      <c r="I1543" s="1" t="s">
        <v>31</v>
      </c>
      <c r="J1543" s="1" t="n">
        <v>2</v>
      </c>
      <c r="K1543" s="1" t="n">
        <v>3.4</v>
      </c>
      <c r="L1543" s="15" t="n">
        <v>1223.26</v>
      </c>
      <c r="M1543" s="15" t="n">
        <f aca="false">F1543*G1543</f>
        <v>1344.24</v>
      </c>
      <c r="N1543" s="15" t="n">
        <f aca="false">M1543-L1543</f>
        <v>120.98</v>
      </c>
      <c r="O1543" s="1" t="n">
        <f aca="false">YEAR(B1543)</f>
        <v>2026</v>
      </c>
      <c r="P1543" s="1" t="n">
        <f aca="false">MONTH(B1543)</f>
        <v>3</v>
      </c>
      <c r="Q1543" s="1" t="str">
        <f aca="false">TEXT(B1543,"mmm")</f>
        <v>Mar</v>
      </c>
      <c r="R1543" s="1" t="str">
        <f aca="false">"Q"&amp;ROUNDUP(MONTH(B1543)/3,0)</f>
        <v>Q1</v>
      </c>
    </row>
    <row r="1544" customFormat="false" ht="15" hidden="false" customHeight="true" outlineLevel="0" collapsed="false">
      <c r="A1544" s="1" t="n">
        <v>11543</v>
      </c>
      <c r="B1544" s="14" t="n">
        <v>46104</v>
      </c>
      <c r="C1544" s="1" t="n">
        <v>1395</v>
      </c>
      <c r="D1544" s="1" t="s">
        <v>30</v>
      </c>
      <c r="E1544" s="1" t="s">
        <v>32</v>
      </c>
      <c r="F1544" s="1" t="n">
        <v>3</v>
      </c>
      <c r="G1544" s="15" t="n">
        <v>465.47</v>
      </c>
      <c r="H1544" s="16" t="n">
        <v>0.03</v>
      </c>
      <c r="I1544" s="1" t="s">
        <v>33</v>
      </c>
      <c r="J1544" s="1" t="n">
        <v>10</v>
      </c>
      <c r="K1544" s="1" t="n">
        <v>4.6</v>
      </c>
      <c r="L1544" s="15" t="n">
        <v>1354.52</v>
      </c>
      <c r="M1544" s="15" t="n">
        <f aca="false">F1544*G1544</f>
        <v>1396.41</v>
      </c>
      <c r="N1544" s="15" t="n">
        <f aca="false">M1544-L1544</f>
        <v>41.8900000000001</v>
      </c>
      <c r="O1544" s="1" t="n">
        <f aca="false">YEAR(B1544)</f>
        <v>2026</v>
      </c>
      <c r="P1544" s="1" t="n">
        <f aca="false">MONTH(B1544)</f>
        <v>3</v>
      </c>
      <c r="Q1544" s="1" t="str">
        <f aca="false">TEXT(B1544,"mmm")</f>
        <v>Mar</v>
      </c>
      <c r="R1544" s="1" t="str">
        <f aca="false">"Q"&amp;ROUNDUP(MONTH(B1544)/3,0)</f>
        <v>Q1</v>
      </c>
    </row>
    <row r="1545" customFormat="false" ht="15" hidden="false" customHeight="true" outlineLevel="0" collapsed="false">
      <c r="A1545" s="1" t="n">
        <v>11544</v>
      </c>
      <c r="B1545" s="14" t="n">
        <v>46105</v>
      </c>
      <c r="C1545" s="1" t="n">
        <v>1217</v>
      </c>
      <c r="D1545" s="1" t="s">
        <v>34</v>
      </c>
      <c r="E1545" s="1" t="s">
        <v>35</v>
      </c>
      <c r="F1545" s="1" t="n">
        <v>4</v>
      </c>
      <c r="G1545" s="15" t="n">
        <v>581.87</v>
      </c>
      <c r="H1545" s="16" t="n">
        <v>0.12</v>
      </c>
      <c r="I1545" s="1" t="s">
        <v>33</v>
      </c>
      <c r="J1545" s="1" t="n">
        <v>1</v>
      </c>
      <c r="K1545" s="1" t="n">
        <v>3.7</v>
      </c>
      <c r="L1545" s="15" t="n">
        <v>2048.18</v>
      </c>
      <c r="M1545" s="15" t="n">
        <f aca="false">F1545*G1545</f>
        <v>2327.48</v>
      </c>
      <c r="N1545" s="15" t="n">
        <f aca="false">M1545-L1545</f>
        <v>279.3</v>
      </c>
      <c r="O1545" s="1" t="n">
        <f aca="false">YEAR(B1545)</f>
        <v>2026</v>
      </c>
      <c r="P1545" s="1" t="n">
        <f aca="false">MONTH(B1545)</f>
        <v>3</v>
      </c>
      <c r="Q1545" s="1" t="str">
        <f aca="false">TEXT(B1545,"mmm")</f>
        <v>Mar</v>
      </c>
      <c r="R1545" s="1" t="str">
        <f aca="false">"Q"&amp;ROUNDUP(MONTH(B1545)/3,0)</f>
        <v>Q1</v>
      </c>
    </row>
    <row r="1546" customFormat="false" ht="15" hidden="false" customHeight="true" outlineLevel="0" collapsed="false">
      <c r="A1546" s="1" t="n">
        <v>11545</v>
      </c>
      <c r="B1546" s="14" t="n">
        <v>46106</v>
      </c>
      <c r="C1546" s="1" t="n">
        <v>1140</v>
      </c>
      <c r="D1546" s="1" t="s">
        <v>34</v>
      </c>
      <c r="E1546" s="1" t="s">
        <v>35</v>
      </c>
      <c r="F1546" s="1" t="n">
        <v>1</v>
      </c>
      <c r="G1546" s="15" t="n">
        <v>467.45</v>
      </c>
      <c r="H1546" s="16" t="n">
        <v>0.27</v>
      </c>
      <c r="I1546" s="1" t="s">
        <v>33</v>
      </c>
      <c r="J1546" s="1" t="n">
        <v>6</v>
      </c>
      <c r="K1546" s="1" t="n">
        <v>3.1</v>
      </c>
      <c r="L1546" s="15" t="n">
        <v>341.24</v>
      </c>
      <c r="M1546" s="15" t="n">
        <f aca="false">F1546*G1546</f>
        <v>467.45</v>
      </c>
      <c r="N1546" s="15" t="n">
        <f aca="false">M1546-L1546</f>
        <v>126.21</v>
      </c>
      <c r="O1546" s="1" t="n">
        <f aca="false">YEAR(B1546)</f>
        <v>2026</v>
      </c>
      <c r="P1546" s="1" t="n">
        <f aca="false">MONTH(B1546)</f>
        <v>3</v>
      </c>
      <c r="Q1546" s="1" t="str">
        <f aca="false">TEXT(B1546,"mmm")</f>
        <v>Mar</v>
      </c>
      <c r="R1546" s="1" t="str">
        <f aca="false">"Q"&amp;ROUNDUP(MONTH(B1546)/3,0)</f>
        <v>Q1</v>
      </c>
    </row>
    <row r="1547" customFormat="false" ht="15" hidden="false" customHeight="true" outlineLevel="0" collapsed="false">
      <c r="A1547" s="1" t="n">
        <v>11546</v>
      </c>
      <c r="B1547" s="14" t="n">
        <v>46107</v>
      </c>
      <c r="C1547" s="1" t="n">
        <v>1615</v>
      </c>
      <c r="D1547" s="1" t="s">
        <v>30</v>
      </c>
      <c r="E1547" s="1" t="s">
        <v>36</v>
      </c>
      <c r="F1547" s="1" t="n">
        <v>3</v>
      </c>
      <c r="G1547" s="15" t="n">
        <v>157.36</v>
      </c>
      <c r="H1547" s="16" t="n">
        <v>0.25</v>
      </c>
      <c r="I1547" s="1" t="s">
        <v>31</v>
      </c>
      <c r="J1547" s="1" t="n">
        <v>6</v>
      </c>
      <c r="K1547" s="1" t="n">
        <v>1.7</v>
      </c>
      <c r="L1547" s="15" t="n">
        <v>354.06</v>
      </c>
      <c r="M1547" s="15" t="n">
        <f aca="false">F1547*G1547</f>
        <v>472.08</v>
      </c>
      <c r="N1547" s="15" t="n">
        <f aca="false">M1547-L1547</f>
        <v>118.02</v>
      </c>
      <c r="O1547" s="1" t="n">
        <f aca="false">YEAR(B1547)</f>
        <v>2026</v>
      </c>
      <c r="P1547" s="1" t="n">
        <f aca="false">MONTH(B1547)</f>
        <v>3</v>
      </c>
      <c r="Q1547" s="1" t="str">
        <f aca="false">TEXT(B1547,"mmm")</f>
        <v>Mar</v>
      </c>
      <c r="R1547" s="1" t="str">
        <f aca="false">"Q"&amp;ROUNDUP(MONTH(B1547)/3,0)</f>
        <v>Q1</v>
      </c>
    </row>
    <row r="1548" customFormat="false" ht="15" hidden="false" customHeight="true" outlineLevel="0" collapsed="false">
      <c r="A1548" s="1" t="n">
        <v>11547</v>
      </c>
      <c r="B1548" s="14" t="n">
        <v>46108</v>
      </c>
      <c r="C1548" s="1" t="n">
        <v>1957</v>
      </c>
      <c r="D1548" s="1" t="s">
        <v>34</v>
      </c>
      <c r="E1548" s="1" t="s">
        <v>32</v>
      </c>
      <c r="F1548" s="1" t="n">
        <v>5</v>
      </c>
      <c r="G1548" s="15" t="n">
        <v>38.47</v>
      </c>
      <c r="H1548" s="16" t="n">
        <v>0.21</v>
      </c>
      <c r="I1548" s="1" t="s">
        <v>33</v>
      </c>
      <c r="J1548" s="1" t="n">
        <v>3</v>
      </c>
      <c r="K1548" s="1" t="n">
        <v>1.7</v>
      </c>
      <c r="L1548" s="15" t="n">
        <v>151.96</v>
      </c>
      <c r="M1548" s="15" t="n">
        <f aca="false">F1548*G1548</f>
        <v>192.35</v>
      </c>
      <c r="N1548" s="15" t="n">
        <f aca="false">M1548-L1548</f>
        <v>40.39</v>
      </c>
      <c r="O1548" s="1" t="n">
        <f aca="false">YEAR(B1548)</f>
        <v>2026</v>
      </c>
      <c r="P1548" s="1" t="n">
        <f aca="false">MONTH(B1548)</f>
        <v>3</v>
      </c>
      <c r="Q1548" s="1" t="str">
        <f aca="false">TEXT(B1548,"mmm")</f>
        <v>Mar</v>
      </c>
      <c r="R1548" s="1" t="str">
        <f aca="false">"Q"&amp;ROUNDUP(MONTH(B1548)/3,0)</f>
        <v>Q1</v>
      </c>
    </row>
    <row r="1549" customFormat="false" ht="15" hidden="false" customHeight="true" outlineLevel="0" collapsed="false">
      <c r="A1549" s="1" t="n">
        <v>11548</v>
      </c>
      <c r="B1549" s="14" t="n">
        <v>46109</v>
      </c>
      <c r="C1549" s="1" t="n">
        <v>1209</v>
      </c>
      <c r="D1549" s="1" t="s">
        <v>27</v>
      </c>
      <c r="E1549" s="1" t="s">
        <v>35</v>
      </c>
      <c r="F1549" s="1" t="n">
        <v>2</v>
      </c>
      <c r="G1549" s="15" t="n">
        <v>591.48</v>
      </c>
      <c r="H1549" s="16" t="n">
        <v>0.3</v>
      </c>
      <c r="I1549" s="1" t="s">
        <v>31</v>
      </c>
      <c r="J1549" s="1" t="n">
        <v>8</v>
      </c>
      <c r="K1549" s="1" t="n">
        <v>2.9</v>
      </c>
      <c r="L1549" s="15" t="n">
        <v>828.07</v>
      </c>
      <c r="M1549" s="15" t="n">
        <f aca="false">F1549*G1549</f>
        <v>1182.96</v>
      </c>
      <c r="N1549" s="15" t="n">
        <f aca="false">M1549-L1549</f>
        <v>354.89</v>
      </c>
      <c r="O1549" s="1" t="n">
        <f aca="false">YEAR(B1549)</f>
        <v>2026</v>
      </c>
      <c r="P1549" s="1" t="n">
        <f aca="false">MONTH(B1549)</f>
        <v>3</v>
      </c>
      <c r="Q1549" s="1" t="str">
        <f aca="false">TEXT(B1549,"mmm")</f>
        <v>Mar</v>
      </c>
      <c r="R1549" s="1" t="str">
        <f aca="false">"Q"&amp;ROUNDUP(MONTH(B1549)/3,0)</f>
        <v>Q1</v>
      </c>
    </row>
    <row r="1550" customFormat="false" ht="15" hidden="false" customHeight="true" outlineLevel="0" collapsed="false">
      <c r="A1550" s="1" t="n">
        <v>11549</v>
      </c>
      <c r="B1550" s="14" t="n">
        <v>46110</v>
      </c>
      <c r="C1550" s="1" t="n">
        <v>1984</v>
      </c>
      <c r="D1550" s="1" t="s">
        <v>30</v>
      </c>
      <c r="E1550" s="1" t="s">
        <v>32</v>
      </c>
      <c r="F1550" s="1" t="n">
        <v>2</v>
      </c>
      <c r="G1550" s="15" t="n">
        <v>214.16</v>
      </c>
      <c r="H1550" s="16" t="n">
        <v>0.1</v>
      </c>
      <c r="I1550" s="1" t="s">
        <v>33</v>
      </c>
      <c r="J1550" s="1" t="n">
        <v>9</v>
      </c>
      <c r="K1550" s="1" t="n">
        <v>4.5</v>
      </c>
      <c r="L1550" s="15" t="n">
        <v>385.49</v>
      </c>
      <c r="M1550" s="15" t="n">
        <f aca="false">F1550*G1550</f>
        <v>428.32</v>
      </c>
      <c r="N1550" s="15" t="n">
        <f aca="false">M1550-L1550</f>
        <v>42.83</v>
      </c>
      <c r="O1550" s="1" t="n">
        <f aca="false">YEAR(B1550)</f>
        <v>2026</v>
      </c>
      <c r="P1550" s="1" t="n">
        <f aca="false">MONTH(B1550)</f>
        <v>3</v>
      </c>
      <c r="Q1550" s="1" t="str">
        <f aca="false">TEXT(B1550,"mmm")</f>
        <v>Mar</v>
      </c>
      <c r="R1550" s="1" t="str">
        <f aca="false">"Q"&amp;ROUNDUP(MONTH(B1550)/3,0)</f>
        <v>Q1</v>
      </c>
    </row>
    <row r="1551" customFormat="false" ht="15" hidden="false" customHeight="true" outlineLevel="0" collapsed="false">
      <c r="A1551" s="1" t="n">
        <v>11550</v>
      </c>
      <c r="B1551" s="14" t="n">
        <v>46111</v>
      </c>
      <c r="C1551" s="1" t="n">
        <v>1992</v>
      </c>
      <c r="D1551" s="1" t="s">
        <v>34</v>
      </c>
      <c r="E1551" s="1" t="s">
        <v>28</v>
      </c>
      <c r="F1551" s="1" t="n">
        <v>6</v>
      </c>
      <c r="G1551" s="15" t="n">
        <v>197.5</v>
      </c>
      <c r="H1551" s="16" t="n">
        <v>0.31</v>
      </c>
      <c r="I1551" s="1" t="s">
        <v>33</v>
      </c>
      <c r="J1551" s="1" t="n">
        <v>3</v>
      </c>
      <c r="K1551" s="1" t="n">
        <v>1.5</v>
      </c>
      <c r="L1551" s="15" t="n">
        <v>817.65</v>
      </c>
      <c r="M1551" s="15" t="n">
        <f aca="false">F1551*G1551</f>
        <v>1185</v>
      </c>
      <c r="N1551" s="15" t="n">
        <f aca="false">M1551-L1551</f>
        <v>367.35</v>
      </c>
      <c r="O1551" s="1" t="n">
        <f aca="false">YEAR(B1551)</f>
        <v>2026</v>
      </c>
      <c r="P1551" s="1" t="n">
        <f aca="false">MONTH(B1551)</f>
        <v>3</v>
      </c>
      <c r="Q1551" s="1" t="str">
        <f aca="false">TEXT(B1551,"mmm")</f>
        <v>Mar</v>
      </c>
      <c r="R1551" s="1" t="str">
        <f aca="false">"Q"&amp;ROUNDUP(MONTH(B1551)/3,0)</f>
        <v>Q1</v>
      </c>
    </row>
    <row r="1552" customFormat="false" ht="15" hidden="false" customHeight="true" outlineLevel="0" collapsed="false">
      <c r="A1552" s="1" t="n">
        <v>11551</v>
      </c>
      <c r="B1552" s="14" t="n">
        <v>46112</v>
      </c>
      <c r="C1552" s="1" t="n">
        <v>1622</v>
      </c>
      <c r="D1552" s="1" t="s">
        <v>37</v>
      </c>
      <c r="E1552" s="1" t="s">
        <v>36</v>
      </c>
      <c r="F1552" s="1" t="n">
        <v>2</v>
      </c>
      <c r="G1552" s="15" t="n">
        <v>544.98</v>
      </c>
      <c r="H1552" s="16" t="n">
        <v>0.14</v>
      </c>
      <c r="I1552" s="1" t="s">
        <v>31</v>
      </c>
      <c r="J1552" s="1" t="n">
        <v>9</v>
      </c>
      <c r="K1552" s="1" t="n">
        <v>5</v>
      </c>
      <c r="L1552" s="15" t="n">
        <v>937.37</v>
      </c>
      <c r="M1552" s="15" t="n">
        <f aca="false">F1552*G1552</f>
        <v>1089.96</v>
      </c>
      <c r="N1552" s="15" t="n">
        <f aca="false">M1552-L1552</f>
        <v>152.59</v>
      </c>
      <c r="O1552" s="1" t="n">
        <f aca="false">YEAR(B1552)</f>
        <v>2026</v>
      </c>
      <c r="P1552" s="1" t="n">
        <f aca="false">MONTH(B1552)</f>
        <v>3</v>
      </c>
      <c r="Q1552" s="1" t="str">
        <f aca="false">TEXT(B1552,"mmm")</f>
        <v>Mar</v>
      </c>
      <c r="R1552" s="1" t="str">
        <f aca="false">"Q"&amp;ROUNDUP(MONTH(B1552)/3,0)</f>
        <v>Q1</v>
      </c>
    </row>
    <row r="1553" customFormat="false" ht="15" hidden="false" customHeight="true" outlineLevel="0" collapsed="false">
      <c r="A1553" s="1" t="n">
        <v>11552</v>
      </c>
      <c r="B1553" s="14" t="n">
        <v>46113</v>
      </c>
      <c r="C1553" s="1" t="n">
        <v>1615</v>
      </c>
      <c r="D1553" s="1" t="s">
        <v>34</v>
      </c>
      <c r="E1553" s="1" t="s">
        <v>36</v>
      </c>
      <c r="F1553" s="1" t="n">
        <v>4</v>
      </c>
      <c r="G1553" s="15" t="n">
        <v>357.28</v>
      </c>
      <c r="H1553" s="16" t="n">
        <v>0.14</v>
      </c>
      <c r="I1553" s="1" t="s">
        <v>33</v>
      </c>
      <c r="J1553" s="1" t="n">
        <v>8</v>
      </c>
      <c r="K1553" s="1" t="n">
        <v>4.5</v>
      </c>
      <c r="L1553" s="15" t="n">
        <v>1229.04</v>
      </c>
      <c r="M1553" s="15" t="n">
        <f aca="false">F1553*G1553</f>
        <v>1429.12</v>
      </c>
      <c r="N1553" s="15" t="n">
        <f aca="false">M1553-L1553</f>
        <v>200.08</v>
      </c>
      <c r="O1553" s="1" t="n">
        <f aca="false">YEAR(B1553)</f>
        <v>2026</v>
      </c>
      <c r="P1553" s="1" t="n">
        <f aca="false">MONTH(B1553)</f>
        <v>4</v>
      </c>
      <c r="Q1553" s="1" t="str">
        <f aca="false">TEXT(B1553,"mmm")</f>
        <v>Apr</v>
      </c>
      <c r="R1553" s="1" t="str">
        <f aca="false">"Q"&amp;ROUNDUP(MONTH(B1553)/3,0)</f>
        <v>Q2</v>
      </c>
    </row>
    <row r="1554" customFormat="false" ht="15" hidden="false" customHeight="true" outlineLevel="0" collapsed="false">
      <c r="A1554" s="1" t="n">
        <v>11553</v>
      </c>
      <c r="B1554" s="14" t="n">
        <v>46114</v>
      </c>
      <c r="C1554" s="1" t="n">
        <v>1827</v>
      </c>
      <c r="D1554" s="1" t="s">
        <v>30</v>
      </c>
      <c r="E1554" s="1" t="s">
        <v>32</v>
      </c>
      <c r="F1554" s="1" t="n">
        <v>2</v>
      </c>
      <c r="G1554" s="15" t="n">
        <v>140.7</v>
      </c>
      <c r="H1554" s="16" t="n">
        <v>0.14</v>
      </c>
      <c r="I1554" s="1" t="s">
        <v>33</v>
      </c>
      <c r="J1554" s="1" t="n">
        <v>5</v>
      </c>
      <c r="K1554" s="1" t="n">
        <v>2.6</v>
      </c>
      <c r="L1554" s="15" t="n">
        <v>242</v>
      </c>
      <c r="M1554" s="15" t="n">
        <f aca="false">F1554*G1554</f>
        <v>281.4</v>
      </c>
      <c r="N1554" s="15" t="n">
        <f aca="false">M1554-L1554</f>
        <v>39.4</v>
      </c>
      <c r="O1554" s="1" t="n">
        <f aca="false">YEAR(B1554)</f>
        <v>2026</v>
      </c>
      <c r="P1554" s="1" t="n">
        <f aca="false">MONTH(B1554)</f>
        <v>4</v>
      </c>
      <c r="Q1554" s="1" t="str">
        <f aca="false">TEXT(B1554,"mmm")</f>
        <v>Apr</v>
      </c>
      <c r="R1554" s="1" t="str">
        <f aca="false">"Q"&amp;ROUNDUP(MONTH(B1554)/3,0)</f>
        <v>Q2</v>
      </c>
    </row>
    <row r="1555" customFormat="false" ht="15" hidden="false" customHeight="true" outlineLevel="0" collapsed="false">
      <c r="A1555" s="1" t="n">
        <v>11554</v>
      </c>
      <c r="B1555" s="14" t="n">
        <v>46115</v>
      </c>
      <c r="C1555" s="1" t="n">
        <v>1682</v>
      </c>
      <c r="D1555" s="1" t="s">
        <v>37</v>
      </c>
      <c r="E1555" s="1" t="s">
        <v>35</v>
      </c>
      <c r="F1555" s="1" t="n">
        <v>2</v>
      </c>
      <c r="G1555" s="15" t="n">
        <v>535.12</v>
      </c>
      <c r="H1555" s="16" t="n">
        <v>0.03</v>
      </c>
      <c r="I1555" s="1" t="s">
        <v>31</v>
      </c>
      <c r="J1555" s="1" t="n">
        <v>6</v>
      </c>
      <c r="K1555" s="1" t="n">
        <v>2</v>
      </c>
      <c r="L1555" s="15" t="n">
        <v>1038.13</v>
      </c>
      <c r="M1555" s="15" t="n">
        <f aca="false">F1555*G1555</f>
        <v>1070.24</v>
      </c>
      <c r="N1555" s="15" t="n">
        <f aca="false">M1555-L1555</f>
        <v>32.1099999999999</v>
      </c>
      <c r="O1555" s="1" t="n">
        <f aca="false">YEAR(B1555)</f>
        <v>2026</v>
      </c>
      <c r="P1555" s="1" t="n">
        <f aca="false">MONTH(B1555)</f>
        <v>4</v>
      </c>
      <c r="Q1555" s="1" t="str">
        <f aca="false">TEXT(B1555,"mmm")</f>
        <v>Apr</v>
      </c>
      <c r="R1555" s="1" t="str">
        <f aca="false">"Q"&amp;ROUNDUP(MONTH(B1555)/3,0)</f>
        <v>Q2</v>
      </c>
    </row>
    <row r="1556" customFormat="false" ht="15" hidden="false" customHeight="true" outlineLevel="0" collapsed="false">
      <c r="A1556" s="1" t="n">
        <v>11555</v>
      </c>
      <c r="B1556" s="14" t="n">
        <v>46116</v>
      </c>
      <c r="C1556" s="1" t="n">
        <v>1459</v>
      </c>
      <c r="D1556" s="1" t="s">
        <v>27</v>
      </c>
      <c r="E1556" s="1" t="s">
        <v>32</v>
      </c>
      <c r="F1556" s="1" t="n">
        <v>5</v>
      </c>
      <c r="G1556" s="15" t="n">
        <v>596.12</v>
      </c>
      <c r="H1556" s="16" t="n">
        <v>0.34</v>
      </c>
      <c r="I1556" s="1" t="s">
        <v>29</v>
      </c>
      <c r="J1556" s="1" t="n">
        <v>1</v>
      </c>
      <c r="K1556" s="1" t="n">
        <v>4.7</v>
      </c>
      <c r="L1556" s="15" t="n">
        <v>1967.2</v>
      </c>
      <c r="M1556" s="15" t="n">
        <f aca="false">F1556*G1556</f>
        <v>2980.6</v>
      </c>
      <c r="N1556" s="15" t="n">
        <f aca="false">M1556-L1556</f>
        <v>1013.4</v>
      </c>
      <c r="O1556" s="1" t="n">
        <f aca="false">YEAR(B1556)</f>
        <v>2026</v>
      </c>
      <c r="P1556" s="1" t="n">
        <f aca="false">MONTH(B1556)</f>
        <v>4</v>
      </c>
      <c r="Q1556" s="1" t="str">
        <f aca="false">TEXT(B1556,"mmm")</f>
        <v>Apr</v>
      </c>
      <c r="R1556" s="1" t="str">
        <f aca="false">"Q"&amp;ROUNDUP(MONTH(B1556)/3,0)</f>
        <v>Q2</v>
      </c>
    </row>
    <row r="1557" customFormat="false" ht="15" hidden="false" customHeight="true" outlineLevel="0" collapsed="false">
      <c r="A1557" s="1" t="n">
        <v>11556</v>
      </c>
      <c r="B1557" s="14" t="n">
        <v>46117</v>
      </c>
      <c r="C1557" s="1" t="n">
        <v>1355</v>
      </c>
      <c r="D1557" s="1" t="s">
        <v>37</v>
      </c>
      <c r="E1557" s="1" t="s">
        <v>28</v>
      </c>
      <c r="F1557" s="1" t="n">
        <v>3</v>
      </c>
      <c r="G1557" s="15" t="n">
        <v>65.71</v>
      </c>
      <c r="H1557" s="16" t="n">
        <v>0.05</v>
      </c>
      <c r="I1557" s="1" t="s">
        <v>29</v>
      </c>
      <c r="J1557" s="1" t="n">
        <v>5</v>
      </c>
      <c r="K1557" s="1" t="n">
        <v>1.5</v>
      </c>
      <c r="L1557" s="15" t="n">
        <v>187.27</v>
      </c>
      <c r="M1557" s="15" t="n">
        <f aca="false">F1557*G1557</f>
        <v>197.13</v>
      </c>
      <c r="N1557" s="15" t="n">
        <f aca="false">M1557-L1557</f>
        <v>9.85999999999999</v>
      </c>
      <c r="O1557" s="1" t="n">
        <f aca="false">YEAR(B1557)</f>
        <v>2026</v>
      </c>
      <c r="P1557" s="1" t="n">
        <f aca="false">MONTH(B1557)</f>
        <v>4</v>
      </c>
      <c r="Q1557" s="1" t="str">
        <f aca="false">TEXT(B1557,"mmm")</f>
        <v>Apr</v>
      </c>
      <c r="R1557" s="1" t="str">
        <f aca="false">"Q"&amp;ROUNDUP(MONTH(B1557)/3,0)</f>
        <v>Q2</v>
      </c>
    </row>
    <row r="1558" customFormat="false" ht="15" hidden="false" customHeight="true" outlineLevel="0" collapsed="false">
      <c r="A1558" s="1" t="n">
        <v>11557</v>
      </c>
      <c r="B1558" s="14" t="n">
        <v>46118</v>
      </c>
      <c r="C1558" s="1" t="n">
        <v>1323</v>
      </c>
      <c r="D1558" s="1" t="s">
        <v>37</v>
      </c>
      <c r="E1558" s="1" t="s">
        <v>35</v>
      </c>
      <c r="F1558" s="1" t="n">
        <v>5</v>
      </c>
      <c r="G1558" s="15" t="n">
        <v>519.42</v>
      </c>
      <c r="H1558" s="16" t="n">
        <v>0.12</v>
      </c>
      <c r="I1558" s="1" t="s">
        <v>31</v>
      </c>
      <c r="J1558" s="1" t="n">
        <v>10</v>
      </c>
      <c r="K1558" s="1" t="n">
        <v>2.4</v>
      </c>
      <c r="L1558" s="15" t="n">
        <v>2285.45</v>
      </c>
      <c r="M1558" s="15" t="n">
        <f aca="false">F1558*G1558</f>
        <v>2597.1</v>
      </c>
      <c r="N1558" s="15" t="n">
        <f aca="false">M1558-L1558</f>
        <v>311.65</v>
      </c>
      <c r="O1558" s="1" t="n">
        <f aca="false">YEAR(B1558)</f>
        <v>2026</v>
      </c>
      <c r="P1558" s="1" t="n">
        <f aca="false">MONTH(B1558)</f>
        <v>4</v>
      </c>
      <c r="Q1558" s="1" t="str">
        <f aca="false">TEXT(B1558,"mmm")</f>
        <v>Apr</v>
      </c>
      <c r="R1558" s="1" t="str">
        <f aca="false">"Q"&amp;ROUNDUP(MONTH(B1558)/3,0)</f>
        <v>Q2</v>
      </c>
    </row>
    <row r="1559" customFormat="false" ht="15" hidden="false" customHeight="true" outlineLevel="0" collapsed="false">
      <c r="A1559" s="1" t="n">
        <v>11558</v>
      </c>
      <c r="B1559" s="14" t="n">
        <v>46119</v>
      </c>
      <c r="C1559" s="1" t="n">
        <v>1132</v>
      </c>
      <c r="D1559" s="1" t="s">
        <v>37</v>
      </c>
      <c r="E1559" s="1" t="s">
        <v>35</v>
      </c>
      <c r="F1559" s="1" t="n">
        <v>4</v>
      </c>
      <c r="G1559" s="15" t="n">
        <v>243.45</v>
      </c>
      <c r="H1559" s="16" t="n">
        <v>0.11</v>
      </c>
      <c r="I1559" s="1" t="s">
        <v>29</v>
      </c>
      <c r="J1559" s="1" t="n">
        <v>10</v>
      </c>
      <c r="K1559" s="1" t="n">
        <v>1.3</v>
      </c>
      <c r="L1559" s="15" t="n">
        <v>866.68</v>
      </c>
      <c r="M1559" s="15" t="n">
        <f aca="false">F1559*G1559</f>
        <v>973.8</v>
      </c>
      <c r="N1559" s="15" t="n">
        <f aca="false">M1559-L1559</f>
        <v>107.12</v>
      </c>
      <c r="O1559" s="1" t="n">
        <f aca="false">YEAR(B1559)</f>
        <v>2026</v>
      </c>
      <c r="P1559" s="1" t="n">
        <f aca="false">MONTH(B1559)</f>
        <v>4</v>
      </c>
      <c r="Q1559" s="1" t="str">
        <f aca="false">TEXT(B1559,"mmm")</f>
        <v>Apr</v>
      </c>
      <c r="R1559" s="1" t="str">
        <f aca="false">"Q"&amp;ROUNDUP(MONTH(B1559)/3,0)</f>
        <v>Q2</v>
      </c>
    </row>
    <row r="1560" customFormat="false" ht="15" hidden="false" customHeight="true" outlineLevel="0" collapsed="false">
      <c r="A1560" s="1" t="n">
        <v>11559</v>
      </c>
      <c r="B1560" s="14" t="n">
        <v>46120</v>
      </c>
      <c r="C1560" s="1" t="n">
        <v>1887</v>
      </c>
      <c r="D1560" s="1" t="s">
        <v>27</v>
      </c>
      <c r="E1560" s="1" t="s">
        <v>32</v>
      </c>
      <c r="F1560" s="1" t="n">
        <v>2</v>
      </c>
      <c r="G1560" s="15" t="n">
        <v>321.58</v>
      </c>
      <c r="H1560" s="16" t="n">
        <v>0.03</v>
      </c>
      <c r="I1560" s="1" t="s">
        <v>31</v>
      </c>
      <c r="J1560" s="1" t="n">
        <v>7</v>
      </c>
      <c r="K1560" s="1" t="n">
        <v>4.8</v>
      </c>
      <c r="L1560" s="15" t="n">
        <v>623.87</v>
      </c>
      <c r="M1560" s="15" t="n">
        <f aca="false">F1560*G1560</f>
        <v>643.16</v>
      </c>
      <c r="N1560" s="15" t="n">
        <f aca="false">M1560-L1560</f>
        <v>19.29</v>
      </c>
      <c r="O1560" s="1" t="n">
        <f aca="false">YEAR(B1560)</f>
        <v>2026</v>
      </c>
      <c r="P1560" s="1" t="n">
        <f aca="false">MONTH(B1560)</f>
        <v>4</v>
      </c>
      <c r="Q1560" s="1" t="str">
        <f aca="false">TEXT(B1560,"mmm")</f>
        <v>Apr</v>
      </c>
      <c r="R1560" s="1" t="str">
        <f aca="false">"Q"&amp;ROUNDUP(MONTH(B1560)/3,0)</f>
        <v>Q2</v>
      </c>
    </row>
    <row r="1561" customFormat="false" ht="15" hidden="false" customHeight="true" outlineLevel="0" collapsed="false">
      <c r="A1561" s="1" t="n">
        <v>11560</v>
      </c>
      <c r="B1561" s="14" t="n">
        <v>46121</v>
      </c>
      <c r="C1561" s="1" t="n">
        <v>1804</v>
      </c>
      <c r="D1561" s="1" t="s">
        <v>34</v>
      </c>
      <c r="E1561" s="1" t="s">
        <v>28</v>
      </c>
      <c r="F1561" s="1" t="n">
        <v>7</v>
      </c>
      <c r="G1561" s="15" t="n">
        <v>550.17</v>
      </c>
      <c r="H1561" s="16" t="n">
        <v>0.05</v>
      </c>
      <c r="I1561" s="1" t="s">
        <v>33</v>
      </c>
      <c r="J1561" s="1" t="n">
        <v>1</v>
      </c>
      <c r="K1561" s="1" t="n">
        <v>3.5</v>
      </c>
      <c r="L1561" s="15" t="n">
        <v>3658.63</v>
      </c>
      <c r="M1561" s="15" t="n">
        <f aca="false">F1561*G1561</f>
        <v>3851.19</v>
      </c>
      <c r="N1561" s="15" t="n">
        <f aca="false">M1561-L1561</f>
        <v>192.56</v>
      </c>
      <c r="O1561" s="1" t="n">
        <f aca="false">YEAR(B1561)</f>
        <v>2026</v>
      </c>
      <c r="P1561" s="1" t="n">
        <f aca="false">MONTH(B1561)</f>
        <v>4</v>
      </c>
      <c r="Q1561" s="1" t="str">
        <f aca="false">TEXT(B1561,"mmm")</f>
        <v>Apr</v>
      </c>
      <c r="R1561" s="1" t="str">
        <f aca="false">"Q"&amp;ROUNDUP(MONTH(B1561)/3,0)</f>
        <v>Q2</v>
      </c>
    </row>
    <row r="1562" customFormat="false" ht="15" hidden="false" customHeight="true" outlineLevel="0" collapsed="false">
      <c r="A1562" s="1" t="n">
        <v>11561</v>
      </c>
      <c r="B1562" s="14" t="n">
        <v>46122</v>
      </c>
      <c r="C1562" s="1" t="n">
        <v>1839</v>
      </c>
      <c r="D1562" s="1" t="s">
        <v>34</v>
      </c>
      <c r="E1562" s="1" t="s">
        <v>35</v>
      </c>
      <c r="F1562" s="1" t="n">
        <v>3</v>
      </c>
      <c r="G1562" s="15" t="n">
        <v>584.43</v>
      </c>
      <c r="H1562" s="16" t="n">
        <v>0.02</v>
      </c>
      <c r="I1562" s="1" t="s">
        <v>29</v>
      </c>
      <c r="J1562" s="1" t="n">
        <v>10</v>
      </c>
      <c r="K1562" s="1" t="n">
        <v>2.3</v>
      </c>
      <c r="L1562" s="15" t="n">
        <v>1718.22</v>
      </c>
      <c r="M1562" s="15" t="n">
        <f aca="false">F1562*G1562</f>
        <v>1753.29</v>
      </c>
      <c r="N1562" s="15" t="n">
        <f aca="false">M1562-L1562</f>
        <v>35.0699999999999</v>
      </c>
      <c r="O1562" s="1" t="n">
        <f aca="false">YEAR(B1562)</f>
        <v>2026</v>
      </c>
      <c r="P1562" s="1" t="n">
        <f aca="false">MONTH(B1562)</f>
        <v>4</v>
      </c>
      <c r="Q1562" s="1" t="str">
        <f aca="false">TEXT(B1562,"mmm")</f>
        <v>Apr</v>
      </c>
      <c r="R1562" s="1" t="str">
        <f aca="false">"Q"&amp;ROUNDUP(MONTH(B1562)/3,0)</f>
        <v>Q2</v>
      </c>
    </row>
    <row r="1563" customFormat="false" ht="15" hidden="false" customHeight="true" outlineLevel="0" collapsed="false">
      <c r="A1563" s="1" t="n">
        <v>11562</v>
      </c>
      <c r="B1563" s="14" t="n">
        <v>46123</v>
      </c>
      <c r="C1563" s="1" t="n">
        <v>1126</v>
      </c>
      <c r="D1563" s="1" t="s">
        <v>34</v>
      </c>
      <c r="E1563" s="1" t="s">
        <v>36</v>
      </c>
      <c r="F1563" s="1" t="n">
        <v>6</v>
      </c>
      <c r="G1563" s="15" t="n">
        <v>168.37</v>
      </c>
      <c r="H1563" s="16" t="n">
        <v>0.1</v>
      </c>
      <c r="I1563" s="1" t="s">
        <v>33</v>
      </c>
      <c r="J1563" s="1" t="n">
        <v>9</v>
      </c>
      <c r="K1563" s="1" t="n">
        <v>2.1</v>
      </c>
      <c r="L1563" s="15" t="n">
        <v>909.2</v>
      </c>
      <c r="M1563" s="15" t="n">
        <f aca="false">F1563*G1563</f>
        <v>1010.22</v>
      </c>
      <c r="N1563" s="15" t="n">
        <f aca="false">M1563-L1563</f>
        <v>101.02</v>
      </c>
      <c r="O1563" s="1" t="n">
        <f aca="false">YEAR(B1563)</f>
        <v>2026</v>
      </c>
      <c r="P1563" s="1" t="n">
        <f aca="false">MONTH(B1563)</f>
        <v>4</v>
      </c>
      <c r="Q1563" s="1" t="str">
        <f aca="false">TEXT(B1563,"mmm")</f>
        <v>Apr</v>
      </c>
      <c r="R1563" s="1" t="str">
        <f aca="false">"Q"&amp;ROUNDUP(MONTH(B1563)/3,0)</f>
        <v>Q2</v>
      </c>
    </row>
    <row r="1564" customFormat="false" ht="15" hidden="false" customHeight="true" outlineLevel="0" collapsed="false">
      <c r="A1564" s="1" t="n">
        <v>11563</v>
      </c>
      <c r="B1564" s="14" t="n">
        <v>46124</v>
      </c>
      <c r="C1564" s="1" t="n">
        <v>1105</v>
      </c>
      <c r="D1564" s="1" t="s">
        <v>34</v>
      </c>
      <c r="E1564" s="1" t="s">
        <v>28</v>
      </c>
      <c r="F1564" s="1" t="n">
        <v>6</v>
      </c>
      <c r="G1564" s="15" t="n">
        <v>139.52</v>
      </c>
      <c r="H1564" s="16" t="n">
        <v>0.3</v>
      </c>
      <c r="I1564" s="1" t="s">
        <v>31</v>
      </c>
      <c r="J1564" s="1" t="n">
        <v>7</v>
      </c>
      <c r="K1564" s="1" t="n">
        <v>2.8</v>
      </c>
      <c r="L1564" s="15" t="n">
        <v>585.98</v>
      </c>
      <c r="M1564" s="15" t="n">
        <f aca="false">F1564*G1564</f>
        <v>837.12</v>
      </c>
      <c r="N1564" s="15" t="n">
        <f aca="false">M1564-L1564</f>
        <v>251.14</v>
      </c>
      <c r="O1564" s="1" t="n">
        <f aca="false">YEAR(B1564)</f>
        <v>2026</v>
      </c>
      <c r="P1564" s="1" t="n">
        <f aca="false">MONTH(B1564)</f>
        <v>4</v>
      </c>
      <c r="Q1564" s="1" t="str">
        <f aca="false">TEXT(B1564,"mmm")</f>
        <v>Apr</v>
      </c>
      <c r="R1564" s="1" t="str">
        <f aca="false">"Q"&amp;ROUNDUP(MONTH(B1564)/3,0)</f>
        <v>Q2</v>
      </c>
    </row>
    <row r="1565" customFormat="false" ht="15" hidden="false" customHeight="true" outlineLevel="0" collapsed="false">
      <c r="A1565" s="1" t="n">
        <v>11564</v>
      </c>
      <c r="B1565" s="14" t="n">
        <v>46125</v>
      </c>
      <c r="C1565" s="1" t="n">
        <v>1603</v>
      </c>
      <c r="D1565" s="1" t="s">
        <v>37</v>
      </c>
      <c r="E1565" s="1" t="s">
        <v>35</v>
      </c>
      <c r="F1565" s="1" t="n">
        <v>2</v>
      </c>
      <c r="G1565" s="15" t="n">
        <v>62.1</v>
      </c>
      <c r="H1565" s="16" t="n">
        <v>0.12</v>
      </c>
      <c r="I1565" s="1" t="s">
        <v>29</v>
      </c>
      <c r="J1565" s="1" t="n">
        <v>4</v>
      </c>
      <c r="K1565" s="1" t="n">
        <v>1.4</v>
      </c>
      <c r="L1565" s="15" t="n">
        <v>109.3</v>
      </c>
      <c r="M1565" s="15" t="n">
        <f aca="false">F1565*G1565</f>
        <v>124.2</v>
      </c>
      <c r="N1565" s="15" t="n">
        <f aca="false">M1565-L1565</f>
        <v>14.9</v>
      </c>
      <c r="O1565" s="1" t="n">
        <f aca="false">YEAR(B1565)</f>
        <v>2026</v>
      </c>
      <c r="P1565" s="1" t="n">
        <f aca="false">MONTH(B1565)</f>
        <v>4</v>
      </c>
      <c r="Q1565" s="1" t="str">
        <f aca="false">TEXT(B1565,"mmm")</f>
        <v>Apr</v>
      </c>
      <c r="R1565" s="1" t="str">
        <f aca="false">"Q"&amp;ROUNDUP(MONTH(B1565)/3,0)</f>
        <v>Q2</v>
      </c>
    </row>
    <row r="1566" customFormat="false" ht="15" hidden="false" customHeight="true" outlineLevel="0" collapsed="false">
      <c r="A1566" s="1" t="n">
        <v>11565</v>
      </c>
      <c r="B1566" s="14" t="n">
        <v>46126</v>
      </c>
      <c r="C1566" s="1" t="n">
        <v>1798</v>
      </c>
      <c r="D1566" s="1" t="s">
        <v>30</v>
      </c>
      <c r="E1566" s="1" t="s">
        <v>32</v>
      </c>
      <c r="F1566" s="1" t="n">
        <v>2</v>
      </c>
      <c r="G1566" s="15" t="n">
        <v>343.65</v>
      </c>
      <c r="H1566" s="16" t="n">
        <v>0.04</v>
      </c>
      <c r="I1566" s="1" t="s">
        <v>31</v>
      </c>
      <c r="J1566" s="1" t="n">
        <v>11</v>
      </c>
      <c r="K1566" s="1" t="n">
        <v>4.6</v>
      </c>
      <c r="L1566" s="15" t="n">
        <v>659.81</v>
      </c>
      <c r="M1566" s="15" t="n">
        <f aca="false">F1566*G1566</f>
        <v>687.3</v>
      </c>
      <c r="N1566" s="15" t="n">
        <f aca="false">M1566-L1566</f>
        <v>27.49</v>
      </c>
      <c r="O1566" s="1" t="n">
        <f aca="false">YEAR(B1566)</f>
        <v>2026</v>
      </c>
      <c r="P1566" s="1" t="n">
        <f aca="false">MONTH(B1566)</f>
        <v>4</v>
      </c>
      <c r="Q1566" s="1" t="str">
        <f aca="false">TEXT(B1566,"mmm")</f>
        <v>Apr</v>
      </c>
      <c r="R1566" s="1" t="str">
        <f aca="false">"Q"&amp;ROUNDUP(MONTH(B1566)/3,0)</f>
        <v>Q2</v>
      </c>
    </row>
    <row r="1567" customFormat="false" ht="15" hidden="false" customHeight="true" outlineLevel="0" collapsed="false">
      <c r="A1567" s="1" t="n">
        <v>11566</v>
      </c>
      <c r="B1567" s="14" t="n">
        <v>46127</v>
      </c>
      <c r="C1567" s="1" t="n">
        <v>1377</v>
      </c>
      <c r="D1567" s="1" t="s">
        <v>30</v>
      </c>
      <c r="E1567" s="1" t="s">
        <v>35</v>
      </c>
      <c r="F1567" s="1" t="n">
        <v>6</v>
      </c>
      <c r="G1567" s="15" t="n">
        <v>22.96</v>
      </c>
      <c r="H1567" s="16" t="n">
        <v>0.23</v>
      </c>
      <c r="I1567" s="1" t="s">
        <v>31</v>
      </c>
      <c r="J1567" s="1" t="n">
        <v>4</v>
      </c>
      <c r="K1567" s="1" t="n">
        <v>3</v>
      </c>
      <c r="L1567" s="15" t="n">
        <v>106.08</v>
      </c>
      <c r="M1567" s="15" t="n">
        <f aca="false">F1567*G1567</f>
        <v>137.76</v>
      </c>
      <c r="N1567" s="15" t="n">
        <f aca="false">M1567-L1567</f>
        <v>31.68</v>
      </c>
      <c r="O1567" s="1" t="n">
        <f aca="false">YEAR(B1567)</f>
        <v>2026</v>
      </c>
      <c r="P1567" s="1" t="n">
        <f aca="false">MONTH(B1567)</f>
        <v>4</v>
      </c>
      <c r="Q1567" s="1" t="str">
        <f aca="false">TEXT(B1567,"mmm")</f>
        <v>Apr</v>
      </c>
      <c r="R1567" s="1" t="str">
        <f aca="false">"Q"&amp;ROUNDUP(MONTH(B1567)/3,0)</f>
        <v>Q2</v>
      </c>
    </row>
    <row r="1568" customFormat="false" ht="15" hidden="false" customHeight="true" outlineLevel="0" collapsed="false">
      <c r="A1568" s="1" t="n">
        <v>11567</v>
      </c>
      <c r="B1568" s="14" t="n">
        <v>46128</v>
      </c>
      <c r="C1568" s="1" t="n">
        <v>1904</v>
      </c>
      <c r="D1568" s="1" t="s">
        <v>34</v>
      </c>
      <c r="E1568" s="1" t="s">
        <v>36</v>
      </c>
      <c r="F1568" s="1" t="n">
        <v>6</v>
      </c>
      <c r="G1568" s="15" t="n">
        <v>255.96</v>
      </c>
      <c r="H1568" s="16" t="n">
        <v>0.35</v>
      </c>
      <c r="I1568" s="1" t="s">
        <v>31</v>
      </c>
      <c r="J1568" s="1" t="n">
        <v>11</v>
      </c>
      <c r="K1568" s="1" t="n">
        <v>3.9</v>
      </c>
      <c r="L1568" s="15" t="n">
        <v>998.24</v>
      </c>
      <c r="M1568" s="15" t="n">
        <f aca="false">F1568*G1568</f>
        <v>1535.76</v>
      </c>
      <c r="N1568" s="15" t="n">
        <f aca="false">M1568-L1568</f>
        <v>537.52</v>
      </c>
      <c r="O1568" s="1" t="n">
        <f aca="false">YEAR(B1568)</f>
        <v>2026</v>
      </c>
      <c r="P1568" s="1" t="n">
        <f aca="false">MONTH(B1568)</f>
        <v>4</v>
      </c>
      <c r="Q1568" s="1" t="str">
        <f aca="false">TEXT(B1568,"mmm")</f>
        <v>Apr</v>
      </c>
      <c r="R1568" s="1" t="str">
        <f aca="false">"Q"&amp;ROUNDUP(MONTH(B1568)/3,0)</f>
        <v>Q2</v>
      </c>
    </row>
    <row r="1569" customFormat="false" ht="15" hidden="false" customHeight="true" outlineLevel="0" collapsed="false">
      <c r="A1569" s="1" t="n">
        <v>11568</v>
      </c>
      <c r="B1569" s="14" t="n">
        <v>46129</v>
      </c>
      <c r="C1569" s="1" t="n">
        <v>1050</v>
      </c>
      <c r="D1569" s="1" t="s">
        <v>37</v>
      </c>
      <c r="E1569" s="1" t="s">
        <v>28</v>
      </c>
      <c r="F1569" s="1" t="n">
        <v>7</v>
      </c>
      <c r="G1569" s="15" t="n">
        <v>57.93</v>
      </c>
      <c r="H1569" s="16" t="n">
        <v>0.08</v>
      </c>
      <c r="I1569" s="1" t="s">
        <v>29</v>
      </c>
      <c r="J1569" s="1" t="n">
        <v>10</v>
      </c>
      <c r="K1569" s="1" t="n">
        <v>1.9</v>
      </c>
      <c r="L1569" s="15" t="n">
        <v>373.07</v>
      </c>
      <c r="M1569" s="15" t="n">
        <f aca="false">F1569*G1569</f>
        <v>405.51</v>
      </c>
      <c r="N1569" s="15" t="n">
        <f aca="false">M1569-L1569</f>
        <v>32.44</v>
      </c>
      <c r="O1569" s="1" t="n">
        <f aca="false">YEAR(B1569)</f>
        <v>2026</v>
      </c>
      <c r="P1569" s="1" t="n">
        <f aca="false">MONTH(B1569)</f>
        <v>4</v>
      </c>
      <c r="Q1569" s="1" t="str">
        <f aca="false">TEXT(B1569,"mmm")</f>
        <v>Apr</v>
      </c>
      <c r="R1569" s="1" t="str">
        <f aca="false">"Q"&amp;ROUNDUP(MONTH(B1569)/3,0)</f>
        <v>Q2</v>
      </c>
    </row>
    <row r="1570" customFormat="false" ht="15" hidden="false" customHeight="true" outlineLevel="0" collapsed="false">
      <c r="A1570" s="1" t="n">
        <v>11569</v>
      </c>
      <c r="B1570" s="14" t="n">
        <v>46130</v>
      </c>
      <c r="C1570" s="1" t="n">
        <v>1028</v>
      </c>
      <c r="D1570" s="1" t="s">
        <v>34</v>
      </c>
      <c r="E1570" s="1" t="s">
        <v>35</v>
      </c>
      <c r="F1570" s="1" t="n">
        <v>4</v>
      </c>
      <c r="G1570" s="15" t="n">
        <v>252.06</v>
      </c>
      <c r="H1570" s="16" t="n">
        <v>0.1</v>
      </c>
      <c r="I1570" s="1" t="s">
        <v>29</v>
      </c>
      <c r="J1570" s="1" t="n">
        <v>7</v>
      </c>
      <c r="K1570" s="1" t="n">
        <v>3</v>
      </c>
      <c r="L1570" s="15" t="n">
        <v>907.42</v>
      </c>
      <c r="M1570" s="15" t="n">
        <f aca="false">F1570*G1570</f>
        <v>1008.24</v>
      </c>
      <c r="N1570" s="15" t="n">
        <f aca="false">M1570-L1570</f>
        <v>100.82</v>
      </c>
      <c r="O1570" s="1" t="n">
        <f aca="false">YEAR(B1570)</f>
        <v>2026</v>
      </c>
      <c r="P1570" s="1" t="n">
        <f aca="false">MONTH(B1570)</f>
        <v>4</v>
      </c>
      <c r="Q1570" s="1" t="str">
        <f aca="false">TEXT(B1570,"mmm")</f>
        <v>Apr</v>
      </c>
      <c r="R1570" s="1" t="str">
        <f aca="false">"Q"&amp;ROUNDUP(MONTH(B1570)/3,0)</f>
        <v>Q2</v>
      </c>
    </row>
    <row r="1571" customFormat="false" ht="15" hidden="false" customHeight="true" outlineLevel="0" collapsed="false">
      <c r="A1571" s="1" t="n">
        <v>11570</v>
      </c>
      <c r="B1571" s="14" t="n">
        <v>46131</v>
      </c>
      <c r="C1571" s="1" t="n">
        <v>1461</v>
      </c>
      <c r="D1571" s="1" t="s">
        <v>37</v>
      </c>
      <c r="E1571" s="1" t="s">
        <v>36</v>
      </c>
      <c r="F1571" s="1" t="n">
        <v>2</v>
      </c>
      <c r="G1571" s="15" t="n">
        <v>38.36</v>
      </c>
      <c r="H1571" s="16" t="n">
        <v>0.34</v>
      </c>
      <c r="I1571" s="1" t="s">
        <v>31</v>
      </c>
      <c r="J1571" s="1" t="n">
        <v>6</v>
      </c>
      <c r="K1571" s="1" t="n">
        <v>1.8</v>
      </c>
      <c r="L1571" s="15" t="n">
        <v>50.64</v>
      </c>
      <c r="M1571" s="15" t="n">
        <f aca="false">F1571*G1571</f>
        <v>76.72</v>
      </c>
      <c r="N1571" s="15" t="n">
        <f aca="false">M1571-L1571</f>
        <v>26.08</v>
      </c>
      <c r="O1571" s="1" t="n">
        <f aca="false">YEAR(B1571)</f>
        <v>2026</v>
      </c>
      <c r="P1571" s="1" t="n">
        <f aca="false">MONTH(B1571)</f>
        <v>4</v>
      </c>
      <c r="Q1571" s="1" t="str">
        <f aca="false">TEXT(B1571,"mmm")</f>
        <v>Apr</v>
      </c>
      <c r="R1571" s="1" t="str">
        <f aca="false">"Q"&amp;ROUNDUP(MONTH(B1571)/3,0)</f>
        <v>Q2</v>
      </c>
    </row>
    <row r="1572" customFormat="false" ht="15" hidden="false" customHeight="true" outlineLevel="0" collapsed="false">
      <c r="A1572" s="1" t="n">
        <v>11571</v>
      </c>
      <c r="B1572" s="14" t="n">
        <v>46132</v>
      </c>
      <c r="C1572" s="1" t="n">
        <v>1295</v>
      </c>
      <c r="D1572" s="1" t="s">
        <v>30</v>
      </c>
      <c r="E1572" s="1" t="s">
        <v>35</v>
      </c>
      <c r="F1572" s="1" t="n">
        <v>6</v>
      </c>
      <c r="G1572" s="15" t="n">
        <v>503.6</v>
      </c>
      <c r="H1572" s="16" t="n">
        <v>0.06</v>
      </c>
      <c r="I1572" s="1" t="s">
        <v>29</v>
      </c>
      <c r="J1572" s="1" t="n">
        <v>3</v>
      </c>
      <c r="K1572" s="1" t="n">
        <v>4.3</v>
      </c>
      <c r="L1572" s="15" t="n">
        <v>2840.3</v>
      </c>
      <c r="M1572" s="15" t="n">
        <f aca="false">F1572*G1572</f>
        <v>3021.6</v>
      </c>
      <c r="N1572" s="15" t="n">
        <f aca="false">M1572-L1572</f>
        <v>181.3</v>
      </c>
      <c r="O1572" s="1" t="n">
        <f aca="false">YEAR(B1572)</f>
        <v>2026</v>
      </c>
      <c r="P1572" s="1" t="n">
        <f aca="false">MONTH(B1572)</f>
        <v>4</v>
      </c>
      <c r="Q1572" s="1" t="str">
        <f aca="false">TEXT(B1572,"mmm")</f>
        <v>Apr</v>
      </c>
      <c r="R1572" s="1" t="str">
        <f aca="false">"Q"&amp;ROUNDUP(MONTH(B1572)/3,0)</f>
        <v>Q2</v>
      </c>
    </row>
    <row r="1573" customFormat="false" ht="15" hidden="false" customHeight="true" outlineLevel="0" collapsed="false">
      <c r="A1573" s="1" t="n">
        <v>11572</v>
      </c>
      <c r="B1573" s="14" t="n">
        <v>46133</v>
      </c>
      <c r="C1573" s="1" t="n">
        <v>1296</v>
      </c>
      <c r="D1573" s="1" t="s">
        <v>34</v>
      </c>
      <c r="E1573" s="1" t="s">
        <v>35</v>
      </c>
      <c r="F1573" s="1" t="n">
        <v>7</v>
      </c>
      <c r="G1573" s="15" t="n">
        <v>137.7</v>
      </c>
      <c r="H1573" s="16" t="n">
        <v>0.18</v>
      </c>
      <c r="I1573" s="1" t="s">
        <v>31</v>
      </c>
      <c r="J1573" s="1" t="n">
        <v>9</v>
      </c>
      <c r="K1573" s="1" t="n">
        <v>4.1</v>
      </c>
      <c r="L1573" s="15" t="n">
        <v>790.4</v>
      </c>
      <c r="M1573" s="15" t="n">
        <f aca="false">F1573*G1573</f>
        <v>963.9</v>
      </c>
      <c r="N1573" s="15" t="n">
        <f aca="false">M1573-L1573</f>
        <v>173.5</v>
      </c>
      <c r="O1573" s="1" t="n">
        <f aca="false">YEAR(B1573)</f>
        <v>2026</v>
      </c>
      <c r="P1573" s="1" t="n">
        <f aca="false">MONTH(B1573)</f>
        <v>4</v>
      </c>
      <c r="Q1573" s="1" t="str">
        <f aca="false">TEXT(B1573,"mmm")</f>
        <v>Apr</v>
      </c>
      <c r="R1573" s="1" t="str">
        <f aca="false">"Q"&amp;ROUNDUP(MONTH(B1573)/3,0)</f>
        <v>Q2</v>
      </c>
    </row>
    <row r="1574" customFormat="false" ht="15" hidden="false" customHeight="true" outlineLevel="0" collapsed="false">
      <c r="A1574" s="1" t="n">
        <v>11573</v>
      </c>
      <c r="B1574" s="14" t="n">
        <v>46134</v>
      </c>
      <c r="C1574" s="1" t="n">
        <v>1725</v>
      </c>
      <c r="D1574" s="1" t="s">
        <v>34</v>
      </c>
      <c r="E1574" s="1" t="s">
        <v>28</v>
      </c>
      <c r="F1574" s="1" t="n">
        <v>1</v>
      </c>
      <c r="G1574" s="15" t="n">
        <v>207.06</v>
      </c>
      <c r="H1574" s="16" t="n">
        <v>0.08</v>
      </c>
      <c r="I1574" s="1" t="s">
        <v>29</v>
      </c>
      <c r="J1574" s="1" t="n">
        <v>6</v>
      </c>
      <c r="K1574" s="1" t="n">
        <v>1.6</v>
      </c>
      <c r="L1574" s="15" t="n">
        <v>190.5</v>
      </c>
      <c r="M1574" s="15" t="n">
        <f aca="false">F1574*G1574</f>
        <v>207.06</v>
      </c>
      <c r="N1574" s="15" t="n">
        <f aca="false">M1574-L1574</f>
        <v>16.56</v>
      </c>
      <c r="O1574" s="1" t="n">
        <f aca="false">YEAR(B1574)</f>
        <v>2026</v>
      </c>
      <c r="P1574" s="1" t="n">
        <f aca="false">MONTH(B1574)</f>
        <v>4</v>
      </c>
      <c r="Q1574" s="1" t="str">
        <f aca="false">TEXT(B1574,"mmm")</f>
        <v>Apr</v>
      </c>
      <c r="R1574" s="1" t="str">
        <f aca="false">"Q"&amp;ROUNDUP(MONTH(B1574)/3,0)</f>
        <v>Q2</v>
      </c>
    </row>
    <row r="1575" customFormat="false" ht="15" hidden="false" customHeight="true" outlineLevel="0" collapsed="false">
      <c r="A1575" s="1" t="n">
        <v>11574</v>
      </c>
      <c r="B1575" s="14" t="n">
        <v>46135</v>
      </c>
      <c r="C1575" s="1" t="n">
        <v>1778</v>
      </c>
      <c r="D1575" s="1" t="s">
        <v>34</v>
      </c>
      <c r="E1575" s="1" t="s">
        <v>32</v>
      </c>
      <c r="F1575" s="1" t="n">
        <v>6</v>
      </c>
      <c r="G1575" s="15" t="n">
        <v>523.98</v>
      </c>
      <c r="H1575" s="16" t="n">
        <v>0.33</v>
      </c>
      <c r="I1575" s="1" t="s">
        <v>33</v>
      </c>
      <c r="J1575" s="1" t="n">
        <v>11</v>
      </c>
      <c r="K1575" s="1" t="n">
        <v>1.3</v>
      </c>
      <c r="L1575" s="15" t="n">
        <v>2106.4</v>
      </c>
      <c r="M1575" s="15" t="n">
        <f aca="false">F1575*G1575</f>
        <v>3143.88</v>
      </c>
      <c r="N1575" s="15" t="n">
        <f aca="false">M1575-L1575</f>
        <v>1037.48</v>
      </c>
      <c r="O1575" s="1" t="n">
        <f aca="false">YEAR(B1575)</f>
        <v>2026</v>
      </c>
      <c r="P1575" s="1" t="n">
        <f aca="false">MONTH(B1575)</f>
        <v>4</v>
      </c>
      <c r="Q1575" s="1" t="str">
        <f aca="false">TEXT(B1575,"mmm")</f>
        <v>Apr</v>
      </c>
      <c r="R1575" s="1" t="str">
        <f aca="false">"Q"&amp;ROUNDUP(MONTH(B1575)/3,0)</f>
        <v>Q2</v>
      </c>
    </row>
    <row r="1576" customFormat="false" ht="15" hidden="false" customHeight="true" outlineLevel="0" collapsed="false">
      <c r="A1576" s="1" t="n">
        <v>11575</v>
      </c>
      <c r="B1576" s="14" t="n">
        <v>46136</v>
      </c>
      <c r="C1576" s="1" t="n">
        <v>1406</v>
      </c>
      <c r="D1576" s="1" t="s">
        <v>37</v>
      </c>
      <c r="E1576" s="1" t="s">
        <v>32</v>
      </c>
      <c r="F1576" s="1" t="n">
        <v>3</v>
      </c>
      <c r="G1576" s="15" t="n">
        <v>451.57</v>
      </c>
      <c r="H1576" s="16" t="n">
        <v>0.34</v>
      </c>
      <c r="I1576" s="1" t="s">
        <v>31</v>
      </c>
      <c r="J1576" s="1" t="n">
        <v>2</v>
      </c>
      <c r="K1576" s="1" t="n">
        <v>4.3</v>
      </c>
      <c r="L1576" s="15" t="n">
        <v>894.11</v>
      </c>
      <c r="M1576" s="15" t="n">
        <f aca="false">F1576*G1576</f>
        <v>1354.71</v>
      </c>
      <c r="N1576" s="15" t="n">
        <f aca="false">M1576-L1576</f>
        <v>460.6</v>
      </c>
      <c r="O1576" s="1" t="n">
        <f aca="false">YEAR(B1576)</f>
        <v>2026</v>
      </c>
      <c r="P1576" s="1" t="n">
        <f aca="false">MONTH(B1576)</f>
        <v>4</v>
      </c>
      <c r="Q1576" s="1" t="str">
        <f aca="false">TEXT(B1576,"mmm")</f>
        <v>Apr</v>
      </c>
      <c r="R1576" s="1" t="str">
        <f aca="false">"Q"&amp;ROUNDUP(MONTH(B1576)/3,0)</f>
        <v>Q2</v>
      </c>
    </row>
    <row r="1577" customFormat="false" ht="15" hidden="false" customHeight="true" outlineLevel="0" collapsed="false">
      <c r="A1577" s="1" t="n">
        <v>11576</v>
      </c>
      <c r="B1577" s="14" t="n">
        <v>46137</v>
      </c>
      <c r="C1577" s="1" t="n">
        <v>1768</v>
      </c>
      <c r="D1577" s="1" t="s">
        <v>27</v>
      </c>
      <c r="E1577" s="1" t="s">
        <v>36</v>
      </c>
      <c r="F1577" s="1" t="n">
        <v>3</v>
      </c>
      <c r="G1577" s="15" t="n">
        <v>143.14</v>
      </c>
      <c r="H1577" s="16" t="n">
        <v>0.29</v>
      </c>
      <c r="I1577" s="1" t="s">
        <v>31</v>
      </c>
      <c r="J1577" s="1" t="n">
        <v>10</v>
      </c>
      <c r="K1577" s="1" t="n">
        <v>1.4</v>
      </c>
      <c r="L1577" s="15" t="n">
        <v>304.89</v>
      </c>
      <c r="M1577" s="15" t="n">
        <f aca="false">F1577*G1577</f>
        <v>429.42</v>
      </c>
      <c r="N1577" s="15" t="n">
        <f aca="false">M1577-L1577</f>
        <v>124.53</v>
      </c>
      <c r="O1577" s="1" t="n">
        <f aca="false">YEAR(B1577)</f>
        <v>2026</v>
      </c>
      <c r="P1577" s="1" t="n">
        <f aca="false">MONTH(B1577)</f>
        <v>4</v>
      </c>
      <c r="Q1577" s="1" t="str">
        <f aca="false">TEXT(B1577,"mmm")</f>
        <v>Apr</v>
      </c>
      <c r="R1577" s="1" t="str">
        <f aca="false">"Q"&amp;ROUNDUP(MONTH(B1577)/3,0)</f>
        <v>Q2</v>
      </c>
    </row>
    <row r="1578" customFormat="false" ht="15" hidden="false" customHeight="true" outlineLevel="0" collapsed="false">
      <c r="A1578" s="1" t="n">
        <v>11577</v>
      </c>
      <c r="B1578" s="14" t="n">
        <v>46138</v>
      </c>
      <c r="C1578" s="1" t="n">
        <v>1813</v>
      </c>
      <c r="D1578" s="1" t="s">
        <v>30</v>
      </c>
      <c r="E1578" s="1" t="s">
        <v>36</v>
      </c>
      <c r="F1578" s="1" t="n">
        <v>1</v>
      </c>
      <c r="G1578" s="15" t="n">
        <v>57.06</v>
      </c>
      <c r="H1578" s="16" t="n">
        <v>0.11</v>
      </c>
      <c r="I1578" s="1" t="s">
        <v>31</v>
      </c>
      <c r="J1578" s="1" t="n">
        <v>2</v>
      </c>
      <c r="K1578" s="1" t="n">
        <v>3.2</v>
      </c>
      <c r="L1578" s="15" t="n">
        <v>50.78</v>
      </c>
      <c r="M1578" s="15" t="n">
        <f aca="false">F1578*G1578</f>
        <v>57.06</v>
      </c>
      <c r="N1578" s="15" t="n">
        <f aca="false">M1578-L1578</f>
        <v>6.28</v>
      </c>
      <c r="O1578" s="1" t="n">
        <f aca="false">YEAR(B1578)</f>
        <v>2026</v>
      </c>
      <c r="P1578" s="1" t="n">
        <f aca="false">MONTH(B1578)</f>
        <v>4</v>
      </c>
      <c r="Q1578" s="1" t="str">
        <f aca="false">TEXT(B1578,"mmm")</f>
        <v>Apr</v>
      </c>
      <c r="R1578" s="1" t="str">
        <f aca="false">"Q"&amp;ROUNDUP(MONTH(B1578)/3,0)</f>
        <v>Q2</v>
      </c>
    </row>
    <row r="1579" customFormat="false" ht="15" hidden="false" customHeight="true" outlineLevel="0" collapsed="false">
      <c r="A1579" s="1" t="n">
        <v>11578</v>
      </c>
      <c r="B1579" s="14" t="n">
        <v>46139</v>
      </c>
      <c r="C1579" s="1" t="n">
        <v>1612</v>
      </c>
      <c r="D1579" s="1" t="s">
        <v>34</v>
      </c>
      <c r="E1579" s="1" t="s">
        <v>36</v>
      </c>
      <c r="F1579" s="1" t="n">
        <v>4</v>
      </c>
      <c r="G1579" s="15" t="n">
        <v>433.67</v>
      </c>
      <c r="H1579" s="16" t="n">
        <v>0.14</v>
      </c>
      <c r="I1579" s="1" t="s">
        <v>31</v>
      </c>
      <c r="J1579" s="1" t="n">
        <v>1</v>
      </c>
      <c r="K1579" s="1" t="n">
        <v>3.1</v>
      </c>
      <c r="L1579" s="15" t="n">
        <v>1491.82</v>
      </c>
      <c r="M1579" s="15" t="n">
        <f aca="false">F1579*G1579</f>
        <v>1734.68</v>
      </c>
      <c r="N1579" s="15" t="n">
        <f aca="false">M1579-L1579</f>
        <v>242.86</v>
      </c>
      <c r="O1579" s="1" t="n">
        <f aca="false">YEAR(B1579)</f>
        <v>2026</v>
      </c>
      <c r="P1579" s="1" t="n">
        <f aca="false">MONTH(B1579)</f>
        <v>4</v>
      </c>
      <c r="Q1579" s="1" t="str">
        <f aca="false">TEXT(B1579,"mmm")</f>
        <v>Apr</v>
      </c>
      <c r="R1579" s="1" t="str">
        <f aca="false">"Q"&amp;ROUNDUP(MONTH(B1579)/3,0)</f>
        <v>Q2</v>
      </c>
    </row>
    <row r="1580" customFormat="false" ht="15" hidden="false" customHeight="true" outlineLevel="0" collapsed="false">
      <c r="A1580" s="1" t="n">
        <v>11579</v>
      </c>
      <c r="B1580" s="14" t="n">
        <v>46140</v>
      </c>
      <c r="C1580" s="1" t="n">
        <v>1404</v>
      </c>
      <c r="D1580" s="1" t="s">
        <v>30</v>
      </c>
      <c r="E1580" s="1" t="s">
        <v>28</v>
      </c>
      <c r="F1580" s="1" t="n">
        <v>2</v>
      </c>
      <c r="G1580" s="15" t="n">
        <v>243.56</v>
      </c>
      <c r="H1580" s="16" t="n">
        <v>0.08</v>
      </c>
      <c r="I1580" s="1" t="s">
        <v>33</v>
      </c>
      <c r="J1580" s="1" t="n">
        <v>11</v>
      </c>
      <c r="K1580" s="1" t="n">
        <v>1.8</v>
      </c>
      <c r="L1580" s="15" t="n">
        <v>448.15</v>
      </c>
      <c r="M1580" s="15" t="n">
        <f aca="false">F1580*G1580</f>
        <v>487.12</v>
      </c>
      <c r="N1580" s="15" t="n">
        <f aca="false">M1580-L1580</f>
        <v>38.97</v>
      </c>
      <c r="O1580" s="1" t="n">
        <f aca="false">YEAR(B1580)</f>
        <v>2026</v>
      </c>
      <c r="P1580" s="1" t="n">
        <f aca="false">MONTH(B1580)</f>
        <v>4</v>
      </c>
      <c r="Q1580" s="1" t="str">
        <f aca="false">TEXT(B1580,"mmm")</f>
        <v>Apr</v>
      </c>
      <c r="R1580" s="1" t="str">
        <f aca="false">"Q"&amp;ROUNDUP(MONTH(B1580)/3,0)</f>
        <v>Q2</v>
      </c>
    </row>
    <row r="1581" customFormat="false" ht="15" hidden="false" customHeight="true" outlineLevel="0" collapsed="false">
      <c r="A1581" s="1" t="n">
        <v>11580</v>
      </c>
      <c r="B1581" s="14" t="n">
        <v>46141</v>
      </c>
      <c r="C1581" s="1" t="n">
        <v>1345</v>
      </c>
      <c r="D1581" s="1" t="s">
        <v>37</v>
      </c>
      <c r="E1581" s="1" t="s">
        <v>32</v>
      </c>
      <c r="F1581" s="1" t="n">
        <v>2</v>
      </c>
      <c r="G1581" s="15" t="n">
        <v>463.16</v>
      </c>
      <c r="H1581" s="16" t="n">
        <v>0.31</v>
      </c>
      <c r="I1581" s="1" t="s">
        <v>31</v>
      </c>
      <c r="J1581" s="1" t="n">
        <v>5</v>
      </c>
      <c r="K1581" s="1" t="n">
        <v>3.4</v>
      </c>
      <c r="L1581" s="15" t="n">
        <v>639.16</v>
      </c>
      <c r="M1581" s="15" t="n">
        <f aca="false">F1581*G1581</f>
        <v>926.32</v>
      </c>
      <c r="N1581" s="15" t="n">
        <f aca="false">M1581-L1581</f>
        <v>287.16</v>
      </c>
      <c r="O1581" s="1" t="n">
        <f aca="false">YEAR(B1581)</f>
        <v>2026</v>
      </c>
      <c r="P1581" s="1" t="n">
        <f aca="false">MONTH(B1581)</f>
        <v>4</v>
      </c>
      <c r="Q1581" s="1" t="str">
        <f aca="false">TEXT(B1581,"mmm")</f>
        <v>Apr</v>
      </c>
      <c r="R1581" s="1" t="str">
        <f aca="false">"Q"&amp;ROUNDUP(MONTH(B1581)/3,0)</f>
        <v>Q2</v>
      </c>
    </row>
    <row r="1582" customFormat="false" ht="15" hidden="false" customHeight="true" outlineLevel="0" collapsed="false">
      <c r="A1582" s="1" t="n">
        <v>11581</v>
      </c>
      <c r="B1582" s="14" t="n">
        <v>46142</v>
      </c>
      <c r="C1582" s="1" t="n">
        <v>1621</v>
      </c>
      <c r="D1582" s="1" t="s">
        <v>37</v>
      </c>
      <c r="E1582" s="1" t="s">
        <v>36</v>
      </c>
      <c r="F1582" s="1" t="n">
        <v>6</v>
      </c>
      <c r="G1582" s="15" t="n">
        <v>275.5</v>
      </c>
      <c r="H1582" s="16" t="n">
        <v>0.32</v>
      </c>
      <c r="I1582" s="1" t="s">
        <v>29</v>
      </c>
      <c r="J1582" s="1" t="n">
        <v>10</v>
      </c>
      <c r="K1582" s="1" t="n">
        <v>3</v>
      </c>
      <c r="L1582" s="15" t="n">
        <v>1124.04</v>
      </c>
      <c r="M1582" s="15" t="n">
        <f aca="false">F1582*G1582</f>
        <v>1653</v>
      </c>
      <c r="N1582" s="15" t="n">
        <f aca="false">M1582-L1582</f>
        <v>528.96</v>
      </c>
      <c r="O1582" s="1" t="n">
        <f aca="false">YEAR(B1582)</f>
        <v>2026</v>
      </c>
      <c r="P1582" s="1" t="n">
        <f aca="false">MONTH(B1582)</f>
        <v>4</v>
      </c>
      <c r="Q1582" s="1" t="str">
        <f aca="false">TEXT(B1582,"mmm")</f>
        <v>Apr</v>
      </c>
      <c r="R1582" s="1" t="str">
        <f aca="false">"Q"&amp;ROUNDUP(MONTH(B1582)/3,0)</f>
        <v>Q2</v>
      </c>
    </row>
    <row r="1583" customFormat="false" ht="15" hidden="false" customHeight="true" outlineLevel="0" collapsed="false">
      <c r="A1583" s="1" t="n">
        <v>11582</v>
      </c>
      <c r="B1583" s="14" t="n">
        <v>46143</v>
      </c>
      <c r="C1583" s="1" t="n">
        <v>1419</v>
      </c>
      <c r="D1583" s="1" t="s">
        <v>34</v>
      </c>
      <c r="E1583" s="1" t="s">
        <v>36</v>
      </c>
      <c r="F1583" s="1" t="n">
        <v>3</v>
      </c>
      <c r="G1583" s="15" t="n">
        <v>217.41</v>
      </c>
      <c r="H1583" s="16" t="n">
        <v>0.15</v>
      </c>
      <c r="I1583" s="1" t="s">
        <v>33</v>
      </c>
      <c r="J1583" s="1" t="n">
        <v>6</v>
      </c>
      <c r="K1583" s="1" t="n">
        <v>3</v>
      </c>
      <c r="L1583" s="15" t="n">
        <v>554.4</v>
      </c>
      <c r="M1583" s="15" t="n">
        <f aca="false">F1583*G1583</f>
        <v>652.23</v>
      </c>
      <c r="N1583" s="15" t="n">
        <f aca="false">M1583-L1583</f>
        <v>97.83</v>
      </c>
      <c r="O1583" s="1" t="n">
        <f aca="false">YEAR(B1583)</f>
        <v>2026</v>
      </c>
      <c r="P1583" s="1" t="n">
        <f aca="false">MONTH(B1583)</f>
        <v>5</v>
      </c>
      <c r="Q1583" s="1" t="str">
        <f aca="false">TEXT(B1583,"mmm")</f>
        <v>May</v>
      </c>
      <c r="R1583" s="1" t="str">
        <f aca="false">"Q"&amp;ROUNDUP(MONTH(B1583)/3,0)</f>
        <v>Q2</v>
      </c>
    </row>
    <row r="1584" customFormat="false" ht="15" hidden="false" customHeight="true" outlineLevel="0" collapsed="false">
      <c r="A1584" s="1" t="n">
        <v>11583</v>
      </c>
      <c r="B1584" s="14" t="n">
        <v>46144</v>
      </c>
      <c r="C1584" s="1" t="n">
        <v>1181</v>
      </c>
      <c r="D1584" s="1" t="s">
        <v>34</v>
      </c>
      <c r="E1584" s="1" t="s">
        <v>35</v>
      </c>
      <c r="F1584" s="1" t="n">
        <v>4</v>
      </c>
      <c r="G1584" s="15" t="n">
        <v>278.96</v>
      </c>
      <c r="H1584" s="16" t="n">
        <v>0.23</v>
      </c>
      <c r="I1584" s="1" t="s">
        <v>33</v>
      </c>
      <c r="J1584" s="1" t="n">
        <v>3</v>
      </c>
      <c r="K1584" s="1" t="n">
        <v>2.4</v>
      </c>
      <c r="L1584" s="15" t="n">
        <v>859.2</v>
      </c>
      <c r="M1584" s="15" t="n">
        <f aca="false">F1584*G1584</f>
        <v>1115.84</v>
      </c>
      <c r="N1584" s="15" t="n">
        <f aca="false">M1584-L1584</f>
        <v>256.64</v>
      </c>
      <c r="O1584" s="1" t="n">
        <f aca="false">YEAR(B1584)</f>
        <v>2026</v>
      </c>
      <c r="P1584" s="1" t="n">
        <f aca="false">MONTH(B1584)</f>
        <v>5</v>
      </c>
      <c r="Q1584" s="1" t="str">
        <f aca="false">TEXT(B1584,"mmm")</f>
        <v>May</v>
      </c>
      <c r="R1584" s="1" t="str">
        <f aca="false">"Q"&amp;ROUNDUP(MONTH(B1584)/3,0)</f>
        <v>Q2</v>
      </c>
    </row>
    <row r="1585" customFormat="false" ht="15" hidden="false" customHeight="true" outlineLevel="0" collapsed="false">
      <c r="A1585" s="1" t="n">
        <v>11584</v>
      </c>
      <c r="B1585" s="14" t="n">
        <v>46145</v>
      </c>
      <c r="C1585" s="1" t="n">
        <v>1982</v>
      </c>
      <c r="D1585" s="1" t="s">
        <v>37</v>
      </c>
      <c r="E1585" s="1" t="s">
        <v>35</v>
      </c>
      <c r="F1585" s="1" t="n">
        <v>4</v>
      </c>
      <c r="G1585" s="15" t="n">
        <v>452.91</v>
      </c>
      <c r="H1585" s="16" t="n">
        <v>0.06</v>
      </c>
      <c r="I1585" s="1" t="s">
        <v>31</v>
      </c>
      <c r="J1585" s="1" t="n">
        <v>4</v>
      </c>
      <c r="K1585" s="1" t="n">
        <v>4.4</v>
      </c>
      <c r="L1585" s="15" t="n">
        <v>1702.94</v>
      </c>
      <c r="M1585" s="15" t="n">
        <f aca="false">F1585*G1585</f>
        <v>1811.64</v>
      </c>
      <c r="N1585" s="15" t="n">
        <f aca="false">M1585-L1585</f>
        <v>108.7</v>
      </c>
      <c r="O1585" s="1" t="n">
        <f aca="false">YEAR(B1585)</f>
        <v>2026</v>
      </c>
      <c r="P1585" s="1" t="n">
        <f aca="false">MONTH(B1585)</f>
        <v>5</v>
      </c>
      <c r="Q1585" s="1" t="str">
        <f aca="false">TEXT(B1585,"mmm")</f>
        <v>May</v>
      </c>
      <c r="R1585" s="1" t="str">
        <f aca="false">"Q"&amp;ROUNDUP(MONTH(B1585)/3,0)</f>
        <v>Q2</v>
      </c>
    </row>
    <row r="1586" customFormat="false" ht="15" hidden="false" customHeight="true" outlineLevel="0" collapsed="false">
      <c r="A1586" s="1" t="n">
        <v>11585</v>
      </c>
      <c r="B1586" s="14" t="n">
        <v>46146</v>
      </c>
      <c r="C1586" s="1" t="n">
        <v>1824</v>
      </c>
      <c r="D1586" s="1" t="s">
        <v>30</v>
      </c>
      <c r="E1586" s="1" t="s">
        <v>36</v>
      </c>
      <c r="F1586" s="1" t="n">
        <v>4</v>
      </c>
      <c r="G1586" s="15" t="n">
        <v>542.8</v>
      </c>
      <c r="H1586" s="16" t="n">
        <v>0.15</v>
      </c>
      <c r="I1586" s="1" t="s">
        <v>29</v>
      </c>
      <c r="J1586" s="1" t="n">
        <v>5</v>
      </c>
      <c r="K1586" s="1" t="n">
        <v>1.3</v>
      </c>
      <c r="L1586" s="15" t="n">
        <v>1845.52</v>
      </c>
      <c r="M1586" s="15" t="n">
        <f aca="false">F1586*G1586</f>
        <v>2171.2</v>
      </c>
      <c r="N1586" s="15" t="n">
        <f aca="false">M1586-L1586</f>
        <v>325.68</v>
      </c>
      <c r="O1586" s="1" t="n">
        <f aca="false">YEAR(B1586)</f>
        <v>2026</v>
      </c>
      <c r="P1586" s="1" t="n">
        <f aca="false">MONTH(B1586)</f>
        <v>5</v>
      </c>
      <c r="Q1586" s="1" t="str">
        <f aca="false">TEXT(B1586,"mmm")</f>
        <v>May</v>
      </c>
      <c r="R1586" s="1" t="str">
        <f aca="false">"Q"&amp;ROUNDUP(MONTH(B1586)/3,0)</f>
        <v>Q2</v>
      </c>
    </row>
    <row r="1587" customFormat="false" ht="15" hidden="false" customHeight="true" outlineLevel="0" collapsed="false">
      <c r="A1587" s="1" t="n">
        <v>11586</v>
      </c>
      <c r="B1587" s="14" t="n">
        <v>46147</v>
      </c>
      <c r="C1587" s="1" t="n">
        <v>1000</v>
      </c>
      <c r="D1587" s="1" t="s">
        <v>34</v>
      </c>
      <c r="E1587" s="1" t="s">
        <v>35</v>
      </c>
      <c r="F1587" s="1" t="n">
        <v>6</v>
      </c>
      <c r="G1587" s="15" t="n">
        <v>44.11</v>
      </c>
      <c r="H1587" s="16" t="n">
        <v>0.22</v>
      </c>
      <c r="I1587" s="1" t="s">
        <v>33</v>
      </c>
      <c r="J1587" s="1" t="n">
        <v>4</v>
      </c>
      <c r="K1587" s="1" t="n">
        <v>2.8</v>
      </c>
      <c r="L1587" s="15" t="n">
        <v>206.43</v>
      </c>
      <c r="M1587" s="15" t="n">
        <f aca="false">F1587*G1587</f>
        <v>264.66</v>
      </c>
      <c r="N1587" s="15" t="n">
        <f aca="false">M1587-L1587</f>
        <v>58.23</v>
      </c>
      <c r="O1587" s="1" t="n">
        <f aca="false">YEAR(B1587)</f>
        <v>2026</v>
      </c>
      <c r="P1587" s="1" t="n">
        <f aca="false">MONTH(B1587)</f>
        <v>5</v>
      </c>
      <c r="Q1587" s="1" t="str">
        <f aca="false">TEXT(B1587,"mmm")</f>
        <v>May</v>
      </c>
      <c r="R1587" s="1" t="str">
        <f aca="false">"Q"&amp;ROUNDUP(MONTH(B1587)/3,0)</f>
        <v>Q2</v>
      </c>
    </row>
    <row r="1588" customFormat="false" ht="15" hidden="false" customHeight="true" outlineLevel="0" collapsed="false">
      <c r="A1588" s="1" t="n">
        <v>11587</v>
      </c>
      <c r="B1588" s="14" t="n">
        <v>46148</v>
      </c>
      <c r="C1588" s="1" t="n">
        <v>1830</v>
      </c>
      <c r="D1588" s="1" t="s">
        <v>34</v>
      </c>
      <c r="E1588" s="1" t="s">
        <v>35</v>
      </c>
      <c r="F1588" s="1" t="n">
        <v>2</v>
      </c>
      <c r="G1588" s="15" t="n">
        <v>321.61</v>
      </c>
      <c r="H1588" s="16" t="n">
        <v>0.13</v>
      </c>
      <c r="I1588" s="1" t="s">
        <v>29</v>
      </c>
      <c r="J1588" s="1" t="n">
        <v>9</v>
      </c>
      <c r="K1588" s="1" t="n">
        <v>2</v>
      </c>
      <c r="L1588" s="15" t="n">
        <v>559.6</v>
      </c>
      <c r="M1588" s="15" t="n">
        <f aca="false">F1588*G1588</f>
        <v>643.22</v>
      </c>
      <c r="N1588" s="15" t="n">
        <f aca="false">M1588-L1588</f>
        <v>83.62</v>
      </c>
      <c r="O1588" s="1" t="n">
        <f aca="false">YEAR(B1588)</f>
        <v>2026</v>
      </c>
      <c r="P1588" s="1" t="n">
        <f aca="false">MONTH(B1588)</f>
        <v>5</v>
      </c>
      <c r="Q1588" s="1" t="str">
        <f aca="false">TEXT(B1588,"mmm")</f>
        <v>May</v>
      </c>
      <c r="R1588" s="1" t="str">
        <f aca="false">"Q"&amp;ROUNDUP(MONTH(B1588)/3,0)</f>
        <v>Q2</v>
      </c>
    </row>
    <row r="1589" customFormat="false" ht="15" hidden="false" customHeight="true" outlineLevel="0" collapsed="false">
      <c r="A1589" s="1" t="n">
        <v>11588</v>
      </c>
      <c r="B1589" s="14" t="n">
        <v>46149</v>
      </c>
      <c r="C1589" s="1" t="n">
        <v>1949</v>
      </c>
      <c r="D1589" s="1" t="s">
        <v>30</v>
      </c>
      <c r="E1589" s="1" t="s">
        <v>35</v>
      </c>
      <c r="F1589" s="1" t="n">
        <v>4</v>
      </c>
      <c r="G1589" s="15" t="n">
        <v>34.21</v>
      </c>
      <c r="H1589" s="16" t="n">
        <v>0.13</v>
      </c>
      <c r="I1589" s="1" t="s">
        <v>29</v>
      </c>
      <c r="J1589" s="1" t="n">
        <v>3</v>
      </c>
      <c r="K1589" s="1" t="n">
        <v>4.4</v>
      </c>
      <c r="L1589" s="15" t="n">
        <v>119.05</v>
      </c>
      <c r="M1589" s="15" t="n">
        <f aca="false">F1589*G1589</f>
        <v>136.84</v>
      </c>
      <c r="N1589" s="15" t="n">
        <f aca="false">M1589-L1589</f>
        <v>17.79</v>
      </c>
      <c r="O1589" s="1" t="n">
        <f aca="false">YEAR(B1589)</f>
        <v>2026</v>
      </c>
      <c r="P1589" s="1" t="n">
        <f aca="false">MONTH(B1589)</f>
        <v>5</v>
      </c>
      <c r="Q1589" s="1" t="str">
        <f aca="false">TEXT(B1589,"mmm")</f>
        <v>May</v>
      </c>
      <c r="R1589" s="1" t="str">
        <f aca="false">"Q"&amp;ROUNDUP(MONTH(B1589)/3,0)</f>
        <v>Q2</v>
      </c>
    </row>
    <row r="1590" customFormat="false" ht="15" hidden="false" customHeight="true" outlineLevel="0" collapsed="false">
      <c r="A1590" s="1" t="n">
        <v>11589</v>
      </c>
      <c r="B1590" s="14" t="n">
        <v>46150</v>
      </c>
      <c r="C1590" s="1" t="n">
        <v>1566</v>
      </c>
      <c r="D1590" s="1" t="s">
        <v>27</v>
      </c>
      <c r="E1590" s="1" t="s">
        <v>28</v>
      </c>
      <c r="F1590" s="1" t="n">
        <v>6</v>
      </c>
      <c r="G1590" s="15" t="n">
        <v>289.02</v>
      </c>
      <c r="H1590" s="16" t="n">
        <v>0</v>
      </c>
      <c r="I1590" s="1" t="s">
        <v>31</v>
      </c>
      <c r="J1590" s="1" t="n">
        <v>5</v>
      </c>
      <c r="K1590" s="1" t="n">
        <v>1.9</v>
      </c>
      <c r="L1590" s="15" t="n">
        <v>1734.12</v>
      </c>
      <c r="M1590" s="15" t="n">
        <f aca="false">F1590*G1590</f>
        <v>1734.12</v>
      </c>
      <c r="N1590" s="15" t="n">
        <f aca="false">M1590-L1590</f>
        <v>0</v>
      </c>
      <c r="O1590" s="1" t="n">
        <f aca="false">YEAR(B1590)</f>
        <v>2026</v>
      </c>
      <c r="P1590" s="1" t="n">
        <f aca="false">MONTH(B1590)</f>
        <v>5</v>
      </c>
      <c r="Q1590" s="1" t="str">
        <f aca="false">TEXT(B1590,"mmm")</f>
        <v>May</v>
      </c>
      <c r="R1590" s="1" t="str">
        <f aca="false">"Q"&amp;ROUNDUP(MONTH(B1590)/3,0)</f>
        <v>Q2</v>
      </c>
    </row>
    <row r="1591" customFormat="false" ht="15" hidden="false" customHeight="true" outlineLevel="0" collapsed="false">
      <c r="A1591" s="1" t="n">
        <v>11590</v>
      </c>
      <c r="B1591" s="14" t="n">
        <v>46151</v>
      </c>
      <c r="C1591" s="1" t="n">
        <v>1370</v>
      </c>
      <c r="D1591" s="1" t="s">
        <v>27</v>
      </c>
      <c r="E1591" s="1" t="s">
        <v>36</v>
      </c>
      <c r="F1591" s="1" t="n">
        <v>6</v>
      </c>
      <c r="G1591" s="15" t="n">
        <v>532.89</v>
      </c>
      <c r="H1591" s="16" t="n">
        <v>0.28</v>
      </c>
      <c r="I1591" s="1" t="s">
        <v>31</v>
      </c>
      <c r="J1591" s="1" t="n">
        <v>7</v>
      </c>
      <c r="K1591" s="1" t="n">
        <v>4.1</v>
      </c>
      <c r="L1591" s="15" t="n">
        <v>2302.08</v>
      </c>
      <c r="M1591" s="15" t="n">
        <f aca="false">F1591*G1591</f>
        <v>3197.34</v>
      </c>
      <c r="N1591" s="15" t="n">
        <f aca="false">M1591-L1591</f>
        <v>895.26</v>
      </c>
      <c r="O1591" s="1" t="n">
        <f aca="false">YEAR(B1591)</f>
        <v>2026</v>
      </c>
      <c r="P1591" s="1" t="n">
        <f aca="false">MONTH(B1591)</f>
        <v>5</v>
      </c>
      <c r="Q1591" s="1" t="str">
        <f aca="false">TEXT(B1591,"mmm")</f>
        <v>May</v>
      </c>
      <c r="R1591" s="1" t="str">
        <f aca="false">"Q"&amp;ROUNDUP(MONTH(B1591)/3,0)</f>
        <v>Q2</v>
      </c>
    </row>
    <row r="1592" customFormat="false" ht="15" hidden="false" customHeight="true" outlineLevel="0" collapsed="false">
      <c r="A1592" s="1" t="n">
        <v>11591</v>
      </c>
      <c r="B1592" s="14" t="n">
        <v>46152</v>
      </c>
      <c r="C1592" s="1" t="n">
        <v>1935</v>
      </c>
      <c r="D1592" s="1" t="s">
        <v>30</v>
      </c>
      <c r="E1592" s="1" t="s">
        <v>36</v>
      </c>
      <c r="F1592" s="1" t="n">
        <v>1</v>
      </c>
      <c r="G1592" s="15" t="n">
        <v>226.53</v>
      </c>
      <c r="H1592" s="16" t="n">
        <v>0.31</v>
      </c>
      <c r="I1592" s="1" t="s">
        <v>29</v>
      </c>
      <c r="J1592" s="1" t="n">
        <v>7</v>
      </c>
      <c r="K1592" s="1" t="n">
        <v>3.4</v>
      </c>
      <c r="L1592" s="15" t="n">
        <v>156.31</v>
      </c>
      <c r="M1592" s="15" t="n">
        <f aca="false">F1592*G1592</f>
        <v>226.53</v>
      </c>
      <c r="N1592" s="15" t="n">
        <f aca="false">M1592-L1592</f>
        <v>70.22</v>
      </c>
      <c r="O1592" s="1" t="n">
        <f aca="false">YEAR(B1592)</f>
        <v>2026</v>
      </c>
      <c r="P1592" s="1" t="n">
        <f aca="false">MONTH(B1592)</f>
        <v>5</v>
      </c>
      <c r="Q1592" s="1" t="str">
        <f aca="false">TEXT(B1592,"mmm")</f>
        <v>May</v>
      </c>
      <c r="R1592" s="1" t="str">
        <f aca="false">"Q"&amp;ROUNDUP(MONTH(B1592)/3,0)</f>
        <v>Q2</v>
      </c>
    </row>
    <row r="1593" customFormat="false" ht="15" hidden="false" customHeight="true" outlineLevel="0" collapsed="false">
      <c r="A1593" s="1" t="n">
        <v>11592</v>
      </c>
      <c r="B1593" s="14" t="n">
        <v>46153</v>
      </c>
      <c r="C1593" s="1" t="n">
        <v>1910</v>
      </c>
      <c r="D1593" s="1" t="s">
        <v>30</v>
      </c>
      <c r="E1593" s="1" t="s">
        <v>35</v>
      </c>
      <c r="F1593" s="1" t="n">
        <v>5</v>
      </c>
      <c r="G1593" s="15" t="n">
        <v>560.48</v>
      </c>
      <c r="H1593" s="16" t="n">
        <v>0.34</v>
      </c>
      <c r="I1593" s="1" t="s">
        <v>29</v>
      </c>
      <c r="J1593" s="1" t="n">
        <v>6</v>
      </c>
      <c r="K1593" s="1" t="n">
        <v>4.5</v>
      </c>
      <c r="L1593" s="15" t="n">
        <v>1849.58</v>
      </c>
      <c r="M1593" s="15" t="n">
        <f aca="false">F1593*G1593</f>
        <v>2802.4</v>
      </c>
      <c r="N1593" s="15" t="n">
        <f aca="false">M1593-L1593</f>
        <v>952.82</v>
      </c>
      <c r="O1593" s="1" t="n">
        <f aca="false">YEAR(B1593)</f>
        <v>2026</v>
      </c>
      <c r="P1593" s="1" t="n">
        <f aca="false">MONTH(B1593)</f>
        <v>5</v>
      </c>
      <c r="Q1593" s="1" t="str">
        <f aca="false">TEXT(B1593,"mmm")</f>
        <v>May</v>
      </c>
      <c r="R1593" s="1" t="str">
        <f aca="false">"Q"&amp;ROUNDUP(MONTH(B1593)/3,0)</f>
        <v>Q2</v>
      </c>
    </row>
    <row r="1594" customFormat="false" ht="15" hidden="false" customHeight="true" outlineLevel="0" collapsed="false">
      <c r="A1594" s="1" t="n">
        <v>11593</v>
      </c>
      <c r="B1594" s="14" t="n">
        <v>46154</v>
      </c>
      <c r="C1594" s="1" t="n">
        <v>1660</v>
      </c>
      <c r="D1594" s="1" t="s">
        <v>34</v>
      </c>
      <c r="E1594" s="1" t="s">
        <v>28</v>
      </c>
      <c r="F1594" s="1" t="n">
        <v>4</v>
      </c>
      <c r="G1594" s="15" t="n">
        <v>383.91</v>
      </c>
      <c r="H1594" s="16" t="n">
        <v>0.25</v>
      </c>
      <c r="I1594" s="1" t="s">
        <v>33</v>
      </c>
      <c r="J1594" s="1" t="n">
        <v>9</v>
      </c>
      <c r="K1594" s="1" t="n">
        <v>3.4</v>
      </c>
      <c r="L1594" s="15" t="n">
        <v>1151.73</v>
      </c>
      <c r="M1594" s="15" t="n">
        <f aca="false">F1594*G1594</f>
        <v>1535.64</v>
      </c>
      <c r="N1594" s="15" t="n">
        <f aca="false">M1594-L1594</f>
        <v>383.91</v>
      </c>
      <c r="O1594" s="1" t="n">
        <f aca="false">YEAR(B1594)</f>
        <v>2026</v>
      </c>
      <c r="P1594" s="1" t="n">
        <f aca="false">MONTH(B1594)</f>
        <v>5</v>
      </c>
      <c r="Q1594" s="1" t="str">
        <f aca="false">TEXT(B1594,"mmm")</f>
        <v>May</v>
      </c>
      <c r="R1594" s="1" t="str">
        <f aca="false">"Q"&amp;ROUNDUP(MONTH(B1594)/3,0)</f>
        <v>Q2</v>
      </c>
    </row>
    <row r="1595" customFormat="false" ht="15" hidden="false" customHeight="true" outlineLevel="0" collapsed="false">
      <c r="A1595" s="1" t="n">
        <v>11594</v>
      </c>
      <c r="B1595" s="14" t="n">
        <v>46155</v>
      </c>
      <c r="C1595" s="1" t="n">
        <v>1430</v>
      </c>
      <c r="D1595" s="1" t="s">
        <v>30</v>
      </c>
      <c r="E1595" s="1" t="s">
        <v>35</v>
      </c>
      <c r="F1595" s="1" t="n">
        <v>5</v>
      </c>
      <c r="G1595" s="15" t="n">
        <v>561.48</v>
      </c>
      <c r="H1595" s="16" t="n">
        <v>0.19</v>
      </c>
      <c r="I1595" s="1" t="s">
        <v>31</v>
      </c>
      <c r="J1595" s="1" t="n">
        <v>7</v>
      </c>
      <c r="K1595" s="1" t="n">
        <v>3.2</v>
      </c>
      <c r="L1595" s="15" t="n">
        <v>2273.99</v>
      </c>
      <c r="M1595" s="15" t="n">
        <f aca="false">F1595*G1595</f>
        <v>2807.4</v>
      </c>
      <c r="N1595" s="15" t="n">
        <f aca="false">M1595-L1595</f>
        <v>533.41</v>
      </c>
      <c r="O1595" s="1" t="n">
        <f aca="false">YEAR(B1595)</f>
        <v>2026</v>
      </c>
      <c r="P1595" s="1" t="n">
        <f aca="false">MONTH(B1595)</f>
        <v>5</v>
      </c>
      <c r="Q1595" s="1" t="str">
        <f aca="false">TEXT(B1595,"mmm")</f>
        <v>May</v>
      </c>
      <c r="R1595" s="1" t="str">
        <f aca="false">"Q"&amp;ROUNDUP(MONTH(B1595)/3,0)</f>
        <v>Q2</v>
      </c>
    </row>
    <row r="1596" customFormat="false" ht="15" hidden="false" customHeight="true" outlineLevel="0" collapsed="false">
      <c r="A1596" s="1" t="n">
        <v>11595</v>
      </c>
      <c r="B1596" s="14" t="n">
        <v>46156</v>
      </c>
      <c r="C1596" s="1" t="n">
        <v>1968</v>
      </c>
      <c r="D1596" s="1" t="s">
        <v>30</v>
      </c>
      <c r="E1596" s="1" t="s">
        <v>28</v>
      </c>
      <c r="F1596" s="1" t="n">
        <v>2</v>
      </c>
      <c r="G1596" s="15" t="n">
        <v>457.94</v>
      </c>
      <c r="H1596" s="16" t="n">
        <v>0.09</v>
      </c>
      <c r="I1596" s="1" t="s">
        <v>33</v>
      </c>
      <c r="J1596" s="1" t="n">
        <v>11</v>
      </c>
      <c r="K1596" s="1" t="n">
        <v>4.2</v>
      </c>
      <c r="L1596" s="15" t="n">
        <v>833.45</v>
      </c>
      <c r="M1596" s="15" t="n">
        <f aca="false">F1596*G1596</f>
        <v>915.88</v>
      </c>
      <c r="N1596" s="15" t="n">
        <f aca="false">M1596-L1596</f>
        <v>82.43</v>
      </c>
      <c r="O1596" s="1" t="n">
        <f aca="false">YEAR(B1596)</f>
        <v>2026</v>
      </c>
      <c r="P1596" s="1" t="n">
        <f aca="false">MONTH(B1596)</f>
        <v>5</v>
      </c>
      <c r="Q1596" s="1" t="str">
        <f aca="false">TEXT(B1596,"mmm")</f>
        <v>May</v>
      </c>
      <c r="R1596" s="1" t="str">
        <f aca="false">"Q"&amp;ROUNDUP(MONTH(B1596)/3,0)</f>
        <v>Q2</v>
      </c>
    </row>
    <row r="1597" customFormat="false" ht="15" hidden="false" customHeight="true" outlineLevel="0" collapsed="false">
      <c r="A1597" s="1" t="n">
        <v>11596</v>
      </c>
      <c r="B1597" s="14" t="n">
        <v>46157</v>
      </c>
      <c r="C1597" s="1" t="n">
        <v>1308</v>
      </c>
      <c r="D1597" s="1" t="s">
        <v>30</v>
      </c>
      <c r="E1597" s="1" t="s">
        <v>36</v>
      </c>
      <c r="F1597" s="1" t="n">
        <v>6</v>
      </c>
      <c r="G1597" s="15" t="n">
        <v>75.51</v>
      </c>
      <c r="H1597" s="16" t="n">
        <v>0.35</v>
      </c>
      <c r="I1597" s="1" t="s">
        <v>31</v>
      </c>
      <c r="J1597" s="1" t="n">
        <v>4</v>
      </c>
      <c r="K1597" s="1" t="n">
        <v>3.2</v>
      </c>
      <c r="L1597" s="15" t="n">
        <v>294.49</v>
      </c>
      <c r="M1597" s="15" t="n">
        <f aca="false">F1597*G1597</f>
        <v>453.06</v>
      </c>
      <c r="N1597" s="15" t="n">
        <f aca="false">M1597-L1597</f>
        <v>158.57</v>
      </c>
      <c r="O1597" s="1" t="n">
        <f aca="false">YEAR(B1597)</f>
        <v>2026</v>
      </c>
      <c r="P1597" s="1" t="n">
        <f aca="false">MONTH(B1597)</f>
        <v>5</v>
      </c>
      <c r="Q1597" s="1" t="str">
        <f aca="false">TEXT(B1597,"mmm")</f>
        <v>May</v>
      </c>
      <c r="R1597" s="1" t="str">
        <f aca="false">"Q"&amp;ROUNDUP(MONTH(B1597)/3,0)</f>
        <v>Q2</v>
      </c>
    </row>
    <row r="1598" customFormat="false" ht="15" hidden="false" customHeight="true" outlineLevel="0" collapsed="false">
      <c r="A1598" s="1" t="n">
        <v>11597</v>
      </c>
      <c r="B1598" s="14" t="n">
        <v>46158</v>
      </c>
      <c r="C1598" s="1" t="n">
        <v>1136</v>
      </c>
      <c r="D1598" s="1" t="s">
        <v>30</v>
      </c>
      <c r="E1598" s="1" t="s">
        <v>35</v>
      </c>
      <c r="F1598" s="1" t="n">
        <v>7</v>
      </c>
      <c r="G1598" s="15" t="n">
        <v>150.22</v>
      </c>
      <c r="H1598" s="16" t="n">
        <v>0.21</v>
      </c>
      <c r="I1598" s="1" t="s">
        <v>31</v>
      </c>
      <c r="J1598" s="1" t="n">
        <v>11</v>
      </c>
      <c r="K1598" s="1" t="n">
        <v>4.4</v>
      </c>
      <c r="L1598" s="15" t="n">
        <v>830.72</v>
      </c>
      <c r="M1598" s="15" t="n">
        <f aca="false">F1598*G1598</f>
        <v>1051.54</v>
      </c>
      <c r="N1598" s="15" t="n">
        <f aca="false">M1598-L1598</f>
        <v>220.82</v>
      </c>
      <c r="O1598" s="1" t="n">
        <f aca="false">YEAR(B1598)</f>
        <v>2026</v>
      </c>
      <c r="P1598" s="1" t="n">
        <f aca="false">MONTH(B1598)</f>
        <v>5</v>
      </c>
      <c r="Q1598" s="1" t="str">
        <f aca="false">TEXT(B1598,"mmm")</f>
        <v>May</v>
      </c>
      <c r="R1598" s="1" t="str">
        <f aca="false">"Q"&amp;ROUNDUP(MONTH(B1598)/3,0)</f>
        <v>Q2</v>
      </c>
    </row>
    <row r="1599" customFormat="false" ht="15" hidden="false" customHeight="true" outlineLevel="0" collapsed="false">
      <c r="A1599" s="1" t="n">
        <v>11598</v>
      </c>
      <c r="B1599" s="14" t="n">
        <v>46159</v>
      </c>
      <c r="C1599" s="1" t="n">
        <v>1201</v>
      </c>
      <c r="D1599" s="1" t="s">
        <v>34</v>
      </c>
      <c r="E1599" s="1" t="s">
        <v>36</v>
      </c>
      <c r="F1599" s="1" t="n">
        <v>4</v>
      </c>
      <c r="G1599" s="15" t="n">
        <v>245.59</v>
      </c>
      <c r="H1599" s="16" t="n">
        <v>0.24</v>
      </c>
      <c r="I1599" s="1" t="s">
        <v>33</v>
      </c>
      <c r="J1599" s="1" t="n">
        <v>10</v>
      </c>
      <c r="K1599" s="1" t="n">
        <v>1.2</v>
      </c>
      <c r="L1599" s="15" t="n">
        <v>746.59</v>
      </c>
      <c r="M1599" s="15" t="n">
        <f aca="false">F1599*G1599</f>
        <v>982.36</v>
      </c>
      <c r="N1599" s="15" t="n">
        <f aca="false">M1599-L1599</f>
        <v>235.77</v>
      </c>
      <c r="O1599" s="1" t="n">
        <f aca="false">YEAR(B1599)</f>
        <v>2026</v>
      </c>
      <c r="P1599" s="1" t="n">
        <f aca="false">MONTH(B1599)</f>
        <v>5</v>
      </c>
      <c r="Q1599" s="1" t="str">
        <f aca="false">TEXT(B1599,"mmm")</f>
        <v>May</v>
      </c>
      <c r="R1599" s="1" t="str">
        <f aca="false">"Q"&amp;ROUNDUP(MONTH(B1599)/3,0)</f>
        <v>Q2</v>
      </c>
    </row>
    <row r="1600" customFormat="false" ht="15" hidden="false" customHeight="true" outlineLevel="0" collapsed="false">
      <c r="A1600" s="1" t="n">
        <v>11599</v>
      </c>
      <c r="B1600" s="14" t="n">
        <v>46160</v>
      </c>
      <c r="C1600" s="1" t="n">
        <v>1435</v>
      </c>
      <c r="D1600" s="1" t="s">
        <v>34</v>
      </c>
      <c r="E1600" s="1" t="s">
        <v>28</v>
      </c>
      <c r="F1600" s="1" t="n">
        <v>7</v>
      </c>
      <c r="G1600" s="15" t="n">
        <v>114.51</v>
      </c>
      <c r="H1600" s="16" t="n">
        <v>0.24</v>
      </c>
      <c r="I1600" s="1" t="s">
        <v>31</v>
      </c>
      <c r="J1600" s="1" t="n">
        <v>9</v>
      </c>
      <c r="K1600" s="1" t="n">
        <v>3</v>
      </c>
      <c r="L1600" s="15" t="n">
        <v>609.19</v>
      </c>
      <c r="M1600" s="15" t="n">
        <f aca="false">F1600*G1600</f>
        <v>801.57</v>
      </c>
      <c r="N1600" s="15" t="n">
        <f aca="false">M1600-L1600</f>
        <v>192.38</v>
      </c>
      <c r="O1600" s="1" t="n">
        <f aca="false">YEAR(B1600)</f>
        <v>2026</v>
      </c>
      <c r="P1600" s="1" t="n">
        <f aca="false">MONTH(B1600)</f>
        <v>5</v>
      </c>
      <c r="Q1600" s="1" t="str">
        <f aca="false">TEXT(B1600,"mmm")</f>
        <v>May</v>
      </c>
      <c r="R1600" s="1" t="str">
        <f aca="false">"Q"&amp;ROUNDUP(MONTH(B1600)/3,0)</f>
        <v>Q2</v>
      </c>
    </row>
    <row r="1601" customFormat="false" ht="15" hidden="false" customHeight="true" outlineLevel="0" collapsed="false">
      <c r="A1601" s="1" t="n">
        <v>11600</v>
      </c>
      <c r="B1601" s="14" t="n">
        <v>46161</v>
      </c>
      <c r="C1601" s="1" t="n">
        <v>1312</v>
      </c>
      <c r="D1601" s="1" t="s">
        <v>34</v>
      </c>
      <c r="E1601" s="1" t="s">
        <v>32</v>
      </c>
      <c r="F1601" s="1" t="n">
        <v>3</v>
      </c>
      <c r="G1601" s="15" t="n">
        <v>304.52</v>
      </c>
      <c r="H1601" s="16" t="n">
        <v>0.3</v>
      </c>
      <c r="I1601" s="1" t="s">
        <v>33</v>
      </c>
      <c r="J1601" s="1" t="n">
        <v>6</v>
      </c>
      <c r="K1601" s="1" t="n">
        <v>4.3</v>
      </c>
      <c r="L1601" s="15" t="n">
        <v>639.49</v>
      </c>
      <c r="M1601" s="15" t="n">
        <f aca="false">F1601*G1601</f>
        <v>913.56</v>
      </c>
      <c r="N1601" s="15" t="n">
        <f aca="false">M1601-L1601</f>
        <v>274.07</v>
      </c>
      <c r="O1601" s="1" t="n">
        <f aca="false">YEAR(B1601)</f>
        <v>2026</v>
      </c>
      <c r="P1601" s="1" t="n">
        <f aca="false">MONTH(B1601)</f>
        <v>5</v>
      </c>
      <c r="Q1601" s="1" t="str">
        <f aca="false">TEXT(B1601,"mmm")</f>
        <v>May</v>
      </c>
      <c r="R1601" s="1" t="str">
        <f aca="false">"Q"&amp;ROUNDUP(MONTH(B1601)/3,0)</f>
        <v>Q2</v>
      </c>
    </row>
    <row r="1602" customFormat="false" ht="15" hidden="false" customHeight="true" outlineLevel="0" collapsed="false">
      <c r="A1602" s="1" t="n">
        <v>11601</v>
      </c>
      <c r="B1602" s="14" t="n">
        <v>46162</v>
      </c>
      <c r="C1602" s="1" t="n">
        <v>1116</v>
      </c>
      <c r="D1602" s="1" t="s">
        <v>34</v>
      </c>
      <c r="E1602" s="1" t="s">
        <v>28</v>
      </c>
      <c r="F1602" s="1" t="n">
        <v>2</v>
      </c>
      <c r="G1602" s="15" t="n">
        <v>290.75</v>
      </c>
      <c r="H1602" s="16" t="n">
        <v>0</v>
      </c>
      <c r="I1602" s="1" t="s">
        <v>29</v>
      </c>
      <c r="J1602" s="1" t="n">
        <v>1</v>
      </c>
      <c r="K1602" s="1" t="n">
        <v>4.4</v>
      </c>
      <c r="L1602" s="15" t="n">
        <v>581.5</v>
      </c>
      <c r="M1602" s="15" t="n">
        <f aca="false">F1602*G1602</f>
        <v>581.5</v>
      </c>
      <c r="N1602" s="15" t="n">
        <f aca="false">M1602-L1602</f>
        <v>0</v>
      </c>
      <c r="O1602" s="1" t="n">
        <f aca="false">YEAR(B1602)</f>
        <v>2026</v>
      </c>
      <c r="P1602" s="1" t="n">
        <f aca="false">MONTH(B1602)</f>
        <v>5</v>
      </c>
      <c r="Q1602" s="1" t="str">
        <f aca="false">TEXT(B1602,"mmm")</f>
        <v>May</v>
      </c>
      <c r="R1602" s="1" t="str">
        <f aca="false">"Q"&amp;ROUNDUP(MONTH(B1602)/3,0)</f>
        <v>Q2</v>
      </c>
    </row>
    <row r="1603" customFormat="false" ht="15" hidden="false" customHeight="true" outlineLevel="0" collapsed="false">
      <c r="A1603" s="1" t="n">
        <v>11602</v>
      </c>
      <c r="B1603" s="14" t="n">
        <v>46163</v>
      </c>
      <c r="C1603" s="1" t="n">
        <v>1665</v>
      </c>
      <c r="D1603" s="1" t="s">
        <v>34</v>
      </c>
      <c r="E1603" s="1" t="s">
        <v>32</v>
      </c>
      <c r="F1603" s="1" t="n">
        <v>1</v>
      </c>
      <c r="G1603" s="15" t="n">
        <v>574.41</v>
      </c>
      <c r="H1603" s="16" t="n">
        <v>0.08</v>
      </c>
      <c r="I1603" s="1" t="s">
        <v>29</v>
      </c>
      <c r="J1603" s="1" t="n">
        <v>9</v>
      </c>
      <c r="K1603" s="1" t="n">
        <v>4.3</v>
      </c>
      <c r="L1603" s="15" t="n">
        <v>528.46</v>
      </c>
      <c r="M1603" s="15" t="n">
        <f aca="false">F1603*G1603</f>
        <v>574.41</v>
      </c>
      <c r="N1603" s="15" t="n">
        <f aca="false">M1603-L1603</f>
        <v>45.9499999999999</v>
      </c>
      <c r="O1603" s="1" t="n">
        <f aca="false">YEAR(B1603)</f>
        <v>2026</v>
      </c>
      <c r="P1603" s="1" t="n">
        <f aca="false">MONTH(B1603)</f>
        <v>5</v>
      </c>
      <c r="Q1603" s="1" t="str">
        <f aca="false">TEXT(B1603,"mmm")</f>
        <v>May</v>
      </c>
      <c r="R1603" s="1" t="str">
        <f aca="false">"Q"&amp;ROUNDUP(MONTH(B1603)/3,0)</f>
        <v>Q2</v>
      </c>
    </row>
    <row r="1604" customFormat="false" ht="15" hidden="false" customHeight="true" outlineLevel="0" collapsed="false">
      <c r="A1604" s="1" t="n">
        <v>11603</v>
      </c>
      <c r="B1604" s="14" t="n">
        <v>46164</v>
      </c>
      <c r="C1604" s="1" t="n">
        <v>1936</v>
      </c>
      <c r="D1604" s="1" t="s">
        <v>27</v>
      </c>
      <c r="E1604" s="1" t="s">
        <v>36</v>
      </c>
      <c r="F1604" s="1" t="n">
        <v>1</v>
      </c>
      <c r="G1604" s="15" t="n">
        <v>268.73</v>
      </c>
      <c r="H1604" s="16" t="n">
        <v>0.23</v>
      </c>
      <c r="I1604" s="1" t="s">
        <v>29</v>
      </c>
      <c r="J1604" s="1" t="n">
        <v>11</v>
      </c>
      <c r="K1604" s="1" t="n">
        <v>3.4</v>
      </c>
      <c r="L1604" s="15" t="n">
        <v>206.92</v>
      </c>
      <c r="M1604" s="15" t="n">
        <f aca="false">F1604*G1604</f>
        <v>268.73</v>
      </c>
      <c r="N1604" s="15" t="n">
        <f aca="false">M1604-L1604</f>
        <v>61.81</v>
      </c>
      <c r="O1604" s="1" t="n">
        <f aca="false">YEAR(B1604)</f>
        <v>2026</v>
      </c>
      <c r="P1604" s="1" t="n">
        <f aca="false">MONTH(B1604)</f>
        <v>5</v>
      </c>
      <c r="Q1604" s="1" t="str">
        <f aca="false">TEXT(B1604,"mmm")</f>
        <v>May</v>
      </c>
      <c r="R1604" s="1" t="str">
        <f aca="false">"Q"&amp;ROUNDUP(MONTH(B1604)/3,0)</f>
        <v>Q2</v>
      </c>
    </row>
    <row r="1605" customFormat="false" ht="15" hidden="false" customHeight="true" outlineLevel="0" collapsed="false">
      <c r="A1605" s="1" t="n">
        <v>11604</v>
      </c>
      <c r="B1605" s="14" t="n">
        <v>46165</v>
      </c>
      <c r="C1605" s="1" t="n">
        <v>1802</v>
      </c>
      <c r="D1605" s="1" t="s">
        <v>30</v>
      </c>
      <c r="E1605" s="1" t="s">
        <v>36</v>
      </c>
      <c r="F1605" s="1" t="n">
        <v>5</v>
      </c>
      <c r="G1605" s="15" t="n">
        <v>474.59</v>
      </c>
      <c r="H1605" s="16" t="n">
        <v>0.31</v>
      </c>
      <c r="I1605" s="1" t="s">
        <v>29</v>
      </c>
      <c r="J1605" s="1" t="n">
        <v>7</v>
      </c>
      <c r="K1605" s="1" t="n">
        <v>5</v>
      </c>
      <c r="L1605" s="15" t="n">
        <v>1637.34</v>
      </c>
      <c r="M1605" s="15" t="n">
        <f aca="false">F1605*G1605</f>
        <v>2372.95</v>
      </c>
      <c r="N1605" s="15" t="n">
        <f aca="false">M1605-L1605</f>
        <v>735.61</v>
      </c>
      <c r="O1605" s="1" t="n">
        <f aca="false">YEAR(B1605)</f>
        <v>2026</v>
      </c>
      <c r="P1605" s="1" t="n">
        <f aca="false">MONTH(B1605)</f>
        <v>5</v>
      </c>
      <c r="Q1605" s="1" t="str">
        <f aca="false">TEXT(B1605,"mmm")</f>
        <v>May</v>
      </c>
      <c r="R1605" s="1" t="str">
        <f aca="false">"Q"&amp;ROUNDUP(MONTH(B1605)/3,0)</f>
        <v>Q2</v>
      </c>
    </row>
    <row r="1606" customFormat="false" ht="15" hidden="false" customHeight="true" outlineLevel="0" collapsed="false">
      <c r="A1606" s="1" t="n">
        <v>11605</v>
      </c>
      <c r="B1606" s="14" t="n">
        <v>46166</v>
      </c>
      <c r="C1606" s="1" t="n">
        <v>1574</v>
      </c>
      <c r="D1606" s="1" t="s">
        <v>30</v>
      </c>
      <c r="E1606" s="1" t="s">
        <v>35</v>
      </c>
      <c r="F1606" s="1" t="n">
        <v>6</v>
      </c>
      <c r="G1606" s="15" t="n">
        <v>566.02</v>
      </c>
      <c r="H1606" s="16" t="n">
        <v>0.24</v>
      </c>
      <c r="I1606" s="1" t="s">
        <v>31</v>
      </c>
      <c r="J1606" s="1" t="n">
        <v>6</v>
      </c>
      <c r="K1606" s="1" t="n">
        <v>1.7</v>
      </c>
      <c r="L1606" s="15" t="n">
        <v>2581.05</v>
      </c>
      <c r="M1606" s="15" t="n">
        <f aca="false">F1606*G1606</f>
        <v>3396.12</v>
      </c>
      <c r="N1606" s="15" t="n">
        <f aca="false">M1606-L1606</f>
        <v>815.07</v>
      </c>
      <c r="O1606" s="1" t="n">
        <f aca="false">YEAR(B1606)</f>
        <v>2026</v>
      </c>
      <c r="P1606" s="1" t="n">
        <f aca="false">MONTH(B1606)</f>
        <v>5</v>
      </c>
      <c r="Q1606" s="1" t="str">
        <f aca="false">TEXT(B1606,"mmm")</f>
        <v>May</v>
      </c>
      <c r="R1606" s="1" t="str">
        <f aca="false">"Q"&amp;ROUNDUP(MONTH(B1606)/3,0)</f>
        <v>Q2</v>
      </c>
    </row>
    <row r="1607" customFormat="false" ht="15" hidden="false" customHeight="true" outlineLevel="0" collapsed="false">
      <c r="A1607" s="1" t="n">
        <v>11606</v>
      </c>
      <c r="B1607" s="14" t="n">
        <v>46167</v>
      </c>
      <c r="C1607" s="1" t="n">
        <v>1243</v>
      </c>
      <c r="D1607" s="1" t="s">
        <v>27</v>
      </c>
      <c r="E1607" s="1" t="s">
        <v>32</v>
      </c>
      <c r="F1607" s="1" t="n">
        <v>5</v>
      </c>
      <c r="G1607" s="15" t="n">
        <v>528.04</v>
      </c>
      <c r="H1607" s="16" t="n">
        <v>0.14</v>
      </c>
      <c r="I1607" s="1" t="s">
        <v>29</v>
      </c>
      <c r="J1607" s="1" t="n">
        <v>6</v>
      </c>
      <c r="K1607" s="1" t="n">
        <v>1.7</v>
      </c>
      <c r="L1607" s="15" t="n">
        <v>2270.57</v>
      </c>
      <c r="M1607" s="15" t="n">
        <f aca="false">F1607*G1607</f>
        <v>2640.2</v>
      </c>
      <c r="N1607" s="15" t="n">
        <f aca="false">M1607-L1607</f>
        <v>369.63</v>
      </c>
      <c r="O1607" s="1" t="n">
        <f aca="false">YEAR(B1607)</f>
        <v>2026</v>
      </c>
      <c r="P1607" s="1" t="n">
        <f aca="false">MONTH(B1607)</f>
        <v>5</v>
      </c>
      <c r="Q1607" s="1" t="str">
        <f aca="false">TEXT(B1607,"mmm")</f>
        <v>May</v>
      </c>
      <c r="R1607" s="1" t="str">
        <f aca="false">"Q"&amp;ROUNDUP(MONTH(B1607)/3,0)</f>
        <v>Q2</v>
      </c>
    </row>
    <row r="1608" customFormat="false" ht="15" hidden="false" customHeight="true" outlineLevel="0" collapsed="false">
      <c r="A1608" s="1" t="n">
        <v>11607</v>
      </c>
      <c r="B1608" s="14" t="n">
        <v>46168</v>
      </c>
      <c r="C1608" s="1" t="n">
        <v>1536</v>
      </c>
      <c r="D1608" s="1" t="s">
        <v>27</v>
      </c>
      <c r="E1608" s="1" t="s">
        <v>28</v>
      </c>
      <c r="F1608" s="1" t="n">
        <v>3</v>
      </c>
      <c r="G1608" s="15" t="n">
        <v>137.07</v>
      </c>
      <c r="H1608" s="16" t="n">
        <v>0.13</v>
      </c>
      <c r="I1608" s="1" t="s">
        <v>29</v>
      </c>
      <c r="J1608" s="1" t="n">
        <v>4</v>
      </c>
      <c r="K1608" s="1" t="n">
        <v>1.1</v>
      </c>
      <c r="L1608" s="15" t="n">
        <v>357.75</v>
      </c>
      <c r="M1608" s="15" t="n">
        <f aca="false">F1608*G1608</f>
        <v>411.21</v>
      </c>
      <c r="N1608" s="15" t="n">
        <f aca="false">M1608-L1608</f>
        <v>53.46</v>
      </c>
      <c r="O1608" s="1" t="n">
        <f aca="false">YEAR(B1608)</f>
        <v>2026</v>
      </c>
      <c r="P1608" s="1" t="n">
        <f aca="false">MONTH(B1608)</f>
        <v>5</v>
      </c>
      <c r="Q1608" s="1" t="str">
        <f aca="false">TEXT(B1608,"mmm")</f>
        <v>May</v>
      </c>
      <c r="R1608" s="1" t="str">
        <f aca="false">"Q"&amp;ROUNDUP(MONTH(B1608)/3,0)</f>
        <v>Q2</v>
      </c>
    </row>
    <row r="1609" customFormat="false" ht="15" hidden="false" customHeight="true" outlineLevel="0" collapsed="false">
      <c r="A1609" s="1" t="n">
        <v>11608</v>
      </c>
      <c r="B1609" s="14" t="n">
        <v>46169</v>
      </c>
      <c r="C1609" s="1" t="n">
        <v>1601</v>
      </c>
      <c r="D1609" s="1" t="s">
        <v>30</v>
      </c>
      <c r="E1609" s="1" t="s">
        <v>36</v>
      </c>
      <c r="F1609" s="1" t="n">
        <v>3</v>
      </c>
      <c r="G1609" s="15" t="n">
        <v>305.18</v>
      </c>
      <c r="H1609" s="16" t="n">
        <v>0.26</v>
      </c>
      <c r="I1609" s="1" t="s">
        <v>29</v>
      </c>
      <c r="J1609" s="1" t="n">
        <v>4</v>
      </c>
      <c r="K1609" s="1" t="n">
        <v>5</v>
      </c>
      <c r="L1609" s="15" t="n">
        <v>677.5</v>
      </c>
      <c r="M1609" s="15" t="n">
        <f aca="false">F1609*G1609</f>
        <v>915.54</v>
      </c>
      <c r="N1609" s="15" t="n">
        <f aca="false">M1609-L1609</f>
        <v>238.04</v>
      </c>
      <c r="O1609" s="1" t="n">
        <f aca="false">YEAR(B1609)</f>
        <v>2026</v>
      </c>
      <c r="P1609" s="1" t="n">
        <f aca="false">MONTH(B1609)</f>
        <v>5</v>
      </c>
      <c r="Q1609" s="1" t="str">
        <f aca="false">TEXT(B1609,"mmm")</f>
        <v>May</v>
      </c>
      <c r="R1609" s="1" t="str">
        <f aca="false">"Q"&amp;ROUNDUP(MONTH(B1609)/3,0)</f>
        <v>Q2</v>
      </c>
    </row>
    <row r="1610" customFormat="false" ht="15" hidden="false" customHeight="true" outlineLevel="0" collapsed="false">
      <c r="A1610" s="1" t="n">
        <v>11609</v>
      </c>
      <c r="B1610" s="14" t="n">
        <v>46170</v>
      </c>
      <c r="C1610" s="1" t="n">
        <v>1074</v>
      </c>
      <c r="D1610" s="1" t="s">
        <v>37</v>
      </c>
      <c r="E1610" s="1" t="s">
        <v>32</v>
      </c>
      <c r="F1610" s="1" t="n">
        <v>1</v>
      </c>
      <c r="G1610" s="15" t="n">
        <v>218.43</v>
      </c>
      <c r="H1610" s="16" t="n">
        <v>0.26</v>
      </c>
      <c r="I1610" s="1" t="s">
        <v>33</v>
      </c>
      <c r="J1610" s="1" t="n">
        <v>11</v>
      </c>
      <c r="K1610" s="1" t="n">
        <v>2.4</v>
      </c>
      <c r="L1610" s="15" t="n">
        <v>161.64</v>
      </c>
      <c r="M1610" s="15" t="n">
        <f aca="false">F1610*G1610</f>
        <v>218.43</v>
      </c>
      <c r="N1610" s="15" t="n">
        <f aca="false">M1610-L1610</f>
        <v>56.79</v>
      </c>
      <c r="O1610" s="1" t="n">
        <f aca="false">YEAR(B1610)</f>
        <v>2026</v>
      </c>
      <c r="P1610" s="1" t="n">
        <f aca="false">MONTH(B1610)</f>
        <v>5</v>
      </c>
      <c r="Q1610" s="1" t="str">
        <f aca="false">TEXT(B1610,"mmm")</f>
        <v>May</v>
      </c>
      <c r="R1610" s="1" t="str">
        <f aca="false">"Q"&amp;ROUNDUP(MONTH(B1610)/3,0)</f>
        <v>Q2</v>
      </c>
    </row>
    <row r="1611" customFormat="false" ht="15" hidden="false" customHeight="true" outlineLevel="0" collapsed="false">
      <c r="A1611" s="1" t="n">
        <v>11610</v>
      </c>
      <c r="B1611" s="14" t="n">
        <v>46171</v>
      </c>
      <c r="C1611" s="1" t="n">
        <v>1805</v>
      </c>
      <c r="D1611" s="1" t="s">
        <v>34</v>
      </c>
      <c r="E1611" s="1" t="s">
        <v>28</v>
      </c>
      <c r="F1611" s="1" t="n">
        <v>7</v>
      </c>
      <c r="G1611" s="15" t="n">
        <v>248.92</v>
      </c>
      <c r="H1611" s="16" t="n">
        <v>0.21</v>
      </c>
      <c r="I1611" s="1" t="s">
        <v>31</v>
      </c>
      <c r="J1611" s="1" t="n">
        <v>3</v>
      </c>
      <c r="K1611" s="1" t="n">
        <v>4</v>
      </c>
      <c r="L1611" s="15" t="n">
        <v>1376.53</v>
      </c>
      <c r="M1611" s="15" t="n">
        <f aca="false">F1611*G1611</f>
        <v>1742.44</v>
      </c>
      <c r="N1611" s="15" t="n">
        <f aca="false">M1611-L1611</f>
        <v>365.91</v>
      </c>
      <c r="O1611" s="1" t="n">
        <f aca="false">YEAR(B1611)</f>
        <v>2026</v>
      </c>
      <c r="P1611" s="1" t="n">
        <f aca="false">MONTH(B1611)</f>
        <v>5</v>
      </c>
      <c r="Q1611" s="1" t="str">
        <f aca="false">TEXT(B1611,"mmm")</f>
        <v>May</v>
      </c>
      <c r="R1611" s="1" t="str">
        <f aca="false">"Q"&amp;ROUNDUP(MONTH(B1611)/3,0)</f>
        <v>Q2</v>
      </c>
    </row>
    <row r="1612" customFormat="false" ht="15" hidden="false" customHeight="true" outlineLevel="0" collapsed="false">
      <c r="A1612" s="1" t="n">
        <v>11611</v>
      </c>
      <c r="B1612" s="14" t="n">
        <v>46172</v>
      </c>
      <c r="C1612" s="1" t="n">
        <v>1385</v>
      </c>
      <c r="D1612" s="1" t="s">
        <v>34</v>
      </c>
      <c r="E1612" s="1" t="s">
        <v>32</v>
      </c>
      <c r="F1612" s="1" t="n">
        <v>4</v>
      </c>
      <c r="G1612" s="15" t="n">
        <v>226.07</v>
      </c>
      <c r="H1612" s="16" t="n">
        <v>0.1</v>
      </c>
      <c r="I1612" s="1" t="s">
        <v>31</v>
      </c>
      <c r="J1612" s="1" t="n">
        <v>8</v>
      </c>
      <c r="K1612" s="1" t="n">
        <v>1.2</v>
      </c>
      <c r="L1612" s="15" t="n">
        <v>813.85</v>
      </c>
      <c r="M1612" s="15" t="n">
        <f aca="false">F1612*G1612</f>
        <v>904.28</v>
      </c>
      <c r="N1612" s="15" t="n">
        <f aca="false">M1612-L1612</f>
        <v>90.43</v>
      </c>
      <c r="O1612" s="1" t="n">
        <f aca="false">YEAR(B1612)</f>
        <v>2026</v>
      </c>
      <c r="P1612" s="1" t="n">
        <f aca="false">MONTH(B1612)</f>
        <v>5</v>
      </c>
      <c r="Q1612" s="1" t="str">
        <f aca="false">TEXT(B1612,"mmm")</f>
        <v>May</v>
      </c>
      <c r="R1612" s="1" t="str">
        <f aca="false">"Q"&amp;ROUNDUP(MONTH(B1612)/3,0)</f>
        <v>Q2</v>
      </c>
    </row>
    <row r="1613" customFormat="false" ht="15" hidden="false" customHeight="true" outlineLevel="0" collapsed="false">
      <c r="A1613" s="1" t="n">
        <v>11612</v>
      </c>
      <c r="B1613" s="14" t="n">
        <v>46173</v>
      </c>
      <c r="C1613" s="1" t="n">
        <v>1902</v>
      </c>
      <c r="D1613" s="1" t="s">
        <v>30</v>
      </c>
      <c r="E1613" s="1" t="s">
        <v>28</v>
      </c>
      <c r="F1613" s="1" t="n">
        <v>1</v>
      </c>
      <c r="G1613" s="15" t="n">
        <v>498.42</v>
      </c>
      <c r="H1613" s="16" t="n">
        <v>0.32</v>
      </c>
      <c r="I1613" s="1" t="s">
        <v>31</v>
      </c>
      <c r="J1613" s="1" t="n">
        <v>8</v>
      </c>
      <c r="K1613" s="1" t="n">
        <v>2.2</v>
      </c>
      <c r="L1613" s="15" t="n">
        <v>338.93</v>
      </c>
      <c r="M1613" s="15" t="n">
        <f aca="false">F1613*G1613</f>
        <v>498.42</v>
      </c>
      <c r="N1613" s="15" t="n">
        <f aca="false">M1613-L1613</f>
        <v>159.49</v>
      </c>
      <c r="O1613" s="1" t="n">
        <f aca="false">YEAR(B1613)</f>
        <v>2026</v>
      </c>
      <c r="P1613" s="1" t="n">
        <f aca="false">MONTH(B1613)</f>
        <v>5</v>
      </c>
      <c r="Q1613" s="1" t="str">
        <f aca="false">TEXT(B1613,"mmm")</f>
        <v>May</v>
      </c>
      <c r="R1613" s="1" t="str">
        <f aca="false">"Q"&amp;ROUNDUP(MONTH(B1613)/3,0)</f>
        <v>Q2</v>
      </c>
    </row>
    <row r="1614" customFormat="false" ht="15" hidden="false" customHeight="true" outlineLevel="0" collapsed="false">
      <c r="A1614" s="1" t="n">
        <v>11613</v>
      </c>
      <c r="B1614" s="14" t="n">
        <v>46174</v>
      </c>
      <c r="C1614" s="1" t="n">
        <v>1209</v>
      </c>
      <c r="D1614" s="1" t="s">
        <v>37</v>
      </c>
      <c r="E1614" s="1" t="s">
        <v>28</v>
      </c>
      <c r="F1614" s="1" t="n">
        <v>1</v>
      </c>
      <c r="G1614" s="15" t="n">
        <v>279.5</v>
      </c>
      <c r="H1614" s="16" t="n">
        <v>0.19</v>
      </c>
      <c r="I1614" s="1" t="s">
        <v>29</v>
      </c>
      <c r="J1614" s="1" t="n">
        <v>2</v>
      </c>
      <c r="K1614" s="1" t="n">
        <v>3.5</v>
      </c>
      <c r="L1614" s="15" t="n">
        <v>226.4</v>
      </c>
      <c r="M1614" s="15" t="n">
        <f aca="false">F1614*G1614</f>
        <v>279.5</v>
      </c>
      <c r="N1614" s="15" t="n">
        <f aca="false">M1614-L1614</f>
        <v>53.1</v>
      </c>
      <c r="O1614" s="1" t="n">
        <f aca="false">YEAR(B1614)</f>
        <v>2026</v>
      </c>
      <c r="P1614" s="1" t="n">
        <f aca="false">MONTH(B1614)</f>
        <v>6</v>
      </c>
      <c r="Q1614" s="1" t="str">
        <f aca="false">TEXT(B1614,"mmm")</f>
        <v>Jun</v>
      </c>
      <c r="R1614" s="1" t="str">
        <f aca="false">"Q"&amp;ROUNDUP(MONTH(B1614)/3,0)</f>
        <v>Q2</v>
      </c>
    </row>
    <row r="1615" customFormat="false" ht="15" hidden="false" customHeight="true" outlineLevel="0" collapsed="false">
      <c r="A1615" s="1" t="n">
        <v>11614</v>
      </c>
      <c r="B1615" s="14" t="n">
        <v>46175</v>
      </c>
      <c r="C1615" s="1" t="n">
        <v>1474</v>
      </c>
      <c r="D1615" s="1" t="s">
        <v>37</v>
      </c>
      <c r="E1615" s="1" t="s">
        <v>28</v>
      </c>
      <c r="F1615" s="1" t="n">
        <v>7</v>
      </c>
      <c r="G1615" s="15" t="n">
        <v>321.36</v>
      </c>
      <c r="H1615" s="16" t="n">
        <v>0.28</v>
      </c>
      <c r="I1615" s="1" t="s">
        <v>33</v>
      </c>
      <c r="J1615" s="1" t="n">
        <v>5</v>
      </c>
      <c r="K1615" s="1" t="n">
        <v>3.1</v>
      </c>
      <c r="L1615" s="15" t="n">
        <v>1619.65</v>
      </c>
      <c r="M1615" s="15" t="n">
        <f aca="false">F1615*G1615</f>
        <v>2249.52</v>
      </c>
      <c r="N1615" s="15" t="n">
        <f aca="false">M1615-L1615</f>
        <v>629.87</v>
      </c>
      <c r="O1615" s="1" t="n">
        <f aca="false">YEAR(B1615)</f>
        <v>2026</v>
      </c>
      <c r="P1615" s="1" t="n">
        <f aca="false">MONTH(B1615)</f>
        <v>6</v>
      </c>
      <c r="Q1615" s="1" t="str">
        <f aca="false">TEXT(B1615,"mmm")</f>
        <v>Jun</v>
      </c>
      <c r="R1615" s="1" t="str">
        <f aca="false">"Q"&amp;ROUNDUP(MONTH(B1615)/3,0)</f>
        <v>Q2</v>
      </c>
    </row>
    <row r="1616" customFormat="false" ht="15" hidden="false" customHeight="true" outlineLevel="0" collapsed="false">
      <c r="A1616" s="1" t="n">
        <v>11615</v>
      </c>
      <c r="B1616" s="14" t="n">
        <v>46176</v>
      </c>
      <c r="C1616" s="1" t="n">
        <v>1417</v>
      </c>
      <c r="D1616" s="1" t="s">
        <v>34</v>
      </c>
      <c r="E1616" s="1" t="s">
        <v>28</v>
      </c>
      <c r="F1616" s="1" t="n">
        <v>7</v>
      </c>
      <c r="G1616" s="15" t="n">
        <v>589.73</v>
      </c>
      <c r="H1616" s="16" t="n">
        <v>0.08</v>
      </c>
      <c r="I1616" s="1" t="s">
        <v>29</v>
      </c>
      <c r="J1616" s="1" t="n">
        <v>9</v>
      </c>
      <c r="K1616" s="1" t="n">
        <v>1.8</v>
      </c>
      <c r="L1616" s="15" t="n">
        <v>3797.86</v>
      </c>
      <c r="M1616" s="15" t="n">
        <f aca="false">F1616*G1616</f>
        <v>4128.11</v>
      </c>
      <c r="N1616" s="15" t="n">
        <f aca="false">M1616-L1616</f>
        <v>330.25</v>
      </c>
      <c r="O1616" s="1" t="n">
        <f aca="false">YEAR(B1616)</f>
        <v>2026</v>
      </c>
      <c r="P1616" s="1" t="n">
        <f aca="false">MONTH(B1616)</f>
        <v>6</v>
      </c>
      <c r="Q1616" s="1" t="str">
        <f aca="false">TEXT(B1616,"mmm")</f>
        <v>Jun</v>
      </c>
      <c r="R1616" s="1" t="str">
        <f aca="false">"Q"&amp;ROUNDUP(MONTH(B1616)/3,0)</f>
        <v>Q2</v>
      </c>
    </row>
    <row r="1617" customFormat="false" ht="15" hidden="false" customHeight="true" outlineLevel="0" collapsed="false">
      <c r="A1617" s="1" t="n">
        <v>11616</v>
      </c>
      <c r="B1617" s="14" t="n">
        <v>46177</v>
      </c>
      <c r="C1617" s="1" t="n">
        <v>1346</v>
      </c>
      <c r="D1617" s="1" t="s">
        <v>34</v>
      </c>
      <c r="E1617" s="1" t="s">
        <v>32</v>
      </c>
      <c r="F1617" s="1" t="n">
        <v>3</v>
      </c>
      <c r="G1617" s="15" t="n">
        <v>50.09</v>
      </c>
      <c r="H1617" s="16" t="n">
        <v>0.12</v>
      </c>
      <c r="I1617" s="1" t="s">
        <v>33</v>
      </c>
      <c r="J1617" s="1" t="n">
        <v>9</v>
      </c>
      <c r="K1617" s="1" t="n">
        <v>2.8</v>
      </c>
      <c r="L1617" s="15" t="n">
        <v>132.24</v>
      </c>
      <c r="M1617" s="15" t="n">
        <f aca="false">F1617*G1617</f>
        <v>150.27</v>
      </c>
      <c r="N1617" s="15" t="n">
        <f aca="false">M1617-L1617</f>
        <v>18.03</v>
      </c>
      <c r="O1617" s="1" t="n">
        <f aca="false">YEAR(B1617)</f>
        <v>2026</v>
      </c>
      <c r="P1617" s="1" t="n">
        <f aca="false">MONTH(B1617)</f>
        <v>6</v>
      </c>
      <c r="Q1617" s="1" t="str">
        <f aca="false">TEXT(B1617,"mmm")</f>
        <v>Jun</v>
      </c>
      <c r="R1617" s="1" t="str">
        <f aca="false">"Q"&amp;ROUNDUP(MONTH(B1617)/3,0)</f>
        <v>Q2</v>
      </c>
    </row>
    <row r="1618" customFormat="false" ht="15" hidden="false" customHeight="true" outlineLevel="0" collapsed="false">
      <c r="A1618" s="1" t="n">
        <v>11617</v>
      </c>
      <c r="B1618" s="14" t="n">
        <v>46178</v>
      </c>
      <c r="C1618" s="1" t="n">
        <v>1528</v>
      </c>
      <c r="D1618" s="1" t="s">
        <v>30</v>
      </c>
      <c r="E1618" s="1" t="s">
        <v>32</v>
      </c>
      <c r="F1618" s="1" t="n">
        <v>7</v>
      </c>
      <c r="G1618" s="15" t="n">
        <v>300.46</v>
      </c>
      <c r="H1618" s="16" t="n">
        <v>0.31</v>
      </c>
      <c r="I1618" s="1" t="s">
        <v>33</v>
      </c>
      <c r="J1618" s="1" t="n">
        <v>7</v>
      </c>
      <c r="K1618" s="1" t="n">
        <v>1.4</v>
      </c>
      <c r="L1618" s="15" t="n">
        <v>1451.22</v>
      </c>
      <c r="M1618" s="15" t="n">
        <f aca="false">F1618*G1618</f>
        <v>2103.22</v>
      </c>
      <c r="N1618" s="15" t="n">
        <f aca="false">M1618-L1618</f>
        <v>652</v>
      </c>
      <c r="O1618" s="1" t="n">
        <f aca="false">YEAR(B1618)</f>
        <v>2026</v>
      </c>
      <c r="P1618" s="1" t="n">
        <f aca="false">MONTH(B1618)</f>
        <v>6</v>
      </c>
      <c r="Q1618" s="1" t="str">
        <f aca="false">TEXT(B1618,"mmm")</f>
        <v>Jun</v>
      </c>
      <c r="R1618" s="1" t="str">
        <f aca="false">"Q"&amp;ROUNDUP(MONTH(B1618)/3,0)</f>
        <v>Q2</v>
      </c>
    </row>
    <row r="1619" customFormat="false" ht="15" hidden="false" customHeight="true" outlineLevel="0" collapsed="false">
      <c r="A1619" s="1" t="n">
        <v>11618</v>
      </c>
      <c r="B1619" s="14" t="n">
        <v>46179</v>
      </c>
      <c r="C1619" s="1" t="n">
        <v>1639</v>
      </c>
      <c r="D1619" s="1" t="s">
        <v>34</v>
      </c>
      <c r="E1619" s="1" t="s">
        <v>35</v>
      </c>
      <c r="F1619" s="1" t="n">
        <v>5</v>
      </c>
      <c r="G1619" s="15" t="n">
        <v>467.83</v>
      </c>
      <c r="H1619" s="16" t="n">
        <v>0.02</v>
      </c>
      <c r="I1619" s="1" t="s">
        <v>31</v>
      </c>
      <c r="J1619" s="1" t="n">
        <v>4</v>
      </c>
      <c r="K1619" s="1" t="n">
        <v>3.2</v>
      </c>
      <c r="L1619" s="15" t="n">
        <v>2292.37</v>
      </c>
      <c r="M1619" s="15" t="n">
        <f aca="false">F1619*G1619</f>
        <v>2339.15</v>
      </c>
      <c r="N1619" s="15" t="n">
        <f aca="false">M1619-L1619</f>
        <v>46.7800000000002</v>
      </c>
      <c r="O1619" s="1" t="n">
        <f aca="false">YEAR(B1619)</f>
        <v>2026</v>
      </c>
      <c r="P1619" s="1" t="n">
        <f aca="false">MONTH(B1619)</f>
        <v>6</v>
      </c>
      <c r="Q1619" s="1" t="str">
        <f aca="false">TEXT(B1619,"mmm")</f>
        <v>Jun</v>
      </c>
      <c r="R1619" s="1" t="str">
        <f aca="false">"Q"&amp;ROUNDUP(MONTH(B1619)/3,0)</f>
        <v>Q2</v>
      </c>
    </row>
    <row r="1620" customFormat="false" ht="15" hidden="false" customHeight="true" outlineLevel="0" collapsed="false">
      <c r="A1620" s="1" t="n">
        <v>11619</v>
      </c>
      <c r="B1620" s="14" t="n">
        <v>46180</v>
      </c>
      <c r="C1620" s="1" t="n">
        <v>1938</v>
      </c>
      <c r="D1620" s="1" t="s">
        <v>30</v>
      </c>
      <c r="E1620" s="1" t="s">
        <v>32</v>
      </c>
      <c r="F1620" s="1" t="n">
        <v>3</v>
      </c>
      <c r="G1620" s="15" t="n">
        <v>103.43</v>
      </c>
      <c r="H1620" s="16" t="n">
        <v>0.18</v>
      </c>
      <c r="I1620" s="1" t="s">
        <v>31</v>
      </c>
      <c r="J1620" s="1" t="n">
        <v>4</v>
      </c>
      <c r="K1620" s="1" t="n">
        <v>1.4</v>
      </c>
      <c r="L1620" s="15" t="n">
        <v>254.44</v>
      </c>
      <c r="M1620" s="15" t="n">
        <f aca="false">F1620*G1620</f>
        <v>310.29</v>
      </c>
      <c r="N1620" s="15" t="n">
        <f aca="false">M1620-L1620</f>
        <v>55.85</v>
      </c>
      <c r="O1620" s="1" t="n">
        <f aca="false">YEAR(B1620)</f>
        <v>2026</v>
      </c>
      <c r="P1620" s="1" t="n">
        <f aca="false">MONTH(B1620)</f>
        <v>6</v>
      </c>
      <c r="Q1620" s="1" t="str">
        <f aca="false">TEXT(B1620,"mmm")</f>
        <v>Jun</v>
      </c>
      <c r="R1620" s="1" t="str">
        <f aca="false">"Q"&amp;ROUNDUP(MONTH(B1620)/3,0)</f>
        <v>Q2</v>
      </c>
    </row>
    <row r="1621" customFormat="false" ht="15" hidden="false" customHeight="true" outlineLevel="0" collapsed="false">
      <c r="A1621" s="1" t="n">
        <v>11620</v>
      </c>
      <c r="B1621" s="14" t="n">
        <v>46181</v>
      </c>
      <c r="C1621" s="1" t="n">
        <v>1954</v>
      </c>
      <c r="D1621" s="1" t="s">
        <v>37</v>
      </c>
      <c r="E1621" s="1" t="s">
        <v>32</v>
      </c>
      <c r="F1621" s="1" t="n">
        <v>7</v>
      </c>
      <c r="G1621" s="15" t="n">
        <v>372.75</v>
      </c>
      <c r="H1621" s="16" t="n">
        <v>0.17</v>
      </c>
      <c r="I1621" s="1" t="s">
        <v>31</v>
      </c>
      <c r="J1621" s="1" t="n">
        <v>10</v>
      </c>
      <c r="K1621" s="1" t="n">
        <v>3.5</v>
      </c>
      <c r="L1621" s="15" t="n">
        <v>2165.68</v>
      </c>
      <c r="M1621" s="15" t="n">
        <f aca="false">F1621*G1621</f>
        <v>2609.25</v>
      </c>
      <c r="N1621" s="15" t="n">
        <f aca="false">M1621-L1621</f>
        <v>443.57</v>
      </c>
      <c r="O1621" s="1" t="n">
        <f aca="false">YEAR(B1621)</f>
        <v>2026</v>
      </c>
      <c r="P1621" s="1" t="n">
        <f aca="false">MONTH(B1621)</f>
        <v>6</v>
      </c>
      <c r="Q1621" s="1" t="str">
        <f aca="false">TEXT(B1621,"mmm")</f>
        <v>Jun</v>
      </c>
      <c r="R1621" s="1" t="str">
        <f aca="false">"Q"&amp;ROUNDUP(MONTH(B1621)/3,0)</f>
        <v>Q2</v>
      </c>
    </row>
    <row r="1622" customFormat="false" ht="15" hidden="false" customHeight="true" outlineLevel="0" collapsed="false">
      <c r="A1622" s="1" t="n">
        <v>11621</v>
      </c>
      <c r="B1622" s="14" t="n">
        <v>46182</v>
      </c>
      <c r="C1622" s="1" t="n">
        <v>1875</v>
      </c>
      <c r="D1622" s="1" t="s">
        <v>37</v>
      </c>
      <c r="E1622" s="1" t="s">
        <v>35</v>
      </c>
      <c r="F1622" s="1" t="n">
        <v>6</v>
      </c>
      <c r="G1622" s="15" t="n">
        <v>155.09</v>
      </c>
      <c r="H1622" s="16" t="n">
        <v>0.26</v>
      </c>
      <c r="I1622" s="1" t="s">
        <v>33</v>
      </c>
      <c r="J1622" s="1" t="n">
        <v>11</v>
      </c>
      <c r="K1622" s="1" t="n">
        <v>1.6</v>
      </c>
      <c r="L1622" s="15" t="n">
        <v>688.6</v>
      </c>
      <c r="M1622" s="15" t="n">
        <f aca="false">F1622*G1622</f>
        <v>930.54</v>
      </c>
      <c r="N1622" s="15" t="n">
        <f aca="false">M1622-L1622</f>
        <v>241.94</v>
      </c>
      <c r="O1622" s="1" t="n">
        <f aca="false">YEAR(B1622)</f>
        <v>2026</v>
      </c>
      <c r="P1622" s="1" t="n">
        <f aca="false">MONTH(B1622)</f>
        <v>6</v>
      </c>
      <c r="Q1622" s="1" t="str">
        <f aca="false">TEXT(B1622,"mmm")</f>
        <v>Jun</v>
      </c>
      <c r="R1622" s="1" t="str">
        <f aca="false">"Q"&amp;ROUNDUP(MONTH(B1622)/3,0)</f>
        <v>Q2</v>
      </c>
    </row>
    <row r="1623" customFormat="false" ht="15" hidden="false" customHeight="true" outlineLevel="0" collapsed="false">
      <c r="A1623" s="1" t="n">
        <v>11622</v>
      </c>
      <c r="B1623" s="14" t="n">
        <v>46183</v>
      </c>
      <c r="C1623" s="1" t="n">
        <v>1762</v>
      </c>
      <c r="D1623" s="1" t="s">
        <v>37</v>
      </c>
      <c r="E1623" s="1" t="s">
        <v>32</v>
      </c>
      <c r="F1623" s="1" t="n">
        <v>3</v>
      </c>
      <c r="G1623" s="15" t="n">
        <v>522.43</v>
      </c>
      <c r="H1623" s="16" t="n">
        <v>0.1</v>
      </c>
      <c r="I1623" s="1" t="s">
        <v>31</v>
      </c>
      <c r="J1623" s="1" t="n">
        <v>7</v>
      </c>
      <c r="K1623" s="1" t="n">
        <v>3.2</v>
      </c>
      <c r="L1623" s="15" t="n">
        <v>1410.56</v>
      </c>
      <c r="M1623" s="15" t="n">
        <f aca="false">F1623*G1623</f>
        <v>1567.29</v>
      </c>
      <c r="N1623" s="15" t="n">
        <f aca="false">M1623-L1623</f>
        <v>156.73</v>
      </c>
      <c r="O1623" s="1" t="n">
        <f aca="false">YEAR(B1623)</f>
        <v>2026</v>
      </c>
      <c r="P1623" s="1" t="n">
        <f aca="false">MONTH(B1623)</f>
        <v>6</v>
      </c>
      <c r="Q1623" s="1" t="str">
        <f aca="false">TEXT(B1623,"mmm")</f>
        <v>Jun</v>
      </c>
      <c r="R1623" s="1" t="str">
        <f aca="false">"Q"&amp;ROUNDUP(MONTH(B1623)/3,0)</f>
        <v>Q2</v>
      </c>
    </row>
    <row r="1624" customFormat="false" ht="15" hidden="false" customHeight="true" outlineLevel="0" collapsed="false">
      <c r="A1624" s="1" t="n">
        <v>11623</v>
      </c>
      <c r="B1624" s="14" t="n">
        <v>46184</v>
      </c>
      <c r="C1624" s="1" t="n">
        <v>1178</v>
      </c>
      <c r="D1624" s="1" t="s">
        <v>27</v>
      </c>
      <c r="E1624" s="1" t="s">
        <v>28</v>
      </c>
      <c r="F1624" s="1" t="n">
        <v>3</v>
      </c>
      <c r="G1624" s="15" t="n">
        <v>206.35</v>
      </c>
      <c r="H1624" s="16" t="n">
        <v>0.08</v>
      </c>
      <c r="I1624" s="1" t="s">
        <v>33</v>
      </c>
      <c r="J1624" s="1" t="n">
        <v>3</v>
      </c>
      <c r="K1624" s="1" t="n">
        <v>1.5</v>
      </c>
      <c r="L1624" s="15" t="n">
        <v>569.53</v>
      </c>
      <c r="M1624" s="15" t="n">
        <f aca="false">F1624*G1624</f>
        <v>619.05</v>
      </c>
      <c r="N1624" s="15" t="n">
        <f aca="false">M1624-L1624</f>
        <v>49.52</v>
      </c>
      <c r="O1624" s="1" t="n">
        <f aca="false">YEAR(B1624)</f>
        <v>2026</v>
      </c>
      <c r="P1624" s="1" t="n">
        <f aca="false">MONTH(B1624)</f>
        <v>6</v>
      </c>
      <c r="Q1624" s="1" t="str">
        <f aca="false">TEXT(B1624,"mmm")</f>
        <v>Jun</v>
      </c>
      <c r="R1624" s="1" t="str">
        <f aca="false">"Q"&amp;ROUNDUP(MONTH(B1624)/3,0)</f>
        <v>Q2</v>
      </c>
    </row>
    <row r="1625" customFormat="false" ht="15" hidden="false" customHeight="true" outlineLevel="0" collapsed="false">
      <c r="A1625" s="1" t="n">
        <v>11624</v>
      </c>
      <c r="B1625" s="14" t="n">
        <v>46185</v>
      </c>
      <c r="C1625" s="1" t="n">
        <v>1181</v>
      </c>
      <c r="D1625" s="1" t="s">
        <v>30</v>
      </c>
      <c r="E1625" s="1" t="s">
        <v>36</v>
      </c>
      <c r="F1625" s="1" t="n">
        <v>1</v>
      </c>
      <c r="G1625" s="15" t="n">
        <v>207.5</v>
      </c>
      <c r="H1625" s="16" t="n">
        <v>0.32</v>
      </c>
      <c r="I1625" s="1" t="s">
        <v>31</v>
      </c>
      <c r="J1625" s="1" t="n">
        <v>3</v>
      </c>
      <c r="K1625" s="1" t="n">
        <v>2.6</v>
      </c>
      <c r="L1625" s="15" t="n">
        <v>141.1</v>
      </c>
      <c r="M1625" s="15" t="n">
        <f aca="false">F1625*G1625</f>
        <v>207.5</v>
      </c>
      <c r="N1625" s="15" t="n">
        <f aca="false">M1625-L1625</f>
        <v>66.4</v>
      </c>
      <c r="O1625" s="1" t="n">
        <f aca="false">YEAR(B1625)</f>
        <v>2026</v>
      </c>
      <c r="P1625" s="1" t="n">
        <f aca="false">MONTH(B1625)</f>
        <v>6</v>
      </c>
      <c r="Q1625" s="1" t="str">
        <f aca="false">TEXT(B1625,"mmm")</f>
        <v>Jun</v>
      </c>
      <c r="R1625" s="1" t="str">
        <f aca="false">"Q"&amp;ROUNDUP(MONTH(B1625)/3,0)</f>
        <v>Q2</v>
      </c>
    </row>
    <row r="1626" customFormat="false" ht="15" hidden="false" customHeight="true" outlineLevel="0" collapsed="false">
      <c r="A1626" s="1" t="n">
        <v>11625</v>
      </c>
      <c r="B1626" s="14" t="n">
        <v>46186</v>
      </c>
      <c r="C1626" s="1" t="n">
        <v>1663</v>
      </c>
      <c r="D1626" s="1" t="s">
        <v>37</v>
      </c>
      <c r="E1626" s="1" t="s">
        <v>36</v>
      </c>
      <c r="F1626" s="1" t="n">
        <v>4</v>
      </c>
      <c r="G1626" s="15" t="n">
        <v>364.94</v>
      </c>
      <c r="H1626" s="16" t="n">
        <v>0.2</v>
      </c>
      <c r="I1626" s="1" t="s">
        <v>29</v>
      </c>
      <c r="J1626" s="1" t="n">
        <v>5</v>
      </c>
      <c r="K1626" s="1" t="n">
        <v>2.4</v>
      </c>
      <c r="L1626" s="15" t="n">
        <v>1167.81</v>
      </c>
      <c r="M1626" s="15" t="n">
        <f aca="false">F1626*G1626</f>
        <v>1459.76</v>
      </c>
      <c r="N1626" s="15" t="n">
        <f aca="false">M1626-L1626</f>
        <v>291.95</v>
      </c>
      <c r="O1626" s="1" t="n">
        <f aca="false">YEAR(B1626)</f>
        <v>2026</v>
      </c>
      <c r="P1626" s="1" t="n">
        <f aca="false">MONTH(B1626)</f>
        <v>6</v>
      </c>
      <c r="Q1626" s="1" t="str">
        <f aca="false">TEXT(B1626,"mmm")</f>
        <v>Jun</v>
      </c>
      <c r="R1626" s="1" t="str">
        <f aca="false">"Q"&amp;ROUNDUP(MONTH(B1626)/3,0)</f>
        <v>Q2</v>
      </c>
    </row>
    <row r="1627" customFormat="false" ht="15" hidden="false" customHeight="true" outlineLevel="0" collapsed="false">
      <c r="A1627" s="1" t="n">
        <v>11626</v>
      </c>
      <c r="B1627" s="14" t="n">
        <v>46187</v>
      </c>
      <c r="C1627" s="1" t="n">
        <v>1024</v>
      </c>
      <c r="D1627" s="1" t="s">
        <v>30</v>
      </c>
      <c r="E1627" s="1" t="s">
        <v>35</v>
      </c>
      <c r="F1627" s="1" t="n">
        <v>1</v>
      </c>
      <c r="G1627" s="15" t="n">
        <v>122.38</v>
      </c>
      <c r="H1627" s="16" t="n">
        <v>0.04</v>
      </c>
      <c r="I1627" s="1" t="s">
        <v>31</v>
      </c>
      <c r="J1627" s="1" t="n">
        <v>11</v>
      </c>
      <c r="K1627" s="1" t="n">
        <v>4</v>
      </c>
      <c r="L1627" s="15" t="n">
        <v>117.48</v>
      </c>
      <c r="M1627" s="15" t="n">
        <f aca="false">F1627*G1627</f>
        <v>122.38</v>
      </c>
      <c r="N1627" s="15" t="n">
        <f aca="false">M1627-L1627</f>
        <v>4.89999999999999</v>
      </c>
      <c r="O1627" s="1" t="n">
        <f aca="false">YEAR(B1627)</f>
        <v>2026</v>
      </c>
      <c r="P1627" s="1" t="n">
        <f aca="false">MONTH(B1627)</f>
        <v>6</v>
      </c>
      <c r="Q1627" s="1" t="str">
        <f aca="false">TEXT(B1627,"mmm")</f>
        <v>Jun</v>
      </c>
      <c r="R1627" s="1" t="str">
        <f aca="false">"Q"&amp;ROUNDUP(MONTH(B1627)/3,0)</f>
        <v>Q2</v>
      </c>
    </row>
    <row r="1628" customFormat="false" ht="15" hidden="false" customHeight="true" outlineLevel="0" collapsed="false">
      <c r="A1628" s="1" t="n">
        <v>11627</v>
      </c>
      <c r="B1628" s="14" t="n">
        <v>46188</v>
      </c>
      <c r="C1628" s="1" t="n">
        <v>1966</v>
      </c>
      <c r="D1628" s="1" t="s">
        <v>34</v>
      </c>
      <c r="E1628" s="1" t="s">
        <v>32</v>
      </c>
      <c r="F1628" s="1" t="n">
        <v>2</v>
      </c>
      <c r="G1628" s="15" t="n">
        <v>181.66</v>
      </c>
      <c r="H1628" s="16" t="n">
        <v>0.07</v>
      </c>
      <c r="I1628" s="1" t="s">
        <v>33</v>
      </c>
      <c r="J1628" s="1" t="n">
        <v>6</v>
      </c>
      <c r="K1628" s="1" t="n">
        <v>3.6</v>
      </c>
      <c r="L1628" s="15" t="n">
        <v>337.89</v>
      </c>
      <c r="M1628" s="15" t="n">
        <f aca="false">F1628*G1628</f>
        <v>363.32</v>
      </c>
      <c r="N1628" s="15" t="n">
        <f aca="false">M1628-L1628</f>
        <v>25.43</v>
      </c>
      <c r="O1628" s="1" t="n">
        <f aca="false">YEAR(B1628)</f>
        <v>2026</v>
      </c>
      <c r="P1628" s="1" t="n">
        <f aca="false">MONTH(B1628)</f>
        <v>6</v>
      </c>
      <c r="Q1628" s="1" t="str">
        <f aca="false">TEXT(B1628,"mmm")</f>
        <v>Jun</v>
      </c>
      <c r="R1628" s="1" t="str">
        <f aca="false">"Q"&amp;ROUNDUP(MONTH(B1628)/3,0)</f>
        <v>Q2</v>
      </c>
    </row>
    <row r="1629" customFormat="false" ht="15" hidden="false" customHeight="true" outlineLevel="0" collapsed="false">
      <c r="A1629" s="1" t="n">
        <v>11628</v>
      </c>
      <c r="B1629" s="14" t="n">
        <v>46189</v>
      </c>
      <c r="C1629" s="1" t="n">
        <v>1179</v>
      </c>
      <c r="D1629" s="1" t="s">
        <v>34</v>
      </c>
      <c r="E1629" s="1" t="s">
        <v>32</v>
      </c>
      <c r="F1629" s="1" t="n">
        <v>3</v>
      </c>
      <c r="G1629" s="15" t="n">
        <v>258.73</v>
      </c>
      <c r="H1629" s="16" t="n">
        <v>0.35</v>
      </c>
      <c r="I1629" s="1" t="s">
        <v>31</v>
      </c>
      <c r="J1629" s="1" t="n">
        <v>8</v>
      </c>
      <c r="K1629" s="1" t="n">
        <v>4.7</v>
      </c>
      <c r="L1629" s="15" t="n">
        <v>504.52</v>
      </c>
      <c r="M1629" s="15" t="n">
        <f aca="false">F1629*G1629</f>
        <v>776.19</v>
      </c>
      <c r="N1629" s="15" t="n">
        <f aca="false">M1629-L1629</f>
        <v>271.67</v>
      </c>
      <c r="O1629" s="1" t="n">
        <f aca="false">YEAR(B1629)</f>
        <v>2026</v>
      </c>
      <c r="P1629" s="1" t="n">
        <f aca="false">MONTH(B1629)</f>
        <v>6</v>
      </c>
      <c r="Q1629" s="1" t="str">
        <f aca="false">TEXT(B1629,"mmm")</f>
        <v>Jun</v>
      </c>
      <c r="R1629" s="1" t="str">
        <f aca="false">"Q"&amp;ROUNDUP(MONTH(B1629)/3,0)</f>
        <v>Q2</v>
      </c>
    </row>
    <row r="1630" customFormat="false" ht="15" hidden="false" customHeight="true" outlineLevel="0" collapsed="false">
      <c r="A1630" s="1" t="n">
        <v>11629</v>
      </c>
      <c r="B1630" s="14" t="n">
        <v>46190</v>
      </c>
      <c r="C1630" s="1" t="n">
        <v>1709</v>
      </c>
      <c r="D1630" s="1" t="s">
        <v>34</v>
      </c>
      <c r="E1630" s="1" t="s">
        <v>35</v>
      </c>
      <c r="F1630" s="1" t="n">
        <v>7</v>
      </c>
      <c r="G1630" s="15" t="n">
        <v>221.88</v>
      </c>
      <c r="H1630" s="16" t="n">
        <v>0.07</v>
      </c>
      <c r="I1630" s="1" t="s">
        <v>33</v>
      </c>
      <c r="J1630" s="1" t="n">
        <v>1</v>
      </c>
      <c r="K1630" s="1" t="n">
        <v>4.7</v>
      </c>
      <c r="L1630" s="15" t="n">
        <v>1444.44</v>
      </c>
      <c r="M1630" s="15" t="n">
        <f aca="false">F1630*G1630</f>
        <v>1553.16</v>
      </c>
      <c r="N1630" s="15" t="n">
        <f aca="false">M1630-L1630</f>
        <v>108.72</v>
      </c>
      <c r="O1630" s="1" t="n">
        <f aca="false">YEAR(B1630)</f>
        <v>2026</v>
      </c>
      <c r="P1630" s="1" t="n">
        <f aca="false">MONTH(B1630)</f>
        <v>6</v>
      </c>
      <c r="Q1630" s="1" t="str">
        <f aca="false">TEXT(B1630,"mmm")</f>
        <v>Jun</v>
      </c>
      <c r="R1630" s="1" t="str">
        <f aca="false">"Q"&amp;ROUNDUP(MONTH(B1630)/3,0)</f>
        <v>Q2</v>
      </c>
    </row>
    <row r="1631" customFormat="false" ht="15" hidden="false" customHeight="true" outlineLevel="0" collapsed="false">
      <c r="A1631" s="1" t="n">
        <v>11630</v>
      </c>
      <c r="B1631" s="14" t="n">
        <v>46191</v>
      </c>
      <c r="C1631" s="1" t="n">
        <v>1500</v>
      </c>
      <c r="D1631" s="1" t="s">
        <v>30</v>
      </c>
      <c r="E1631" s="1" t="s">
        <v>36</v>
      </c>
      <c r="F1631" s="1" t="n">
        <v>7</v>
      </c>
      <c r="G1631" s="15" t="n">
        <v>322.05</v>
      </c>
      <c r="H1631" s="16" t="n">
        <v>0.21</v>
      </c>
      <c r="I1631" s="1" t="s">
        <v>31</v>
      </c>
      <c r="J1631" s="1" t="n">
        <v>7</v>
      </c>
      <c r="K1631" s="1" t="n">
        <v>3.9</v>
      </c>
      <c r="L1631" s="15" t="n">
        <v>1780.94</v>
      </c>
      <c r="M1631" s="15" t="n">
        <f aca="false">F1631*G1631</f>
        <v>2254.35</v>
      </c>
      <c r="N1631" s="15" t="n">
        <f aca="false">M1631-L1631</f>
        <v>473.41</v>
      </c>
      <c r="O1631" s="1" t="n">
        <f aca="false">YEAR(B1631)</f>
        <v>2026</v>
      </c>
      <c r="P1631" s="1" t="n">
        <f aca="false">MONTH(B1631)</f>
        <v>6</v>
      </c>
      <c r="Q1631" s="1" t="str">
        <f aca="false">TEXT(B1631,"mmm")</f>
        <v>Jun</v>
      </c>
      <c r="R1631" s="1" t="str">
        <f aca="false">"Q"&amp;ROUNDUP(MONTH(B1631)/3,0)</f>
        <v>Q2</v>
      </c>
    </row>
    <row r="1632" customFormat="false" ht="15" hidden="false" customHeight="true" outlineLevel="0" collapsed="false">
      <c r="A1632" s="1" t="n">
        <v>11631</v>
      </c>
      <c r="B1632" s="14" t="n">
        <v>46192</v>
      </c>
      <c r="C1632" s="1" t="n">
        <v>1855</v>
      </c>
      <c r="D1632" s="1" t="s">
        <v>30</v>
      </c>
      <c r="E1632" s="1" t="s">
        <v>28</v>
      </c>
      <c r="F1632" s="1" t="n">
        <v>7</v>
      </c>
      <c r="G1632" s="15" t="n">
        <v>365.79</v>
      </c>
      <c r="H1632" s="16" t="n">
        <v>0.15</v>
      </c>
      <c r="I1632" s="1" t="s">
        <v>33</v>
      </c>
      <c r="J1632" s="1" t="n">
        <v>8</v>
      </c>
      <c r="K1632" s="1" t="n">
        <v>4.1</v>
      </c>
      <c r="L1632" s="15" t="n">
        <v>2176.45</v>
      </c>
      <c r="M1632" s="15" t="n">
        <f aca="false">F1632*G1632</f>
        <v>2560.53</v>
      </c>
      <c r="N1632" s="15" t="n">
        <f aca="false">M1632-L1632</f>
        <v>384.08</v>
      </c>
      <c r="O1632" s="1" t="n">
        <f aca="false">YEAR(B1632)</f>
        <v>2026</v>
      </c>
      <c r="P1632" s="1" t="n">
        <f aca="false">MONTH(B1632)</f>
        <v>6</v>
      </c>
      <c r="Q1632" s="1" t="str">
        <f aca="false">TEXT(B1632,"mmm")</f>
        <v>Jun</v>
      </c>
      <c r="R1632" s="1" t="str">
        <f aca="false">"Q"&amp;ROUNDUP(MONTH(B1632)/3,0)</f>
        <v>Q2</v>
      </c>
    </row>
    <row r="1633" customFormat="false" ht="15" hidden="false" customHeight="true" outlineLevel="0" collapsed="false">
      <c r="A1633" s="1" t="n">
        <v>11632</v>
      </c>
      <c r="B1633" s="14" t="n">
        <v>46193</v>
      </c>
      <c r="C1633" s="1" t="n">
        <v>1160</v>
      </c>
      <c r="D1633" s="1" t="s">
        <v>37</v>
      </c>
      <c r="E1633" s="1" t="s">
        <v>32</v>
      </c>
      <c r="F1633" s="1" t="n">
        <v>3</v>
      </c>
      <c r="G1633" s="15" t="n">
        <v>346.5</v>
      </c>
      <c r="H1633" s="16" t="n">
        <v>0.31</v>
      </c>
      <c r="I1633" s="1" t="s">
        <v>29</v>
      </c>
      <c r="J1633" s="1" t="n">
        <v>5</v>
      </c>
      <c r="K1633" s="1" t="n">
        <v>3.5</v>
      </c>
      <c r="L1633" s="15" t="n">
        <v>717.26</v>
      </c>
      <c r="M1633" s="15" t="n">
        <f aca="false">F1633*G1633</f>
        <v>1039.5</v>
      </c>
      <c r="N1633" s="15" t="n">
        <f aca="false">M1633-L1633</f>
        <v>322.24</v>
      </c>
      <c r="O1633" s="1" t="n">
        <f aca="false">YEAR(B1633)</f>
        <v>2026</v>
      </c>
      <c r="P1633" s="1" t="n">
        <f aca="false">MONTH(B1633)</f>
        <v>6</v>
      </c>
      <c r="Q1633" s="1" t="str">
        <f aca="false">TEXT(B1633,"mmm")</f>
        <v>Jun</v>
      </c>
      <c r="R1633" s="1" t="str">
        <f aca="false">"Q"&amp;ROUNDUP(MONTH(B1633)/3,0)</f>
        <v>Q2</v>
      </c>
    </row>
    <row r="1634" customFormat="false" ht="15" hidden="false" customHeight="true" outlineLevel="0" collapsed="false">
      <c r="A1634" s="1" t="n">
        <v>11633</v>
      </c>
      <c r="B1634" s="14" t="n">
        <v>46194</v>
      </c>
      <c r="C1634" s="1" t="n">
        <v>1176</v>
      </c>
      <c r="D1634" s="1" t="s">
        <v>34</v>
      </c>
      <c r="E1634" s="1" t="s">
        <v>35</v>
      </c>
      <c r="F1634" s="1" t="n">
        <v>7</v>
      </c>
      <c r="G1634" s="15" t="n">
        <v>397.69</v>
      </c>
      <c r="H1634" s="16" t="n">
        <v>0.26</v>
      </c>
      <c r="I1634" s="1" t="s">
        <v>31</v>
      </c>
      <c r="J1634" s="1" t="n">
        <v>10</v>
      </c>
      <c r="K1634" s="1" t="n">
        <v>3.8</v>
      </c>
      <c r="L1634" s="15" t="n">
        <v>2060.03</v>
      </c>
      <c r="M1634" s="15" t="n">
        <f aca="false">F1634*G1634</f>
        <v>2783.83</v>
      </c>
      <c r="N1634" s="15" t="n">
        <f aca="false">M1634-L1634</f>
        <v>723.8</v>
      </c>
      <c r="O1634" s="1" t="n">
        <f aca="false">YEAR(B1634)</f>
        <v>2026</v>
      </c>
      <c r="P1634" s="1" t="n">
        <f aca="false">MONTH(B1634)</f>
        <v>6</v>
      </c>
      <c r="Q1634" s="1" t="str">
        <f aca="false">TEXT(B1634,"mmm")</f>
        <v>Jun</v>
      </c>
      <c r="R1634" s="1" t="str">
        <f aca="false">"Q"&amp;ROUNDUP(MONTH(B1634)/3,0)</f>
        <v>Q2</v>
      </c>
    </row>
    <row r="1635" customFormat="false" ht="15" hidden="false" customHeight="true" outlineLevel="0" collapsed="false">
      <c r="A1635" s="1" t="n">
        <v>11634</v>
      </c>
      <c r="B1635" s="14" t="n">
        <v>46195</v>
      </c>
      <c r="C1635" s="1" t="n">
        <v>1284</v>
      </c>
      <c r="D1635" s="1" t="s">
        <v>34</v>
      </c>
      <c r="E1635" s="1" t="s">
        <v>28</v>
      </c>
      <c r="F1635" s="1" t="n">
        <v>2</v>
      </c>
      <c r="G1635" s="15" t="n">
        <v>195.03</v>
      </c>
      <c r="H1635" s="16" t="n">
        <v>0.21</v>
      </c>
      <c r="I1635" s="1" t="s">
        <v>31</v>
      </c>
      <c r="J1635" s="1" t="n">
        <v>2</v>
      </c>
      <c r="K1635" s="1" t="n">
        <v>3.5</v>
      </c>
      <c r="L1635" s="15" t="n">
        <v>308.15</v>
      </c>
      <c r="M1635" s="15" t="n">
        <f aca="false">F1635*G1635</f>
        <v>390.06</v>
      </c>
      <c r="N1635" s="15" t="n">
        <f aca="false">M1635-L1635</f>
        <v>81.91</v>
      </c>
      <c r="O1635" s="1" t="n">
        <f aca="false">YEAR(B1635)</f>
        <v>2026</v>
      </c>
      <c r="P1635" s="1" t="n">
        <f aca="false">MONTH(B1635)</f>
        <v>6</v>
      </c>
      <c r="Q1635" s="1" t="str">
        <f aca="false">TEXT(B1635,"mmm")</f>
        <v>Jun</v>
      </c>
      <c r="R1635" s="1" t="str">
        <f aca="false">"Q"&amp;ROUNDUP(MONTH(B1635)/3,0)</f>
        <v>Q2</v>
      </c>
    </row>
    <row r="1636" customFormat="false" ht="15" hidden="false" customHeight="true" outlineLevel="0" collapsed="false">
      <c r="A1636" s="1" t="n">
        <v>11635</v>
      </c>
      <c r="B1636" s="14" t="n">
        <v>46196</v>
      </c>
      <c r="C1636" s="1" t="n">
        <v>1062</v>
      </c>
      <c r="D1636" s="1" t="s">
        <v>27</v>
      </c>
      <c r="E1636" s="1" t="s">
        <v>35</v>
      </c>
      <c r="F1636" s="1" t="n">
        <v>3</v>
      </c>
      <c r="G1636" s="15" t="n">
        <v>88.96</v>
      </c>
      <c r="H1636" s="16" t="n">
        <v>0</v>
      </c>
      <c r="I1636" s="1" t="s">
        <v>33</v>
      </c>
      <c r="J1636" s="1" t="n">
        <v>4</v>
      </c>
      <c r="K1636" s="1" t="n">
        <v>2.2</v>
      </c>
      <c r="L1636" s="15" t="n">
        <v>266.88</v>
      </c>
      <c r="M1636" s="15" t="n">
        <f aca="false">F1636*G1636</f>
        <v>266.88</v>
      </c>
      <c r="N1636" s="15" t="n">
        <f aca="false">M1636-L1636</f>
        <v>0</v>
      </c>
      <c r="O1636" s="1" t="n">
        <f aca="false">YEAR(B1636)</f>
        <v>2026</v>
      </c>
      <c r="P1636" s="1" t="n">
        <f aca="false">MONTH(B1636)</f>
        <v>6</v>
      </c>
      <c r="Q1636" s="1" t="str">
        <f aca="false">TEXT(B1636,"mmm")</f>
        <v>Jun</v>
      </c>
      <c r="R1636" s="1" t="str">
        <f aca="false">"Q"&amp;ROUNDUP(MONTH(B1636)/3,0)</f>
        <v>Q2</v>
      </c>
    </row>
    <row r="1637" customFormat="false" ht="15" hidden="false" customHeight="true" outlineLevel="0" collapsed="false">
      <c r="A1637" s="1" t="n">
        <v>11636</v>
      </c>
      <c r="B1637" s="14" t="n">
        <v>46197</v>
      </c>
      <c r="C1637" s="1" t="n">
        <v>1661</v>
      </c>
      <c r="D1637" s="1" t="s">
        <v>34</v>
      </c>
      <c r="E1637" s="1" t="s">
        <v>35</v>
      </c>
      <c r="F1637" s="1" t="n">
        <v>7</v>
      </c>
      <c r="G1637" s="15" t="n">
        <v>460.07</v>
      </c>
      <c r="H1637" s="16" t="n">
        <v>0.31</v>
      </c>
      <c r="I1637" s="1" t="s">
        <v>33</v>
      </c>
      <c r="J1637" s="1" t="n">
        <v>6</v>
      </c>
      <c r="K1637" s="1" t="n">
        <v>2.4</v>
      </c>
      <c r="L1637" s="15" t="n">
        <v>2222.14</v>
      </c>
      <c r="M1637" s="15" t="n">
        <f aca="false">F1637*G1637</f>
        <v>3220.49</v>
      </c>
      <c r="N1637" s="15" t="n">
        <f aca="false">M1637-L1637</f>
        <v>998.35</v>
      </c>
      <c r="O1637" s="1" t="n">
        <f aca="false">YEAR(B1637)</f>
        <v>2026</v>
      </c>
      <c r="P1637" s="1" t="n">
        <f aca="false">MONTH(B1637)</f>
        <v>6</v>
      </c>
      <c r="Q1637" s="1" t="str">
        <f aca="false">TEXT(B1637,"mmm")</f>
        <v>Jun</v>
      </c>
      <c r="R1637" s="1" t="str">
        <f aca="false">"Q"&amp;ROUNDUP(MONTH(B1637)/3,0)</f>
        <v>Q2</v>
      </c>
    </row>
    <row r="1638" customFormat="false" ht="15" hidden="false" customHeight="true" outlineLevel="0" collapsed="false">
      <c r="A1638" s="1" t="n">
        <v>11637</v>
      </c>
      <c r="B1638" s="14" t="n">
        <v>46198</v>
      </c>
      <c r="C1638" s="1" t="n">
        <v>1665</v>
      </c>
      <c r="D1638" s="1" t="s">
        <v>30</v>
      </c>
      <c r="E1638" s="1" t="s">
        <v>35</v>
      </c>
      <c r="F1638" s="1" t="n">
        <v>3</v>
      </c>
      <c r="G1638" s="15" t="n">
        <v>512.71</v>
      </c>
      <c r="H1638" s="16" t="n">
        <v>0.16</v>
      </c>
      <c r="I1638" s="1" t="s">
        <v>31</v>
      </c>
      <c r="J1638" s="1" t="n">
        <v>9</v>
      </c>
      <c r="K1638" s="1" t="n">
        <v>3.3</v>
      </c>
      <c r="L1638" s="15" t="n">
        <v>1292.03</v>
      </c>
      <c r="M1638" s="15" t="n">
        <f aca="false">F1638*G1638</f>
        <v>1538.13</v>
      </c>
      <c r="N1638" s="15" t="n">
        <f aca="false">M1638-L1638</f>
        <v>246.1</v>
      </c>
      <c r="O1638" s="1" t="n">
        <f aca="false">YEAR(B1638)</f>
        <v>2026</v>
      </c>
      <c r="P1638" s="1" t="n">
        <f aca="false">MONTH(B1638)</f>
        <v>6</v>
      </c>
      <c r="Q1638" s="1" t="str">
        <f aca="false">TEXT(B1638,"mmm")</f>
        <v>Jun</v>
      </c>
      <c r="R1638" s="1" t="str">
        <f aca="false">"Q"&amp;ROUNDUP(MONTH(B1638)/3,0)</f>
        <v>Q2</v>
      </c>
    </row>
    <row r="1639" customFormat="false" ht="15" hidden="false" customHeight="true" outlineLevel="0" collapsed="false">
      <c r="A1639" s="1" t="n">
        <v>11638</v>
      </c>
      <c r="B1639" s="14" t="n">
        <v>46199</v>
      </c>
      <c r="C1639" s="1" t="n">
        <v>1155</v>
      </c>
      <c r="D1639" s="1" t="s">
        <v>30</v>
      </c>
      <c r="E1639" s="1" t="s">
        <v>36</v>
      </c>
      <c r="F1639" s="1" t="n">
        <v>6</v>
      </c>
      <c r="G1639" s="15" t="n">
        <v>165.35</v>
      </c>
      <c r="H1639" s="16" t="n">
        <v>0.33</v>
      </c>
      <c r="I1639" s="1" t="s">
        <v>33</v>
      </c>
      <c r="J1639" s="1" t="n">
        <v>2</v>
      </c>
      <c r="K1639" s="1" t="n">
        <v>3.9</v>
      </c>
      <c r="L1639" s="15" t="n">
        <v>664.71</v>
      </c>
      <c r="M1639" s="15" t="n">
        <f aca="false">F1639*G1639</f>
        <v>992.1</v>
      </c>
      <c r="N1639" s="15" t="n">
        <f aca="false">M1639-L1639</f>
        <v>327.39</v>
      </c>
      <c r="O1639" s="1" t="n">
        <f aca="false">YEAR(B1639)</f>
        <v>2026</v>
      </c>
      <c r="P1639" s="1" t="n">
        <f aca="false">MONTH(B1639)</f>
        <v>6</v>
      </c>
      <c r="Q1639" s="1" t="str">
        <f aca="false">TEXT(B1639,"mmm")</f>
        <v>Jun</v>
      </c>
      <c r="R1639" s="1" t="str">
        <f aca="false">"Q"&amp;ROUNDUP(MONTH(B1639)/3,0)</f>
        <v>Q2</v>
      </c>
    </row>
    <row r="1640" customFormat="false" ht="15" hidden="false" customHeight="true" outlineLevel="0" collapsed="false">
      <c r="A1640" s="1" t="n">
        <v>11639</v>
      </c>
      <c r="B1640" s="14" t="n">
        <v>46200</v>
      </c>
      <c r="C1640" s="1" t="n">
        <v>1881</v>
      </c>
      <c r="D1640" s="1" t="s">
        <v>30</v>
      </c>
      <c r="E1640" s="1" t="s">
        <v>36</v>
      </c>
      <c r="F1640" s="1" t="n">
        <v>3</v>
      </c>
      <c r="G1640" s="15" t="n">
        <v>253.15</v>
      </c>
      <c r="H1640" s="16" t="n">
        <v>0.17</v>
      </c>
      <c r="I1640" s="1" t="s">
        <v>31</v>
      </c>
      <c r="J1640" s="1" t="n">
        <v>4</v>
      </c>
      <c r="K1640" s="1" t="n">
        <v>2.6</v>
      </c>
      <c r="L1640" s="15" t="n">
        <v>630.34</v>
      </c>
      <c r="M1640" s="15" t="n">
        <f aca="false">F1640*G1640</f>
        <v>759.45</v>
      </c>
      <c r="N1640" s="15" t="n">
        <f aca="false">M1640-L1640</f>
        <v>129.11</v>
      </c>
      <c r="O1640" s="1" t="n">
        <f aca="false">YEAR(B1640)</f>
        <v>2026</v>
      </c>
      <c r="P1640" s="1" t="n">
        <f aca="false">MONTH(B1640)</f>
        <v>6</v>
      </c>
      <c r="Q1640" s="1" t="str">
        <f aca="false">TEXT(B1640,"mmm")</f>
        <v>Jun</v>
      </c>
      <c r="R1640" s="1" t="str">
        <f aca="false">"Q"&amp;ROUNDUP(MONTH(B1640)/3,0)</f>
        <v>Q2</v>
      </c>
    </row>
    <row r="1641" customFormat="false" ht="15" hidden="false" customHeight="true" outlineLevel="0" collapsed="false">
      <c r="A1641" s="1" t="n">
        <v>11640</v>
      </c>
      <c r="B1641" s="14" t="n">
        <v>46201</v>
      </c>
      <c r="C1641" s="1" t="n">
        <v>1468</v>
      </c>
      <c r="D1641" s="1" t="s">
        <v>34</v>
      </c>
      <c r="E1641" s="1" t="s">
        <v>35</v>
      </c>
      <c r="F1641" s="1" t="n">
        <v>2</v>
      </c>
      <c r="G1641" s="15" t="n">
        <v>306.66</v>
      </c>
      <c r="H1641" s="16" t="n">
        <v>0.24</v>
      </c>
      <c r="I1641" s="1" t="s">
        <v>31</v>
      </c>
      <c r="J1641" s="1" t="n">
        <v>10</v>
      </c>
      <c r="K1641" s="1" t="n">
        <v>1.6</v>
      </c>
      <c r="L1641" s="15" t="n">
        <v>466.12</v>
      </c>
      <c r="M1641" s="15" t="n">
        <f aca="false">F1641*G1641</f>
        <v>613.32</v>
      </c>
      <c r="N1641" s="15" t="n">
        <f aca="false">M1641-L1641</f>
        <v>147.2</v>
      </c>
      <c r="O1641" s="1" t="n">
        <f aca="false">YEAR(B1641)</f>
        <v>2026</v>
      </c>
      <c r="P1641" s="1" t="n">
        <f aca="false">MONTH(B1641)</f>
        <v>6</v>
      </c>
      <c r="Q1641" s="1" t="str">
        <f aca="false">TEXT(B1641,"mmm")</f>
        <v>Jun</v>
      </c>
      <c r="R1641" s="1" t="str">
        <f aca="false">"Q"&amp;ROUNDUP(MONTH(B1641)/3,0)</f>
        <v>Q2</v>
      </c>
    </row>
    <row r="1642" customFormat="false" ht="15" hidden="false" customHeight="true" outlineLevel="0" collapsed="false">
      <c r="A1642" s="1" t="n">
        <v>11641</v>
      </c>
      <c r="B1642" s="14" t="n">
        <v>46202</v>
      </c>
      <c r="C1642" s="1" t="n">
        <v>1048</v>
      </c>
      <c r="D1642" s="1" t="s">
        <v>34</v>
      </c>
      <c r="E1642" s="1" t="s">
        <v>32</v>
      </c>
      <c r="F1642" s="1" t="n">
        <v>1</v>
      </c>
      <c r="G1642" s="15" t="n">
        <v>327</v>
      </c>
      <c r="H1642" s="16" t="n">
        <v>0.02</v>
      </c>
      <c r="I1642" s="1" t="s">
        <v>31</v>
      </c>
      <c r="J1642" s="1" t="n">
        <v>5</v>
      </c>
      <c r="K1642" s="1" t="n">
        <v>2.8</v>
      </c>
      <c r="L1642" s="15" t="n">
        <v>320.46</v>
      </c>
      <c r="M1642" s="15" t="n">
        <f aca="false">F1642*G1642</f>
        <v>327</v>
      </c>
      <c r="N1642" s="15" t="n">
        <f aca="false">M1642-L1642</f>
        <v>6.54000000000002</v>
      </c>
      <c r="O1642" s="1" t="n">
        <f aca="false">YEAR(B1642)</f>
        <v>2026</v>
      </c>
      <c r="P1642" s="1" t="n">
        <f aca="false">MONTH(B1642)</f>
        <v>6</v>
      </c>
      <c r="Q1642" s="1" t="str">
        <f aca="false">TEXT(B1642,"mmm")</f>
        <v>Jun</v>
      </c>
      <c r="R1642" s="1" t="str">
        <f aca="false">"Q"&amp;ROUNDUP(MONTH(B1642)/3,0)</f>
        <v>Q2</v>
      </c>
    </row>
    <row r="1643" customFormat="false" ht="15" hidden="false" customHeight="true" outlineLevel="0" collapsed="false">
      <c r="A1643" s="1" t="n">
        <v>11642</v>
      </c>
      <c r="B1643" s="14" t="n">
        <v>46203</v>
      </c>
      <c r="C1643" s="1" t="n">
        <v>1966</v>
      </c>
      <c r="D1643" s="1" t="s">
        <v>34</v>
      </c>
      <c r="E1643" s="1" t="s">
        <v>28</v>
      </c>
      <c r="F1643" s="1" t="n">
        <v>3</v>
      </c>
      <c r="G1643" s="15" t="n">
        <v>400.8</v>
      </c>
      <c r="H1643" s="16" t="n">
        <v>0.26</v>
      </c>
      <c r="I1643" s="1" t="s">
        <v>29</v>
      </c>
      <c r="J1643" s="1" t="n">
        <v>8</v>
      </c>
      <c r="K1643" s="1" t="n">
        <v>4.9</v>
      </c>
      <c r="L1643" s="15" t="n">
        <v>889.78</v>
      </c>
      <c r="M1643" s="15" t="n">
        <f aca="false">F1643*G1643</f>
        <v>1202.4</v>
      </c>
      <c r="N1643" s="15" t="n">
        <f aca="false">M1643-L1643</f>
        <v>312.62</v>
      </c>
      <c r="O1643" s="1" t="n">
        <f aca="false">YEAR(B1643)</f>
        <v>2026</v>
      </c>
      <c r="P1643" s="1" t="n">
        <f aca="false">MONTH(B1643)</f>
        <v>6</v>
      </c>
      <c r="Q1643" s="1" t="str">
        <f aca="false">TEXT(B1643,"mmm")</f>
        <v>Jun</v>
      </c>
      <c r="R1643" s="1" t="str">
        <f aca="false">"Q"&amp;ROUNDUP(MONTH(B1643)/3,0)</f>
        <v>Q2</v>
      </c>
    </row>
    <row r="1644" customFormat="false" ht="15" hidden="false" customHeight="true" outlineLevel="0" collapsed="false">
      <c r="A1644" s="1" t="n">
        <v>11643</v>
      </c>
      <c r="B1644" s="14" t="n">
        <v>46204</v>
      </c>
      <c r="C1644" s="1" t="n">
        <v>1848</v>
      </c>
      <c r="D1644" s="1" t="s">
        <v>30</v>
      </c>
      <c r="E1644" s="1" t="s">
        <v>32</v>
      </c>
      <c r="F1644" s="1" t="n">
        <v>4</v>
      </c>
      <c r="G1644" s="15" t="n">
        <v>39.34</v>
      </c>
      <c r="H1644" s="16" t="n">
        <v>0.12</v>
      </c>
      <c r="I1644" s="1" t="s">
        <v>33</v>
      </c>
      <c r="J1644" s="1" t="n">
        <v>8</v>
      </c>
      <c r="K1644" s="1" t="n">
        <v>1.9</v>
      </c>
      <c r="L1644" s="15" t="n">
        <v>138.48</v>
      </c>
      <c r="M1644" s="15" t="n">
        <f aca="false">F1644*G1644</f>
        <v>157.36</v>
      </c>
      <c r="N1644" s="15" t="n">
        <f aca="false">M1644-L1644</f>
        <v>18.88</v>
      </c>
      <c r="O1644" s="1" t="n">
        <f aca="false">YEAR(B1644)</f>
        <v>2026</v>
      </c>
      <c r="P1644" s="1" t="n">
        <f aca="false">MONTH(B1644)</f>
        <v>7</v>
      </c>
      <c r="Q1644" s="1" t="str">
        <f aca="false">TEXT(B1644,"mmm")</f>
        <v>Jul</v>
      </c>
      <c r="R1644" s="1" t="str">
        <f aca="false">"Q"&amp;ROUNDUP(MONTH(B1644)/3,0)</f>
        <v>Q3</v>
      </c>
    </row>
    <row r="1645" customFormat="false" ht="15" hidden="false" customHeight="true" outlineLevel="0" collapsed="false">
      <c r="A1645" s="1" t="n">
        <v>11644</v>
      </c>
      <c r="B1645" s="14" t="n">
        <v>46205</v>
      </c>
      <c r="C1645" s="1" t="n">
        <v>1083</v>
      </c>
      <c r="D1645" s="1" t="s">
        <v>30</v>
      </c>
      <c r="E1645" s="1" t="s">
        <v>36</v>
      </c>
      <c r="F1645" s="1" t="n">
        <v>2</v>
      </c>
      <c r="G1645" s="15" t="n">
        <v>437.06</v>
      </c>
      <c r="H1645" s="16" t="n">
        <v>0.12</v>
      </c>
      <c r="I1645" s="1" t="s">
        <v>33</v>
      </c>
      <c r="J1645" s="1" t="n">
        <v>2</v>
      </c>
      <c r="K1645" s="1" t="n">
        <v>3.6</v>
      </c>
      <c r="L1645" s="15" t="n">
        <v>769.23</v>
      </c>
      <c r="M1645" s="15" t="n">
        <f aca="false">F1645*G1645</f>
        <v>874.12</v>
      </c>
      <c r="N1645" s="15" t="n">
        <f aca="false">M1645-L1645</f>
        <v>104.89</v>
      </c>
      <c r="O1645" s="1" t="n">
        <f aca="false">YEAR(B1645)</f>
        <v>2026</v>
      </c>
      <c r="P1645" s="1" t="n">
        <f aca="false">MONTH(B1645)</f>
        <v>7</v>
      </c>
      <c r="Q1645" s="1" t="str">
        <f aca="false">TEXT(B1645,"mmm")</f>
        <v>Jul</v>
      </c>
      <c r="R1645" s="1" t="str">
        <f aca="false">"Q"&amp;ROUNDUP(MONTH(B1645)/3,0)</f>
        <v>Q3</v>
      </c>
    </row>
    <row r="1646" customFormat="false" ht="15" hidden="false" customHeight="true" outlineLevel="0" collapsed="false">
      <c r="A1646" s="1" t="n">
        <v>11645</v>
      </c>
      <c r="B1646" s="14" t="n">
        <v>46206</v>
      </c>
      <c r="C1646" s="1" t="n">
        <v>1360</v>
      </c>
      <c r="D1646" s="1" t="s">
        <v>34</v>
      </c>
      <c r="E1646" s="1" t="s">
        <v>28</v>
      </c>
      <c r="F1646" s="1" t="n">
        <v>5</v>
      </c>
      <c r="G1646" s="15" t="n">
        <v>51.25</v>
      </c>
      <c r="H1646" s="16" t="n">
        <v>0.04</v>
      </c>
      <c r="I1646" s="1" t="s">
        <v>29</v>
      </c>
      <c r="J1646" s="1" t="n">
        <v>6</v>
      </c>
      <c r="K1646" s="1" t="n">
        <v>4.9</v>
      </c>
      <c r="L1646" s="15" t="n">
        <v>246</v>
      </c>
      <c r="M1646" s="15" t="n">
        <f aca="false">F1646*G1646</f>
        <v>256.25</v>
      </c>
      <c r="N1646" s="15" t="n">
        <f aca="false">M1646-L1646</f>
        <v>10.25</v>
      </c>
      <c r="O1646" s="1" t="n">
        <f aca="false">YEAR(B1646)</f>
        <v>2026</v>
      </c>
      <c r="P1646" s="1" t="n">
        <f aca="false">MONTH(B1646)</f>
        <v>7</v>
      </c>
      <c r="Q1646" s="1" t="str">
        <f aca="false">TEXT(B1646,"mmm")</f>
        <v>Jul</v>
      </c>
      <c r="R1646" s="1" t="str">
        <f aca="false">"Q"&amp;ROUNDUP(MONTH(B1646)/3,0)</f>
        <v>Q3</v>
      </c>
    </row>
    <row r="1647" customFormat="false" ht="15" hidden="false" customHeight="true" outlineLevel="0" collapsed="false">
      <c r="A1647" s="1" t="n">
        <v>11646</v>
      </c>
      <c r="B1647" s="14" t="n">
        <v>46207</v>
      </c>
      <c r="C1647" s="1" t="n">
        <v>1688</v>
      </c>
      <c r="D1647" s="1" t="s">
        <v>30</v>
      </c>
      <c r="E1647" s="1" t="s">
        <v>35</v>
      </c>
      <c r="F1647" s="1" t="n">
        <v>6</v>
      </c>
      <c r="G1647" s="15" t="n">
        <v>288.95</v>
      </c>
      <c r="H1647" s="16" t="n">
        <v>0.05</v>
      </c>
      <c r="I1647" s="1" t="s">
        <v>31</v>
      </c>
      <c r="J1647" s="1" t="n">
        <v>6</v>
      </c>
      <c r="K1647" s="1" t="n">
        <v>2.5</v>
      </c>
      <c r="L1647" s="15" t="n">
        <v>1647.01</v>
      </c>
      <c r="M1647" s="15" t="n">
        <f aca="false">F1647*G1647</f>
        <v>1733.7</v>
      </c>
      <c r="N1647" s="15" t="n">
        <f aca="false">M1647-L1647</f>
        <v>86.6899999999998</v>
      </c>
      <c r="O1647" s="1" t="n">
        <f aca="false">YEAR(B1647)</f>
        <v>2026</v>
      </c>
      <c r="P1647" s="1" t="n">
        <f aca="false">MONTH(B1647)</f>
        <v>7</v>
      </c>
      <c r="Q1647" s="1" t="str">
        <f aca="false">TEXT(B1647,"mmm")</f>
        <v>Jul</v>
      </c>
      <c r="R1647" s="1" t="str">
        <f aca="false">"Q"&amp;ROUNDUP(MONTH(B1647)/3,0)</f>
        <v>Q3</v>
      </c>
    </row>
    <row r="1648" customFormat="false" ht="15" hidden="false" customHeight="true" outlineLevel="0" collapsed="false">
      <c r="A1648" s="1" t="n">
        <v>11647</v>
      </c>
      <c r="B1648" s="14" t="n">
        <v>46208</v>
      </c>
      <c r="C1648" s="1" t="n">
        <v>1147</v>
      </c>
      <c r="D1648" s="1" t="s">
        <v>37</v>
      </c>
      <c r="E1648" s="1" t="s">
        <v>32</v>
      </c>
      <c r="F1648" s="1" t="n">
        <v>2</v>
      </c>
      <c r="G1648" s="15" t="n">
        <v>499.19</v>
      </c>
      <c r="H1648" s="16" t="n">
        <v>0.07</v>
      </c>
      <c r="I1648" s="1" t="s">
        <v>33</v>
      </c>
      <c r="J1648" s="1" t="n">
        <v>5</v>
      </c>
      <c r="K1648" s="1" t="n">
        <v>4.6</v>
      </c>
      <c r="L1648" s="15" t="n">
        <v>928.49</v>
      </c>
      <c r="M1648" s="15" t="n">
        <f aca="false">F1648*G1648</f>
        <v>998.38</v>
      </c>
      <c r="N1648" s="15" t="n">
        <f aca="false">M1648-L1648</f>
        <v>69.89</v>
      </c>
      <c r="O1648" s="1" t="n">
        <f aca="false">YEAR(B1648)</f>
        <v>2026</v>
      </c>
      <c r="P1648" s="1" t="n">
        <f aca="false">MONTH(B1648)</f>
        <v>7</v>
      </c>
      <c r="Q1648" s="1" t="str">
        <f aca="false">TEXT(B1648,"mmm")</f>
        <v>Jul</v>
      </c>
      <c r="R1648" s="1" t="str">
        <f aca="false">"Q"&amp;ROUNDUP(MONTH(B1648)/3,0)</f>
        <v>Q3</v>
      </c>
    </row>
    <row r="1649" customFormat="false" ht="15" hidden="false" customHeight="true" outlineLevel="0" collapsed="false">
      <c r="A1649" s="1" t="n">
        <v>11648</v>
      </c>
      <c r="B1649" s="14" t="n">
        <v>46209</v>
      </c>
      <c r="C1649" s="1" t="n">
        <v>1629</v>
      </c>
      <c r="D1649" s="1" t="s">
        <v>34</v>
      </c>
      <c r="E1649" s="1" t="s">
        <v>32</v>
      </c>
      <c r="F1649" s="1" t="n">
        <v>1</v>
      </c>
      <c r="G1649" s="15" t="n">
        <v>278.96</v>
      </c>
      <c r="H1649" s="16" t="n">
        <v>0.11</v>
      </c>
      <c r="I1649" s="1" t="s">
        <v>29</v>
      </c>
      <c r="J1649" s="1" t="n">
        <v>8</v>
      </c>
      <c r="K1649" s="1" t="n">
        <v>4.5</v>
      </c>
      <c r="L1649" s="15" t="n">
        <v>248.27</v>
      </c>
      <c r="M1649" s="15" t="n">
        <f aca="false">F1649*G1649</f>
        <v>278.96</v>
      </c>
      <c r="N1649" s="15" t="n">
        <f aca="false">M1649-L1649</f>
        <v>30.69</v>
      </c>
      <c r="O1649" s="1" t="n">
        <f aca="false">YEAR(B1649)</f>
        <v>2026</v>
      </c>
      <c r="P1649" s="1" t="n">
        <f aca="false">MONTH(B1649)</f>
        <v>7</v>
      </c>
      <c r="Q1649" s="1" t="str">
        <f aca="false">TEXT(B1649,"mmm")</f>
        <v>Jul</v>
      </c>
      <c r="R1649" s="1" t="str">
        <f aca="false">"Q"&amp;ROUNDUP(MONTH(B1649)/3,0)</f>
        <v>Q3</v>
      </c>
    </row>
    <row r="1650" customFormat="false" ht="15" hidden="false" customHeight="true" outlineLevel="0" collapsed="false">
      <c r="A1650" s="1" t="n">
        <v>11649</v>
      </c>
      <c r="B1650" s="14" t="n">
        <v>46210</v>
      </c>
      <c r="C1650" s="1" t="n">
        <v>1341</v>
      </c>
      <c r="D1650" s="1" t="s">
        <v>30</v>
      </c>
      <c r="E1650" s="1" t="s">
        <v>35</v>
      </c>
      <c r="F1650" s="1" t="n">
        <v>7</v>
      </c>
      <c r="G1650" s="15" t="n">
        <v>102.22</v>
      </c>
      <c r="H1650" s="16" t="n">
        <v>0.31</v>
      </c>
      <c r="I1650" s="1" t="s">
        <v>31</v>
      </c>
      <c r="J1650" s="1" t="n">
        <v>10</v>
      </c>
      <c r="K1650" s="1" t="n">
        <v>2.4</v>
      </c>
      <c r="L1650" s="15" t="n">
        <v>493.72</v>
      </c>
      <c r="M1650" s="15" t="n">
        <f aca="false">F1650*G1650</f>
        <v>715.54</v>
      </c>
      <c r="N1650" s="15" t="n">
        <f aca="false">M1650-L1650</f>
        <v>221.82</v>
      </c>
      <c r="O1650" s="1" t="n">
        <f aca="false">YEAR(B1650)</f>
        <v>2026</v>
      </c>
      <c r="P1650" s="1" t="n">
        <f aca="false">MONTH(B1650)</f>
        <v>7</v>
      </c>
      <c r="Q1650" s="1" t="str">
        <f aca="false">TEXT(B1650,"mmm")</f>
        <v>Jul</v>
      </c>
      <c r="R1650" s="1" t="str">
        <f aca="false">"Q"&amp;ROUNDUP(MONTH(B1650)/3,0)</f>
        <v>Q3</v>
      </c>
    </row>
    <row r="1651" customFormat="false" ht="15" hidden="false" customHeight="true" outlineLevel="0" collapsed="false">
      <c r="A1651" s="1" t="n">
        <v>11650</v>
      </c>
      <c r="B1651" s="14" t="n">
        <v>46211</v>
      </c>
      <c r="C1651" s="1" t="n">
        <v>1475</v>
      </c>
      <c r="D1651" s="1" t="s">
        <v>37</v>
      </c>
      <c r="E1651" s="1" t="s">
        <v>32</v>
      </c>
      <c r="F1651" s="1" t="n">
        <v>7</v>
      </c>
      <c r="G1651" s="15" t="n">
        <v>591.24</v>
      </c>
      <c r="H1651" s="16" t="n">
        <v>0.13</v>
      </c>
      <c r="I1651" s="1" t="s">
        <v>31</v>
      </c>
      <c r="J1651" s="1" t="n">
        <v>2</v>
      </c>
      <c r="K1651" s="1" t="n">
        <v>1.4</v>
      </c>
      <c r="L1651" s="15" t="n">
        <v>3600.65</v>
      </c>
      <c r="M1651" s="15" t="n">
        <f aca="false">F1651*G1651</f>
        <v>4138.68</v>
      </c>
      <c r="N1651" s="15" t="n">
        <f aca="false">M1651-L1651</f>
        <v>538.03</v>
      </c>
      <c r="O1651" s="1" t="n">
        <f aca="false">YEAR(B1651)</f>
        <v>2026</v>
      </c>
      <c r="P1651" s="1" t="n">
        <f aca="false">MONTH(B1651)</f>
        <v>7</v>
      </c>
      <c r="Q1651" s="1" t="str">
        <f aca="false">TEXT(B1651,"mmm")</f>
        <v>Jul</v>
      </c>
      <c r="R1651" s="1" t="str">
        <f aca="false">"Q"&amp;ROUNDUP(MONTH(B1651)/3,0)</f>
        <v>Q3</v>
      </c>
    </row>
    <row r="1652" customFormat="false" ht="15" hidden="false" customHeight="true" outlineLevel="0" collapsed="false">
      <c r="A1652" s="1" t="n">
        <v>11651</v>
      </c>
      <c r="B1652" s="14" t="n">
        <v>46212</v>
      </c>
      <c r="C1652" s="1" t="n">
        <v>1062</v>
      </c>
      <c r="D1652" s="1" t="s">
        <v>34</v>
      </c>
      <c r="E1652" s="1" t="s">
        <v>36</v>
      </c>
      <c r="F1652" s="1" t="n">
        <v>2</v>
      </c>
      <c r="G1652" s="15" t="n">
        <v>535.23</v>
      </c>
      <c r="H1652" s="16" t="n">
        <v>0.25</v>
      </c>
      <c r="I1652" s="1" t="s">
        <v>29</v>
      </c>
      <c r="J1652" s="1" t="n">
        <v>2</v>
      </c>
      <c r="K1652" s="1" t="n">
        <v>1.7</v>
      </c>
      <c r="L1652" s="15" t="n">
        <v>802.84</v>
      </c>
      <c r="M1652" s="15" t="n">
        <f aca="false">F1652*G1652</f>
        <v>1070.46</v>
      </c>
      <c r="N1652" s="15" t="n">
        <f aca="false">M1652-L1652</f>
        <v>267.62</v>
      </c>
      <c r="O1652" s="1" t="n">
        <f aca="false">YEAR(B1652)</f>
        <v>2026</v>
      </c>
      <c r="P1652" s="1" t="n">
        <f aca="false">MONTH(B1652)</f>
        <v>7</v>
      </c>
      <c r="Q1652" s="1" t="str">
        <f aca="false">TEXT(B1652,"mmm")</f>
        <v>Jul</v>
      </c>
      <c r="R1652" s="1" t="str">
        <f aca="false">"Q"&amp;ROUNDUP(MONTH(B1652)/3,0)</f>
        <v>Q3</v>
      </c>
    </row>
    <row r="1653" customFormat="false" ht="15" hidden="false" customHeight="true" outlineLevel="0" collapsed="false">
      <c r="A1653" s="1" t="n">
        <v>11652</v>
      </c>
      <c r="B1653" s="14" t="n">
        <v>46213</v>
      </c>
      <c r="C1653" s="1" t="n">
        <v>1700</v>
      </c>
      <c r="D1653" s="1" t="s">
        <v>34</v>
      </c>
      <c r="E1653" s="1" t="s">
        <v>35</v>
      </c>
      <c r="F1653" s="1" t="n">
        <v>5</v>
      </c>
      <c r="G1653" s="15" t="n">
        <v>466.22</v>
      </c>
      <c r="H1653" s="16" t="n">
        <v>0.03</v>
      </c>
      <c r="I1653" s="1" t="s">
        <v>29</v>
      </c>
      <c r="J1653" s="1" t="n">
        <v>7</v>
      </c>
      <c r="K1653" s="1" t="n">
        <v>2.5</v>
      </c>
      <c r="L1653" s="15" t="n">
        <v>2261.17</v>
      </c>
      <c r="M1653" s="15" t="n">
        <f aca="false">F1653*G1653</f>
        <v>2331.1</v>
      </c>
      <c r="N1653" s="15" t="n">
        <f aca="false">M1653-L1653</f>
        <v>69.9300000000003</v>
      </c>
      <c r="O1653" s="1" t="n">
        <f aca="false">YEAR(B1653)</f>
        <v>2026</v>
      </c>
      <c r="P1653" s="1" t="n">
        <f aca="false">MONTH(B1653)</f>
        <v>7</v>
      </c>
      <c r="Q1653" s="1" t="str">
        <f aca="false">TEXT(B1653,"mmm")</f>
        <v>Jul</v>
      </c>
      <c r="R1653" s="1" t="str">
        <f aca="false">"Q"&amp;ROUNDUP(MONTH(B1653)/3,0)</f>
        <v>Q3</v>
      </c>
    </row>
    <row r="1654" customFormat="false" ht="15" hidden="false" customHeight="true" outlineLevel="0" collapsed="false">
      <c r="A1654" s="1" t="n">
        <v>11653</v>
      </c>
      <c r="B1654" s="14" t="n">
        <v>46214</v>
      </c>
      <c r="C1654" s="1" t="n">
        <v>1359</v>
      </c>
      <c r="D1654" s="1" t="s">
        <v>30</v>
      </c>
      <c r="E1654" s="1" t="s">
        <v>32</v>
      </c>
      <c r="F1654" s="1" t="n">
        <v>7</v>
      </c>
      <c r="G1654" s="15" t="n">
        <v>255.73</v>
      </c>
      <c r="H1654" s="16" t="n">
        <v>0.21</v>
      </c>
      <c r="I1654" s="1" t="s">
        <v>31</v>
      </c>
      <c r="J1654" s="1" t="n">
        <v>9</v>
      </c>
      <c r="K1654" s="1" t="n">
        <v>4.8</v>
      </c>
      <c r="L1654" s="15" t="n">
        <v>1414.19</v>
      </c>
      <c r="M1654" s="15" t="n">
        <f aca="false">F1654*G1654</f>
        <v>1790.11</v>
      </c>
      <c r="N1654" s="15" t="n">
        <f aca="false">M1654-L1654</f>
        <v>375.92</v>
      </c>
      <c r="O1654" s="1" t="n">
        <f aca="false">YEAR(B1654)</f>
        <v>2026</v>
      </c>
      <c r="P1654" s="1" t="n">
        <f aca="false">MONTH(B1654)</f>
        <v>7</v>
      </c>
      <c r="Q1654" s="1" t="str">
        <f aca="false">TEXT(B1654,"mmm")</f>
        <v>Jul</v>
      </c>
      <c r="R1654" s="1" t="str">
        <f aca="false">"Q"&amp;ROUNDUP(MONTH(B1654)/3,0)</f>
        <v>Q3</v>
      </c>
    </row>
    <row r="1655" customFormat="false" ht="15" hidden="false" customHeight="true" outlineLevel="0" collapsed="false">
      <c r="A1655" s="1" t="n">
        <v>11654</v>
      </c>
      <c r="B1655" s="14" t="n">
        <v>46215</v>
      </c>
      <c r="C1655" s="1" t="n">
        <v>1560</v>
      </c>
      <c r="D1655" s="1" t="s">
        <v>27</v>
      </c>
      <c r="E1655" s="1" t="s">
        <v>35</v>
      </c>
      <c r="F1655" s="1" t="n">
        <v>6</v>
      </c>
      <c r="G1655" s="15" t="n">
        <v>122.55</v>
      </c>
      <c r="H1655" s="16" t="n">
        <v>0.17</v>
      </c>
      <c r="I1655" s="1" t="s">
        <v>31</v>
      </c>
      <c r="J1655" s="1" t="n">
        <v>3</v>
      </c>
      <c r="K1655" s="1" t="n">
        <v>2.1</v>
      </c>
      <c r="L1655" s="15" t="n">
        <v>610.3</v>
      </c>
      <c r="M1655" s="15" t="n">
        <f aca="false">F1655*G1655</f>
        <v>735.3</v>
      </c>
      <c r="N1655" s="15" t="n">
        <f aca="false">M1655-L1655</f>
        <v>125</v>
      </c>
      <c r="O1655" s="1" t="n">
        <f aca="false">YEAR(B1655)</f>
        <v>2026</v>
      </c>
      <c r="P1655" s="1" t="n">
        <f aca="false">MONTH(B1655)</f>
        <v>7</v>
      </c>
      <c r="Q1655" s="1" t="str">
        <f aca="false">TEXT(B1655,"mmm")</f>
        <v>Jul</v>
      </c>
      <c r="R1655" s="1" t="str">
        <f aca="false">"Q"&amp;ROUNDUP(MONTH(B1655)/3,0)</f>
        <v>Q3</v>
      </c>
    </row>
    <row r="1656" customFormat="false" ht="15" hidden="false" customHeight="true" outlineLevel="0" collapsed="false">
      <c r="A1656" s="1" t="n">
        <v>11655</v>
      </c>
      <c r="B1656" s="14" t="n">
        <v>46216</v>
      </c>
      <c r="C1656" s="1" t="n">
        <v>1326</v>
      </c>
      <c r="D1656" s="1" t="s">
        <v>37</v>
      </c>
      <c r="E1656" s="1" t="s">
        <v>28</v>
      </c>
      <c r="F1656" s="1" t="n">
        <v>4</v>
      </c>
      <c r="G1656" s="15" t="n">
        <v>565.73</v>
      </c>
      <c r="H1656" s="16" t="n">
        <v>0.34</v>
      </c>
      <c r="I1656" s="1" t="s">
        <v>31</v>
      </c>
      <c r="J1656" s="1" t="n">
        <v>7</v>
      </c>
      <c r="K1656" s="1" t="n">
        <v>4.7</v>
      </c>
      <c r="L1656" s="15" t="n">
        <v>1493.53</v>
      </c>
      <c r="M1656" s="15" t="n">
        <f aca="false">F1656*G1656</f>
        <v>2262.92</v>
      </c>
      <c r="N1656" s="15" t="n">
        <f aca="false">M1656-L1656</f>
        <v>769.39</v>
      </c>
      <c r="O1656" s="1" t="n">
        <f aca="false">YEAR(B1656)</f>
        <v>2026</v>
      </c>
      <c r="P1656" s="1" t="n">
        <f aca="false">MONTH(B1656)</f>
        <v>7</v>
      </c>
      <c r="Q1656" s="1" t="str">
        <f aca="false">TEXT(B1656,"mmm")</f>
        <v>Jul</v>
      </c>
      <c r="R1656" s="1" t="str">
        <f aca="false">"Q"&amp;ROUNDUP(MONTH(B1656)/3,0)</f>
        <v>Q3</v>
      </c>
    </row>
    <row r="1657" customFormat="false" ht="15" hidden="false" customHeight="true" outlineLevel="0" collapsed="false">
      <c r="A1657" s="1" t="n">
        <v>11656</v>
      </c>
      <c r="B1657" s="14" t="n">
        <v>46217</v>
      </c>
      <c r="C1657" s="1" t="n">
        <v>1768</v>
      </c>
      <c r="D1657" s="1" t="s">
        <v>30</v>
      </c>
      <c r="E1657" s="1" t="s">
        <v>35</v>
      </c>
      <c r="F1657" s="1" t="n">
        <v>5</v>
      </c>
      <c r="G1657" s="15" t="n">
        <v>326.43</v>
      </c>
      <c r="H1657" s="16" t="n">
        <v>0.3</v>
      </c>
      <c r="I1657" s="1" t="s">
        <v>31</v>
      </c>
      <c r="J1657" s="1" t="n">
        <v>3</v>
      </c>
      <c r="K1657" s="1" t="n">
        <v>1.7</v>
      </c>
      <c r="L1657" s="15" t="n">
        <v>1142.5</v>
      </c>
      <c r="M1657" s="15" t="n">
        <f aca="false">F1657*G1657</f>
        <v>1632.15</v>
      </c>
      <c r="N1657" s="15" t="n">
        <f aca="false">M1657-L1657</f>
        <v>489.65</v>
      </c>
      <c r="O1657" s="1" t="n">
        <f aca="false">YEAR(B1657)</f>
        <v>2026</v>
      </c>
      <c r="P1657" s="1" t="n">
        <f aca="false">MONTH(B1657)</f>
        <v>7</v>
      </c>
      <c r="Q1657" s="1" t="str">
        <f aca="false">TEXT(B1657,"mmm")</f>
        <v>Jul</v>
      </c>
      <c r="R1657" s="1" t="str">
        <f aca="false">"Q"&amp;ROUNDUP(MONTH(B1657)/3,0)</f>
        <v>Q3</v>
      </c>
    </row>
    <row r="1658" customFormat="false" ht="15" hidden="false" customHeight="true" outlineLevel="0" collapsed="false">
      <c r="A1658" s="1" t="n">
        <v>11657</v>
      </c>
      <c r="B1658" s="14" t="n">
        <v>46218</v>
      </c>
      <c r="C1658" s="1" t="n">
        <v>1735</v>
      </c>
      <c r="D1658" s="1" t="s">
        <v>37</v>
      </c>
      <c r="E1658" s="1" t="s">
        <v>32</v>
      </c>
      <c r="F1658" s="1" t="n">
        <v>2</v>
      </c>
      <c r="G1658" s="15" t="n">
        <v>513.63</v>
      </c>
      <c r="H1658" s="16" t="n">
        <v>0.16</v>
      </c>
      <c r="I1658" s="1" t="s">
        <v>31</v>
      </c>
      <c r="J1658" s="1" t="n">
        <v>6</v>
      </c>
      <c r="K1658" s="1" t="n">
        <v>4.9</v>
      </c>
      <c r="L1658" s="15" t="n">
        <v>862.9</v>
      </c>
      <c r="M1658" s="15" t="n">
        <f aca="false">F1658*G1658</f>
        <v>1027.26</v>
      </c>
      <c r="N1658" s="15" t="n">
        <f aca="false">M1658-L1658</f>
        <v>164.36</v>
      </c>
      <c r="O1658" s="1" t="n">
        <f aca="false">YEAR(B1658)</f>
        <v>2026</v>
      </c>
      <c r="P1658" s="1" t="n">
        <f aca="false">MONTH(B1658)</f>
        <v>7</v>
      </c>
      <c r="Q1658" s="1" t="str">
        <f aca="false">TEXT(B1658,"mmm")</f>
        <v>Jul</v>
      </c>
      <c r="R1658" s="1" t="str">
        <f aca="false">"Q"&amp;ROUNDUP(MONTH(B1658)/3,0)</f>
        <v>Q3</v>
      </c>
    </row>
    <row r="1659" customFormat="false" ht="15" hidden="false" customHeight="true" outlineLevel="0" collapsed="false">
      <c r="A1659" s="1" t="n">
        <v>11658</v>
      </c>
      <c r="B1659" s="14" t="n">
        <v>46219</v>
      </c>
      <c r="C1659" s="1" t="n">
        <v>1140</v>
      </c>
      <c r="D1659" s="1" t="s">
        <v>30</v>
      </c>
      <c r="E1659" s="1" t="s">
        <v>36</v>
      </c>
      <c r="F1659" s="1" t="n">
        <v>5</v>
      </c>
      <c r="G1659" s="15" t="n">
        <v>215.13</v>
      </c>
      <c r="H1659" s="16" t="n">
        <v>0.27</v>
      </c>
      <c r="I1659" s="1" t="s">
        <v>33</v>
      </c>
      <c r="J1659" s="1" t="n">
        <v>3</v>
      </c>
      <c r="K1659" s="1" t="n">
        <v>2.2</v>
      </c>
      <c r="L1659" s="15" t="n">
        <v>785.22</v>
      </c>
      <c r="M1659" s="15" t="n">
        <f aca="false">F1659*G1659</f>
        <v>1075.65</v>
      </c>
      <c r="N1659" s="15" t="n">
        <f aca="false">M1659-L1659</f>
        <v>290.43</v>
      </c>
      <c r="O1659" s="1" t="n">
        <f aca="false">YEAR(B1659)</f>
        <v>2026</v>
      </c>
      <c r="P1659" s="1" t="n">
        <f aca="false">MONTH(B1659)</f>
        <v>7</v>
      </c>
      <c r="Q1659" s="1" t="str">
        <f aca="false">TEXT(B1659,"mmm")</f>
        <v>Jul</v>
      </c>
      <c r="R1659" s="1" t="str">
        <f aca="false">"Q"&amp;ROUNDUP(MONTH(B1659)/3,0)</f>
        <v>Q3</v>
      </c>
    </row>
    <row r="1660" customFormat="false" ht="15" hidden="false" customHeight="true" outlineLevel="0" collapsed="false">
      <c r="A1660" s="1" t="n">
        <v>11659</v>
      </c>
      <c r="B1660" s="14" t="n">
        <v>46220</v>
      </c>
      <c r="C1660" s="1" t="n">
        <v>1989</v>
      </c>
      <c r="D1660" s="1" t="s">
        <v>30</v>
      </c>
      <c r="E1660" s="1" t="s">
        <v>35</v>
      </c>
      <c r="F1660" s="1" t="n">
        <v>7</v>
      </c>
      <c r="G1660" s="15" t="n">
        <v>211.14</v>
      </c>
      <c r="H1660" s="16" t="n">
        <v>0.07</v>
      </c>
      <c r="I1660" s="1" t="s">
        <v>29</v>
      </c>
      <c r="J1660" s="1" t="n">
        <v>1</v>
      </c>
      <c r="K1660" s="1" t="n">
        <v>3.5</v>
      </c>
      <c r="L1660" s="15" t="n">
        <v>1374.52</v>
      </c>
      <c r="M1660" s="15" t="n">
        <f aca="false">F1660*G1660</f>
        <v>1477.98</v>
      </c>
      <c r="N1660" s="15" t="n">
        <f aca="false">M1660-L1660</f>
        <v>103.46</v>
      </c>
      <c r="O1660" s="1" t="n">
        <f aca="false">YEAR(B1660)</f>
        <v>2026</v>
      </c>
      <c r="P1660" s="1" t="n">
        <f aca="false">MONTH(B1660)</f>
        <v>7</v>
      </c>
      <c r="Q1660" s="1" t="str">
        <f aca="false">TEXT(B1660,"mmm")</f>
        <v>Jul</v>
      </c>
      <c r="R1660" s="1" t="str">
        <f aca="false">"Q"&amp;ROUNDUP(MONTH(B1660)/3,0)</f>
        <v>Q3</v>
      </c>
    </row>
    <row r="1661" customFormat="false" ht="15" hidden="false" customHeight="true" outlineLevel="0" collapsed="false">
      <c r="A1661" s="1" t="n">
        <v>11660</v>
      </c>
      <c r="B1661" s="14" t="n">
        <v>46221</v>
      </c>
      <c r="C1661" s="1" t="n">
        <v>1214</v>
      </c>
      <c r="D1661" s="1" t="s">
        <v>30</v>
      </c>
      <c r="E1661" s="1" t="s">
        <v>35</v>
      </c>
      <c r="F1661" s="1" t="n">
        <v>7</v>
      </c>
      <c r="G1661" s="15" t="n">
        <v>591.54</v>
      </c>
      <c r="H1661" s="16" t="n">
        <v>0.2</v>
      </c>
      <c r="I1661" s="1" t="s">
        <v>31</v>
      </c>
      <c r="J1661" s="1" t="n">
        <v>6</v>
      </c>
      <c r="K1661" s="1" t="n">
        <v>1.3</v>
      </c>
      <c r="L1661" s="15" t="n">
        <v>3312.62</v>
      </c>
      <c r="M1661" s="15" t="n">
        <f aca="false">F1661*G1661</f>
        <v>4140.78</v>
      </c>
      <c r="N1661" s="15" t="n">
        <f aca="false">M1661-L1661</f>
        <v>828.16</v>
      </c>
      <c r="O1661" s="1" t="n">
        <f aca="false">YEAR(B1661)</f>
        <v>2026</v>
      </c>
      <c r="P1661" s="1" t="n">
        <f aca="false">MONTH(B1661)</f>
        <v>7</v>
      </c>
      <c r="Q1661" s="1" t="str">
        <f aca="false">TEXT(B1661,"mmm")</f>
        <v>Jul</v>
      </c>
      <c r="R1661" s="1" t="str">
        <f aca="false">"Q"&amp;ROUNDUP(MONTH(B1661)/3,0)</f>
        <v>Q3</v>
      </c>
    </row>
    <row r="1662" customFormat="false" ht="15" hidden="false" customHeight="true" outlineLevel="0" collapsed="false">
      <c r="A1662" s="1" t="n">
        <v>11661</v>
      </c>
      <c r="B1662" s="14" t="n">
        <v>46222</v>
      </c>
      <c r="C1662" s="1" t="n">
        <v>1434</v>
      </c>
      <c r="D1662" s="1" t="s">
        <v>34</v>
      </c>
      <c r="E1662" s="1" t="s">
        <v>32</v>
      </c>
      <c r="F1662" s="1" t="n">
        <v>2</v>
      </c>
      <c r="G1662" s="15" t="n">
        <v>320.27</v>
      </c>
      <c r="H1662" s="16" t="n">
        <v>0.03</v>
      </c>
      <c r="I1662" s="1" t="s">
        <v>29</v>
      </c>
      <c r="J1662" s="1" t="n">
        <v>11</v>
      </c>
      <c r="K1662" s="1" t="n">
        <v>2.2</v>
      </c>
      <c r="L1662" s="15" t="n">
        <v>621.32</v>
      </c>
      <c r="M1662" s="15" t="n">
        <f aca="false">F1662*G1662</f>
        <v>640.54</v>
      </c>
      <c r="N1662" s="15" t="n">
        <f aca="false">M1662-L1662</f>
        <v>19.2199999999999</v>
      </c>
      <c r="O1662" s="1" t="n">
        <f aca="false">YEAR(B1662)</f>
        <v>2026</v>
      </c>
      <c r="P1662" s="1" t="n">
        <f aca="false">MONTH(B1662)</f>
        <v>7</v>
      </c>
      <c r="Q1662" s="1" t="str">
        <f aca="false">TEXT(B1662,"mmm")</f>
        <v>Jul</v>
      </c>
      <c r="R1662" s="1" t="str">
        <f aca="false">"Q"&amp;ROUNDUP(MONTH(B1662)/3,0)</f>
        <v>Q3</v>
      </c>
    </row>
    <row r="1663" customFormat="false" ht="15" hidden="false" customHeight="true" outlineLevel="0" collapsed="false">
      <c r="A1663" s="1" t="n">
        <v>11662</v>
      </c>
      <c r="B1663" s="14" t="n">
        <v>46223</v>
      </c>
      <c r="C1663" s="1" t="n">
        <v>1890</v>
      </c>
      <c r="D1663" s="1" t="s">
        <v>37</v>
      </c>
      <c r="E1663" s="1" t="s">
        <v>36</v>
      </c>
      <c r="F1663" s="1" t="n">
        <v>7</v>
      </c>
      <c r="G1663" s="15" t="n">
        <v>97.31</v>
      </c>
      <c r="H1663" s="16" t="n">
        <v>0.12</v>
      </c>
      <c r="I1663" s="1" t="s">
        <v>31</v>
      </c>
      <c r="J1663" s="1" t="n">
        <v>3</v>
      </c>
      <c r="K1663" s="1" t="n">
        <v>1.8</v>
      </c>
      <c r="L1663" s="15" t="n">
        <v>599.43</v>
      </c>
      <c r="M1663" s="15" t="n">
        <f aca="false">F1663*G1663</f>
        <v>681.17</v>
      </c>
      <c r="N1663" s="15" t="n">
        <f aca="false">M1663-L1663</f>
        <v>81.7400000000001</v>
      </c>
      <c r="O1663" s="1" t="n">
        <f aca="false">YEAR(B1663)</f>
        <v>2026</v>
      </c>
      <c r="P1663" s="1" t="n">
        <f aca="false">MONTH(B1663)</f>
        <v>7</v>
      </c>
      <c r="Q1663" s="1" t="str">
        <f aca="false">TEXT(B1663,"mmm")</f>
        <v>Jul</v>
      </c>
      <c r="R1663" s="1" t="str">
        <f aca="false">"Q"&amp;ROUNDUP(MONTH(B1663)/3,0)</f>
        <v>Q3</v>
      </c>
    </row>
    <row r="1664" customFormat="false" ht="15" hidden="false" customHeight="true" outlineLevel="0" collapsed="false">
      <c r="A1664" s="1" t="n">
        <v>11663</v>
      </c>
      <c r="B1664" s="14" t="n">
        <v>46224</v>
      </c>
      <c r="C1664" s="1" t="n">
        <v>1951</v>
      </c>
      <c r="D1664" s="1" t="s">
        <v>30</v>
      </c>
      <c r="E1664" s="1" t="s">
        <v>36</v>
      </c>
      <c r="F1664" s="1" t="n">
        <v>7</v>
      </c>
      <c r="G1664" s="15" t="n">
        <v>143.51</v>
      </c>
      <c r="H1664" s="16" t="n">
        <v>0.08</v>
      </c>
      <c r="I1664" s="1" t="s">
        <v>31</v>
      </c>
      <c r="J1664" s="1" t="n">
        <v>1</v>
      </c>
      <c r="K1664" s="1" t="n">
        <v>1</v>
      </c>
      <c r="L1664" s="15" t="n">
        <v>924.2</v>
      </c>
      <c r="M1664" s="15" t="n">
        <f aca="false">F1664*G1664</f>
        <v>1004.57</v>
      </c>
      <c r="N1664" s="15" t="n">
        <f aca="false">M1664-L1664</f>
        <v>80.3699999999999</v>
      </c>
      <c r="O1664" s="1" t="n">
        <f aca="false">YEAR(B1664)</f>
        <v>2026</v>
      </c>
      <c r="P1664" s="1" t="n">
        <f aca="false">MONTH(B1664)</f>
        <v>7</v>
      </c>
      <c r="Q1664" s="1" t="str">
        <f aca="false">TEXT(B1664,"mmm")</f>
        <v>Jul</v>
      </c>
      <c r="R1664" s="1" t="str">
        <f aca="false">"Q"&amp;ROUNDUP(MONTH(B1664)/3,0)</f>
        <v>Q3</v>
      </c>
    </row>
    <row r="1665" customFormat="false" ht="15" hidden="false" customHeight="true" outlineLevel="0" collapsed="false">
      <c r="A1665" s="1" t="n">
        <v>11664</v>
      </c>
      <c r="B1665" s="14" t="n">
        <v>46225</v>
      </c>
      <c r="C1665" s="1" t="n">
        <v>1722</v>
      </c>
      <c r="D1665" s="1" t="s">
        <v>30</v>
      </c>
      <c r="E1665" s="1" t="s">
        <v>28</v>
      </c>
      <c r="F1665" s="1" t="n">
        <v>4</v>
      </c>
      <c r="G1665" s="15" t="n">
        <v>296.94</v>
      </c>
      <c r="H1665" s="16" t="n">
        <v>0.25</v>
      </c>
      <c r="I1665" s="1" t="s">
        <v>33</v>
      </c>
      <c r="J1665" s="1" t="n">
        <v>5</v>
      </c>
      <c r="K1665" s="1" t="n">
        <v>1.6</v>
      </c>
      <c r="L1665" s="15" t="n">
        <v>890.82</v>
      </c>
      <c r="M1665" s="15" t="n">
        <f aca="false">F1665*G1665</f>
        <v>1187.76</v>
      </c>
      <c r="N1665" s="15" t="n">
        <f aca="false">M1665-L1665</f>
        <v>296.94</v>
      </c>
      <c r="O1665" s="1" t="n">
        <f aca="false">YEAR(B1665)</f>
        <v>2026</v>
      </c>
      <c r="P1665" s="1" t="n">
        <f aca="false">MONTH(B1665)</f>
        <v>7</v>
      </c>
      <c r="Q1665" s="1" t="str">
        <f aca="false">TEXT(B1665,"mmm")</f>
        <v>Jul</v>
      </c>
      <c r="R1665" s="1" t="str">
        <f aca="false">"Q"&amp;ROUNDUP(MONTH(B1665)/3,0)</f>
        <v>Q3</v>
      </c>
    </row>
    <row r="1666" customFormat="false" ht="15" hidden="false" customHeight="true" outlineLevel="0" collapsed="false">
      <c r="A1666" s="1" t="n">
        <v>11665</v>
      </c>
      <c r="B1666" s="14" t="n">
        <v>46226</v>
      </c>
      <c r="C1666" s="1" t="n">
        <v>1317</v>
      </c>
      <c r="D1666" s="1" t="s">
        <v>27</v>
      </c>
      <c r="E1666" s="1" t="s">
        <v>28</v>
      </c>
      <c r="F1666" s="1" t="n">
        <v>4</v>
      </c>
      <c r="G1666" s="15" t="n">
        <v>39.85</v>
      </c>
      <c r="H1666" s="16" t="n">
        <v>0.17</v>
      </c>
      <c r="I1666" s="1" t="s">
        <v>31</v>
      </c>
      <c r="J1666" s="1" t="n">
        <v>8</v>
      </c>
      <c r="K1666" s="1" t="n">
        <v>3.4</v>
      </c>
      <c r="L1666" s="15" t="n">
        <v>132.3</v>
      </c>
      <c r="M1666" s="15" t="n">
        <f aca="false">F1666*G1666</f>
        <v>159.4</v>
      </c>
      <c r="N1666" s="15" t="n">
        <f aca="false">M1666-L1666</f>
        <v>27.1</v>
      </c>
      <c r="O1666" s="1" t="n">
        <f aca="false">YEAR(B1666)</f>
        <v>2026</v>
      </c>
      <c r="P1666" s="1" t="n">
        <f aca="false">MONTH(B1666)</f>
        <v>7</v>
      </c>
      <c r="Q1666" s="1" t="str">
        <f aca="false">TEXT(B1666,"mmm")</f>
        <v>Jul</v>
      </c>
      <c r="R1666" s="1" t="str">
        <f aca="false">"Q"&amp;ROUNDUP(MONTH(B1666)/3,0)</f>
        <v>Q3</v>
      </c>
    </row>
    <row r="1667" customFormat="false" ht="15" hidden="false" customHeight="true" outlineLevel="0" collapsed="false">
      <c r="A1667" s="1" t="n">
        <v>11666</v>
      </c>
      <c r="B1667" s="14" t="n">
        <v>46227</v>
      </c>
      <c r="C1667" s="1" t="n">
        <v>1031</v>
      </c>
      <c r="D1667" s="1" t="s">
        <v>34</v>
      </c>
      <c r="E1667" s="1" t="s">
        <v>32</v>
      </c>
      <c r="F1667" s="1" t="n">
        <v>1</v>
      </c>
      <c r="G1667" s="15" t="n">
        <v>285.58</v>
      </c>
      <c r="H1667" s="16" t="n">
        <v>0.26</v>
      </c>
      <c r="I1667" s="1" t="s">
        <v>31</v>
      </c>
      <c r="J1667" s="1" t="n">
        <v>8</v>
      </c>
      <c r="K1667" s="1" t="n">
        <v>2.6</v>
      </c>
      <c r="L1667" s="15" t="n">
        <v>211.33</v>
      </c>
      <c r="M1667" s="15" t="n">
        <f aca="false">F1667*G1667</f>
        <v>285.58</v>
      </c>
      <c r="N1667" s="15" t="n">
        <f aca="false">M1667-L1667</f>
        <v>74.25</v>
      </c>
      <c r="O1667" s="1" t="n">
        <f aca="false">YEAR(B1667)</f>
        <v>2026</v>
      </c>
      <c r="P1667" s="1" t="n">
        <f aca="false">MONTH(B1667)</f>
        <v>7</v>
      </c>
      <c r="Q1667" s="1" t="str">
        <f aca="false">TEXT(B1667,"mmm")</f>
        <v>Jul</v>
      </c>
      <c r="R1667" s="1" t="str">
        <f aca="false">"Q"&amp;ROUNDUP(MONTH(B1667)/3,0)</f>
        <v>Q3</v>
      </c>
    </row>
    <row r="1668" customFormat="false" ht="15" hidden="false" customHeight="true" outlineLevel="0" collapsed="false">
      <c r="A1668" s="1" t="n">
        <v>11667</v>
      </c>
      <c r="B1668" s="14" t="n">
        <v>46228</v>
      </c>
      <c r="C1668" s="1" t="n">
        <v>1669</v>
      </c>
      <c r="D1668" s="1" t="s">
        <v>34</v>
      </c>
      <c r="E1668" s="1" t="s">
        <v>36</v>
      </c>
      <c r="F1668" s="1" t="n">
        <v>4</v>
      </c>
      <c r="G1668" s="15" t="n">
        <v>260.08</v>
      </c>
      <c r="H1668" s="16" t="n">
        <v>0.18</v>
      </c>
      <c r="I1668" s="1" t="s">
        <v>29</v>
      </c>
      <c r="J1668" s="1" t="n">
        <v>8</v>
      </c>
      <c r="K1668" s="1" t="n">
        <v>3.9</v>
      </c>
      <c r="L1668" s="15" t="n">
        <v>853.06</v>
      </c>
      <c r="M1668" s="15" t="n">
        <f aca="false">F1668*G1668</f>
        <v>1040.32</v>
      </c>
      <c r="N1668" s="15" t="n">
        <f aca="false">M1668-L1668</f>
        <v>187.26</v>
      </c>
      <c r="O1668" s="1" t="n">
        <f aca="false">YEAR(B1668)</f>
        <v>2026</v>
      </c>
      <c r="P1668" s="1" t="n">
        <f aca="false">MONTH(B1668)</f>
        <v>7</v>
      </c>
      <c r="Q1668" s="1" t="str">
        <f aca="false">TEXT(B1668,"mmm")</f>
        <v>Jul</v>
      </c>
      <c r="R1668" s="1" t="str">
        <f aca="false">"Q"&amp;ROUNDUP(MONTH(B1668)/3,0)</f>
        <v>Q3</v>
      </c>
    </row>
    <row r="1669" customFormat="false" ht="15" hidden="false" customHeight="true" outlineLevel="0" collapsed="false">
      <c r="A1669" s="1" t="n">
        <v>11668</v>
      </c>
      <c r="B1669" s="14" t="n">
        <v>46229</v>
      </c>
      <c r="C1669" s="1" t="n">
        <v>1284</v>
      </c>
      <c r="D1669" s="1" t="s">
        <v>34</v>
      </c>
      <c r="E1669" s="1" t="s">
        <v>36</v>
      </c>
      <c r="F1669" s="1" t="n">
        <v>3</v>
      </c>
      <c r="G1669" s="15" t="n">
        <v>470.91</v>
      </c>
      <c r="H1669" s="16" t="n">
        <v>0.03</v>
      </c>
      <c r="I1669" s="1" t="s">
        <v>31</v>
      </c>
      <c r="J1669" s="1" t="n">
        <v>3</v>
      </c>
      <c r="K1669" s="1" t="n">
        <v>3.7</v>
      </c>
      <c r="L1669" s="15" t="n">
        <v>1370.35</v>
      </c>
      <c r="M1669" s="15" t="n">
        <f aca="false">F1669*G1669</f>
        <v>1412.73</v>
      </c>
      <c r="N1669" s="15" t="n">
        <f aca="false">M1669-L1669</f>
        <v>42.3800000000001</v>
      </c>
      <c r="O1669" s="1" t="n">
        <f aca="false">YEAR(B1669)</f>
        <v>2026</v>
      </c>
      <c r="P1669" s="1" t="n">
        <f aca="false">MONTH(B1669)</f>
        <v>7</v>
      </c>
      <c r="Q1669" s="1" t="str">
        <f aca="false">TEXT(B1669,"mmm")</f>
        <v>Jul</v>
      </c>
      <c r="R1669" s="1" t="str">
        <f aca="false">"Q"&amp;ROUNDUP(MONTH(B1669)/3,0)</f>
        <v>Q3</v>
      </c>
    </row>
    <row r="1670" customFormat="false" ht="15" hidden="false" customHeight="true" outlineLevel="0" collapsed="false">
      <c r="A1670" s="1" t="n">
        <v>11669</v>
      </c>
      <c r="B1670" s="14" t="n">
        <v>46230</v>
      </c>
      <c r="C1670" s="1" t="n">
        <v>1304</v>
      </c>
      <c r="D1670" s="1" t="s">
        <v>37</v>
      </c>
      <c r="E1670" s="1" t="s">
        <v>28</v>
      </c>
      <c r="F1670" s="1" t="n">
        <v>5</v>
      </c>
      <c r="G1670" s="15" t="n">
        <v>222.64</v>
      </c>
      <c r="H1670" s="16" t="n">
        <v>0.26</v>
      </c>
      <c r="I1670" s="1" t="s">
        <v>33</v>
      </c>
      <c r="J1670" s="1" t="n">
        <v>8</v>
      </c>
      <c r="K1670" s="1" t="n">
        <v>4.2</v>
      </c>
      <c r="L1670" s="15" t="n">
        <v>823.77</v>
      </c>
      <c r="M1670" s="15" t="n">
        <f aca="false">F1670*G1670</f>
        <v>1113.2</v>
      </c>
      <c r="N1670" s="15" t="n">
        <f aca="false">M1670-L1670</f>
        <v>289.43</v>
      </c>
      <c r="O1670" s="1" t="n">
        <f aca="false">YEAR(B1670)</f>
        <v>2026</v>
      </c>
      <c r="P1670" s="1" t="n">
        <f aca="false">MONTH(B1670)</f>
        <v>7</v>
      </c>
      <c r="Q1670" s="1" t="str">
        <f aca="false">TEXT(B1670,"mmm")</f>
        <v>Jul</v>
      </c>
      <c r="R1670" s="1" t="str">
        <f aca="false">"Q"&amp;ROUNDUP(MONTH(B1670)/3,0)</f>
        <v>Q3</v>
      </c>
    </row>
    <row r="1671" customFormat="false" ht="15" hidden="false" customHeight="true" outlineLevel="0" collapsed="false">
      <c r="A1671" s="1" t="n">
        <v>11670</v>
      </c>
      <c r="B1671" s="14" t="n">
        <v>46231</v>
      </c>
      <c r="C1671" s="1" t="n">
        <v>1428</v>
      </c>
      <c r="D1671" s="1" t="s">
        <v>37</v>
      </c>
      <c r="E1671" s="1" t="s">
        <v>28</v>
      </c>
      <c r="F1671" s="1" t="n">
        <v>5</v>
      </c>
      <c r="G1671" s="15" t="n">
        <v>589.79</v>
      </c>
      <c r="H1671" s="16" t="n">
        <v>0.29</v>
      </c>
      <c r="I1671" s="1" t="s">
        <v>31</v>
      </c>
      <c r="J1671" s="1" t="n">
        <v>4</v>
      </c>
      <c r="K1671" s="1" t="n">
        <v>4.5</v>
      </c>
      <c r="L1671" s="15" t="n">
        <v>2093.75</v>
      </c>
      <c r="M1671" s="15" t="n">
        <f aca="false">F1671*G1671</f>
        <v>2948.95</v>
      </c>
      <c r="N1671" s="15" t="n">
        <f aca="false">M1671-L1671</f>
        <v>855.2</v>
      </c>
      <c r="O1671" s="1" t="n">
        <f aca="false">YEAR(B1671)</f>
        <v>2026</v>
      </c>
      <c r="P1671" s="1" t="n">
        <f aca="false">MONTH(B1671)</f>
        <v>7</v>
      </c>
      <c r="Q1671" s="1" t="str">
        <f aca="false">TEXT(B1671,"mmm")</f>
        <v>Jul</v>
      </c>
      <c r="R1671" s="1" t="str">
        <f aca="false">"Q"&amp;ROUNDUP(MONTH(B1671)/3,0)</f>
        <v>Q3</v>
      </c>
    </row>
    <row r="1672" customFormat="false" ht="15" hidden="false" customHeight="true" outlineLevel="0" collapsed="false">
      <c r="A1672" s="1" t="n">
        <v>11671</v>
      </c>
      <c r="B1672" s="14" t="n">
        <v>46232</v>
      </c>
      <c r="C1672" s="1" t="n">
        <v>1476</v>
      </c>
      <c r="D1672" s="1" t="s">
        <v>34</v>
      </c>
      <c r="E1672" s="1" t="s">
        <v>32</v>
      </c>
      <c r="F1672" s="1" t="n">
        <v>2</v>
      </c>
      <c r="G1672" s="15" t="n">
        <v>120.75</v>
      </c>
      <c r="H1672" s="16" t="n">
        <v>0.32</v>
      </c>
      <c r="I1672" s="1" t="s">
        <v>31</v>
      </c>
      <c r="J1672" s="1" t="n">
        <v>8</v>
      </c>
      <c r="K1672" s="1" t="n">
        <v>4.3</v>
      </c>
      <c r="L1672" s="15" t="n">
        <v>164.22</v>
      </c>
      <c r="M1672" s="15" t="n">
        <f aca="false">F1672*G1672</f>
        <v>241.5</v>
      </c>
      <c r="N1672" s="15" t="n">
        <f aca="false">M1672-L1672</f>
        <v>77.28</v>
      </c>
      <c r="O1672" s="1" t="n">
        <f aca="false">YEAR(B1672)</f>
        <v>2026</v>
      </c>
      <c r="P1672" s="1" t="n">
        <f aca="false">MONTH(B1672)</f>
        <v>7</v>
      </c>
      <c r="Q1672" s="1" t="str">
        <f aca="false">TEXT(B1672,"mmm")</f>
        <v>Jul</v>
      </c>
      <c r="R1672" s="1" t="str">
        <f aca="false">"Q"&amp;ROUNDUP(MONTH(B1672)/3,0)</f>
        <v>Q3</v>
      </c>
    </row>
    <row r="1673" customFormat="false" ht="15" hidden="false" customHeight="true" outlineLevel="0" collapsed="false">
      <c r="A1673" s="1" t="n">
        <v>11672</v>
      </c>
      <c r="B1673" s="14" t="n">
        <v>46233</v>
      </c>
      <c r="C1673" s="1" t="n">
        <v>1285</v>
      </c>
      <c r="D1673" s="1" t="s">
        <v>37</v>
      </c>
      <c r="E1673" s="1" t="s">
        <v>36</v>
      </c>
      <c r="F1673" s="1" t="n">
        <v>4</v>
      </c>
      <c r="G1673" s="15" t="n">
        <v>360.73</v>
      </c>
      <c r="H1673" s="16" t="n">
        <v>0.2</v>
      </c>
      <c r="I1673" s="1" t="s">
        <v>33</v>
      </c>
      <c r="J1673" s="1" t="n">
        <v>3</v>
      </c>
      <c r="K1673" s="1" t="n">
        <v>2.8</v>
      </c>
      <c r="L1673" s="15" t="n">
        <v>1154.34</v>
      </c>
      <c r="M1673" s="15" t="n">
        <f aca="false">F1673*G1673</f>
        <v>1442.92</v>
      </c>
      <c r="N1673" s="15" t="n">
        <f aca="false">M1673-L1673</f>
        <v>288.58</v>
      </c>
      <c r="O1673" s="1" t="n">
        <f aca="false">YEAR(B1673)</f>
        <v>2026</v>
      </c>
      <c r="P1673" s="1" t="n">
        <f aca="false">MONTH(B1673)</f>
        <v>7</v>
      </c>
      <c r="Q1673" s="1" t="str">
        <f aca="false">TEXT(B1673,"mmm")</f>
        <v>Jul</v>
      </c>
      <c r="R1673" s="1" t="str">
        <f aca="false">"Q"&amp;ROUNDUP(MONTH(B1673)/3,0)</f>
        <v>Q3</v>
      </c>
    </row>
    <row r="1674" customFormat="false" ht="15" hidden="false" customHeight="true" outlineLevel="0" collapsed="false">
      <c r="A1674" s="1" t="n">
        <v>11673</v>
      </c>
      <c r="B1674" s="14" t="n">
        <v>46234</v>
      </c>
      <c r="C1674" s="1" t="n">
        <v>1143</v>
      </c>
      <c r="D1674" s="1" t="s">
        <v>30</v>
      </c>
      <c r="E1674" s="1" t="s">
        <v>35</v>
      </c>
      <c r="F1674" s="1" t="n">
        <v>1</v>
      </c>
      <c r="G1674" s="15" t="n">
        <v>67.47</v>
      </c>
      <c r="H1674" s="16" t="n">
        <v>0.26</v>
      </c>
      <c r="I1674" s="1" t="s">
        <v>29</v>
      </c>
      <c r="J1674" s="1" t="n">
        <v>3</v>
      </c>
      <c r="K1674" s="1" t="n">
        <v>2.2</v>
      </c>
      <c r="L1674" s="15" t="n">
        <v>49.93</v>
      </c>
      <c r="M1674" s="15" t="n">
        <f aca="false">F1674*G1674</f>
        <v>67.47</v>
      </c>
      <c r="N1674" s="15" t="n">
        <f aca="false">M1674-L1674</f>
        <v>17.54</v>
      </c>
      <c r="O1674" s="1" t="n">
        <f aca="false">YEAR(B1674)</f>
        <v>2026</v>
      </c>
      <c r="P1674" s="1" t="n">
        <f aca="false">MONTH(B1674)</f>
        <v>7</v>
      </c>
      <c r="Q1674" s="1" t="str">
        <f aca="false">TEXT(B1674,"mmm")</f>
        <v>Jul</v>
      </c>
      <c r="R1674" s="1" t="str">
        <f aca="false">"Q"&amp;ROUNDUP(MONTH(B1674)/3,0)</f>
        <v>Q3</v>
      </c>
    </row>
    <row r="1675" customFormat="false" ht="15" hidden="false" customHeight="true" outlineLevel="0" collapsed="false">
      <c r="A1675" s="1" t="n">
        <v>11674</v>
      </c>
      <c r="B1675" s="14" t="n">
        <v>46235</v>
      </c>
      <c r="C1675" s="1" t="n">
        <v>1423</v>
      </c>
      <c r="D1675" s="1" t="s">
        <v>37</v>
      </c>
      <c r="E1675" s="1" t="s">
        <v>28</v>
      </c>
      <c r="F1675" s="1" t="n">
        <v>7</v>
      </c>
      <c r="G1675" s="15" t="n">
        <v>444.31</v>
      </c>
      <c r="H1675" s="16" t="n">
        <v>0.26</v>
      </c>
      <c r="I1675" s="1" t="s">
        <v>31</v>
      </c>
      <c r="J1675" s="1" t="n">
        <v>1</v>
      </c>
      <c r="K1675" s="1" t="n">
        <v>3</v>
      </c>
      <c r="L1675" s="15" t="n">
        <v>2301.53</v>
      </c>
      <c r="M1675" s="15" t="n">
        <f aca="false">F1675*G1675</f>
        <v>3110.17</v>
      </c>
      <c r="N1675" s="15" t="n">
        <f aca="false">M1675-L1675</f>
        <v>808.64</v>
      </c>
      <c r="O1675" s="1" t="n">
        <f aca="false">YEAR(B1675)</f>
        <v>2026</v>
      </c>
      <c r="P1675" s="1" t="n">
        <f aca="false">MONTH(B1675)</f>
        <v>8</v>
      </c>
      <c r="Q1675" s="1" t="str">
        <f aca="false">TEXT(B1675,"mmm")</f>
        <v>Aug</v>
      </c>
      <c r="R1675" s="1" t="str">
        <f aca="false">"Q"&amp;ROUNDUP(MONTH(B1675)/3,0)</f>
        <v>Q3</v>
      </c>
    </row>
    <row r="1676" customFormat="false" ht="15" hidden="false" customHeight="true" outlineLevel="0" collapsed="false">
      <c r="A1676" s="1" t="n">
        <v>11675</v>
      </c>
      <c r="B1676" s="14" t="n">
        <v>46236</v>
      </c>
      <c r="C1676" s="1" t="n">
        <v>1018</v>
      </c>
      <c r="D1676" s="1" t="s">
        <v>30</v>
      </c>
      <c r="E1676" s="1" t="s">
        <v>32</v>
      </c>
      <c r="F1676" s="1" t="n">
        <v>1</v>
      </c>
      <c r="G1676" s="15" t="n">
        <v>596.93</v>
      </c>
      <c r="H1676" s="16" t="n">
        <v>0.05</v>
      </c>
      <c r="I1676" s="1" t="s">
        <v>33</v>
      </c>
      <c r="J1676" s="1" t="n">
        <v>8</v>
      </c>
      <c r="K1676" s="1" t="n">
        <v>3.1</v>
      </c>
      <c r="L1676" s="15" t="n">
        <v>567.08</v>
      </c>
      <c r="M1676" s="15" t="n">
        <f aca="false">F1676*G1676</f>
        <v>596.93</v>
      </c>
      <c r="N1676" s="15" t="n">
        <f aca="false">M1676-L1676</f>
        <v>29.8499999999999</v>
      </c>
      <c r="O1676" s="1" t="n">
        <f aca="false">YEAR(B1676)</f>
        <v>2026</v>
      </c>
      <c r="P1676" s="1" t="n">
        <f aca="false">MONTH(B1676)</f>
        <v>8</v>
      </c>
      <c r="Q1676" s="1" t="str">
        <f aca="false">TEXT(B1676,"mmm")</f>
        <v>Aug</v>
      </c>
      <c r="R1676" s="1" t="str">
        <f aca="false">"Q"&amp;ROUNDUP(MONTH(B1676)/3,0)</f>
        <v>Q3</v>
      </c>
    </row>
    <row r="1677" customFormat="false" ht="15" hidden="false" customHeight="true" outlineLevel="0" collapsed="false">
      <c r="A1677" s="1" t="n">
        <v>11676</v>
      </c>
      <c r="B1677" s="14" t="n">
        <v>46237</v>
      </c>
      <c r="C1677" s="1" t="n">
        <v>1017</v>
      </c>
      <c r="D1677" s="1" t="s">
        <v>30</v>
      </c>
      <c r="E1677" s="1" t="s">
        <v>36</v>
      </c>
      <c r="F1677" s="1" t="n">
        <v>1</v>
      </c>
      <c r="G1677" s="15" t="n">
        <v>494.2</v>
      </c>
      <c r="H1677" s="16" t="n">
        <v>0.06</v>
      </c>
      <c r="I1677" s="1" t="s">
        <v>29</v>
      </c>
      <c r="J1677" s="1" t="n">
        <v>8</v>
      </c>
      <c r="K1677" s="1" t="n">
        <v>2.3</v>
      </c>
      <c r="L1677" s="15" t="n">
        <v>464.55</v>
      </c>
      <c r="M1677" s="15" t="n">
        <f aca="false">F1677*G1677</f>
        <v>494.2</v>
      </c>
      <c r="N1677" s="15" t="n">
        <f aca="false">M1677-L1677</f>
        <v>29.65</v>
      </c>
      <c r="O1677" s="1" t="n">
        <f aca="false">YEAR(B1677)</f>
        <v>2026</v>
      </c>
      <c r="P1677" s="1" t="n">
        <f aca="false">MONTH(B1677)</f>
        <v>8</v>
      </c>
      <c r="Q1677" s="1" t="str">
        <f aca="false">TEXT(B1677,"mmm")</f>
        <v>Aug</v>
      </c>
      <c r="R1677" s="1" t="str">
        <f aca="false">"Q"&amp;ROUNDUP(MONTH(B1677)/3,0)</f>
        <v>Q3</v>
      </c>
    </row>
    <row r="1678" customFormat="false" ht="15" hidden="false" customHeight="true" outlineLevel="0" collapsed="false">
      <c r="A1678" s="1" t="n">
        <v>11677</v>
      </c>
      <c r="B1678" s="14" t="n">
        <v>46238</v>
      </c>
      <c r="C1678" s="1" t="n">
        <v>1768</v>
      </c>
      <c r="D1678" s="1" t="s">
        <v>27</v>
      </c>
      <c r="E1678" s="1" t="s">
        <v>36</v>
      </c>
      <c r="F1678" s="1" t="n">
        <v>6</v>
      </c>
      <c r="G1678" s="15" t="n">
        <v>340.09</v>
      </c>
      <c r="H1678" s="16" t="n">
        <v>0.02</v>
      </c>
      <c r="I1678" s="1" t="s">
        <v>33</v>
      </c>
      <c r="J1678" s="1" t="n">
        <v>9</v>
      </c>
      <c r="K1678" s="1" t="n">
        <v>3.2</v>
      </c>
      <c r="L1678" s="15" t="n">
        <v>1999.73</v>
      </c>
      <c r="M1678" s="15" t="n">
        <f aca="false">F1678*G1678</f>
        <v>2040.54</v>
      </c>
      <c r="N1678" s="15" t="n">
        <f aca="false">M1678-L1678</f>
        <v>40.8099999999999</v>
      </c>
      <c r="O1678" s="1" t="n">
        <f aca="false">YEAR(B1678)</f>
        <v>2026</v>
      </c>
      <c r="P1678" s="1" t="n">
        <f aca="false">MONTH(B1678)</f>
        <v>8</v>
      </c>
      <c r="Q1678" s="1" t="str">
        <f aca="false">TEXT(B1678,"mmm")</f>
        <v>Aug</v>
      </c>
      <c r="R1678" s="1" t="str">
        <f aca="false">"Q"&amp;ROUNDUP(MONTH(B1678)/3,0)</f>
        <v>Q3</v>
      </c>
    </row>
    <row r="1679" customFormat="false" ht="15" hidden="false" customHeight="true" outlineLevel="0" collapsed="false">
      <c r="A1679" s="1" t="n">
        <v>11678</v>
      </c>
      <c r="B1679" s="14" t="n">
        <v>46239</v>
      </c>
      <c r="C1679" s="1" t="n">
        <v>1589</v>
      </c>
      <c r="D1679" s="1" t="s">
        <v>34</v>
      </c>
      <c r="E1679" s="1" t="s">
        <v>28</v>
      </c>
      <c r="F1679" s="1" t="n">
        <v>7</v>
      </c>
      <c r="G1679" s="15" t="n">
        <v>298.57</v>
      </c>
      <c r="H1679" s="16" t="n">
        <v>0.11</v>
      </c>
      <c r="I1679" s="1" t="s">
        <v>31</v>
      </c>
      <c r="J1679" s="1" t="n">
        <v>6</v>
      </c>
      <c r="K1679" s="1" t="n">
        <v>1.4</v>
      </c>
      <c r="L1679" s="15" t="n">
        <v>1860.09</v>
      </c>
      <c r="M1679" s="15" t="n">
        <f aca="false">F1679*G1679</f>
        <v>2089.99</v>
      </c>
      <c r="N1679" s="15" t="n">
        <f aca="false">M1679-L1679</f>
        <v>229.9</v>
      </c>
      <c r="O1679" s="1" t="n">
        <f aca="false">YEAR(B1679)</f>
        <v>2026</v>
      </c>
      <c r="P1679" s="1" t="n">
        <f aca="false">MONTH(B1679)</f>
        <v>8</v>
      </c>
      <c r="Q1679" s="1" t="str">
        <f aca="false">TEXT(B1679,"mmm")</f>
        <v>Aug</v>
      </c>
      <c r="R1679" s="1" t="str">
        <f aca="false">"Q"&amp;ROUNDUP(MONTH(B1679)/3,0)</f>
        <v>Q3</v>
      </c>
    </row>
    <row r="1680" customFormat="false" ht="15" hidden="false" customHeight="true" outlineLevel="0" collapsed="false">
      <c r="A1680" s="1" t="n">
        <v>11679</v>
      </c>
      <c r="B1680" s="14" t="n">
        <v>46240</v>
      </c>
      <c r="C1680" s="1" t="n">
        <v>1370</v>
      </c>
      <c r="D1680" s="1" t="s">
        <v>34</v>
      </c>
      <c r="E1680" s="1" t="s">
        <v>32</v>
      </c>
      <c r="F1680" s="1" t="n">
        <v>3</v>
      </c>
      <c r="G1680" s="15" t="n">
        <v>503.49</v>
      </c>
      <c r="H1680" s="16" t="n">
        <v>0.17</v>
      </c>
      <c r="I1680" s="1" t="s">
        <v>33</v>
      </c>
      <c r="J1680" s="1" t="n">
        <v>2</v>
      </c>
      <c r="K1680" s="1" t="n">
        <v>1.9</v>
      </c>
      <c r="L1680" s="15" t="n">
        <v>1253.69</v>
      </c>
      <c r="M1680" s="15" t="n">
        <f aca="false">F1680*G1680</f>
        <v>1510.47</v>
      </c>
      <c r="N1680" s="15" t="n">
        <f aca="false">M1680-L1680</f>
        <v>256.78</v>
      </c>
      <c r="O1680" s="1" t="n">
        <f aca="false">YEAR(B1680)</f>
        <v>2026</v>
      </c>
      <c r="P1680" s="1" t="n">
        <f aca="false">MONTH(B1680)</f>
        <v>8</v>
      </c>
      <c r="Q1680" s="1" t="str">
        <f aca="false">TEXT(B1680,"mmm")</f>
        <v>Aug</v>
      </c>
      <c r="R1680" s="1" t="str">
        <f aca="false">"Q"&amp;ROUNDUP(MONTH(B1680)/3,0)</f>
        <v>Q3</v>
      </c>
    </row>
    <row r="1681" customFormat="false" ht="15" hidden="false" customHeight="true" outlineLevel="0" collapsed="false">
      <c r="A1681" s="1" t="n">
        <v>11680</v>
      </c>
      <c r="B1681" s="14" t="n">
        <v>46241</v>
      </c>
      <c r="C1681" s="1" t="n">
        <v>1174</v>
      </c>
      <c r="D1681" s="1" t="s">
        <v>30</v>
      </c>
      <c r="E1681" s="1" t="s">
        <v>35</v>
      </c>
      <c r="F1681" s="1" t="n">
        <v>4</v>
      </c>
      <c r="G1681" s="15" t="n">
        <v>562.54</v>
      </c>
      <c r="H1681" s="16" t="n">
        <v>0.35</v>
      </c>
      <c r="I1681" s="1" t="s">
        <v>33</v>
      </c>
      <c r="J1681" s="1" t="n">
        <v>1</v>
      </c>
      <c r="K1681" s="1" t="n">
        <v>4</v>
      </c>
      <c r="L1681" s="15" t="n">
        <v>1462.6</v>
      </c>
      <c r="M1681" s="15" t="n">
        <f aca="false">F1681*G1681</f>
        <v>2250.16</v>
      </c>
      <c r="N1681" s="15" t="n">
        <f aca="false">M1681-L1681</f>
        <v>787.56</v>
      </c>
      <c r="O1681" s="1" t="n">
        <f aca="false">YEAR(B1681)</f>
        <v>2026</v>
      </c>
      <c r="P1681" s="1" t="n">
        <f aca="false">MONTH(B1681)</f>
        <v>8</v>
      </c>
      <c r="Q1681" s="1" t="str">
        <f aca="false">TEXT(B1681,"mmm")</f>
        <v>Aug</v>
      </c>
      <c r="R1681" s="1" t="str">
        <f aca="false">"Q"&amp;ROUNDUP(MONTH(B1681)/3,0)</f>
        <v>Q3</v>
      </c>
    </row>
    <row r="1682" customFormat="false" ht="15" hidden="false" customHeight="true" outlineLevel="0" collapsed="false">
      <c r="A1682" s="1" t="n">
        <v>11681</v>
      </c>
      <c r="B1682" s="14" t="n">
        <v>46242</v>
      </c>
      <c r="C1682" s="1" t="n">
        <v>1193</v>
      </c>
      <c r="D1682" s="1" t="s">
        <v>27</v>
      </c>
      <c r="E1682" s="1" t="s">
        <v>28</v>
      </c>
      <c r="F1682" s="1" t="n">
        <v>7</v>
      </c>
      <c r="G1682" s="15" t="n">
        <v>593.69</v>
      </c>
      <c r="H1682" s="16" t="n">
        <v>0.15</v>
      </c>
      <c r="I1682" s="1" t="s">
        <v>33</v>
      </c>
      <c r="J1682" s="1" t="n">
        <v>8</v>
      </c>
      <c r="K1682" s="1" t="n">
        <v>1.7</v>
      </c>
      <c r="L1682" s="15" t="n">
        <v>3532.46</v>
      </c>
      <c r="M1682" s="15" t="n">
        <f aca="false">F1682*G1682</f>
        <v>4155.83</v>
      </c>
      <c r="N1682" s="15" t="n">
        <f aca="false">M1682-L1682</f>
        <v>623.37</v>
      </c>
      <c r="O1682" s="1" t="n">
        <f aca="false">YEAR(B1682)</f>
        <v>2026</v>
      </c>
      <c r="P1682" s="1" t="n">
        <f aca="false">MONTH(B1682)</f>
        <v>8</v>
      </c>
      <c r="Q1682" s="1" t="str">
        <f aca="false">TEXT(B1682,"mmm")</f>
        <v>Aug</v>
      </c>
      <c r="R1682" s="1" t="str">
        <f aca="false">"Q"&amp;ROUNDUP(MONTH(B1682)/3,0)</f>
        <v>Q3</v>
      </c>
    </row>
    <row r="1683" customFormat="false" ht="15" hidden="false" customHeight="true" outlineLevel="0" collapsed="false">
      <c r="A1683" s="1" t="n">
        <v>11682</v>
      </c>
      <c r="B1683" s="14" t="n">
        <v>46243</v>
      </c>
      <c r="C1683" s="1" t="n">
        <v>1501</v>
      </c>
      <c r="D1683" s="1" t="s">
        <v>30</v>
      </c>
      <c r="E1683" s="1" t="s">
        <v>32</v>
      </c>
      <c r="F1683" s="1" t="n">
        <v>1</v>
      </c>
      <c r="G1683" s="15" t="n">
        <v>246.98</v>
      </c>
      <c r="H1683" s="16" t="n">
        <v>0.25</v>
      </c>
      <c r="I1683" s="1" t="s">
        <v>33</v>
      </c>
      <c r="J1683" s="1" t="n">
        <v>10</v>
      </c>
      <c r="K1683" s="1" t="n">
        <v>1.6</v>
      </c>
      <c r="L1683" s="15" t="n">
        <v>185.24</v>
      </c>
      <c r="M1683" s="15" t="n">
        <f aca="false">F1683*G1683</f>
        <v>246.98</v>
      </c>
      <c r="N1683" s="15" t="n">
        <f aca="false">M1683-L1683</f>
        <v>61.74</v>
      </c>
      <c r="O1683" s="1" t="n">
        <f aca="false">YEAR(B1683)</f>
        <v>2026</v>
      </c>
      <c r="P1683" s="1" t="n">
        <f aca="false">MONTH(B1683)</f>
        <v>8</v>
      </c>
      <c r="Q1683" s="1" t="str">
        <f aca="false">TEXT(B1683,"mmm")</f>
        <v>Aug</v>
      </c>
      <c r="R1683" s="1" t="str">
        <f aca="false">"Q"&amp;ROUNDUP(MONTH(B1683)/3,0)</f>
        <v>Q3</v>
      </c>
    </row>
    <row r="1684" customFormat="false" ht="15" hidden="false" customHeight="true" outlineLevel="0" collapsed="false">
      <c r="A1684" s="1" t="n">
        <v>11683</v>
      </c>
      <c r="B1684" s="14" t="n">
        <v>46244</v>
      </c>
      <c r="C1684" s="1" t="n">
        <v>1987</v>
      </c>
      <c r="D1684" s="1" t="s">
        <v>34</v>
      </c>
      <c r="E1684" s="1" t="s">
        <v>36</v>
      </c>
      <c r="F1684" s="1" t="n">
        <v>7</v>
      </c>
      <c r="G1684" s="15" t="n">
        <v>594.69</v>
      </c>
      <c r="H1684" s="16" t="n">
        <v>0.24</v>
      </c>
      <c r="I1684" s="1" t="s">
        <v>31</v>
      </c>
      <c r="J1684" s="1" t="n">
        <v>4</v>
      </c>
      <c r="K1684" s="1" t="n">
        <v>2.1</v>
      </c>
      <c r="L1684" s="15" t="n">
        <v>3163.75</v>
      </c>
      <c r="M1684" s="15" t="n">
        <f aca="false">F1684*G1684</f>
        <v>4162.83</v>
      </c>
      <c r="N1684" s="15" t="n">
        <f aca="false">M1684-L1684</f>
        <v>999.08</v>
      </c>
      <c r="O1684" s="1" t="n">
        <f aca="false">YEAR(B1684)</f>
        <v>2026</v>
      </c>
      <c r="P1684" s="1" t="n">
        <f aca="false">MONTH(B1684)</f>
        <v>8</v>
      </c>
      <c r="Q1684" s="1" t="str">
        <f aca="false">TEXT(B1684,"mmm")</f>
        <v>Aug</v>
      </c>
      <c r="R1684" s="1" t="str">
        <f aca="false">"Q"&amp;ROUNDUP(MONTH(B1684)/3,0)</f>
        <v>Q3</v>
      </c>
    </row>
    <row r="1685" customFormat="false" ht="15" hidden="false" customHeight="true" outlineLevel="0" collapsed="false">
      <c r="A1685" s="1" t="n">
        <v>11684</v>
      </c>
      <c r="B1685" s="14" t="n">
        <v>46245</v>
      </c>
      <c r="C1685" s="1" t="n">
        <v>1112</v>
      </c>
      <c r="D1685" s="1" t="s">
        <v>34</v>
      </c>
      <c r="E1685" s="1" t="s">
        <v>35</v>
      </c>
      <c r="F1685" s="1" t="n">
        <v>3</v>
      </c>
      <c r="G1685" s="15" t="n">
        <v>106.22</v>
      </c>
      <c r="H1685" s="16" t="n">
        <v>0.07</v>
      </c>
      <c r="I1685" s="1" t="s">
        <v>33</v>
      </c>
      <c r="J1685" s="1" t="n">
        <v>11</v>
      </c>
      <c r="K1685" s="1" t="n">
        <v>2.5</v>
      </c>
      <c r="L1685" s="15" t="n">
        <v>296.35</v>
      </c>
      <c r="M1685" s="15" t="n">
        <f aca="false">F1685*G1685</f>
        <v>318.66</v>
      </c>
      <c r="N1685" s="15" t="n">
        <f aca="false">M1685-L1685</f>
        <v>22.3099999999999</v>
      </c>
      <c r="O1685" s="1" t="n">
        <f aca="false">YEAR(B1685)</f>
        <v>2026</v>
      </c>
      <c r="P1685" s="1" t="n">
        <f aca="false">MONTH(B1685)</f>
        <v>8</v>
      </c>
      <c r="Q1685" s="1" t="str">
        <f aca="false">TEXT(B1685,"mmm")</f>
        <v>Aug</v>
      </c>
      <c r="R1685" s="1" t="str">
        <f aca="false">"Q"&amp;ROUNDUP(MONTH(B1685)/3,0)</f>
        <v>Q3</v>
      </c>
    </row>
    <row r="1686" customFormat="false" ht="15" hidden="false" customHeight="true" outlineLevel="0" collapsed="false">
      <c r="A1686" s="1" t="n">
        <v>11685</v>
      </c>
      <c r="B1686" s="14" t="n">
        <v>46246</v>
      </c>
      <c r="C1686" s="1" t="n">
        <v>1113</v>
      </c>
      <c r="D1686" s="1" t="s">
        <v>30</v>
      </c>
      <c r="E1686" s="1" t="s">
        <v>32</v>
      </c>
      <c r="F1686" s="1" t="n">
        <v>5</v>
      </c>
      <c r="G1686" s="15" t="n">
        <v>163.33</v>
      </c>
      <c r="H1686" s="16" t="n">
        <v>0.02</v>
      </c>
      <c r="I1686" s="1" t="s">
        <v>33</v>
      </c>
      <c r="J1686" s="1" t="n">
        <v>11</v>
      </c>
      <c r="K1686" s="1" t="n">
        <v>2.3</v>
      </c>
      <c r="L1686" s="15" t="n">
        <v>800.32</v>
      </c>
      <c r="M1686" s="15" t="n">
        <f aca="false">F1686*G1686</f>
        <v>816.65</v>
      </c>
      <c r="N1686" s="15" t="n">
        <f aca="false">M1686-L1686</f>
        <v>16.33</v>
      </c>
      <c r="O1686" s="1" t="n">
        <f aca="false">YEAR(B1686)</f>
        <v>2026</v>
      </c>
      <c r="P1686" s="1" t="n">
        <f aca="false">MONTH(B1686)</f>
        <v>8</v>
      </c>
      <c r="Q1686" s="1" t="str">
        <f aca="false">TEXT(B1686,"mmm")</f>
        <v>Aug</v>
      </c>
      <c r="R1686" s="1" t="str">
        <f aca="false">"Q"&amp;ROUNDUP(MONTH(B1686)/3,0)</f>
        <v>Q3</v>
      </c>
    </row>
    <row r="1687" customFormat="false" ht="15" hidden="false" customHeight="true" outlineLevel="0" collapsed="false">
      <c r="A1687" s="1" t="n">
        <v>11686</v>
      </c>
      <c r="B1687" s="14" t="n">
        <v>46247</v>
      </c>
      <c r="C1687" s="1" t="n">
        <v>1221</v>
      </c>
      <c r="D1687" s="1" t="s">
        <v>34</v>
      </c>
      <c r="E1687" s="1" t="s">
        <v>35</v>
      </c>
      <c r="F1687" s="1" t="n">
        <v>2</v>
      </c>
      <c r="G1687" s="15" t="n">
        <v>67.07</v>
      </c>
      <c r="H1687" s="16" t="n">
        <v>0.19</v>
      </c>
      <c r="I1687" s="1" t="s">
        <v>33</v>
      </c>
      <c r="J1687" s="1" t="n">
        <v>7</v>
      </c>
      <c r="K1687" s="1" t="n">
        <v>2.5</v>
      </c>
      <c r="L1687" s="15" t="n">
        <v>108.65</v>
      </c>
      <c r="M1687" s="15" t="n">
        <f aca="false">F1687*G1687</f>
        <v>134.14</v>
      </c>
      <c r="N1687" s="15" t="n">
        <f aca="false">M1687-L1687</f>
        <v>25.49</v>
      </c>
      <c r="O1687" s="1" t="n">
        <f aca="false">YEAR(B1687)</f>
        <v>2026</v>
      </c>
      <c r="P1687" s="1" t="n">
        <f aca="false">MONTH(B1687)</f>
        <v>8</v>
      </c>
      <c r="Q1687" s="1" t="str">
        <f aca="false">TEXT(B1687,"mmm")</f>
        <v>Aug</v>
      </c>
      <c r="R1687" s="1" t="str">
        <f aca="false">"Q"&amp;ROUNDUP(MONTH(B1687)/3,0)</f>
        <v>Q3</v>
      </c>
    </row>
    <row r="1688" customFormat="false" ht="15" hidden="false" customHeight="true" outlineLevel="0" collapsed="false">
      <c r="A1688" s="1" t="n">
        <v>11687</v>
      </c>
      <c r="B1688" s="14" t="n">
        <v>46248</v>
      </c>
      <c r="C1688" s="1" t="n">
        <v>1677</v>
      </c>
      <c r="D1688" s="1" t="s">
        <v>37</v>
      </c>
      <c r="E1688" s="1" t="s">
        <v>32</v>
      </c>
      <c r="F1688" s="1" t="n">
        <v>4</v>
      </c>
      <c r="G1688" s="15" t="n">
        <v>173.97</v>
      </c>
      <c r="H1688" s="16" t="n">
        <v>0.25</v>
      </c>
      <c r="I1688" s="1" t="s">
        <v>29</v>
      </c>
      <c r="J1688" s="1" t="n">
        <v>10</v>
      </c>
      <c r="K1688" s="1" t="n">
        <v>1.6</v>
      </c>
      <c r="L1688" s="15" t="n">
        <v>521.91</v>
      </c>
      <c r="M1688" s="15" t="n">
        <f aca="false">F1688*G1688</f>
        <v>695.88</v>
      </c>
      <c r="N1688" s="15" t="n">
        <f aca="false">M1688-L1688</f>
        <v>173.97</v>
      </c>
      <c r="O1688" s="1" t="n">
        <f aca="false">YEAR(B1688)</f>
        <v>2026</v>
      </c>
      <c r="P1688" s="1" t="n">
        <f aca="false">MONTH(B1688)</f>
        <v>8</v>
      </c>
      <c r="Q1688" s="1" t="str">
        <f aca="false">TEXT(B1688,"mmm")</f>
        <v>Aug</v>
      </c>
      <c r="R1688" s="1" t="str">
        <f aca="false">"Q"&amp;ROUNDUP(MONTH(B1688)/3,0)</f>
        <v>Q3</v>
      </c>
    </row>
    <row r="1689" customFormat="false" ht="15" hidden="false" customHeight="true" outlineLevel="0" collapsed="false">
      <c r="A1689" s="1" t="n">
        <v>11688</v>
      </c>
      <c r="B1689" s="14" t="n">
        <v>46249</v>
      </c>
      <c r="C1689" s="1" t="n">
        <v>1946</v>
      </c>
      <c r="D1689" s="1" t="s">
        <v>27</v>
      </c>
      <c r="E1689" s="1" t="s">
        <v>32</v>
      </c>
      <c r="F1689" s="1" t="n">
        <v>4</v>
      </c>
      <c r="G1689" s="15" t="n">
        <v>464.24</v>
      </c>
      <c r="H1689" s="16" t="n">
        <v>0.35</v>
      </c>
      <c r="I1689" s="1" t="s">
        <v>29</v>
      </c>
      <c r="J1689" s="1" t="n">
        <v>4</v>
      </c>
      <c r="K1689" s="1" t="n">
        <v>1.7</v>
      </c>
      <c r="L1689" s="15" t="n">
        <v>1207.02</v>
      </c>
      <c r="M1689" s="15" t="n">
        <f aca="false">F1689*G1689</f>
        <v>1856.96</v>
      </c>
      <c r="N1689" s="15" t="n">
        <f aca="false">M1689-L1689</f>
        <v>649.94</v>
      </c>
      <c r="O1689" s="1" t="n">
        <f aca="false">YEAR(B1689)</f>
        <v>2026</v>
      </c>
      <c r="P1689" s="1" t="n">
        <f aca="false">MONTH(B1689)</f>
        <v>8</v>
      </c>
      <c r="Q1689" s="1" t="str">
        <f aca="false">TEXT(B1689,"mmm")</f>
        <v>Aug</v>
      </c>
      <c r="R1689" s="1" t="str">
        <f aca="false">"Q"&amp;ROUNDUP(MONTH(B1689)/3,0)</f>
        <v>Q3</v>
      </c>
    </row>
    <row r="1690" customFormat="false" ht="15" hidden="false" customHeight="true" outlineLevel="0" collapsed="false">
      <c r="A1690" s="1" t="n">
        <v>11689</v>
      </c>
      <c r="B1690" s="14" t="n">
        <v>46250</v>
      </c>
      <c r="C1690" s="1" t="n">
        <v>1830</v>
      </c>
      <c r="D1690" s="1" t="s">
        <v>30</v>
      </c>
      <c r="E1690" s="1" t="s">
        <v>32</v>
      </c>
      <c r="F1690" s="1" t="n">
        <v>6</v>
      </c>
      <c r="G1690" s="15" t="n">
        <v>513.96</v>
      </c>
      <c r="H1690" s="16" t="n">
        <v>0.13</v>
      </c>
      <c r="I1690" s="1" t="s">
        <v>33</v>
      </c>
      <c r="J1690" s="1" t="n">
        <v>1</v>
      </c>
      <c r="K1690" s="1" t="n">
        <v>1.9</v>
      </c>
      <c r="L1690" s="15" t="n">
        <v>2682.87</v>
      </c>
      <c r="M1690" s="15" t="n">
        <f aca="false">F1690*G1690</f>
        <v>3083.76</v>
      </c>
      <c r="N1690" s="15" t="n">
        <f aca="false">M1690-L1690</f>
        <v>400.89</v>
      </c>
      <c r="O1690" s="1" t="n">
        <f aca="false">YEAR(B1690)</f>
        <v>2026</v>
      </c>
      <c r="P1690" s="1" t="n">
        <f aca="false">MONTH(B1690)</f>
        <v>8</v>
      </c>
      <c r="Q1690" s="1" t="str">
        <f aca="false">TEXT(B1690,"mmm")</f>
        <v>Aug</v>
      </c>
      <c r="R1690" s="1" t="str">
        <f aca="false">"Q"&amp;ROUNDUP(MONTH(B1690)/3,0)</f>
        <v>Q3</v>
      </c>
    </row>
    <row r="1691" customFormat="false" ht="15" hidden="false" customHeight="true" outlineLevel="0" collapsed="false">
      <c r="A1691" s="1" t="n">
        <v>11690</v>
      </c>
      <c r="B1691" s="14" t="n">
        <v>46251</v>
      </c>
      <c r="C1691" s="1" t="n">
        <v>1643</v>
      </c>
      <c r="D1691" s="1" t="s">
        <v>30</v>
      </c>
      <c r="E1691" s="1" t="s">
        <v>32</v>
      </c>
      <c r="F1691" s="1" t="n">
        <v>5</v>
      </c>
      <c r="G1691" s="15" t="n">
        <v>470.65</v>
      </c>
      <c r="H1691" s="16" t="n">
        <v>0.31</v>
      </c>
      <c r="I1691" s="1" t="s">
        <v>33</v>
      </c>
      <c r="J1691" s="1" t="n">
        <v>8</v>
      </c>
      <c r="K1691" s="1" t="n">
        <v>2.6</v>
      </c>
      <c r="L1691" s="15" t="n">
        <v>1623.74</v>
      </c>
      <c r="M1691" s="15" t="n">
        <f aca="false">F1691*G1691</f>
        <v>2353.25</v>
      </c>
      <c r="N1691" s="15" t="n">
        <f aca="false">M1691-L1691</f>
        <v>729.51</v>
      </c>
      <c r="O1691" s="1" t="n">
        <f aca="false">YEAR(B1691)</f>
        <v>2026</v>
      </c>
      <c r="P1691" s="1" t="n">
        <f aca="false">MONTH(B1691)</f>
        <v>8</v>
      </c>
      <c r="Q1691" s="1" t="str">
        <f aca="false">TEXT(B1691,"mmm")</f>
        <v>Aug</v>
      </c>
      <c r="R1691" s="1" t="str">
        <f aca="false">"Q"&amp;ROUNDUP(MONTH(B1691)/3,0)</f>
        <v>Q3</v>
      </c>
    </row>
    <row r="1692" customFormat="false" ht="15" hidden="false" customHeight="true" outlineLevel="0" collapsed="false">
      <c r="A1692" s="1" t="n">
        <v>11691</v>
      </c>
      <c r="B1692" s="14" t="n">
        <v>46252</v>
      </c>
      <c r="C1692" s="1" t="n">
        <v>1896</v>
      </c>
      <c r="D1692" s="1" t="s">
        <v>30</v>
      </c>
      <c r="E1692" s="1" t="s">
        <v>35</v>
      </c>
      <c r="F1692" s="1" t="n">
        <v>4</v>
      </c>
      <c r="G1692" s="15" t="n">
        <v>384.17</v>
      </c>
      <c r="H1692" s="16" t="n">
        <v>0.13</v>
      </c>
      <c r="I1692" s="1" t="s">
        <v>33</v>
      </c>
      <c r="J1692" s="1" t="n">
        <v>10</v>
      </c>
      <c r="K1692" s="1" t="n">
        <v>2.3</v>
      </c>
      <c r="L1692" s="15" t="n">
        <v>1336.91</v>
      </c>
      <c r="M1692" s="15" t="n">
        <f aca="false">F1692*G1692</f>
        <v>1536.68</v>
      </c>
      <c r="N1692" s="15" t="n">
        <f aca="false">M1692-L1692</f>
        <v>199.77</v>
      </c>
      <c r="O1692" s="1" t="n">
        <f aca="false">YEAR(B1692)</f>
        <v>2026</v>
      </c>
      <c r="P1692" s="1" t="n">
        <f aca="false">MONTH(B1692)</f>
        <v>8</v>
      </c>
      <c r="Q1692" s="1" t="str">
        <f aca="false">TEXT(B1692,"mmm")</f>
        <v>Aug</v>
      </c>
      <c r="R1692" s="1" t="str">
        <f aca="false">"Q"&amp;ROUNDUP(MONTH(B1692)/3,0)</f>
        <v>Q3</v>
      </c>
    </row>
    <row r="1693" customFormat="false" ht="15" hidden="false" customHeight="true" outlineLevel="0" collapsed="false">
      <c r="A1693" s="1" t="n">
        <v>11692</v>
      </c>
      <c r="B1693" s="14" t="n">
        <v>46253</v>
      </c>
      <c r="C1693" s="1" t="n">
        <v>1263</v>
      </c>
      <c r="D1693" s="1" t="s">
        <v>34</v>
      </c>
      <c r="E1693" s="1" t="s">
        <v>28</v>
      </c>
      <c r="F1693" s="1" t="n">
        <v>6</v>
      </c>
      <c r="G1693" s="15" t="n">
        <v>315.67</v>
      </c>
      <c r="H1693" s="16" t="n">
        <v>0.24</v>
      </c>
      <c r="I1693" s="1" t="s">
        <v>33</v>
      </c>
      <c r="J1693" s="1" t="n">
        <v>9</v>
      </c>
      <c r="K1693" s="1" t="n">
        <v>4.2</v>
      </c>
      <c r="L1693" s="15" t="n">
        <v>1439.46</v>
      </c>
      <c r="M1693" s="15" t="n">
        <f aca="false">F1693*G1693</f>
        <v>1894.02</v>
      </c>
      <c r="N1693" s="15" t="n">
        <f aca="false">M1693-L1693</f>
        <v>454.56</v>
      </c>
      <c r="O1693" s="1" t="n">
        <f aca="false">YEAR(B1693)</f>
        <v>2026</v>
      </c>
      <c r="P1693" s="1" t="n">
        <f aca="false">MONTH(B1693)</f>
        <v>8</v>
      </c>
      <c r="Q1693" s="1" t="str">
        <f aca="false">TEXT(B1693,"mmm")</f>
        <v>Aug</v>
      </c>
      <c r="R1693" s="1" t="str">
        <f aca="false">"Q"&amp;ROUNDUP(MONTH(B1693)/3,0)</f>
        <v>Q3</v>
      </c>
    </row>
    <row r="1694" customFormat="false" ht="15" hidden="false" customHeight="true" outlineLevel="0" collapsed="false">
      <c r="A1694" s="1" t="n">
        <v>11693</v>
      </c>
      <c r="B1694" s="14" t="n">
        <v>46254</v>
      </c>
      <c r="C1694" s="1" t="n">
        <v>1924</v>
      </c>
      <c r="D1694" s="1" t="s">
        <v>27</v>
      </c>
      <c r="E1694" s="1" t="s">
        <v>35</v>
      </c>
      <c r="F1694" s="1" t="n">
        <v>6</v>
      </c>
      <c r="G1694" s="15" t="n">
        <v>429.59</v>
      </c>
      <c r="H1694" s="16" t="n">
        <v>0.21</v>
      </c>
      <c r="I1694" s="1" t="s">
        <v>29</v>
      </c>
      <c r="J1694" s="1" t="n">
        <v>10</v>
      </c>
      <c r="K1694" s="1" t="n">
        <v>3.1</v>
      </c>
      <c r="L1694" s="15" t="n">
        <v>2036.26</v>
      </c>
      <c r="M1694" s="15" t="n">
        <f aca="false">F1694*G1694</f>
        <v>2577.54</v>
      </c>
      <c r="N1694" s="15" t="n">
        <f aca="false">M1694-L1694</f>
        <v>541.28</v>
      </c>
      <c r="O1694" s="1" t="n">
        <f aca="false">YEAR(B1694)</f>
        <v>2026</v>
      </c>
      <c r="P1694" s="1" t="n">
        <f aca="false">MONTH(B1694)</f>
        <v>8</v>
      </c>
      <c r="Q1694" s="1" t="str">
        <f aca="false">TEXT(B1694,"mmm")</f>
        <v>Aug</v>
      </c>
      <c r="R1694" s="1" t="str">
        <f aca="false">"Q"&amp;ROUNDUP(MONTH(B1694)/3,0)</f>
        <v>Q3</v>
      </c>
    </row>
    <row r="1695" customFormat="false" ht="15" hidden="false" customHeight="true" outlineLevel="0" collapsed="false">
      <c r="A1695" s="1" t="n">
        <v>11694</v>
      </c>
      <c r="B1695" s="14" t="n">
        <v>46255</v>
      </c>
      <c r="C1695" s="1" t="n">
        <v>1054</v>
      </c>
      <c r="D1695" s="1" t="s">
        <v>30</v>
      </c>
      <c r="E1695" s="1" t="s">
        <v>32</v>
      </c>
      <c r="F1695" s="1" t="n">
        <v>6</v>
      </c>
      <c r="G1695" s="15" t="n">
        <v>243.64</v>
      </c>
      <c r="H1695" s="16" t="n">
        <v>0.02</v>
      </c>
      <c r="I1695" s="1" t="s">
        <v>33</v>
      </c>
      <c r="J1695" s="1" t="n">
        <v>9</v>
      </c>
      <c r="K1695" s="1" t="n">
        <v>3.3</v>
      </c>
      <c r="L1695" s="15" t="n">
        <v>1432.6</v>
      </c>
      <c r="M1695" s="15" t="n">
        <f aca="false">F1695*G1695</f>
        <v>1461.84</v>
      </c>
      <c r="N1695" s="15" t="n">
        <f aca="false">M1695-L1695</f>
        <v>29.24</v>
      </c>
      <c r="O1695" s="1" t="n">
        <f aca="false">YEAR(B1695)</f>
        <v>2026</v>
      </c>
      <c r="P1695" s="1" t="n">
        <f aca="false">MONTH(B1695)</f>
        <v>8</v>
      </c>
      <c r="Q1695" s="1" t="str">
        <f aca="false">TEXT(B1695,"mmm")</f>
        <v>Aug</v>
      </c>
      <c r="R1695" s="1" t="str">
        <f aca="false">"Q"&amp;ROUNDUP(MONTH(B1695)/3,0)</f>
        <v>Q3</v>
      </c>
    </row>
    <row r="1696" customFormat="false" ht="15" hidden="false" customHeight="true" outlineLevel="0" collapsed="false">
      <c r="A1696" s="1" t="n">
        <v>11695</v>
      </c>
      <c r="B1696" s="14" t="n">
        <v>46256</v>
      </c>
      <c r="C1696" s="1" t="n">
        <v>1870</v>
      </c>
      <c r="D1696" s="1" t="s">
        <v>30</v>
      </c>
      <c r="E1696" s="1" t="s">
        <v>35</v>
      </c>
      <c r="F1696" s="1" t="n">
        <v>4</v>
      </c>
      <c r="G1696" s="15" t="n">
        <v>507.17</v>
      </c>
      <c r="H1696" s="16" t="n">
        <v>0.03</v>
      </c>
      <c r="I1696" s="1" t="s">
        <v>31</v>
      </c>
      <c r="J1696" s="1" t="n">
        <v>9</v>
      </c>
      <c r="K1696" s="1" t="n">
        <v>3.2</v>
      </c>
      <c r="L1696" s="15" t="n">
        <v>1967.82</v>
      </c>
      <c r="M1696" s="15" t="n">
        <f aca="false">F1696*G1696</f>
        <v>2028.68</v>
      </c>
      <c r="N1696" s="15" t="n">
        <f aca="false">M1696-L1696</f>
        <v>60.8600000000001</v>
      </c>
      <c r="O1696" s="1" t="n">
        <f aca="false">YEAR(B1696)</f>
        <v>2026</v>
      </c>
      <c r="P1696" s="1" t="n">
        <f aca="false">MONTH(B1696)</f>
        <v>8</v>
      </c>
      <c r="Q1696" s="1" t="str">
        <f aca="false">TEXT(B1696,"mmm")</f>
        <v>Aug</v>
      </c>
      <c r="R1696" s="1" t="str">
        <f aca="false">"Q"&amp;ROUNDUP(MONTH(B1696)/3,0)</f>
        <v>Q3</v>
      </c>
    </row>
    <row r="1697" customFormat="false" ht="15" hidden="false" customHeight="true" outlineLevel="0" collapsed="false">
      <c r="A1697" s="1" t="n">
        <v>11696</v>
      </c>
      <c r="B1697" s="14" t="n">
        <v>46257</v>
      </c>
      <c r="C1697" s="1" t="n">
        <v>1642</v>
      </c>
      <c r="D1697" s="1" t="s">
        <v>37</v>
      </c>
      <c r="E1697" s="1" t="s">
        <v>35</v>
      </c>
      <c r="F1697" s="1" t="n">
        <v>4</v>
      </c>
      <c r="G1697" s="15" t="n">
        <v>411.16</v>
      </c>
      <c r="H1697" s="16" t="n">
        <v>0.01</v>
      </c>
      <c r="I1697" s="1" t="s">
        <v>33</v>
      </c>
      <c r="J1697" s="1" t="n">
        <v>11</v>
      </c>
      <c r="K1697" s="1" t="n">
        <v>2.6</v>
      </c>
      <c r="L1697" s="15" t="n">
        <v>1628.19</v>
      </c>
      <c r="M1697" s="15" t="n">
        <f aca="false">F1697*G1697</f>
        <v>1644.64</v>
      </c>
      <c r="N1697" s="15" t="n">
        <f aca="false">M1697-L1697</f>
        <v>16.45</v>
      </c>
      <c r="O1697" s="1" t="n">
        <f aca="false">YEAR(B1697)</f>
        <v>2026</v>
      </c>
      <c r="P1697" s="1" t="n">
        <f aca="false">MONTH(B1697)</f>
        <v>8</v>
      </c>
      <c r="Q1697" s="1" t="str">
        <f aca="false">TEXT(B1697,"mmm")</f>
        <v>Aug</v>
      </c>
      <c r="R1697" s="1" t="str">
        <f aca="false">"Q"&amp;ROUNDUP(MONTH(B1697)/3,0)</f>
        <v>Q3</v>
      </c>
    </row>
    <row r="1698" customFormat="false" ht="15" hidden="false" customHeight="true" outlineLevel="0" collapsed="false">
      <c r="A1698" s="1" t="n">
        <v>11697</v>
      </c>
      <c r="B1698" s="14" t="n">
        <v>46258</v>
      </c>
      <c r="C1698" s="1" t="n">
        <v>1799</v>
      </c>
      <c r="D1698" s="1" t="s">
        <v>30</v>
      </c>
      <c r="E1698" s="1" t="s">
        <v>35</v>
      </c>
      <c r="F1698" s="1" t="n">
        <v>4</v>
      </c>
      <c r="G1698" s="15" t="n">
        <v>423.22</v>
      </c>
      <c r="H1698" s="16" t="n">
        <v>0.13</v>
      </c>
      <c r="I1698" s="1" t="s">
        <v>33</v>
      </c>
      <c r="J1698" s="1" t="n">
        <v>11</v>
      </c>
      <c r="K1698" s="1" t="n">
        <v>4.9</v>
      </c>
      <c r="L1698" s="15" t="n">
        <v>1472.81</v>
      </c>
      <c r="M1698" s="15" t="n">
        <f aca="false">F1698*G1698</f>
        <v>1692.88</v>
      </c>
      <c r="N1698" s="15" t="n">
        <f aca="false">M1698-L1698</f>
        <v>220.07</v>
      </c>
      <c r="O1698" s="1" t="n">
        <f aca="false">YEAR(B1698)</f>
        <v>2026</v>
      </c>
      <c r="P1698" s="1" t="n">
        <f aca="false">MONTH(B1698)</f>
        <v>8</v>
      </c>
      <c r="Q1698" s="1" t="str">
        <f aca="false">TEXT(B1698,"mmm")</f>
        <v>Aug</v>
      </c>
      <c r="R1698" s="1" t="str">
        <f aca="false">"Q"&amp;ROUNDUP(MONTH(B1698)/3,0)</f>
        <v>Q3</v>
      </c>
    </row>
    <row r="1699" customFormat="false" ht="15" hidden="false" customHeight="true" outlineLevel="0" collapsed="false">
      <c r="A1699" s="1" t="n">
        <v>11698</v>
      </c>
      <c r="B1699" s="14" t="n">
        <v>46259</v>
      </c>
      <c r="C1699" s="1" t="n">
        <v>1777</v>
      </c>
      <c r="D1699" s="1" t="s">
        <v>30</v>
      </c>
      <c r="E1699" s="1" t="s">
        <v>32</v>
      </c>
      <c r="F1699" s="1" t="n">
        <v>3</v>
      </c>
      <c r="G1699" s="15" t="n">
        <v>328.52</v>
      </c>
      <c r="H1699" s="16" t="n">
        <v>0.26</v>
      </c>
      <c r="I1699" s="1" t="s">
        <v>33</v>
      </c>
      <c r="J1699" s="1" t="n">
        <v>4</v>
      </c>
      <c r="K1699" s="1" t="n">
        <v>1.1</v>
      </c>
      <c r="L1699" s="15" t="n">
        <v>729.31</v>
      </c>
      <c r="M1699" s="15" t="n">
        <f aca="false">F1699*G1699</f>
        <v>985.56</v>
      </c>
      <c r="N1699" s="15" t="n">
        <f aca="false">M1699-L1699</f>
        <v>256.25</v>
      </c>
      <c r="O1699" s="1" t="n">
        <f aca="false">YEAR(B1699)</f>
        <v>2026</v>
      </c>
      <c r="P1699" s="1" t="n">
        <f aca="false">MONTH(B1699)</f>
        <v>8</v>
      </c>
      <c r="Q1699" s="1" t="str">
        <f aca="false">TEXT(B1699,"mmm")</f>
        <v>Aug</v>
      </c>
      <c r="R1699" s="1" t="str">
        <f aca="false">"Q"&amp;ROUNDUP(MONTH(B1699)/3,0)</f>
        <v>Q3</v>
      </c>
    </row>
    <row r="1700" customFormat="false" ht="15" hidden="false" customHeight="true" outlineLevel="0" collapsed="false">
      <c r="A1700" s="1" t="n">
        <v>11699</v>
      </c>
      <c r="B1700" s="14" t="n">
        <v>46260</v>
      </c>
      <c r="C1700" s="1" t="n">
        <v>1457</v>
      </c>
      <c r="D1700" s="1" t="s">
        <v>34</v>
      </c>
      <c r="E1700" s="1" t="s">
        <v>35</v>
      </c>
      <c r="F1700" s="1" t="n">
        <v>6</v>
      </c>
      <c r="G1700" s="15" t="n">
        <v>532.86</v>
      </c>
      <c r="H1700" s="16" t="n">
        <v>0.06</v>
      </c>
      <c r="I1700" s="1" t="s">
        <v>33</v>
      </c>
      <c r="J1700" s="1" t="n">
        <v>9</v>
      </c>
      <c r="K1700" s="1" t="n">
        <v>1.9</v>
      </c>
      <c r="L1700" s="15" t="n">
        <v>3005.33</v>
      </c>
      <c r="M1700" s="15" t="n">
        <f aca="false">F1700*G1700</f>
        <v>3197.16</v>
      </c>
      <c r="N1700" s="15" t="n">
        <f aca="false">M1700-L1700</f>
        <v>191.83</v>
      </c>
      <c r="O1700" s="1" t="n">
        <f aca="false">YEAR(B1700)</f>
        <v>2026</v>
      </c>
      <c r="P1700" s="1" t="n">
        <f aca="false">MONTH(B1700)</f>
        <v>8</v>
      </c>
      <c r="Q1700" s="1" t="str">
        <f aca="false">TEXT(B1700,"mmm")</f>
        <v>Aug</v>
      </c>
      <c r="R1700" s="1" t="str">
        <f aca="false">"Q"&amp;ROUNDUP(MONTH(B1700)/3,0)</f>
        <v>Q3</v>
      </c>
    </row>
    <row r="1701" customFormat="false" ht="15" hidden="false" customHeight="true" outlineLevel="0" collapsed="false">
      <c r="A1701" s="1" t="n">
        <v>11700</v>
      </c>
      <c r="B1701" s="14" t="n">
        <v>46261</v>
      </c>
      <c r="C1701" s="1" t="n">
        <v>1978</v>
      </c>
      <c r="D1701" s="1" t="s">
        <v>37</v>
      </c>
      <c r="E1701" s="1" t="s">
        <v>36</v>
      </c>
      <c r="F1701" s="1" t="n">
        <v>3</v>
      </c>
      <c r="G1701" s="15" t="n">
        <v>162.43</v>
      </c>
      <c r="H1701" s="16" t="n">
        <v>0.21</v>
      </c>
      <c r="I1701" s="1" t="s">
        <v>31</v>
      </c>
      <c r="J1701" s="1" t="n">
        <v>11</v>
      </c>
      <c r="K1701" s="1" t="n">
        <v>2.1</v>
      </c>
      <c r="L1701" s="15" t="n">
        <v>384.96</v>
      </c>
      <c r="M1701" s="15" t="n">
        <f aca="false">F1701*G1701</f>
        <v>487.29</v>
      </c>
      <c r="N1701" s="15" t="n">
        <f aca="false">M1701-L1701</f>
        <v>102.33</v>
      </c>
      <c r="O1701" s="1" t="n">
        <f aca="false">YEAR(B1701)</f>
        <v>2026</v>
      </c>
      <c r="P1701" s="1" t="n">
        <f aca="false">MONTH(B1701)</f>
        <v>8</v>
      </c>
      <c r="Q1701" s="1" t="str">
        <f aca="false">TEXT(B1701,"mmm")</f>
        <v>Aug</v>
      </c>
      <c r="R1701" s="1" t="str">
        <f aca="false">"Q"&amp;ROUNDUP(MONTH(B1701)/3,0)</f>
        <v>Q3</v>
      </c>
    </row>
    <row r="1702" customFormat="false" ht="15" hidden="false" customHeight="true" outlineLevel="0" collapsed="false">
      <c r="A1702" s="1" t="n">
        <v>11701</v>
      </c>
      <c r="B1702" s="14" t="n">
        <v>46262</v>
      </c>
      <c r="C1702" s="1" t="n">
        <v>1877</v>
      </c>
      <c r="D1702" s="1" t="s">
        <v>27</v>
      </c>
      <c r="E1702" s="1" t="s">
        <v>32</v>
      </c>
      <c r="F1702" s="1" t="n">
        <v>2</v>
      </c>
      <c r="G1702" s="15" t="n">
        <v>237.97</v>
      </c>
      <c r="H1702" s="16" t="n">
        <v>0.1</v>
      </c>
      <c r="I1702" s="1" t="s">
        <v>31</v>
      </c>
      <c r="J1702" s="1" t="n">
        <v>4</v>
      </c>
      <c r="K1702" s="1" t="n">
        <v>4.5</v>
      </c>
      <c r="L1702" s="15" t="n">
        <v>428.35</v>
      </c>
      <c r="M1702" s="15" t="n">
        <f aca="false">F1702*G1702</f>
        <v>475.94</v>
      </c>
      <c r="N1702" s="15" t="n">
        <f aca="false">M1702-L1702</f>
        <v>47.59</v>
      </c>
      <c r="O1702" s="1" t="n">
        <f aca="false">YEAR(B1702)</f>
        <v>2026</v>
      </c>
      <c r="P1702" s="1" t="n">
        <f aca="false">MONTH(B1702)</f>
        <v>8</v>
      </c>
      <c r="Q1702" s="1" t="str">
        <f aca="false">TEXT(B1702,"mmm")</f>
        <v>Aug</v>
      </c>
      <c r="R1702" s="1" t="str">
        <f aca="false">"Q"&amp;ROUNDUP(MONTH(B1702)/3,0)</f>
        <v>Q3</v>
      </c>
    </row>
    <row r="1703" customFormat="false" ht="15" hidden="false" customHeight="true" outlineLevel="0" collapsed="false">
      <c r="A1703" s="1" t="n">
        <v>11702</v>
      </c>
      <c r="B1703" s="14" t="n">
        <v>46263</v>
      </c>
      <c r="C1703" s="1" t="n">
        <v>1161</v>
      </c>
      <c r="D1703" s="1" t="s">
        <v>30</v>
      </c>
      <c r="E1703" s="1" t="s">
        <v>35</v>
      </c>
      <c r="F1703" s="1" t="n">
        <v>4</v>
      </c>
      <c r="G1703" s="15" t="n">
        <v>469.92</v>
      </c>
      <c r="H1703" s="16" t="n">
        <v>0.28</v>
      </c>
      <c r="I1703" s="1" t="s">
        <v>31</v>
      </c>
      <c r="J1703" s="1" t="n">
        <v>2</v>
      </c>
      <c r="K1703" s="1" t="n">
        <v>4.7</v>
      </c>
      <c r="L1703" s="15" t="n">
        <v>1353.37</v>
      </c>
      <c r="M1703" s="15" t="n">
        <f aca="false">F1703*G1703</f>
        <v>1879.68</v>
      </c>
      <c r="N1703" s="15" t="n">
        <f aca="false">M1703-L1703</f>
        <v>526.31</v>
      </c>
      <c r="O1703" s="1" t="n">
        <f aca="false">YEAR(B1703)</f>
        <v>2026</v>
      </c>
      <c r="P1703" s="1" t="n">
        <f aca="false">MONTH(B1703)</f>
        <v>8</v>
      </c>
      <c r="Q1703" s="1" t="str">
        <f aca="false">TEXT(B1703,"mmm")</f>
        <v>Aug</v>
      </c>
      <c r="R1703" s="1" t="str">
        <f aca="false">"Q"&amp;ROUNDUP(MONTH(B1703)/3,0)</f>
        <v>Q3</v>
      </c>
    </row>
    <row r="1704" customFormat="false" ht="15" hidden="false" customHeight="true" outlineLevel="0" collapsed="false">
      <c r="A1704" s="1" t="n">
        <v>11703</v>
      </c>
      <c r="B1704" s="14" t="n">
        <v>46264</v>
      </c>
      <c r="C1704" s="1" t="n">
        <v>1379</v>
      </c>
      <c r="D1704" s="1" t="s">
        <v>27</v>
      </c>
      <c r="E1704" s="1" t="s">
        <v>36</v>
      </c>
      <c r="F1704" s="1" t="n">
        <v>7</v>
      </c>
      <c r="G1704" s="15" t="n">
        <v>303.26</v>
      </c>
      <c r="H1704" s="16" t="n">
        <v>0.28</v>
      </c>
      <c r="I1704" s="1" t="s">
        <v>31</v>
      </c>
      <c r="J1704" s="1" t="n">
        <v>10</v>
      </c>
      <c r="K1704" s="1" t="n">
        <v>4.4</v>
      </c>
      <c r="L1704" s="15" t="n">
        <v>1528.43</v>
      </c>
      <c r="M1704" s="15" t="n">
        <f aca="false">F1704*G1704</f>
        <v>2122.82</v>
      </c>
      <c r="N1704" s="15" t="n">
        <f aca="false">M1704-L1704</f>
        <v>594.39</v>
      </c>
      <c r="O1704" s="1" t="n">
        <f aca="false">YEAR(B1704)</f>
        <v>2026</v>
      </c>
      <c r="P1704" s="1" t="n">
        <f aca="false">MONTH(B1704)</f>
        <v>8</v>
      </c>
      <c r="Q1704" s="1" t="str">
        <f aca="false">TEXT(B1704,"mmm")</f>
        <v>Aug</v>
      </c>
      <c r="R1704" s="1" t="str">
        <f aca="false">"Q"&amp;ROUNDUP(MONTH(B1704)/3,0)</f>
        <v>Q3</v>
      </c>
    </row>
    <row r="1705" customFormat="false" ht="15" hidden="false" customHeight="true" outlineLevel="0" collapsed="false">
      <c r="A1705" s="1" t="n">
        <v>11704</v>
      </c>
      <c r="B1705" s="14" t="n">
        <v>46265</v>
      </c>
      <c r="C1705" s="1" t="n">
        <v>1992</v>
      </c>
      <c r="D1705" s="1" t="s">
        <v>34</v>
      </c>
      <c r="E1705" s="1" t="s">
        <v>35</v>
      </c>
      <c r="F1705" s="1" t="n">
        <v>5</v>
      </c>
      <c r="G1705" s="15" t="n">
        <v>535.19</v>
      </c>
      <c r="H1705" s="16" t="n">
        <v>0.27</v>
      </c>
      <c r="I1705" s="1" t="s">
        <v>31</v>
      </c>
      <c r="J1705" s="1" t="n">
        <v>3</v>
      </c>
      <c r="K1705" s="1" t="n">
        <v>2.7</v>
      </c>
      <c r="L1705" s="15" t="n">
        <v>1953.44</v>
      </c>
      <c r="M1705" s="15" t="n">
        <f aca="false">F1705*G1705</f>
        <v>2675.95</v>
      </c>
      <c r="N1705" s="15" t="n">
        <f aca="false">M1705-L1705</f>
        <v>722.51</v>
      </c>
      <c r="O1705" s="1" t="n">
        <f aca="false">YEAR(B1705)</f>
        <v>2026</v>
      </c>
      <c r="P1705" s="1" t="n">
        <f aca="false">MONTH(B1705)</f>
        <v>8</v>
      </c>
      <c r="Q1705" s="1" t="str">
        <f aca="false">TEXT(B1705,"mmm")</f>
        <v>Aug</v>
      </c>
      <c r="R1705" s="1" t="str">
        <f aca="false">"Q"&amp;ROUNDUP(MONTH(B1705)/3,0)</f>
        <v>Q3</v>
      </c>
    </row>
    <row r="1706" customFormat="false" ht="15" hidden="false" customHeight="true" outlineLevel="0" collapsed="false">
      <c r="A1706" s="1" t="n">
        <v>11705</v>
      </c>
      <c r="B1706" s="14" t="n">
        <v>46266</v>
      </c>
      <c r="C1706" s="1" t="n">
        <v>1086</v>
      </c>
      <c r="D1706" s="1" t="s">
        <v>30</v>
      </c>
      <c r="E1706" s="1" t="s">
        <v>28</v>
      </c>
      <c r="F1706" s="1" t="n">
        <v>1</v>
      </c>
      <c r="G1706" s="15" t="n">
        <v>217.64</v>
      </c>
      <c r="H1706" s="16" t="n">
        <v>0.18</v>
      </c>
      <c r="I1706" s="1" t="s">
        <v>29</v>
      </c>
      <c r="J1706" s="1" t="n">
        <v>2</v>
      </c>
      <c r="K1706" s="1" t="n">
        <v>4.7</v>
      </c>
      <c r="L1706" s="15" t="n">
        <v>178.46</v>
      </c>
      <c r="M1706" s="15" t="n">
        <f aca="false">F1706*G1706</f>
        <v>217.64</v>
      </c>
      <c r="N1706" s="15" t="n">
        <f aca="false">M1706-L1706</f>
        <v>39.18</v>
      </c>
      <c r="O1706" s="1" t="n">
        <f aca="false">YEAR(B1706)</f>
        <v>2026</v>
      </c>
      <c r="P1706" s="1" t="n">
        <f aca="false">MONTH(B1706)</f>
        <v>9</v>
      </c>
      <c r="Q1706" s="1" t="str">
        <f aca="false">TEXT(B1706,"mmm")</f>
        <v>Sep</v>
      </c>
      <c r="R1706" s="1" t="str">
        <f aca="false">"Q"&amp;ROUNDUP(MONTH(B1706)/3,0)</f>
        <v>Q3</v>
      </c>
    </row>
    <row r="1707" customFormat="false" ht="15" hidden="false" customHeight="true" outlineLevel="0" collapsed="false">
      <c r="A1707" s="1" t="n">
        <v>11706</v>
      </c>
      <c r="B1707" s="14" t="n">
        <v>46267</v>
      </c>
      <c r="C1707" s="1" t="n">
        <v>1054</v>
      </c>
      <c r="D1707" s="1" t="s">
        <v>30</v>
      </c>
      <c r="E1707" s="1" t="s">
        <v>35</v>
      </c>
      <c r="F1707" s="1" t="n">
        <v>2</v>
      </c>
      <c r="G1707" s="15" t="n">
        <v>231.06</v>
      </c>
      <c r="H1707" s="16" t="n">
        <v>0.1</v>
      </c>
      <c r="I1707" s="1" t="s">
        <v>31</v>
      </c>
      <c r="J1707" s="1" t="n">
        <v>1</v>
      </c>
      <c r="K1707" s="1" t="n">
        <v>1.4</v>
      </c>
      <c r="L1707" s="15" t="n">
        <v>415.91</v>
      </c>
      <c r="M1707" s="15" t="n">
        <f aca="false">F1707*G1707</f>
        <v>462.12</v>
      </c>
      <c r="N1707" s="15" t="n">
        <f aca="false">M1707-L1707</f>
        <v>46.21</v>
      </c>
      <c r="O1707" s="1" t="n">
        <f aca="false">YEAR(B1707)</f>
        <v>2026</v>
      </c>
      <c r="P1707" s="1" t="n">
        <f aca="false">MONTH(B1707)</f>
        <v>9</v>
      </c>
      <c r="Q1707" s="1" t="str">
        <f aca="false">TEXT(B1707,"mmm")</f>
        <v>Sep</v>
      </c>
      <c r="R1707" s="1" t="str">
        <f aca="false">"Q"&amp;ROUNDUP(MONTH(B1707)/3,0)</f>
        <v>Q3</v>
      </c>
    </row>
    <row r="1708" customFormat="false" ht="15" hidden="false" customHeight="true" outlineLevel="0" collapsed="false">
      <c r="A1708" s="1" t="n">
        <v>11707</v>
      </c>
      <c r="B1708" s="14" t="n">
        <v>46268</v>
      </c>
      <c r="C1708" s="1" t="n">
        <v>1475</v>
      </c>
      <c r="D1708" s="1" t="s">
        <v>30</v>
      </c>
      <c r="E1708" s="1" t="s">
        <v>35</v>
      </c>
      <c r="F1708" s="1" t="n">
        <v>7</v>
      </c>
      <c r="G1708" s="15" t="n">
        <v>534.91</v>
      </c>
      <c r="H1708" s="16" t="n">
        <v>0.28</v>
      </c>
      <c r="I1708" s="1" t="s">
        <v>29</v>
      </c>
      <c r="J1708" s="1" t="n">
        <v>11</v>
      </c>
      <c r="K1708" s="1" t="n">
        <v>3.6</v>
      </c>
      <c r="L1708" s="15" t="n">
        <v>2695.95</v>
      </c>
      <c r="M1708" s="15" t="n">
        <f aca="false">F1708*G1708</f>
        <v>3744.37</v>
      </c>
      <c r="N1708" s="15" t="n">
        <f aca="false">M1708-L1708</f>
        <v>1048.42</v>
      </c>
      <c r="O1708" s="1" t="n">
        <f aca="false">YEAR(B1708)</f>
        <v>2026</v>
      </c>
      <c r="P1708" s="1" t="n">
        <f aca="false">MONTH(B1708)</f>
        <v>9</v>
      </c>
      <c r="Q1708" s="1" t="str">
        <f aca="false">TEXT(B1708,"mmm")</f>
        <v>Sep</v>
      </c>
      <c r="R1708" s="1" t="str">
        <f aca="false">"Q"&amp;ROUNDUP(MONTH(B1708)/3,0)</f>
        <v>Q3</v>
      </c>
    </row>
    <row r="1709" customFormat="false" ht="15" hidden="false" customHeight="true" outlineLevel="0" collapsed="false">
      <c r="A1709" s="1" t="n">
        <v>11708</v>
      </c>
      <c r="B1709" s="14" t="n">
        <v>46269</v>
      </c>
      <c r="C1709" s="1" t="n">
        <v>1799</v>
      </c>
      <c r="D1709" s="1" t="s">
        <v>30</v>
      </c>
      <c r="E1709" s="1" t="s">
        <v>28</v>
      </c>
      <c r="F1709" s="1" t="n">
        <v>1</v>
      </c>
      <c r="G1709" s="15" t="n">
        <v>286.66</v>
      </c>
      <c r="H1709" s="16" t="n">
        <v>0.07</v>
      </c>
      <c r="I1709" s="1" t="s">
        <v>31</v>
      </c>
      <c r="J1709" s="1" t="n">
        <v>6</v>
      </c>
      <c r="K1709" s="1" t="n">
        <v>4.7</v>
      </c>
      <c r="L1709" s="15" t="n">
        <v>266.59</v>
      </c>
      <c r="M1709" s="15" t="n">
        <f aca="false">F1709*G1709</f>
        <v>286.66</v>
      </c>
      <c r="N1709" s="15" t="n">
        <f aca="false">M1709-L1709</f>
        <v>20.0700000000001</v>
      </c>
      <c r="O1709" s="1" t="n">
        <f aca="false">YEAR(B1709)</f>
        <v>2026</v>
      </c>
      <c r="P1709" s="1" t="n">
        <f aca="false">MONTH(B1709)</f>
        <v>9</v>
      </c>
      <c r="Q1709" s="1" t="str">
        <f aca="false">TEXT(B1709,"mmm")</f>
        <v>Sep</v>
      </c>
      <c r="R1709" s="1" t="str">
        <f aca="false">"Q"&amp;ROUNDUP(MONTH(B1709)/3,0)</f>
        <v>Q3</v>
      </c>
    </row>
    <row r="1710" customFormat="false" ht="15" hidden="false" customHeight="true" outlineLevel="0" collapsed="false">
      <c r="A1710" s="1" t="n">
        <v>11709</v>
      </c>
      <c r="B1710" s="14" t="n">
        <v>46270</v>
      </c>
      <c r="C1710" s="1" t="n">
        <v>1177</v>
      </c>
      <c r="D1710" s="1" t="s">
        <v>34</v>
      </c>
      <c r="E1710" s="1" t="s">
        <v>32</v>
      </c>
      <c r="F1710" s="1" t="n">
        <v>1</v>
      </c>
      <c r="G1710" s="15" t="n">
        <v>316.93</v>
      </c>
      <c r="H1710" s="16" t="n">
        <v>0.1</v>
      </c>
      <c r="I1710" s="1" t="s">
        <v>31</v>
      </c>
      <c r="J1710" s="1" t="n">
        <v>4</v>
      </c>
      <c r="K1710" s="1" t="n">
        <v>4</v>
      </c>
      <c r="L1710" s="15" t="n">
        <v>285.24</v>
      </c>
      <c r="M1710" s="15" t="n">
        <f aca="false">F1710*G1710</f>
        <v>316.93</v>
      </c>
      <c r="N1710" s="15" t="n">
        <f aca="false">M1710-L1710</f>
        <v>31.69</v>
      </c>
      <c r="O1710" s="1" t="n">
        <f aca="false">YEAR(B1710)</f>
        <v>2026</v>
      </c>
      <c r="P1710" s="1" t="n">
        <f aca="false">MONTH(B1710)</f>
        <v>9</v>
      </c>
      <c r="Q1710" s="1" t="str">
        <f aca="false">TEXT(B1710,"mmm")</f>
        <v>Sep</v>
      </c>
      <c r="R1710" s="1" t="str">
        <f aca="false">"Q"&amp;ROUNDUP(MONTH(B1710)/3,0)</f>
        <v>Q3</v>
      </c>
    </row>
    <row r="1711" customFormat="false" ht="15" hidden="false" customHeight="true" outlineLevel="0" collapsed="false">
      <c r="A1711" s="1" t="n">
        <v>11710</v>
      </c>
      <c r="B1711" s="14" t="n">
        <v>46271</v>
      </c>
      <c r="C1711" s="1" t="n">
        <v>1390</v>
      </c>
      <c r="D1711" s="1" t="s">
        <v>34</v>
      </c>
      <c r="E1711" s="1" t="s">
        <v>28</v>
      </c>
      <c r="F1711" s="1" t="n">
        <v>4</v>
      </c>
      <c r="G1711" s="15" t="n">
        <v>209.67</v>
      </c>
      <c r="H1711" s="16" t="n">
        <v>0.06</v>
      </c>
      <c r="I1711" s="1" t="s">
        <v>33</v>
      </c>
      <c r="J1711" s="1" t="n">
        <v>7</v>
      </c>
      <c r="K1711" s="1" t="n">
        <v>2.1</v>
      </c>
      <c r="L1711" s="15" t="n">
        <v>788.36</v>
      </c>
      <c r="M1711" s="15" t="n">
        <f aca="false">F1711*G1711</f>
        <v>838.68</v>
      </c>
      <c r="N1711" s="15" t="n">
        <f aca="false">M1711-L1711</f>
        <v>50.3199999999999</v>
      </c>
      <c r="O1711" s="1" t="n">
        <f aca="false">YEAR(B1711)</f>
        <v>2026</v>
      </c>
      <c r="P1711" s="1" t="n">
        <f aca="false">MONTH(B1711)</f>
        <v>9</v>
      </c>
      <c r="Q1711" s="1" t="str">
        <f aca="false">TEXT(B1711,"mmm")</f>
        <v>Sep</v>
      </c>
      <c r="R1711" s="1" t="str">
        <f aca="false">"Q"&amp;ROUNDUP(MONTH(B1711)/3,0)</f>
        <v>Q3</v>
      </c>
    </row>
    <row r="1712" customFormat="false" ht="15" hidden="false" customHeight="true" outlineLevel="0" collapsed="false">
      <c r="A1712" s="1" t="n">
        <v>11711</v>
      </c>
      <c r="B1712" s="14" t="n">
        <v>46272</v>
      </c>
      <c r="C1712" s="1" t="n">
        <v>1348</v>
      </c>
      <c r="D1712" s="1" t="s">
        <v>30</v>
      </c>
      <c r="E1712" s="1" t="s">
        <v>32</v>
      </c>
      <c r="F1712" s="1" t="n">
        <v>5</v>
      </c>
      <c r="G1712" s="15" t="n">
        <v>176.85</v>
      </c>
      <c r="H1712" s="16" t="n">
        <v>0.24</v>
      </c>
      <c r="I1712" s="1" t="s">
        <v>31</v>
      </c>
      <c r="J1712" s="1" t="n">
        <v>7</v>
      </c>
      <c r="K1712" s="1" t="n">
        <v>3.9</v>
      </c>
      <c r="L1712" s="15" t="n">
        <v>672.03</v>
      </c>
      <c r="M1712" s="15" t="n">
        <f aca="false">F1712*G1712</f>
        <v>884.25</v>
      </c>
      <c r="N1712" s="15" t="n">
        <f aca="false">M1712-L1712</f>
        <v>212.22</v>
      </c>
      <c r="O1712" s="1" t="n">
        <f aca="false">YEAR(B1712)</f>
        <v>2026</v>
      </c>
      <c r="P1712" s="1" t="n">
        <f aca="false">MONTH(B1712)</f>
        <v>9</v>
      </c>
      <c r="Q1712" s="1" t="str">
        <f aca="false">TEXT(B1712,"mmm")</f>
        <v>Sep</v>
      </c>
      <c r="R1712" s="1" t="str">
        <f aca="false">"Q"&amp;ROUNDUP(MONTH(B1712)/3,0)</f>
        <v>Q3</v>
      </c>
    </row>
    <row r="1713" customFormat="false" ht="15" hidden="false" customHeight="true" outlineLevel="0" collapsed="false">
      <c r="A1713" s="1" t="n">
        <v>11712</v>
      </c>
      <c r="B1713" s="14" t="n">
        <v>46273</v>
      </c>
      <c r="C1713" s="1" t="n">
        <v>1007</v>
      </c>
      <c r="D1713" s="1" t="s">
        <v>34</v>
      </c>
      <c r="E1713" s="1" t="s">
        <v>28</v>
      </c>
      <c r="F1713" s="1" t="n">
        <v>1</v>
      </c>
      <c r="G1713" s="15" t="n">
        <v>398.73</v>
      </c>
      <c r="H1713" s="16" t="n">
        <v>0.24</v>
      </c>
      <c r="I1713" s="1" t="s">
        <v>29</v>
      </c>
      <c r="J1713" s="1" t="n">
        <v>10</v>
      </c>
      <c r="K1713" s="1" t="n">
        <v>2.2</v>
      </c>
      <c r="L1713" s="15" t="n">
        <v>303.03</v>
      </c>
      <c r="M1713" s="15" t="n">
        <f aca="false">F1713*G1713</f>
        <v>398.73</v>
      </c>
      <c r="N1713" s="15" t="n">
        <f aca="false">M1713-L1713</f>
        <v>95.7000000000001</v>
      </c>
      <c r="O1713" s="1" t="n">
        <f aca="false">YEAR(B1713)</f>
        <v>2026</v>
      </c>
      <c r="P1713" s="1" t="n">
        <f aca="false">MONTH(B1713)</f>
        <v>9</v>
      </c>
      <c r="Q1713" s="1" t="str">
        <f aca="false">TEXT(B1713,"mmm")</f>
        <v>Sep</v>
      </c>
      <c r="R1713" s="1" t="str">
        <f aca="false">"Q"&amp;ROUNDUP(MONTH(B1713)/3,0)</f>
        <v>Q3</v>
      </c>
    </row>
    <row r="1714" customFormat="false" ht="15" hidden="false" customHeight="true" outlineLevel="0" collapsed="false">
      <c r="A1714" s="1" t="n">
        <v>11713</v>
      </c>
      <c r="B1714" s="14" t="n">
        <v>46274</v>
      </c>
      <c r="C1714" s="1" t="n">
        <v>1832</v>
      </c>
      <c r="D1714" s="1" t="s">
        <v>37</v>
      </c>
      <c r="E1714" s="1" t="s">
        <v>35</v>
      </c>
      <c r="F1714" s="1" t="n">
        <v>6</v>
      </c>
      <c r="G1714" s="15" t="n">
        <v>85.11</v>
      </c>
      <c r="H1714" s="16" t="n">
        <v>0.23</v>
      </c>
      <c r="I1714" s="1" t="s">
        <v>31</v>
      </c>
      <c r="J1714" s="1" t="n">
        <v>1</v>
      </c>
      <c r="K1714" s="1" t="n">
        <v>1.4</v>
      </c>
      <c r="L1714" s="15" t="n">
        <v>393.21</v>
      </c>
      <c r="M1714" s="15" t="n">
        <f aca="false">F1714*G1714</f>
        <v>510.66</v>
      </c>
      <c r="N1714" s="15" t="n">
        <f aca="false">M1714-L1714</f>
        <v>117.45</v>
      </c>
      <c r="O1714" s="1" t="n">
        <f aca="false">YEAR(B1714)</f>
        <v>2026</v>
      </c>
      <c r="P1714" s="1" t="n">
        <f aca="false">MONTH(B1714)</f>
        <v>9</v>
      </c>
      <c r="Q1714" s="1" t="str">
        <f aca="false">TEXT(B1714,"mmm")</f>
        <v>Sep</v>
      </c>
      <c r="R1714" s="1" t="str">
        <f aca="false">"Q"&amp;ROUNDUP(MONTH(B1714)/3,0)</f>
        <v>Q3</v>
      </c>
    </row>
    <row r="1715" customFormat="false" ht="15" hidden="false" customHeight="true" outlineLevel="0" collapsed="false">
      <c r="A1715" s="1" t="n">
        <v>11714</v>
      </c>
      <c r="B1715" s="14" t="n">
        <v>46275</v>
      </c>
      <c r="C1715" s="1" t="n">
        <v>1312</v>
      </c>
      <c r="D1715" s="1" t="s">
        <v>34</v>
      </c>
      <c r="E1715" s="1" t="s">
        <v>35</v>
      </c>
      <c r="F1715" s="1" t="n">
        <v>7</v>
      </c>
      <c r="G1715" s="15" t="n">
        <v>529.37</v>
      </c>
      <c r="H1715" s="16" t="n">
        <v>0.15</v>
      </c>
      <c r="I1715" s="1" t="s">
        <v>31</v>
      </c>
      <c r="J1715" s="1" t="n">
        <v>9</v>
      </c>
      <c r="K1715" s="1" t="n">
        <v>3.9</v>
      </c>
      <c r="L1715" s="15" t="n">
        <v>3149.75</v>
      </c>
      <c r="M1715" s="15" t="n">
        <f aca="false">F1715*G1715</f>
        <v>3705.59</v>
      </c>
      <c r="N1715" s="15" t="n">
        <f aca="false">M1715-L1715</f>
        <v>555.84</v>
      </c>
      <c r="O1715" s="1" t="n">
        <f aca="false">YEAR(B1715)</f>
        <v>2026</v>
      </c>
      <c r="P1715" s="1" t="n">
        <f aca="false">MONTH(B1715)</f>
        <v>9</v>
      </c>
      <c r="Q1715" s="1" t="str">
        <f aca="false">TEXT(B1715,"mmm")</f>
        <v>Sep</v>
      </c>
      <c r="R1715" s="1" t="str">
        <f aca="false">"Q"&amp;ROUNDUP(MONTH(B1715)/3,0)</f>
        <v>Q3</v>
      </c>
    </row>
    <row r="1716" customFormat="false" ht="15" hidden="false" customHeight="true" outlineLevel="0" collapsed="false">
      <c r="A1716" s="1" t="n">
        <v>11715</v>
      </c>
      <c r="B1716" s="14" t="n">
        <v>46276</v>
      </c>
      <c r="C1716" s="1" t="n">
        <v>1758</v>
      </c>
      <c r="D1716" s="1" t="s">
        <v>34</v>
      </c>
      <c r="E1716" s="1" t="s">
        <v>32</v>
      </c>
      <c r="F1716" s="1" t="n">
        <v>1</v>
      </c>
      <c r="G1716" s="15" t="n">
        <v>470.83</v>
      </c>
      <c r="H1716" s="16" t="n">
        <v>0.04</v>
      </c>
      <c r="I1716" s="1" t="s">
        <v>29</v>
      </c>
      <c r="J1716" s="1" t="n">
        <v>8</v>
      </c>
      <c r="K1716" s="1" t="n">
        <v>1.7</v>
      </c>
      <c r="L1716" s="15" t="n">
        <v>452</v>
      </c>
      <c r="M1716" s="15" t="n">
        <f aca="false">F1716*G1716</f>
        <v>470.83</v>
      </c>
      <c r="N1716" s="15" t="n">
        <f aca="false">M1716-L1716</f>
        <v>18.83</v>
      </c>
      <c r="O1716" s="1" t="n">
        <f aca="false">YEAR(B1716)</f>
        <v>2026</v>
      </c>
      <c r="P1716" s="1" t="n">
        <f aca="false">MONTH(B1716)</f>
        <v>9</v>
      </c>
      <c r="Q1716" s="1" t="str">
        <f aca="false">TEXT(B1716,"mmm")</f>
        <v>Sep</v>
      </c>
      <c r="R1716" s="1" t="str">
        <f aca="false">"Q"&amp;ROUNDUP(MONTH(B1716)/3,0)</f>
        <v>Q3</v>
      </c>
    </row>
    <row r="1717" customFormat="false" ht="15" hidden="false" customHeight="true" outlineLevel="0" collapsed="false">
      <c r="A1717" s="1" t="n">
        <v>11716</v>
      </c>
      <c r="B1717" s="14" t="n">
        <v>46277</v>
      </c>
      <c r="C1717" s="1" t="n">
        <v>1834</v>
      </c>
      <c r="D1717" s="1" t="s">
        <v>30</v>
      </c>
      <c r="E1717" s="1" t="s">
        <v>32</v>
      </c>
      <c r="F1717" s="1" t="n">
        <v>2</v>
      </c>
      <c r="G1717" s="15" t="n">
        <v>126.59</v>
      </c>
      <c r="H1717" s="16" t="n">
        <v>0.32</v>
      </c>
      <c r="I1717" s="1" t="s">
        <v>31</v>
      </c>
      <c r="J1717" s="1" t="n">
        <v>10</v>
      </c>
      <c r="K1717" s="1" t="n">
        <v>1.4</v>
      </c>
      <c r="L1717" s="15" t="n">
        <v>172.16</v>
      </c>
      <c r="M1717" s="15" t="n">
        <f aca="false">F1717*G1717</f>
        <v>253.18</v>
      </c>
      <c r="N1717" s="15" t="n">
        <f aca="false">M1717-L1717</f>
        <v>81.02</v>
      </c>
      <c r="O1717" s="1" t="n">
        <f aca="false">YEAR(B1717)</f>
        <v>2026</v>
      </c>
      <c r="P1717" s="1" t="n">
        <f aca="false">MONTH(B1717)</f>
        <v>9</v>
      </c>
      <c r="Q1717" s="1" t="str">
        <f aca="false">TEXT(B1717,"mmm")</f>
        <v>Sep</v>
      </c>
      <c r="R1717" s="1" t="str">
        <f aca="false">"Q"&amp;ROUNDUP(MONTH(B1717)/3,0)</f>
        <v>Q3</v>
      </c>
    </row>
    <row r="1718" customFormat="false" ht="15" hidden="false" customHeight="true" outlineLevel="0" collapsed="false">
      <c r="A1718" s="1" t="n">
        <v>11717</v>
      </c>
      <c r="B1718" s="14" t="n">
        <v>46278</v>
      </c>
      <c r="C1718" s="1" t="n">
        <v>1983</v>
      </c>
      <c r="D1718" s="1" t="s">
        <v>30</v>
      </c>
      <c r="E1718" s="1" t="s">
        <v>36</v>
      </c>
      <c r="F1718" s="1" t="n">
        <v>5</v>
      </c>
      <c r="G1718" s="15" t="n">
        <v>421</v>
      </c>
      <c r="H1718" s="16" t="n">
        <v>0.18</v>
      </c>
      <c r="I1718" s="1" t="s">
        <v>31</v>
      </c>
      <c r="J1718" s="1" t="n">
        <v>1</v>
      </c>
      <c r="K1718" s="1" t="n">
        <v>3.2</v>
      </c>
      <c r="L1718" s="15" t="n">
        <v>1726.1</v>
      </c>
      <c r="M1718" s="15" t="n">
        <f aca="false">F1718*G1718</f>
        <v>2105</v>
      </c>
      <c r="N1718" s="15" t="n">
        <f aca="false">M1718-L1718</f>
        <v>378.9</v>
      </c>
      <c r="O1718" s="1" t="n">
        <f aca="false">YEAR(B1718)</f>
        <v>2026</v>
      </c>
      <c r="P1718" s="1" t="n">
        <f aca="false">MONTH(B1718)</f>
        <v>9</v>
      </c>
      <c r="Q1718" s="1" t="str">
        <f aca="false">TEXT(B1718,"mmm")</f>
        <v>Sep</v>
      </c>
      <c r="R1718" s="1" t="str">
        <f aca="false">"Q"&amp;ROUNDUP(MONTH(B1718)/3,0)</f>
        <v>Q3</v>
      </c>
    </row>
    <row r="1719" customFormat="false" ht="15" hidden="false" customHeight="true" outlineLevel="0" collapsed="false">
      <c r="A1719" s="1" t="n">
        <v>11718</v>
      </c>
      <c r="B1719" s="14" t="n">
        <v>46279</v>
      </c>
      <c r="C1719" s="1" t="n">
        <v>1982</v>
      </c>
      <c r="D1719" s="1" t="s">
        <v>27</v>
      </c>
      <c r="E1719" s="1" t="s">
        <v>36</v>
      </c>
      <c r="F1719" s="1" t="n">
        <v>5</v>
      </c>
      <c r="G1719" s="15" t="n">
        <v>367.54</v>
      </c>
      <c r="H1719" s="16" t="n">
        <v>0.14</v>
      </c>
      <c r="I1719" s="1" t="s">
        <v>31</v>
      </c>
      <c r="J1719" s="1" t="n">
        <v>8</v>
      </c>
      <c r="K1719" s="1" t="n">
        <v>3.5</v>
      </c>
      <c r="L1719" s="15" t="n">
        <v>1580.42</v>
      </c>
      <c r="M1719" s="15" t="n">
        <f aca="false">F1719*G1719</f>
        <v>1837.7</v>
      </c>
      <c r="N1719" s="15" t="n">
        <f aca="false">M1719-L1719</f>
        <v>257.28</v>
      </c>
      <c r="O1719" s="1" t="n">
        <f aca="false">YEAR(B1719)</f>
        <v>2026</v>
      </c>
      <c r="P1719" s="1" t="n">
        <f aca="false">MONTH(B1719)</f>
        <v>9</v>
      </c>
      <c r="Q1719" s="1" t="str">
        <f aca="false">TEXT(B1719,"mmm")</f>
        <v>Sep</v>
      </c>
      <c r="R1719" s="1" t="str">
        <f aca="false">"Q"&amp;ROUNDUP(MONTH(B1719)/3,0)</f>
        <v>Q3</v>
      </c>
    </row>
    <row r="1720" customFormat="false" ht="15" hidden="false" customHeight="true" outlineLevel="0" collapsed="false">
      <c r="A1720" s="1" t="n">
        <v>11719</v>
      </c>
      <c r="B1720" s="14" t="n">
        <v>46280</v>
      </c>
      <c r="C1720" s="1" t="n">
        <v>1442</v>
      </c>
      <c r="D1720" s="1" t="s">
        <v>30</v>
      </c>
      <c r="E1720" s="1" t="s">
        <v>35</v>
      </c>
      <c r="F1720" s="1" t="n">
        <v>1</v>
      </c>
      <c r="G1720" s="15" t="n">
        <v>122.95</v>
      </c>
      <c r="H1720" s="16" t="n">
        <v>0.21</v>
      </c>
      <c r="I1720" s="1" t="s">
        <v>33</v>
      </c>
      <c r="J1720" s="1" t="n">
        <v>5</v>
      </c>
      <c r="K1720" s="1" t="n">
        <v>1.2</v>
      </c>
      <c r="L1720" s="15" t="n">
        <v>97.13</v>
      </c>
      <c r="M1720" s="15" t="n">
        <f aca="false">F1720*G1720</f>
        <v>122.95</v>
      </c>
      <c r="N1720" s="15" t="n">
        <f aca="false">M1720-L1720</f>
        <v>25.82</v>
      </c>
      <c r="O1720" s="1" t="n">
        <f aca="false">YEAR(B1720)</f>
        <v>2026</v>
      </c>
      <c r="P1720" s="1" t="n">
        <f aca="false">MONTH(B1720)</f>
        <v>9</v>
      </c>
      <c r="Q1720" s="1" t="str">
        <f aca="false">TEXT(B1720,"mmm")</f>
        <v>Sep</v>
      </c>
      <c r="R1720" s="1" t="str">
        <f aca="false">"Q"&amp;ROUNDUP(MONTH(B1720)/3,0)</f>
        <v>Q3</v>
      </c>
    </row>
    <row r="1721" customFormat="false" ht="15" hidden="false" customHeight="true" outlineLevel="0" collapsed="false">
      <c r="A1721" s="1" t="n">
        <v>11720</v>
      </c>
      <c r="B1721" s="14" t="n">
        <v>46281</v>
      </c>
      <c r="C1721" s="1" t="n">
        <v>1766</v>
      </c>
      <c r="D1721" s="1" t="s">
        <v>34</v>
      </c>
      <c r="E1721" s="1" t="s">
        <v>35</v>
      </c>
      <c r="F1721" s="1" t="n">
        <v>5</v>
      </c>
      <c r="G1721" s="15" t="n">
        <v>174.82</v>
      </c>
      <c r="H1721" s="16" t="n">
        <v>0.07</v>
      </c>
      <c r="I1721" s="1" t="s">
        <v>31</v>
      </c>
      <c r="J1721" s="1" t="n">
        <v>1</v>
      </c>
      <c r="K1721" s="1" t="n">
        <v>1</v>
      </c>
      <c r="L1721" s="15" t="n">
        <v>812.91</v>
      </c>
      <c r="M1721" s="15" t="n">
        <f aca="false">F1721*G1721</f>
        <v>874.1</v>
      </c>
      <c r="N1721" s="15" t="n">
        <f aca="false">M1721-L1721</f>
        <v>61.1899999999999</v>
      </c>
      <c r="O1721" s="1" t="n">
        <f aca="false">YEAR(B1721)</f>
        <v>2026</v>
      </c>
      <c r="P1721" s="1" t="n">
        <f aca="false">MONTH(B1721)</f>
        <v>9</v>
      </c>
      <c r="Q1721" s="1" t="str">
        <f aca="false">TEXT(B1721,"mmm")</f>
        <v>Sep</v>
      </c>
      <c r="R1721" s="1" t="str">
        <f aca="false">"Q"&amp;ROUNDUP(MONTH(B1721)/3,0)</f>
        <v>Q3</v>
      </c>
    </row>
    <row r="1722" customFormat="false" ht="15" hidden="false" customHeight="true" outlineLevel="0" collapsed="false">
      <c r="A1722" s="1" t="n">
        <v>11721</v>
      </c>
      <c r="B1722" s="14" t="n">
        <v>46282</v>
      </c>
      <c r="C1722" s="1" t="n">
        <v>1327</v>
      </c>
      <c r="D1722" s="1" t="s">
        <v>37</v>
      </c>
      <c r="E1722" s="1" t="s">
        <v>36</v>
      </c>
      <c r="F1722" s="1" t="n">
        <v>2</v>
      </c>
      <c r="G1722" s="15" t="n">
        <v>254.26</v>
      </c>
      <c r="H1722" s="16" t="n">
        <v>0.05</v>
      </c>
      <c r="I1722" s="1" t="s">
        <v>33</v>
      </c>
      <c r="J1722" s="1" t="n">
        <v>4</v>
      </c>
      <c r="K1722" s="1" t="n">
        <v>4.5</v>
      </c>
      <c r="L1722" s="15" t="n">
        <v>483.09</v>
      </c>
      <c r="M1722" s="15" t="n">
        <f aca="false">F1722*G1722</f>
        <v>508.52</v>
      </c>
      <c r="N1722" s="15" t="n">
        <f aca="false">M1722-L1722</f>
        <v>25.43</v>
      </c>
      <c r="O1722" s="1" t="n">
        <f aca="false">YEAR(B1722)</f>
        <v>2026</v>
      </c>
      <c r="P1722" s="1" t="n">
        <f aca="false">MONTH(B1722)</f>
        <v>9</v>
      </c>
      <c r="Q1722" s="1" t="str">
        <f aca="false">TEXT(B1722,"mmm")</f>
        <v>Sep</v>
      </c>
      <c r="R1722" s="1" t="str">
        <f aca="false">"Q"&amp;ROUNDUP(MONTH(B1722)/3,0)</f>
        <v>Q3</v>
      </c>
    </row>
    <row r="1723" customFormat="false" ht="15" hidden="false" customHeight="true" outlineLevel="0" collapsed="false">
      <c r="A1723" s="1" t="n">
        <v>11722</v>
      </c>
      <c r="B1723" s="14" t="n">
        <v>46283</v>
      </c>
      <c r="C1723" s="1" t="n">
        <v>1053</v>
      </c>
      <c r="D1723" s="1" t="s">
        <v>30</v>
      </c>
      <c r="E1723" s="1" t="s">
        <v>36</v>
      </c>
      <c r="F1723" s="1" t="n">
        <v>7</v>
      </c>
      <c r="G1723" s="15" t="n">
        <v>424.06</v>
      </c>
      <c r="H1723" s="16" t="n">
        <v>0.14</v>
      </c>
      <c r="I1723" s="1" t="s">
        <v>29</v>
      </c>
      <c r="J1723" s="1" t="n">
        <v>7</v>
      </c>
      <c r="K1723" s="1" t="n">
        <v>1.5</v>
      </c>
      <c r="L1723" s="15" t="n">
        <v>2552.84</v>
      </c>
      <c r="M1723" s="15" t="n">
        <f aca="false">F1723*G1723</f>
        <v>2968.42</v>
      </c>
      <c r="N1723" s="15" t="n">
        <f aca="false">M1723-L1723</f>
        <v>415.58</v>
      </c>
      <c r="O1723" s="1" t="n">
        <f aca="false">YEAR(B1723)</f>
        <v>2026</v>
      </c>
      <c r="P1723" s="1" t="n">
        <f aca="false">MONTH(B1723)</f>
        <v>9</v>
      </c>
      <c r="Q1723" s="1" t="str">
        <f aca="false">TEXT(B1723,"mmm")</f>
        <v>Sep</v>
      </c>
      <c r="R1723" s="1" t="str">
        <f aca="false">"Q"&amp;ROUNDUP(MONTH(B1723)/3,0)</f>
        <v>Q3</v>
      </c>
    </row>
    <row r="1724" customFormat="false" ht="15" hidden="false" customHeight="true" outlineLevel="0" collapsed="false">
      <c r="A1724" s="1" t="n">
        <v>11723</v>
      </c>
      <c r="B1724" s="14" t="n">
        <v>46284</v>
      </c>
      <c r="C1724" s="1" t="n">
        <v>1760</v>
      </c>
      <c r="D1724" s="1" t="s">
        <v>34</v>
      </c>
      <c r="E1724" s="1" t="s">
        <v>32</v>
      </c>
      <c r="F1724" s="1" t="n">
        <v>2</v>
      </c>
      <c r="G1724" s="15" t="n">
        <v>388.65</v>
      </c>
      <c r="H1724" s="16" t="n">
        <v>0.08</v>
      </c>
      <c r="I1724" s="1" t="s">
        <v>29</v>
      </c>
      <c r="J1724" s="1" t="n">
        <v>5</v>
      </c>
      <c r="K1724" s="1" t="n">
        <v>3.3</v>
      </c>
      <c r="L1724" s="15" t="n">
        <v>715.12</v>
      </c>
      <c r="M1724" s="15" t="n">
        <f aca="false">F1724*G1724</f>
        <v>777.3</v>
      </c>
      <c r="N1724" s="15" t="n">
        <f aca="false">M1724-L1724</f>
        <v>62.18</v>
      </c>
      <c r="O1724" s="1" t="n">
        <f aca="false">YEAR(B1724)</f>
        <v>2026</v>
      </c>
      <c r="P1724" s="1" t="n">
        <f aca="false">MONTH(B1724)</f>
        <v>9</v>
      </c>
      <c r="Q1724" s="1" t="str">
        <f aca="false">TEXT(B1724,"mmm")</f>
        <v>Sep</v>
      </c>
      <c r="R1724" s="1" t="str">
        <f aca="false">"Q"&amp;ROUNDUP(MONTH(B1724)/3,0)</f>
        <v>Q3</v>
      </c>
    </row>
    <row r="1725" customFormat="false" ht="15" hidden="false" customHeight="true" outlineLevel="0" collapsed="false">
      <c r="A1725" s="1" t="n">
        <v>11724</v>
      </c>
      <c r="B1725" s="14" t="n">
        <v>46285</v>
      </c>
      <c r="C1725" s="1" t="n">
        <v>1238</v>
      </c>
      <c r="D1725" s="1" t="s">
        <v>30</v>
      </c>
      <c r="E1725" s="1" t="s">
        <v>28</v>
      </c>
      <c r="F1725" s="1" t="n">
        <v>2</v>
      </c>
      <c r="G1725" s="15" t="n">
        <v>326.36</v>
      </c>
      <c r="H1725" s="16" t="n">
        <v>0.09</v>
      </c>
      <c r="I1725" s="1" t="s">
        <v>31</v>
      </c>
      <c r="J1725" s="1" t="n">
        <v>11</v>
      </c>
      <c r="K1725" s="1" t="n">
        <v>4.8</v>
      </c>
      <c r="L1725" s="15" t="n">
        <v>593.98</v>
      </c>
      <c r="M1725" s="15" t="n">
        <f aca="false">F1725*G1725</f>
        <v>652.72</v>
      </c>
      <c r="N1725" s="15" t="n">
        <f aca="false">M1725-L1725</f>
        <v>58.74</v>
      </c>
      <c r="O1725" s="1" t="n">
        <f aca="false">YEAR(B1725)</f>
        <v>2026</v>
      </c>
      <c r="P1725" s="1" t="n">
        <f aca="false">MONTH(B1725)</f>
        <v>9</v>
      </c>
      <c r="Q1725" s="1" t="str">
        <f aca="false">TEXT(B1725,"mmm")</f>
        <v>Sep</v>
      </c>
      <c r="R1725" s="1" t="str">
        <f aca="false">"Q"&amp;ROUNDUP(MONTH(B1725)/3,0)</f>
        <v>Q3</v>
      </c>
    </row>
    <row r="1726" customFormat="false" ht="15" hidden="false" customHeight="true" outlineLevel="0" collapsed="false">
      <c r="A1726" s="1" t="n">
        <v>11725</v>
      </c>
      <c r="B1726" s="14" t="n">
        <v>46286</v>
      </c>
      <c r="C1726" s="1" t="n">
        <v>1228</v>
      </c>
      <c r="D1726" s="1" t="s">
        <v>27</v>
      </c>
      <c r="E1726" s="1" t="s">
        <v>32</v>
      </c>
      <c r="F1726" s="1" t="n">
        <v>6</v>
      </c>
      <c r="G1726" s="15" t="n">
        <v>464.52</v>
      </c>
      <c r="H1726" s="16" t="n">
        <v>0.31</v>
      </c>
      <c r="I1726" s="1" t="s">
        <v>31</v>
      </c>
      <c r="J1726" s="1" t="n">
        <v>3</v>
      </c>
      <c r="K1726" s="1" t="n">
        <v>3</v>
      </c>
      <c r="L1726" s="15" t="n">
        <v>1923.11</v>
      </c>
      <c r="M1726" s="15" t="n">
        <f aca="false">F1726*G1726</f>
        <v>2787.12</v>
      </c>
      <c r="N1726" s="15" t="n">
        <f aca="false">M1726-L1726</f>
        <v>864.01</v>
      </c>
      <c r="O1726" s="1" t="n">
        <f aca="false">YEAR(B1726)</f>
        <v>2026</v>
      </c>
      <c r="P1726" s="1" t="n">
        <f aca="false">MONTH(B1726)</f>
        <v>9</v>
      </c>
      <c r="Q1726" s="1" t="str">
        <f aca="false">TEXT(B1726,"mmm")</f>
        <v>Sep</v>
      </c>
      <c r="R1726" s="1" t="str">
        <f aca="false">"Q"&amp;ROUNDUP(MONTH(B1726)/3,0)</f>
        <v>Q3</v>
      </c>
    </row>
    <row r="1727" customFormat="false" ht="15" hidden="false" customHeight="true" outlineLevel="0" collapsed="false">
      <c r="A1727" s="1" t="n">
        <v>11726</v>
      </c>
      <c r="B1727" s="14" t="n">
        <v>46287</v>
      </c>
      <c r="C1727" s="1" t="n">
        <v>1578</v>
      </c>
      <c r="D1727" s="1" t="s">
        <v>30</v>
      </c>
      <c r="E1727" s="1" t="s">
        <v>36</v>
      </c>
      <c r="F1727" s="1" t="n">
        <v>4</v>
      </c>
      <c r="G1727" s="15" t="n">
        <v>458.39</v>
      </c>
      <c r="H1727" s="16" t="n">
        <v>0.19</v>
      </c>
      <c r="I1727" s="1" t="s">
        <v>31</v>
      </c>
      <c r="J1727" s="1" t="n">
        <v>11</v>
      </c>
      <c r="K1727" s="1" t="n">
        <v>1.6</v>
      </c>
      <c r="L1727" s="15" t="n">
        <v>1485.18</v>
      </c>
      <c r="M1727" s="15" t="n">
        <f aca="false">F1727*G1727</f>
        <v>1833.56</v>
      </c>
      <c r="N1727" s="15" t="n">
        <f aca="false">M1727-L1727</f>
        <v>348.38</v>
      </c>
      <c r="O1727" s="1" t="n">
        <f aca="false">YEAR(B1727)</f>
        <v>2026</v>
      </c>
      <c r="P1727" s="1" t="n">
        <f aca="false">MONTH(B1727)</f>
        <v>9</v>
      </c>
      <c r="Q1727" s="1" t="str">
        <f aca="false">TEXT(B1727,"mmm")</f>
        <v>Sep</v>
      </c>
      <c r="R1727" s="1" t="str">
        <f aca="false">"Q"&amp;ROUNDUP(MONTH(B1727)/3,0)</f>
        <v>Q3</v>
      </c>
    </row>
    <row r="1728" customFormat="false" ht="15" hidden="false" customHeight="true" outlineLevel="0" collapsed="false">
      <c r="A1728" s="1" t="n">
        <v>11727</v>
      </c>
      <c r="B1728" s="14" t="n">
        <v>46288</v>
      </c>
      <c r="C1728" s="1" t="n">
        <v>1050</v>
      </c>
      <c r="D1728" s="1" t="s">
        <v>34</v>
      </c>
      <c r="E1728" s="1" t="s">
        <v>35</v>
      </c>
      <c r="F1728" s="1" t="n">
        <v>1</v>
      </c>
      <c r="G1728" s="15" t="n">
        <v>376.45</v>
      </c>
      <c r="H1728" s="16" t="n">
        <v>0.17</v>
      </c>
      <c r="I1728" s="1" t="s">
        <v>33</v>
      </c>
      <c r="J1728" s="1" t="n">
        <v>4</v>
      </c>
      <c r="K1728" s="1" t="n">
        <v>2.6</v>
      </c>
      <c r="L1728" s="15" t="n">
        <v>312.45</v>
      </c>
      <c r="M1728" s="15" t="n">
        <f aca="false">F1728*G1728</f>
        <v>376.45</v>
      </c>
      <c r="N1728" s="15" t="n">
        <f aca="false">M1728-L1728</f>
        <v>64</v>
      </c>
      <c r="O1728" s="1" t="n">
        <f aca="false">YEAR(B1728)</f>
        <v>2026</v>
      </c>
      <c r="P1728" s="1" t="n">
        <f aca="false">MONTH(B1728)</f>
        <v>9</v>
      </c>
      <c r="Q1728" s="1" t="str">
        <f aca="false">TEXT(B1728,"mmm")</f>
        <v>Sep</v>
      </c>
      <c r="R1728" s="1" t="str">
        <f aca="false">"Q"&amp;ROUNDUP(MONTH(B1728)/3,0)</f>
        <v>Q3</v>
      </c>
    </row>
    <row r="1729" customFormat="false" ht="15" hidden="false" customHeight="true" outlineLevel="0" collapsed="false">
      <c r="A1729" s="1" t="n">
        <v>11728</v>
      </c>
      <c r="B1729" s="14" t="n">
        <v>46289</v>
      </c>
      <c r="C1729" s="1" t="n">
        <v>1608</v>
      </c>
      <c r="D1729" s="1" t="s">
        <v>34</v>
      </c>
      <c r="E1729" s="1" t="s">
        <v>36</v>
      </c>
      <c r="F1729" s="1" t="n">
        <v>7</v>
      </c>
      <c r="G1729" s="15" t="n">
        <v>475.39</v>
      </c>
      <c r="H1729" s="16" t="n">
        <v>0.24</v>
      </c>
      <c r="I1729" s="1" t="s">
        <v>31</v>
      </c>
      <c r="J1729" s="1" t="n">
        <v>2</v>
      </c>
      <c r="K1729" s="1" t="n">
        <v>3.5</v>
      </c>
      <c r="L1729" s="15" t="n">
        <v>2529.07</v>
      </c>
      <c r="M1729" s="15" t="n">
        <f aca="false">F1729*G1729</f>
        <v>3327.73</v>
      </c>
      <c r="N1729" s="15" t="n">
        <f aca="false">M1729-L1729</f>
        <v>798.66</v>
      </c>
      <c r="O1729" s="1" t="n">
        <f aca="false">YEAR(B1729)</f>
        <v>2026</v>
      </c>
      <c r="P1729" s="1" t="n">
        <f aca="false">MONTH(B1729)</f>
        <v>9</v>
      </c>
      <c r="Q1729" s="1" t="str">
        <f aca="false">TEXT(B1729,"mmm")</f>
        <v>Sep</v>
      </c>
      <c r="R1729" s="1" t="str">
        <f aca="false">"Q"&amp;ROUNDUP(MONTH(B1729)/3,0)</f>
        <v>Q3</v>
      </c>
    </row>
    <row r="1730" customFormat="false" ht="15" hidden="false" customHeight="true" outlineLevel="0" collapsed="false">
      <c r="A1730" s="1" t="n">
        <v>11729</v>
      </c>
      <c r="B1730" s="14" t="n">
        <v>46290</v>
      </c>
      <c r="C1730" s="1" t="n">
        <v>1603</v>
      </c>
      <c r="D1730" s="1" t="s">
        <v>34</v>
      </c>
      <c r="E1730" s="1" t="s">
        <v>35</v>
      </c>
      <c r="F1730" s="1" t="n">
        <v>5</v>
      </c>
      <c r="G1730" s="15" t="n">
        <v>210.54</v>
      </c>
      <c r="H1730" s="16" t="n">
        <v>0.33</v>
      </c>
      <c r="I1730" s="1" t="s">
        <v>29</v>
      </c>
      <c r="J1730" s="1" t="n">
        <v>8</v>
      </c>
      <c r="K1730" s="1" t="n">
        <v>4.1</v>
      </c>
      <c r="L1730" s="15" t="n">
        <v>705.31</v>
      </c>
      <c r="M1730" s="15" t="n">
        <f aca="false">F1730*G1730</f>
        <v>1052.7</v>
      </c>
      <c r="N1730" s="15" t="n">
        <f aca="false">M1730-L1730</f>
        <v>347.39</v>
      </c>
      <c r="O1730" s="1" t="n">
        <f aca="false">YEAR(B1730)</f>
        <v>2026</v>
      </c>
      <c r="P1730" s="1" t="n">
        <f aca="false">MONTH(B1730)</f>
        <v>9</v>
      </c>
      <c r="Q1730" s="1" t="str">
        <f aca="false">TEXT(B1730,"mmm")</f>
        <v>Sep</v>
      </c>
      <c r="R1730" s="1" t="str">
        <f aca="false">"Q"&amp;ROUNDUP(MONTH(B1730)/3,0)</f>
        <v>Q3</v>
      </c>
    </row>
    <row r="1731" customFormat="false" ht="15" hidden="false" customHeight="true" outlineLevel="0" collapsed="false">
      <c r="A1731" s="1" t="n">
        <v>11730</v>
      </c>
      <c r="B1731" s="14" t="n">
        <v>46291</v>
      </c>
      <c r="C1731" s="1" t="n">
        <v>1263</v>
      </c>
      <c r="D1731" s="1" t="s">
        <v>30</v>
      </c>
      <c r="E1731" s="1" t="s">
        <v>35</v>
      </c>
      <c r="F1731" s="1" t="n">
        <v>2</v>
      </c>
      <c r="G1731" s="15" t="n">
        <v>530.53</v>
      </c>
      <c r="H1731" s="16" t="n">
        <v>0.04</v>
      </c>
      <c r="I1731" s="1" t="s">
        <v>33</v>
      </c>
      <c r="J1731" s="1" t="n">
        <v>2</v>
      </c>
      <c r="K1731" s="1" t="n">
        <v>3.4</v>
      </c>
      <c r="L1731" s="15" t="n">
        <v>1018.62</v>
      </c>
      <c r="M1731" s="15" t="n">
        <f aca="false">F1731*G1731</f>
        <v>1061.06</v>
      </c>
      <c r="N1731" s="15" t="n">
        <f aca="false">M1731-L1731</f>
        <v>42.4399999999999</v>
      </c>
      <c r="O1731" s="1" t="n">
        <f aca="false">YEAR(B1731)</f>
        <v>2026</v>
      </c>
      <c r="P1731" s="1" t="n">
        <f aca="false">MONTH(B1731)</f>
        <v>9</v>
      </c>
      <c r="Q1731" s="1" t="str">
        <f aca="false">TEXT(B1731,"mmm")</f>
        <v>Sep</v>
      </c>
      <c r="R1731" s="1" t="str">
        <f aca="false">"Q"&amp;ROUNDUP(MONTH(B1731)/3,0)</f>
        <v>Q3</v>
      </c>
    </row>
    <row r="1732" customFormat="false" ht="15" hidden="false" customHeight="true" outlineLevel="0" collapsed="false">
      <c r="A1732" s="1" t="n">
        <v>11731</v>
      </c>
      <c r="B1732" s="14" t="n">
        <v>46292</v>
      </c>
      <c r="C1732" s="1" t="n">
        <v>1417</v>
      </c>
      <c r="D1732" s="1" t="s">
        <v>30</v>
      </c>
      <c r="E1732" s="1" t="s">
        <v>35</v>
      </c>
      <c r="F1732" s="1" t="n">
        <v>1</v>
      </c>
      <c r="G1732" s="15" t="n">
        <v>374.72</v>
      </c>
      <c r="H1732" s="16" t="n">
        <v>0.29</v>
      </c>
      <c r="I1732" s="1" t="s">
        <v>31</v>
      </c>
      <c r="J1732" s="1" t="n">
        <v>11</v>
      </c>
      <c r="K1732" s="1" t="n">
        <v>1.1</v>
      </c>
      <c r="L1732" s="15" t="n">
        <v>266.05</v>
      </c>
      <c r="M1732" s="15" t="n">
        <f aca="false">F1732*G1732</f>
        <v>374.72</v>
      </c>
      <c r="N1732" s="15" t="n">
        <f aca="false">M1732-L1732</f>
        <v>108.67</v>
      </c>
      <c r="O1732" s="1" t="n">
        <f aca="false">YEAR(B1732)</f>
        <v>2026</v>
      </c>
      <c r="P1732" s="1" t="n">
        <f aca="false">MONTH(B1732)</f>
        <v>9</v>
      </c>
      <c r="Q1732" s="1" t="str">
        <f aca="false">TEXT(B1732,"mmm")</f>
        <v>Sep</v>
      </c>
      <c r="R1732" s="1" t="str">
        <f aca="false">"Q"&amp;ROUNDUP(MONTH(B1732)/3,0)</f>
        <v>Q3</v>
      </c>
    </row>
    <row r="1733" customFormat="false" ht="15" hidden="false" customHeight="true" outlineLevel="0" collapsed="false">
      <c r="A1733" s="1" t="n">
        <v>11732</v>
      </c>
      <c r="B1733" s="14" t="n">
        <v>46293</v>
      </c>
      <c r="C1733" s="1" t="n">
        <v>1802</v>
      </c>
      <c r="D1733" s="1" t="s">
        <v>34</v>
      </c>
      <c r="E1733" s="1" t="s">
        <v>35</v>
      </c>
      <c r="F1733" s="1" t="n">
        <v>7</v>
      </c>
      <c r="G1733" s="15" t="n">
        <v>496.08</v>
      </c>
      <c r="H1733" s="16" t="n">
        <v>0.2</v>
      </c>
      <c r="I1733" s="1" t="s">
        <v>33</v>
      </c>
      <c r="J1733" s="1" t="n">
        <v>6</v>
      </c>
      <c r="K1733" s="1" t="n">
        <v>1.6</v>
      </c>
      <c r="L1733" s="15" t="n">
        <v>2778.05</v>
      </c>
      <c r="M1733" s="15" t="n">
        <f aca="false">F1733*G1733</f>
        <v>3472.56</v>
      </c>
      <c r="N1733" s="15" t="n">
        <f aca="false">M1733-L1733</f>
        <v>694.51</v>
      </c>
      <c r="O1733" s="1" t="n">
        <f aca="false">YEAR(B1733)</f>
        <v>2026</v>
      </c>
      <c r="P1733" s="1" t="n">
        <f aca="false">MONTH(B1733)</f>
        <v>9</v>
      </c>
      <c r="Q1733" s="1" t="str">
        <f aca="false">TEXT(B1733,"mmm")</f>
        <v>Sep</v>
      </c>
      <c r="R1733" s="1" t="str">
        <f aca="false">"Q"&amp;ROUNDUP(MONTH(B1733)/3,0)</f>
        <v>Q3</v>
      </c>
    </row>
    <row r="1734" customFormat="false" ht="15" hidden="false" customHeight="true" outlineLevel="0" collapsed="false">
      <c r="A1734" s="1" t="n">
        <v>11733</v>
      </c>
      <c r="B1734" s="14" t="n">
        <v>46294</v>
      </c>
      <c r="C1734" s="1" t="n">
        <v>1095</v>
      </c>
      <c r="D1734" s="1" t="s">
        <v>27</v>
      </c>
      <c r="E1734" s="1" t="s">
        <v>28</v>
      </c>
      <c r="F1734" s="1" t="n">
        <v>7</v>
      </c>
      <c r="G1734" s="15" t="n">
        <v>334.57</v>
      </c>
      <c r="H1734" s="16" t="n">
        <v>0.05</v>
      </c>
      <c r="I1734" s="1" t="s">
        <v>31</v>
      </c>
      <c r="J1734" s="1" t="n">
        <v>7</v>
      </c>
      <c r="K1734" s="1" t="n">
        <v>2.5</v>
      </c>
      <c r="L1734" s="15" t="n">
        <v>2224.89</v>
      </c>
      <c r="M1734" s="15" t="n">
        <f aca="false">F1734*G1734</f>
        <v>2341.99</v>
      </c>
      <c r="N1734" s="15" t="n">
        <f aca="false">M1734-L1734</f>
        <v>117.1</v>
      </c>
      <c r="O1734" s="1" t="n">
        <f aca="false">YEAR(B1734)</f>
        <v>2026</v>
      </c>
      <c r="P1734" s="1" t="n">
        <f aca="false">MONTH(B1734)</f>
        <v>9</v>
      </c>
      <c r="Q1734" s="1" t="str">
        <f aca="false">TEXT(B1734,"mmm")</f>
        <v>Sep</v>
      </c>
      <c r="R1734" s="1" t="str">
        <f aca="false">"Q"&amp;ROUNDUP(MONTH(B1734)/3,0)</f>
        <v>Q3</v>
      </c>
    </row>
    <row r="1735" customFormat="false" ht="15" hidden="false" customHeight="true" outlineLevel="0" collapsed="false">
      <c r="A1735" s="1" t="n">
        <v>11734</v>
      </c>
      <c r="B1735" s="14" t="n">
        <v>46295</v>
      </c>
      <c r="C1735" s="1" t="n">
        <v>1087</v>
      </c>
      <c r="D1735" s="1" t="s">
        <v>37</v>
      </c>
      <c r="E1735" s="1" t="s">
        <v>36</v>
      </c>
      <c r="F1735" s="1" t="n">
        <v>1</v>
      </c>
      <c r="G1735" s="15" t="n">
        <v>142.79</v>
      </c>
      <c r="H1735" s="16" t="n">
        <v>0.1</v>
      </c>
      <c r="I1735" s="1" t="s">
        <v>31</v>
      </c>
      <c r="J1735" s="1" t="n">
        <v>7</v>
      </c>
      <c r="K1735" s="1" t="n">
        <v>3.8</v>
      </c>
      <c r="L1735" s="15" t="n">
        <v>128.51</v>
      </c>
      <c r="M1735" s="15" t="n">
        <f aca="false">F1735*G1735</f>
        <v>142.79</v>
      </c>
      <c r="N1735" s="15" t="n">
        <f aca="false">M1735-L1735</f>
        <v>14.28</v>
      </c>
      <c r="O1735" s="1" t="n">
        <f aca="false">YEAR(B1735)</f>
        <v>2026</v>
      </c>
      <c r="P1735" s="1" t="n">
        <f aca="false">MONTH(B1735)</f>
        <v>9</v>
      </c>
      <c r="Q1735" s="1" t="str">
        <f aca="false">TEXT(B1735,"mmm")</f>
        <v>Sep</v>
      </c>
      <c r="R1735" s="1" t="str">
        <f aca="false">"Q"&amp;ROUNDUP(MONTH(B1735)/3,0)</f>
        <v>Q3</v>
      </c>
    </row>
    <row r="1736" customFormat="false" ht="15" hidden="false" customHeight="true" outlineLevel="0" collapsed="false">
      <c r="A1736" s="1" t="n">
        <v>11735</v>
      </c>
      <c r="B1736" s="14" t="n">
        <v>46296</v>
      </c>
      <c r="C1736" s="1" t="n">
        <v>1077</v>
      </c>
      <c r="D1736" s="1" t="s">
        <v>30</v>
      </c>
      <c r="E1736" s="1" t="s">
        <v>32</v>
      </c>
      <c r="F1736" s="1" t="n">
        <v>4</v>
      </c>
      <c r="G1736" s="15" t="n">
        <v>332.31</v>
      </c>
      <c r="H1736" s="16" t="n">
        <v>0.17</v>
      </c>
      <c r="I1736" s="1" t="s">
        <v>31</v>
      </c>
      <c r="J1736" s="1" t="n">
        <v>1</v>
      </c>
      <c r="K1736" s="1" t="n">
        <v>3.3</v>
      </c>
      <c r="L1736" s="15" t="n">
        <v>1103.27</v>
      </c>
      <c r="M1736" s="15" t="n">
        <f aca="false">F1736*G1736</f>
        <v>1329.24</v>
      </c>
      <c r="N1736" s="15" t="n">
        <f aca="false">M1736-L1736</f>
        <v>225.97</v>
      </c>
      <c r="O1736" s="1" t="n">
        <f aca="false">YEAR(B1736)</f>
        <v>2026</v>
      </c>
      <c r="P1736" s="1" t="n">
        <f aca="false">MONTH(B1736)</f>
        <v>10</v>
      </c>
      <c r="Q1736" s="1" t="str">
        <f aca="false">TEXT(B1736,"mmm")</f>
        <v>Oct</v>
      </c>
      <c r="R1736" s="1" t="str">
        <f aca="false">"Q"&amp;ROUNDUP(MONTH(B1736)/3,0)</f>
        <v>Q4</v>
      </c>
    </row>
    <row r="1737" customFormat="false" ht="15" hidden="false" customHeight="true" outlineLevel="0" collapsed="false">
      <c r="A1737" s="1" t="n">
        <v>11736</v>
      </c>
      <c r="B1737" s="14" t="n">
        <v>46297</v>
      </c>
      <c r="C1737" s="1" t="n">
        <v>1287</v>
      </c>
      <c r="D1737" s="1" t="s">
        <v>37</v>
      </c>
      <c r="E1737" s="1" t="s">
        <v>35</v>
      </c>
      <c r="F1737" s="1" t="n">
        <v>6</v>
      </c>
      <c r="G1737" s="15" t="n">
        <v>232.1</v>
      </c>
      <c r="H1737" s="16" t="n">
        <v>0.24</v>
      </c>
      <c r="I1737" s="1" t="s">
        <v>31</v>
      </c>
      <c r="J1737" s="1" t="n">
        <v>8</v>
      </c>
      <c r="K1737" s="1" t="n">
        <v>1.2</v>
      </c>
      <c r="L1737" s="15" t="n">
        <v>1058.38</v>
      </c>
      <c r="M1737" s="15" t="n">
        <f aca="false">F1737*G1737</f>
        <v>1392.6</v>
      </c>
      <c r="N1737" s="15" t="n">
        <f aca="false">M1737-L1737</f>
        <v>334.22</v>
      </c>
      <c r="O1737" s="1" t="n">
        <f aca="false">YEAR(B1737)</f>
        <v>2026</v>
      </c>
      <c r="P1737" s="1" t="n">
        <f aca="false">MONTH(B1737)</f>
        <v>10</v>
      </c>
      <c r="Q1737" s="1" t="str">
        <f aca="false">TEXT(B1737,"mmm")</f>
        <v>Oct</v>
      </c>
      <c r="R1737" s="1" t="str">
        <f aca="false">"Q"&amp;ROUNDUP(MONTH(B1737)/3,0)</f>
        <v>Q4</v>
      </c>
    </row>
    <row r="1738" customFormat="false" ht="15" hidden="false" customHeight="true" outlineLevel="0" collapsed="false">
      <c r="A1738" s="1" t="n">
        <v>11737</v>
      </c>
      <c r="B1738" s="14" t="n">
        <v>46298</v>
      </c>
      <c r="C1738" s="1" t="n">
        <v>1119</v>
      </c>
      <c r="D1738" s="1" t="s">
        <v>34</v>
      </c>
      <c r="E1738" s="1" t="s">
        <v>35</v>
      </c>
      <c r="F1738" s="1" t="n">
        <v>5</v>
      </c>
      <c r="G1738" s="15" t="n">
        <v>423.04</v>
      </c>
      <c r="H1738" s="16" t="n">
        <v>0.08</v>
      </c>
      <c r="I1738" s="1" t="s">
        <v>33</v>
      </c>
      <c r="J1738" s="1" t="n">
        <v>9</v>
      </c>
      <c r="K1738" s="1" t="n">
        <v>4.2</v>
      </c>
      <c r="L1738" s="15" t="n">
        <v>1945.98</v>
      </c>
      <c r="M1738" s="15" t="n">
        <f aca="false">F1738*G1738</f>
        <v>2115.2</v>
      </c>
      <c r="N1738" s="15" t="n">
        <f aca="false">M1738-L1738</f>
        <v>169.22</v>
      </c>
      <c r="O1738" s="1" t="n">
        <f aca="false">YEAR(B1738)</f>
        <v>2026</v>
      </c>
      <c r="P1738" s="1" t="n">
        <f aca="false">MONTH(B1738)</f>
        <v>10</v>
      </c>
      <c r="Q1738" s="1" t="str">
        <f aca="false">TEXT(B1738,"mmm")</f>
        <v>Oct</v>
      </c>
      <c r="R1738" s="1" t="str">
        <f aca="false">"Q"&amp;ROUNDUP(MONTH(B1738)/3,0)</f>
        <v>Q4</v>
      </c>
    </row>
    <row r="1739" customFormat="false" ht="15" hidden="false" customHeight="true" outlineLevel="0" collapsed="false">
      <c r="A1739" s="1" t="n">
        <v>11738</v>
      </c>
      <c r="B1739" s="14" t="n">
        <v>46299</v>
      </c>
      <c r="C1739" s="1" t="n">
        <v>1813</v>
      </c>
      <c r="D1739" s="1" t="s">
        <v>30</v>
      </c>
      <c r="E1739" s="1" t="s">
        <v>32</v>
      </c>
      <c r="F1739" s="1" t="n">
        <v>6</v>
      </c>
      <c r="G1739" s="15" t="n">
        <v>293.34</v>
      </c>
      <c r="H1739" s="16" t="n">
        <v>0.19</v>
      </c>
      <c r="I1739" s="1" t="s">
        <v>33</v>
      </c>
      <c r="J1739" s="1" t="n">
        <v>7</v>
      </c>
      <c r="K1739" s="1" t="n">
        <v>3.4</v>
      </c>
      <c r="L1739" s="15" t="n">
        <v>1425.63</v>
      </c>
      <c r="M1739" s="15" t="n">
        <f aca="false">F1739*G1739</f>
        <v>1760.04</v>
      </c>
      <c r="N1739" s="15" t="n">
        <f aca="false">M1739-L1739</f>
        <v>334.41</v>
      </c>
      <c r="O1739" s="1" t="n">
        <f aca="false">YEAR(B1739)</f>
        <v>2026</v>
      </c>
      <c r="P1739" s="1" t="n">
        <f aca="false">MONTH(B1739)</f>
        <v>10</v>
      </c>
      <c r="Q1739" s="1" t="str">
        <f aca="false">TEXT(B1739,"mmm")</f>
        <v>Oct</v>
      </c>
      <c r="R1739" s="1" t="str">
        <f aca="false">"Q"&amp;ROUNDUP(MONTH(B1739)/3,0)</f>
        <v>Q4</v>
      </c>
    </row>
    <row r="1740" customFormat="false" ht="15" hidden="false" customHeight="true" outlineLevel="0" collapsed="false">
      <c r="A1740" s="1" t="n">
        <v>11739</v>
      </c>
      <c r="B1740" s="14" t="n">
        <v>46300</v>
      </c>
      <c r="C1740" s="1" t="n">
        <v>1490</v>
      </c>
      <c r="D1740" s="1" t="s">
        <v>30</v>
      </c>
      <c r="E1740" s="1" t="s">
        <v>32</v>
      </c>
      <c r="F1740" s="1" t="n">
        <v>7</v>
      </c>
      <c r="G1740" s="15" t="n">
        <v>504.13</v>
      </c>
      <c r="H1740" s="16" t="n">
        <v>0.24</v>
      </c>
      <c r="I1740" s="1" t="s">
        <v>31</v>
      </c>
      <c r="J1740" s="1" t="n">
        <v>8</v>
      </c>
      <c r="K1740" s="1" t="n">
        <v>4.5</v>
      </c>
      <c r="L1740" s="15" t="n">
        <v>2681.97</v>
      </c>
      <c r="M1740" s="15" t="n">
        <f aca="false">F1740*G1740</f>
        <v>3528.91</v>
      </c>
      <c r="N1740" s="15" t="n">
        <f aca="false">M1740-L1740</f>
        <v>846.94</v>
      </c>
      <c r="O1740" s="1" t="n">
        <f aca="false">YEAR(B1740)</f>
        <v>2026</v>
      </c>
      <c r="P1740" s="1" t="n">
        <f aca="false">MONTH(B1740)</f>
        <v>10</v>
      </c>
      <c r="Q1740" s="1" t="str">
        <f aca="false">TEXT(B1740,"mmm")</f>
        <v>Oct</v>
      </c>
      <c r="R1740" s="1" t="str">
        <f aca="false">"Q"&amp;ROUNDUP(MONTH(B1740)/3,0)</f>
        <v>Q4</v>
      </c>
    </row>
    <row r="1741" customFormat="false" ht="15" hidden="false" customHeight="true" outlineLevel="0" collapsed="false">
      <c r="A1741" s="1" t="n">
        <v>11740</v>
      </c>
      <c r="B1741" s="14" t="n">
        <v>46301</v>
      </c>
      <c r="C1741" s="1" t="n">
        <v>1911</v>
      </c>
      <c r="D1741" s="1" t="s">
        <v>37</v>
      </c>
      <c r="E1741" s="1" t="s">
        <v>35</v>
      </c>
      <c r="F1741" s="1" t="n">
        <v>5</v>
      </c>
      <c r="G1741" s="15" t="n">
        <v>411.67</v>
      </c>
      <c r="H1741" s="16" t="n">
        <v>0.16</v>
      </c>
      <c r="I1741" s="1" t="s">
        <v>29</v>
      </c>
      <c r="J1741" s="1" t="n">
        <v>4</v>
      </c>
      <c r="K1741" s="1" t="n">
        <v>2.7</v>
      </c>
      <c r="L1741" s="15" t="n">
        <v>1729.01</v>
      </c>
      <c r="M1741" s="15" t="n">
        <f aca="false">F1741*G1741</f>
        <v>2058.35</v>
      </c>
      <c r="N1741" s="15" t="n">
        <f aca="false">M1741-L1741</f>
        <v>329.34</v>
      </c>
      <c r="O1741" s="1" t="n">
        <f aca="false">YEAR(B1741)</f>
        <v>2026</v>
      </c>
      <c r="P1741" s="1" t="n">
        <f aca="false">MONTH(B1741)</f>
        <v>10</v>
      </c>
      <c r="Q1741" s="1" t="str">
        <f aca="false">TEXT(B1741,"mmm")</f>
        <v>Oct</v>
      </c>
      <c r="R1741" s="1" t="str">
        <f aca="false">"Q"&amp;ROUNDUP(MONTH(B1741)/3,0)</f>
        <v>Q4</v>
      </c>
    </row>
    <row r="1742" customFormat="false" ht="15" hidden="false" customHeight="true" outlineLevel="0" collapsed="false">
      <c r="A1742" s="1" t="n">
        <v>11741</v>
      </c>
      <c r="B1742" s="14" t="n">
        <v>46302</v>
      </c>
      <c r="C1742" s="1" t="n">
        <v>1451</v>
      </c>
      <c r="D1742" s="1" t="s">
        <v>37</v>
      </c>
      <c r="E1742" s="1" t="s">
        <v>32</v>
      </c>
      <c r="F1742" s="1" t="n">
        <v>7</v>
      </c>
      <c r="G1742" s="15" t="n">
        <v>415.46</v>
      </c>
      <c r="H1742" s="16" t="n">
        <v>0.3</v>
      </c>
      <c r="I1742" s="1" t="s">
        <v>31</v>
      </c>
      <c r="J1742" s="1" t="n">
        <v>8</v>
      </c>
      <c r="K1742" s="1" t="n">
        <v>3</v>
      </c>
      <c r="L1742" s="15" t="n">
        <v>2035.75</v>
      </c>
      <c r="M1742" s="15" t="n">
        <f aca="false">F1742*G1742</f>
        <v>2908.22</v>
      </c>
      <c r="N1742" s="15" t="n">
        <f aca="false">M1742-L1742</f>
        <v>872.47</v>
      </c>
      <c r="O1742" s="1" t="n">
        <f aca="false">YEAR(B1742)</f>
        <v>2026</v>
      </c>
      <c r="P1742" s="1" t="n">
        <f aca="false">MONTH(B1742)</f>
        <v>10</v>
      </c>
      <c r="Q1742" s="1" t="str">
        <f aca="false">TEXT(B1742,"mmm")</f>
        <v>Oct</v>
      </c>
      <c r="R1742" s="1" t="str">
        <f aca="false">"Q"&amp;ROUNDUP(MONTH(B1742)/3,0)</f>
        <v>Q4</v>
      </c>
    </row>
    <row r="1743" customFormat="false" ht="15" hidden="false" customHeight="true" outlineLevel="0" collapsed="false">
      <c r="A1743" s="1" t="n">
        <v>11742</v>
      </c>
      <c r="B1743" s="14" t="n">
        <v>46303</v>
      </c>
      <c r="C1743" s="1" t="n">
        <v>1499</v>
      </c>
      <c r="D1743" s="1" t="s">
        <v>34</v>
      </c>
      <c r="E1743" s="1" t="s">
        <v>32</v>
      </c>
      <c r="F1743" s="1" t="n">
        <v>2</v>
      </c>
      <c r="G1743" s="15" t="n">
        <v>142.04</v>
      </c>
      <c r="H1743" s="16" t="n">
        <v>0.3</v>
      </c>
      <c r="I1743" s="1" t="s">
        <v>31</v>
      </c>
      <c r="J1743" s="1" t="n">
        <v>3</v>
      </c>
      <c r="K1743" s="1" t="n">
        <v>2.6</v>
      </c>
      <c r="L1743" s="15" t="n">
        <v>198.86</v>
      </c>
      <c r="M1743" s="15" t="n">
        <f aca="false">F1743*G1743</f>
        <v>284.08</v>
      </c>
      <c r="N1743" s="15" t="n">
        <f aca="false">M1743-L1743</f>
        <v>85.22</v>
      </c>
      <c r="O1743" s="1" t="n">
        <f aca="false">YEAR(B1743)</f>
        <v>2026</v>
      </c>
      <c r="P1743" s="1" t="n">
        <f aca="false">MONTH(B1743)</f>
        <v>10</v>
      </c>
      <c r="Q1743" s="1" t="str">
        <f aca="false">TEXT(B1743,"mmm")</f>
        <v>Oct</v>
      </c>
      <c r="R1743" s="1" t="str">
        <f aca="false">"Q"&amp;ROUNDUP(MONTH(B1743)/3,0)</f>
        <v>Q4</v>
      </c>
    </row>
    <row r="1744" customFormat="false" ht="15" hidden="false" customHeight="true" outlineLevel="0" collapsed="false">
      <c r="A1744" s="1" t="n">
        <v>11743</v>
      </c>
      <c r="B1744" s="14" t="n">
        <v>46304</v>
      </c>
      <c r="C1744" s="1" t="n">
        <v>1164</v>
      </c>
      <c r="D1744" s="1" t="s">
        <v>27</v>
      </c>
      <c r="E1744" s="1" t="s">
        <v>28</v>
      </c>
      <c r="F1744" s="1" t="n">
        <v>2</v>
      </c>
      <c r="G1744" s="15" t="n">
        <v>590.79</v>
      </c>
      <c r="H1744" s="16" t="n">
        <v>0.16</v>
      </c>
      <c r="I1744" s="1" t="s">
        <v>31</v>
      </c>
      <c r="J1744" s="1" t="n">
        <v>1</v>
      </c>
      <c r="K1744" s="1" t="n">
        <v>3.9</v>
      </c>
      <c r="L1744" s="15" t="n">
        <v>992.53</v>
      </c>
      <c r="M1744" s="15" t="n">
        <f aca="false">F1744*G1744</f>
        <v>1181.58</v>
      </c>
      <c r="N1744" s="15" t="n">
        <f aca="false">M1744-L1744</f>
        <v>189.05</v>
      </c>
      <c r="O1744" s="1" t="n">
        <f aca="false">YEAR(B1744)</f>
        <v>2026</v>
      </c>
      <c r="P1744" s="1" t="n">
        <f aca="false">MONTH(B1744)</f>
        <v>10</v>
      </c>
      <c r="Q1744" s="1" t="str">
        <f aca="false">TEXT(B1744,"mmm")</f>
        <v>Oct</v>
      </c>
      <c r="R1744" s="1" t="str">
        <f aca="false">"Q"&amp;ROUNDUP(MONTH(B1744)/3,0)</f>
        <v>Q4</v>
      </c>
    </row>
    <row r="1745" customFormat="false" ht="15" hidden="false" customHeight="true" outlineLevel="0" collapsed="false">
      <c r="A1745" s="1" t="n">
        <v>11744</v>
      </c>
      <c r="B1745" s="14" t="n">
        <v>46305</v>
      </c>
      <c r="C1745" s="1" t="n">
        <v>1181</v>
      </c>
      <c r="D1745" s="1" t="s">
        <v>34</v>
      </c>
      <c r="E1745" s="1" t="s">
        <v>32</v>
      </c>
      <c r="F1745" s="1" t="n">
        <v>1</v>
      </c>
      <c r="G1745" s="15" t="n">
        <v>507.38</v>
      </c>
      <c r="H1745" s="16" t="n">
        <v>0.34</v>
      </c>
      <c r="I1745" s="1" t="s">
        <v>33</v>
      </c>
      <c r="J1745" s="1" t="n">
        <v>8</v>
      </c>
      <c r="K1745" s="1" t="n">
        <v>4</v>
      </c>
      <c r="L1745" s="15" t="n">
        <v>334.87</v>
      </c>
      <c r="M1745" s="15" t="n">
        <f aca="false">F1745*G1745</f>
        <v>507.38</v>
      </c>
      <c r="N1745" s="15" t="n">
        <f aca="false">M1745-L1745</f>
        <v>172.51</v>
      </c>
      <c r="O1745" s="1" t="n">
        <f aca="false">YEAR(B1745)</f>
        <v>2026</v>
      </c>
      <c r="P1745" s="1" t="n">
        <f aca="false">MONTH(B1745)</f>
        <v>10</v>
      </c>
      <c r="Q1745" s="1" t="str">
        <f aca="false">TEXT(B1745,"mmm")</f>
        <v>Oct</v>
      </c>
      <c r="R1745" s="1" t="str">
        <f aca="false">"Q"&amp;ROUNDUP(MONTH(B1745)/3,0)</f>
        <v>Q4</v>
      </c>
    </row>
    <row r="1746" customFormat="false" ht="15" hidden="false" customHeight="true" outlineLevel="0" collapsed="false">
      <c r="A1746" s="1" t="n">
        <v>11745</v>
      </c>
      <c r="B1746" s="14" t="n">
        <v>46306</v>
      </c>
      <c r="C1746" s="1" t="n">
        <v>1468</v>
      </c>
      <c r="D1746" s="1" t="s">
        <v>27</v>
      </c>
      <c r="E1746" s="1" t="s">
        <v>36</v>
      </c>
      <c r="F1746" s="1" t="n">
        <v>5</v>
      </c>
      <c r="G1746" s="15" t="n">
        <v>476.57</v>
      </c>
      <c r="H1746" s="16" t="n">
        <v>0.03</v>
      </c>
      <c r="I1746" s="1" t="s">
        <v>29</v>
      </c>
      <c r="J1746" s="1" t="n">
        <v>11</v>
      </c>
      <c r="K1746" s="1" t="n">
        <v>3.9</v>
      </c>
      <c r="L1746" s="15" t="n">
        <v>2311.36</v>
      </c>
      <c r="M1746" s="15" t="n">
        <f aca="false">F1746*G1746</f>
        <v>2382.85</v>
      </c>
      <c r="N1746" s="15" t="n">
        <f aca="false">M1746-L1746</f>
        <v>71.4899999999998</v>
      </c>
      <c r="O1746" s="1" t="n">
        <f aca="false">YEAR(B1746)</f>
        <v>2026</v>
      </c>
      <c r="P1746" s="1" t="n">
        <f aca="false">MONTH(B1746)</f>
        <v>10</v>
      </c>
      <c r="Q1746" s="1" t="str">
        <f aca="false">TEXT(B1746,"mmm")</f>
        <v>Oct</v>
      </c>
      <c r="R1746" s="1" t="str">
        <f aca="false">"Q"&amp;ROUNDUP(MONTH(B1746)/3,0)</f>
        <v>Q4</v>
      </c>
    </row>
    <row r="1747" customFormat="false" ht="15" hidden="false" customHeight="true" outlineLevel="0" collapsed="false">
      <c r="A1747" s="1" t="n">
        <v>11746</v>
      </c>
      <c r="B1747" s="14" t="n">
        <v>46307</v>
      </c>
      <c r="C1747" s="1" t="n">
        <v>1909</v>
      </c>
      <c r="D1747" s="1" t="s">
        <v>27</v>
      </c>
      <c r="E1747" s="1" t="s">
        <v>36</v>
      </c>
      <c r="F1747" s="1" t="n">
        <v>5</v>
      </c>
      <c r="G1747" s="15" t="n">
        <v>208.18</v>
      </c>
      <c r="H1747" s="16" t="n">
        <v>0</v>
      </c>
      <c r="I1747" s="1" t="s">
        <v>33</v>
      </c>
      <c r="J1747" s="1" t="n">
        <v>6</v>
      </c>
      <c r="K1747" s="1" t="n">
        <v>2.2</v>
      </c>
      <c r="L1747" s="15" t="n">
        <v>1040.9</v>
      </c>
      <c r="M1747" s="15" t="n">
        <f aca="false">F1747*G1747</f>
        <v>1040.9</v>
      </c>
      <c r="N1747" s="15" t="n">
        <f aca="false">M1747-L1747</f>
        <v>0</v>
      </c>
      <c r="O1747" s="1" t="n">
        <f aca="false">YEAR(B1747)</f>
        <v>2026</v>
      </c>
      <c r="P1747" s="1" t="n">
        <f aca="false">MONTH(B1747)</f>
        <v>10</v>
      </c>
      <c r="Q1747" s="1" t="str">
        <f aca="false">TEXT(B1747,"mmm")</f>
        <v>Oct</v>
      </c>
      <c r="R1747" s="1" t="str">
        <f aca="false">"Q"&amp;ROUNDUP(MONTH(B1747)/3,0)</f>
        <v>Q4</v>
      </c>
    </row>
    <row r="1748" customFormat="false" ht="15" hidden="false" customHeight="true" outlineLevel="0" collapsed="false">
      <c r="A1748" s="1" t="n">
        <v>11747</v>
      </c>
      <c r="B1748" s="14" t="n">
        <v>46308</v>
      </c>
      <c r="C1748" s="1" t="n">
        <v>1734</v>
      </c>
      <c r="D1748" s="1" t="s">
        <v>34</v>
      </c>
      <c r="E1748" s="1" t="s">
        <v>36</v>
      </c>
      <c r="F1748" s="1" t="n">
        <v>7</v>
      </c>
      <c r="G1748" s="15" t="n">
        <v>328.34</v>
      </c>
      <c r="H1748" s="16" t="n">
        <v>0.13</v>
      </c>
      <c r="I1748" s="1" t="s">
        <v>29</v>
      </c>
      <c r="J1748" s="1" t="n">
        <v>9</v>
      </c>
      <c r="K1748" s="1" t="n">
        <v>3.5</v>
      </c>
      <c r="L1748" s="15" t="n">
        <v>1999.59</v>
      </c>
      <c r="M1748" s="15" t="n">
        <f aca="false">F1748*G1748</f>
        <v>2298.38</v>
      </c>
      <c r="N1748" s="15" t="n">
        <f aca="false">M1748-L1748</f>
        <v>298.79</v>
      </c>
      <c r="O1748" s="1" t="n">
        <f aca="false">YEAR(B1748)</f>
        <v>2026</v>
      </c>
      <c r="P1748" s="1" t="n">
        <f aca="false">MONTH(B1748)</f>
        <v>10</v>
      </c>
      <c r="Q1748" s="1" t="str">
        <f aca="false">TEXT(B1748,"mmm")</f>
        <v>Oct</v>
      </c>
      <c r="R1748" s="1" t="str">
        <f aca="false">"Q"&amp;ROUNDUP(MONTH(B1748)/3,0)</f>
        <v>Q4</v>
      </c>
    </row>
    <row r="1749" customFormat="false" ht="15" hidden="false" customHeight="true" outlineLevel="0" collapsed="false">
      <c r="A1749" s="1" t="n">
        <v>11748</v>
      </c>
      <c r="B1749" s="14" t="n">
        <v>46309</v>
      </c>
      <c r="C1749" s="1" t="n">
        <v>1822</v>
      </c>
      <c r="D1749" s="1" t="s">
        <v>37</v>
      </c>
      <c r="E1749" s="1" t="s">
        <v>35</v>
      </c>
      <c r="F1749" s="1" t="n">
        <v>6</v>
      </c>
      <c r="G1749" s="15" t="n">
        <v>95.21</v>
      </c>
      <c r="H1749" s="16" t="n">
        <v>0.21</v>
      </c>
      <c r="I1749" s="1" t="s">
        <v>31</v>
      </c>
      <c r="J1749" s="1" t="n">
        <v>3</v>
      </c>
      <c r="K1749" s="1" t="n">
        <v>2.4</v>
      </c>
      <c r="L1749" s="15" t="n">
        <v>451.3</v>
      </c>
      <c r="M1749" s="15" t="n">
        <f aca="false">F1749*G1749</f>
        <v>571.26</v>
      </c>
      <c r="N1749" s="15" t="n">
        <f aca="false">M1749-L1749</f>
        <v>119.96</v>
      </c>
      <c r="O1749" s="1" t="n">
        <f aca="false">YEAR(B1749)</f>
        <v>2026</v>
      </c>
      <c r="P1749" s="1" t="n">
        <f aca="false">MONTH(B1749)</f>
        <v>10</v>
      </c>
      <c r="Q1749" s="1" t="str">
        <f aca="false">TEXT(B1749,"mmm")</f>
        <v>Oct</v>
      </c>
      <c r="R1749" s="1" t="str">
        <f aca="false">"Q"&amp;ROUNDUP(MONTH(B1749)/3,0)</f>
        <v>Q4</v>
      </c>
    </row>
    <row r="1750" customFormat="false" ht="15" hidden="false" customHeight="true" outlineLevel="0" collapsed="false">
      <c r="A1750" s="1" t="n">
        <v>11749</v>
      </c>
      <c r="B1750" s="14" t="n">
        <v>46310</v>
      </c>
      <c r="C1750" s="1" t="n">
        <v>1943</v>
      </c>
      <c r="D1750" s="1" t="s">
        <v>34</v>
      </c>
      <c r="E1750" s="1" t="s">
        <v>36</v>
      </c>
      <c r="F1750" s="1" t="n">
        <v>2</v>
      </c>
      <c r="G1750" s="15" t="n">
        <v>330.01</v>
      </c>
      <c r="H1750" s="16" t="n">
        <v>0.22</v>
      </c>
      <c r="I1750" s="1" t="s">
        <v>31</v>
      </c>
      <c r="J1750" s="1" t="n">
        <v>8</v>
      </c>
      <c r="K1750" s="1" t="n">
        <v>4.3</v>
      </c>
      <c r="L1750" s="15" t="n">
        <v>514.82</v>
      </c>
      <c r="M1750" s="15" t="n">
        <f aca="false">F1750*G1750</f>
        <v>660.02</v>
      </c>
      <c r="N1750" s="15" t="n">
        <f aca="false">M1750-L1750</f>
        <v>145.2</v>
      </c>
      <c r="O1750" s="1" t="n">
        <f aca="false">YEAR(B1750)</f>
        <v>2026</v>
      </c>
      <c r="P1750" s="1" t="n">
        <f aca="false">MONTH(B1750)</f>
        <v>10</v>
      </c>
      <c r="Q1750" s="1" t="str">
        <f aca="false">TEXT(B1750,"mmm")</f>
        <v>Oct</v>
      </c>
      <c r="R1750" s="1" t="str">
        <f aca="false">"Q"&amp;ROUNDUP(MONTH(B1750)/3,0)</f>
        <v>Q4</v>
      </c>
    </row>
    <row r="1751" customFormat="false" ht="15" hidden="false" customHeight="true" outlineLevel="0" collapsed="false">
      <c r="A1751" s="1" t="n">
        <v>11750</v>
      </c>
      <c r="B1751" s="14" t="n">
        <v>46311</v>
      </c>
      <c r="C1751" s="1" t="n">
        <v>1977</v>
      </c>
      <c r="D1751" s="1" t="s">
        <v>30</v>
      </c>
      <c r="E1751" s="1" t="s">
        <v>28</v>
      </c>
      <c r="F1751" s="1" t="n">
        <v>3</v>
      </c>
      <c r="G1751" s="15" t="n">
        <v>100.35</v>
      </c>
      <c r="H1751" s="16" t="n">
        <v>0.17</v>
      </c>
      <c r="I1751" s="1" t="s">
        <v>33</v>
      </c>
      <c r="J1751" s="1" t="n">
        <v>9</v>
      </c>
      <c r="K1751" s="1" t="n">
        <v>1.2</v>
      </c>
      <c r="L1751" s="15" t="n">
        <v>249.87</v>
      </c>
      <c r="M1751" s="15" t="n">
        <f aca="false">F1751*G1751</f>
        <v>301.05</v>
      </c>
      <c r="N1751" s="15" t="n">
        <f aca="false">M1751-L1751</f>
        <v>51.18</v>
      </c>
      <c r="O1751" s="1" t="n">
        <f aca="false">YEAR(B1751)</f>
        <v>2026</v>
      </c>
      <c r="P1751" s="1" t="n">
        <f aca="false">MONTH(B1751)</f>
        <v>10</v>
      </c>
      <c r="Q1751" s="1" t="str">
        <f aca="false">TEXT(B1751,"mmm")</f>
        <v>Oct</v>
      </c>
      <c r="R1751" s="1" t="str">
        <f aca="false">"Q"&amp;ROUNDUP(MONTH(B1751)/3,0)</f>
        <v>Q4</v>
      </c>
    </row>
    <row r="1752" customFormat="false" ht="15" hidden="false" customHeight="true" outlineLevel="0" collapsed="false">
      <c r="A1752" s="1" t="n">
        <v>11751</v>
      </c>
      <c r="B1752" s="14" t="n">
        <v>46312</v>
      </c>
      <c r="C1752" s="1" t="n">
        <v>1006</v>
      </c>
      <c r="D1752" s="1" t="s">
        <v>30</v>
      </c>
      <c r="E1752" s="1" t="s">
        <v>36</v>
      </c>
      <c r="F1752" s="1" t="n">
        <v>1</v>
      </c>
      <c r="G1752" s="15" t="n">
        <v>338.53</v>
      </c>
      <c r="H1752" s="16" t="n">
        <v>0.04</v>
      </c>
      <c r="I1752" s="1" t="s">
        <v>33</v>
      </c>
      <c r="J1752" s="1" t="n">
        <v>9</v>
      </c>
      <c r="K1752" s="1" t="n">
        <v>1.2</v>
      </c>
      <c r="L1752" s="15" t="n">
        <v>324.99</v>
      </c>
      <c r="M1752" s="15" t="n">
        <f aca="false">F1752*G1752</f>
        <v>338.53</v>
      </c>
      <c r="N1752" s="15" t="n">
        <f aca="false">M1752-L1752</f>
        <v>13.54</v>
      </c>
      <c r="O1752" s="1" t="n">
        <f aca="false">YEAR(B1752)</f>
        <v>2026</v>
      </c>
      <c r="P1752" s="1" t="n">
        <f aca="false">MONTH(B1752)</f>
        <v>10</v>
      </c>
      <c r="Q1752" s="1" t="str">
        <f aca="false">TEXT(B1752,"mmm")</f>
        <v>Oct</v>
      </c>
      <c r="R1752" s="1" t="str">
        <f aca="false">"Q"&amp;ROUNDUP(MONTH(B1752)/3,0)</f>
        <v>Q4</v>
      </c>
    </row>
    <row r="1753" customFormat="false" ht="15" hidden="false" customHeight="true" outlineLevel="0" collapsed="false">
      <c r="A1753" s="1" t="n">
        <v>11752</v>
      </c>
      <c r="B1753" s="14" t="n">
        <v>46313</v>
      </c>
      <c r="C1753" s="1" t="n">
        <v>1329</v>
      </c>
      <c r="D1753" s="1" t="s">
        <v>30</v>
      </c>
      <c r="E1753" s="1" t="s">
        <v>35</v>
      </c>
      <c r="F1753" s="1" t="n">
        <v>5</v>
      </c>
      <c r="G1753" s="15" t="n">
        <v>394.5</v>
      </c>
      <c r="H1753" s="16" t="n">
        <v>0.06</v>
      </c>
      <c r="I1753" s="1" t="s">
        <v>31</v>
      </c>
      <c r="J1753" s="1" t="n">
        <v>7</v>
      </c>
      <c r="K1753" s="1" t="n">
        <v>1.4</v>
      </c>
      <c r="L1753" s="15" t="n">
        <v>1854.15</v>
      </c>
      <c r="M1753" s="15" t="n">
        <f aca="false">F1753*G1753</f>
        <v>1972.5</v>
      </c>
      <c r="N1753" s="15" t="n">
        <f aca="false">M1753-L1753</f>
        <v>118.35</v>
      </c>
      <c r="O1753" s="1" t="n">
        <f aca="false">YEAR(B1753)</f>
        <v>2026</v>
      </c>
      <c r="P1753" s="1" t="n">
        <f aca="false">MONTH(B1753)</f>
        <v>10</v>
      </c>
      <c r="Q1753" s="1" t="str">
        <f aca="false">TEXT(B1753,"mmm")</f>
        <v>Oct</v>
      </c>
      <c r="R1753" s="1" t="str">
        <f aca="false">"Q"&amp;ROUNDUP(MONTH(B1753)/3,0)</f>
        <v>Q4</v>
      </c>
    </row>
    <row r="1754" customFormat="false" ht="15" hidden="false" customHeight="true" outlineLevel="0" collapsed="false">
      <c r="A1754" s="1" t="n">
        <v>11753</v>
      </c>
      <c r="B1754" s="14" t="n">
        <v>46314</v>
      </c>
      <c r="C1754" s="1" t="n">
        <v>1774</v>
      </c>
      <c r="D1754" s="1" t="s">
        <v>27</v>
      </c>
      <c r="E1754" s="1" t="s">
        <v>28</v>
      </c>
      <c r="F1754" s="1" t="n">
        <v>4</v>
      </c>
      <c r="G1754" s="15" t="n">
        <v>243.26</v>
      </c>
      <c r="H1754" s="16" t="n">
        <v>0.3</v>
      </c>
      <c r="I1754" s="1" t="s">
        <v>29</v>
      </c>
      <c r="J1754" s="1" t="n">
        <v>11</v>
      </c>
      <c r="K1754" s="1" t="n">
        <v>1.8</v>
      </c>
      <c r="L1754" s="15" t="n">
        <v>681.13</v>
      </c>
      <c r="M1754" s="15" t="n">
        <f aca="false">F1754*G1754</f>
        <v>973.04</v>
      </c>
      <c r="N1754" s="15" t="n">
        <f aca="false">M1754-L1754</f>
        <v>291.91</v>
      </c>
      <c r="O1754" s="1" t="n">
        <f aca="false">YEAR(B1754)</f>
        <v>2026</v>
      </c>
      <c r="P1754" s="1" t="n">
        <f aca="false">MONTH(B1754)</f>
        <v>10</v>
      </c>
      <c r="Q1754" s="1" t="str">
        <f aca="false">TEXT(B1754,"mmm")</f>
        <v>Oct</v>
      </c>
      <c r="R1754" s="1" t="str">
        <f aca="false">"Q"&amp;ROUNDUP(MONTH(B1754)/3,0)</f>
        <v>Q4</v>
      </c>
    </row>
    <row r="1755" customFormat="false" ht="15" hidden="false" customHeight="true" outlineLevel="0" collapsed="false">
      <c r="A1755" s="1" t="n">
        <v>11754</v>
      </c>
      <c r="B1755" s="14" t="n">
        <v>46315</v>
      </c>
      <c r="C1755" s="1" t="n">
        <v>1672</v>
      </c>
      <c r="D1755" s="1" t="s">
        <v>37</v>
      </c>
      <c r="E1755" s="1" t="s">
        <v>36</v>
      </c>
      <c r="F1755" s="1" t="n">
        <v>4</v>
      </c>
      <c r="G1755" s="15" t="n">
        <v>306.65</v>
      </c>
      <c r="H1755" s="16" t="n">
        <v>0.3</v>
      </c>
      <c r="I1755" s="1" t="s">
        <v>31</v>
      </c>
      <c r="J1755" s="1" t="n">
        <v>10</v>
      </c>
      <c r="K1755" s="1" t="n">
        <v>1.2</v>
      </c>
      <c r="L1755" s="15" t="n">
        <v>858.62</v>
      </c>
      <c r="M1755" s="15" t="n">
        <f aca="false">F1755*G1755</f>
        <v>1226.6</v>
      </c>
      <c r="N1755" s="15" t="n">
        <f aca="false">M1755-L1755</f>
        <v>367.98</v>
      </c>
      <c r="O1755" s="1" t="n">
        <f aca="false">YEAR(B1755)</f>
        <v>2026</v>
      </c>
      <c r="P1755" s="1" t="n">
        <f aca="false">MONTH(B1755)</f>
        <v>10</v>
      </c>
      <c r="Q1755" s="1" t="str">
        <f aca="false">TEXT(B1755,"mmm")</f>
        <v>Oct</v>
      </c>
      <c r="R1755" s="1" t="str">
        <f aca="false">"Q"&amp;ROUNDUP(MONTH(B1755)/3,0)</f>
        <v>Q4</v>
      </c>
    </row>
    <row r="1756" customFormat="false" ht="15" hidden="false" customHeight="true" outlineLevel="0" collapsed="false">
      <c r="A1756" s="1" t="n">
        <v>11755</v>
      </c>
      <c r="B1756" s="14" t="n">
        <v>46316</v>
      </c>
      <c r="C1756" s="1" t="n">
        <v>1150</v>
      </c>
      <c r="D1756" s="1" t="s">
        <v>30</v>
      </c>
      <c r="E1756" s="1" t="s">
        <v>28</v>
      </c>
      <c r="F1756" s="1" t="n">
        <v>3</v>
      </c>
      <c r="G1756" s="15" t="n">
        <v>527.26</v>
      </c>
      <c r="H1756" s="16" t="n">
        <v>0.24</v>
      </c>
      <c r="I1756" s="1" t="s">
        <v>31</v>
      </c>
      <c r="J1756" s="1" t="n">
        <v>3</v>
      </c>
      <c r="K1756" s="1" t="n">
        <v>1.3</v>
      </c>
      <c r="L1756" s="15" t="n">
        <v>1202.15</v>
      </c>
      <c r="M1756" s="15" t="n">
        <f aca="false">F1756*G1756</f>
        <v>1581.78</v>
      </c>
      <c r="N1756" s="15" t="n">
        <f aca="false">M1756-L1756</f>
        <v>379.63</v>
      </c>
      <c r="O1756" s="1" t="n">
        <f aca="false">YEAR(B1756)</f>
        <v>2026</v>
      </c>
      <c r="P1756" s="1" t="n">
        <f aca="false">MONTH(B1756)</f>
        <v>10</v>
      </c>
      <c r="Q1756" s="1" t="str">
        <f aca="false">TEXT(B1756,"mmm")</f>
        <v>Oct</v>
      </c>
      <c r="R1756" s="1" t="str">
        <f aca="false">"Q"&amp;ROUNDUP(MONTH(B1756)/3,0)</f>
        <v>Q4</v>
      </c>
    </row>
    <row r="1757" customFormat="false" ht="15" hidden="false" customHeight="true" outlineLevel="0" collapsed="false">
      <c r="A1757" s="1" t="n">
        <v>11756</v>
      </c>
      <c r="B1757" s="14" t="n">
        <v>46317</v>
      </c>
      <c r="C1757" s="1" t="n">
        <v>1084</v>
      </c>
      <c r="D1757" s="1" t="s">
        <v>37</v>
      </c>
      <c r="E1757" s="1" t="s">
        <v>28</v>
      </c>
      <c r="F1757" s="1" t="n">
        <v>2</v>
      </c>
      <c r="G1757" s="15" t="n">
        <v>78.51</v>
      </c>
      <c r="H1757" s="16" t="n">
        <v>0.23</v>
      </c>
      <c r="I1757" s="1" t="s">
        <v>33</v>
      </c>
      <c r="J1757" s="1" t="n">
        <v>3</v>
      </c>
      <c r="K1757" s="1" t="n">
        <v>2.2</v>
      </c>
      <c r="L1757" s="15" t="n">
        <v>120.91</v>
      </c>
      <c r="M1757" s="15" t="n">
        <f aca="false">F1757*G1757</f>
        <v>157.02</v>
      </c>
      <c r="N1757" s="15" t="n">
        <f aca="false">M1757-L1757</f>
        <v>36.11</v>
      </c>
      <c r="O1757" s="1" t="n">
        <f aca="false">YEAR(B1757)</f>
        <v>2026</v>
      </c>
      <c r="P1757" s="1" t="n">
        <f aca="false">MONTH(B1757)</f>
        <v>10</v>
      </c>
      <c r="Q1757" s="1" t="str">
        <f aca="false">TEXT(B1757,"mmm")</f>
        <v>Oct</v>
      </c>
      <c r="R1757" s="1" t="str">
        <f aca="false">"Q"&amp;ROUNDUP(MONTH(B1757)/3,0)</f>
        <v>Q4</v>
      </c>
    </row>
    <row r="1758" customFormat="false" ht="15" hidden="false" customHeight="true" outlineLevel="0" collapsed="false">
      <c r="A1758" s="1" t="n">
        <v>11757</v>
      </c>
      <c r="B1758" s="14" t="n">
        <v>46318</v>
      </c>
      <c r="C1758" s="1" t="n">
        <v>1146</v>
      </c>
      <c r="D1758" s="1" t="s">
        <v>27</v>
      </c>
      <c r="E1758" s="1" t="s">
        <v>35</v>
      </c>
      <c r="F1758" s="1" t="n">
        <v>2</v>
      </c>
      <c r="G1758" s="15" t="n">
        <v>478.16</v>
      </c>
      <c r="H1758" s="16" t="n">
        <v>0.21</v>
      </c>
      <c r="I1758" s="1" t="s">
        <v>33</v>
      </c>
      <c r="J1758" s="1" t="n">
        <v>2</v>
      </c>
      <c r="K1758" s="1" t="n">
        <v>1.4</v>
      </c>
      <c r="L1758" s="15" t="n">
        <v>755.49</v>
      </c>
      <c r="M1758" s="15" t="n">
        <f aca="false">F1758*G1758</f>
        <v>956.32</v>
      </c>
      <c r="N1758" s="15" t="n">
        <f aca="false">M1758-L1758</f>
        <v>200.83</v>
      </c>
      <c r="O1758" s="1" t="n">
        <f aca="false">YEAR(B1758)</f>
        <v>2026</v>
      </c>
      <c r="P1758" s="1" t="n">
        <f aca="false">MONTH(B1758)</f>
        <v>10</v>
      </c>
      <c r="Q1758" s="1" t="str">
        <f aca="false">TEXT(B1758,"mmm")</f>
        <v>Oct</v>
      </c>
      <c r="R1758" s="1" t="str">
        <f aca="false">"Q"&amp;ROUNDUP(MONTH(B1758)/3,0)</f>
        <v>Q4</v>
      </c>
    </row>
    <row r="1759" customFormat="false" ht="15" hidden="false" customHeight="true" outlineLevel="0" collapsed="false">
      <c r="A1759" s="1" t="n">
        <v>11758</v>
      </c>
      <c r="B1759" s="14" t="n">
        <v>46319</v>
      </c>
      <c r="C1759" s="1" t="n">
        <v>1623</v>
      </c>
      <c r="D1759" s="1" t="s">
        <v>34</v>
      </c>
      <c r="E1759" s="1" t="s">
        <v>35</v>
      </c>
      <c r="F1759" s="1" t="n">
        <v>2</v>
      </c>
      <c r="G1759" s="15" t="n">
        <v>114.89</v>
      </c>
      <c r="H1759" s="16" t="n">
        <v>0.07</v>
      </c>
      <c r="I1759" s="1" t="s">
        <v>31</v>
      </c>
      <c r="J1759" s="1" t="n">
        <v>1</v>
      </c>
      <c r="K1759" s="1" t="n">
        <v>4.2</v>
      </c>
      <c r="L1759" s="15" t="n">
        <v>213.7</v>
      </c>
      <c r="M1759" s="15" t="n">
        <f aca="false">F1759*G1759</f>
        <v>229.78</v>
      </c>
      <c r="N1759" s="15" t="n">
        <f aca="false">M1759-L1759</f>
        <v>16.08</v>
      </c>
      <c r="O1759" s="1" t="n">
        <f aca="false">YEAR(B1759)</f>
        <v>2026</v>
      </c>
      <c r="P1759" s="1" t="n">
        <f aca="false">MONTH(B1759)</f>
        <v>10</v>
      </c>
      <c r="Q1759" s="1" t="str">
        <f aca="false">TEXT(B1759,"mmm")</f>
        <v>Oct</v>
      </c>
      <c r="R1759" s="1" t="str">
        <f aca="false">"Q"&amp;ROUNDUP(MONTH(B1759)/3,0)</f>
        <v>Q4</v>
      </c>
    </row>
    <row r="1760" customFormat="false" ht="15" hidden="false" customHeight="true" outlineLevel="0" collapsed="false">
      <c r="A1760" s="1" t="n">
        <v>11759</v>
      </c>
      <c r="B1760" s="14" t="n">
        <v>46320</v>
      </c>
      <c r="C1760" s="1" t="n">
        <v>1380</v>
      </c>
      <c r="D1760" s="1" t="s">
        <v>27</v>
      </c>
      <c r="E1760" s="1" t="s">
        <v>28</v>
      </c>
      <c r="F1760" s="1" t="n">
        <v>6</v>
      </c>
      <c r="G1760" s="15" t="n">
        <v>36.47</v>
      </c>
      <c r="H1760" s="16" t="n">
        <v>0.15</v>
      </c>
      <c r="I1760" s="1" t="s">
        <v>31</v>
      </c>
      <c r="J1760" s="1" t="n">
        <v>2</v>
      </c>
      <c r="K1760" s="1" t="n">
        <v>1.2</v>
      </c>
      <c r="L1760" s="15" t="n">
        <v>186</v>
      </c>
      <c r="M1760" s="15" t="n">
        <f aca="false">F1760*G1760</f>
        <v>218.82</v>
      </c>
      <c r="N1760" s="15" t="n">
        <f aca="false">M1760-L1760</f>
        <v>32.82</v>
      </c>
      <c r="O1760" s="1" t="n">
        <f aca="false">YEAR(B1760)</f>
        <v>2026</v>
      </c>
      <c r="P1760" s="1" t="n">
        <f aca="false">MONTH(B1760)</f>
        <v>10</v>
      </c>
      <c r="Q1760" s="1" t="str">
        <f aca="false">TEXT(B1760,"mmm")</f>
        <v>Oct</v>
      </c>
      <c r="R1760" s="1" t="str">
        <f aca="false">"Q"&amp;ROUNDUP(MONTH(B1760)/3,0)</f>
        <v>Q4</v>
      </c>
    </row>
    <row r="1761" customFormat="false" ht="15" hidden="false" customHeight="true" outlineLevel="0" collapsed="false">
      <c r="A1761" s="1" t="n">
        <v>11760</v>
      </c>
      <c r="B1761" s="14" t="n">
        <v>46321</v>
      </c>
      <c r="C1761" s="1" t="n">
        <v>1914</v>
      </c>
      <c r="D1761" s="1" t="s">
        <v>34</v>
      </c>
      <c r="E1761" s="1" t="s">
        <v>36</v>
      </c>
      <c r="F1761" s="1" t="n">
        <v>7</v>
      </c>
      <c r="G1761" s="15" t="n">
        <v>123.56</v>
      </c>
      <c r="H1761" s="16" t="n">
        <v>0.24</v>
      </c>
      <c r="I1761" s="1" t="s">
        <v>33</v>
      </c>
      <c r="J1761" s="1" t="n">
        <v>5</v>
      </c>
      <c r="K1761" s="1" t="n">
        <v>4.6</v>
      </c>
      <c r="L1761" s="15" t="n">
        <v>657.34</v>
      </c>
      <c r="M1761" s="15" t="n">
        <f aca="false">F1761*G1761</f>
        <v>864.92</v>
      </c>
      <c r="N1761" s="15" t="n">
        <f aca="false">M1761-L1761</f>
        <v>207.58</v>
      </c>
      <c r="O1761" s="1" t="n">
        <f aca="false">YEAR(B1761)</f>
        <v>2026</v>
      </c>
      <c r="P1761" s="1" t="n">
        <f aca="false">MONTH(B1761)</f>
        <v>10</v>
      </c>
      <c r="Q1761" s="1" t="str">
        <f aca="false">TEXT(B1761,"mmm")</f>
        <v>Oct</v>
      </c>
      <c r="R1761" s="1" t="str">
        <f aca="false">"Q"&amp;ROUNDUP(MONTH(B1761)/3,0)</f>
        <v>Q4</v>
      </c>
    </row>
    <row r="1762" customFormat="false" ht="15" hidden="false" customHeight="true" outlineLevel="0" collapsed="false">
      <c r="A1762" s="1" t="n">
        <v>11761</v>
      </c>
      <c r="B1762" s="14" t="n">
        <v>46322</v>
      </c>
      <c r="C1762" s="1" t="n">
        <v>1547</v>
      </c>
      <c r="D1762" s="1" t="s">
        <v>37</v>
      </c>
      <c r="E1762" s="1" t="s">
        <v>35</v>
      </c>
      <c r="F1762" s="1" t="n">
        <v>4</v>
      </c>
      <c r="G1762" s="15" t="n">
        <v>462.55</v>
      </c>
      <c r="H1762" s="16" t="n">
        <v>0.19</v>
      </c>
      <c r="I1762" s="1" t="s">
        <v>33</v>
      </c>
      <c r="J1762" s="1" t="n">
        <v>1</v>
      </c>
      <c r="K1762" s="1" t="n">
        <v>4.5</v>
      </c>
      <c r="L1762" s="15" t="n">
        <v>1498.66</v>
      </c>
      <c r="M1762" s="15" t="n">
        <f aca="false">F1762*G1762</f>
        <v>1850.2</v>
      </c>
      <c r="N1762" s="15" t="n">
        <f aca="false">M1762-L1762</f>
        <v>351.54</v>
      </c>
      <c r="O1762" s="1" t="n">
        <f aca="false">YEAR(B1762)</f>
        <v>2026</v>
      </c>
      <c r="P1762" s="1" t="n">
        <f aca="false">MONTH(B1762)</f>
        <v>10</v>
      </c>
      <c r="Q1762" s="1" t="str">
        <f aca="false">TEXT(B1762,"mmm")</f>
        <v>Oct</v>
      </c>
      <c r="R1762" s="1" t="str">
        <f aca="false">"Q"&amp;ROUNDUP(MONTH(B1762)/3,0)</f>
        <v>Q4</v>
      </c>
    </row>
    <row r="1763" customFormat="false" ht="15" hidden="false" customHeight="true" outlineLevel="0" collapsed="false">
      <c r="A1763" s="1" t="n">
        <v>11762</v>
      </c>
      <c r="B1763" s="14" t="n">
        <v>46323</v>
      </c>
      <c r="C1763" s="1" t="n">
        <v>1284</v>
      </c>
      <c r="D1763" s="1" t="s">
        <v>34</v>
      </c>
      <c r="E1763" s="1" t="s">
        <v>28</v>
      </c>
      <c r="F1763" s="1" t="n">
        <v>2</v>
      </c>
      <c r="G1763" s="15" t="n">
        <v>252</v>
      </c>
      <c r="H1763" s="16" t="n">
        <v>0.01</v>
      </c>
      <c r="I1763" s="1" t="s">
        <v>33</v>
      </c>
      <c r="J1763" s="1" t="n">
        <v>10</v>
      </c>
      <c r="K1763" s="1" t="n">
        <v>1.8</v>
      </c>
      <c r="L1763" s="15" t="n">
        <v>498.96</v>
      </c>
      <c r="M1763" s="15" t="n">
        <f aca="false">F1763*G1763</f>
        <v>504</v>
      </c>
      <c r="N1763" s="15" t="n">
        <f aca="false">M1763-L1763</f>
        <v>5.04000000000002</v>
      </c>
      <c r="O1763" s="1" t="n">
        <f aca="false">YEAR(B1763)</f>
        <v>2026</v>
      </c>
      <c r="P1763" s="1" t="n">
        <f aca="false">MONTH(B1763)</f>
        <v>10</v>
      </c>
      <c r="Q1763" s="1" t="str">
        <f aca="false">TEXT(B1763,"mmm")</f>
        <v>Oct</v>
      </c>
      <c r="R1763" s="1" t="str">
        <f aca="false">"Q"&amp;ROUNDUP(MONTH(B1763)/3,0)</f>
        <v>Q4</v>
      </c>
    </row>
    <row r="1764" customFormat="false" ht="15" hidden="false" customHeight="true" outlineLevel="0" collapsed="false">
      <c r="A1764" s="1" t="n">
        <v>11763</v>
      </c>
      <c r="B1764" s="14" t="n">
        <v>46324</v>
      </c>
      <c r="C1764" s="1" t="n">
        <v>1699</v>
      </c>
      <c r="D1764" s="1" t="s">
        <v>34</v>
      </c>
      <c r="E1764" s="1" t="s">
        <v>32</v>
      </c>
      <c r="F1764" s="1" t="n">
        <v>4</v>
      </c>
      <c r="G1764" s="15" t="n">
        <v>525.42</v>
      </c>
      <c r="H1764" s="16" t="n">
        <v>0.33</v>
      </c>
      <c r="I1764" s="1" t="s">
        <v>33</v>
      </c>
      <c r="J1764" s="1" t="n">
        <v>4</v>
      </c>
      <c r="K1764" s="1" t="n">
        <v>1.3</v>
      </c>
      <c r="L1764" s="15" t="n">
        <v>1408.13</v>
      </c>
      <c r="M1764" s="15" t="n">
        <f aca="false">F1764*G1764</f>
        <v>2101.68</v>
      </c>
      <c r="N1764" s="15" t="n">
        <f aca="false">M1764-L1764</f>
        <v>693.55</v>
      </c>
      <c r="O1764" s="1" t="n">
        <f aca="false">YEAR(B1764)</f>
        <v>2026</v>
      </c>
      <c r="P1764" s="1" t="n">
        <f aca="false">MONTH(B1764)</f>
        <v>10</v>
      </c>
      <c r="Q1764" s="1" t="str">
        <f aca="false">TEXT(B1764,"mmm")</f>
        <v>Oct</v>
      </c>
      <c r="R1764" s="1" t="str">
        <f aca="false">"Q"&amp;ROUNDUP(MONTH(B1764)/3,0)</f>
        <v>Q4</v>
      </c>
    </row>
    <row r="1765" customFormat="false" ht="15" hidden="false" customHeight="true" outlineLevel="0" collapsed="false">
      <c r="A1765" s="1" t="n">
        <v>11764</v>
      </c>
      <c r="B1765" s="14" t="n">
        <v>46325</v>
      </c>
      <c r="C1765" s="1" t="n">
        <v>1081</v>
      </c>
      <c r="D1765" s="1" t="s">
        <v>30</v>
      </c>
      <c r="E1765" s="1" t="s">
        <v>32</v>
      </c>
      <c r="F1765" s="1" t="n">
        <v>3</v>
      </c>
      <c r="G1765" s="15" t="n">
        <v>321.95</v>
      </c>
      <c r="H1765" s="16" t="n">
        <v>0.3</v>
      </c>
      <c r="I1765" s="1" t="s">
        <v>31</v>
      </c>
      <c r="J1765" s="1" t="n">
        <v>11</v>
      </c>
      <c r="K1765" s="1" t="n">
        <v>1.4</v>
      </c>
      <c r="L1765" s="15" t="n">
        <v>676.09</v>
      </c>
      <c r="M1765" s="15" t="n">
        <f aca="false">F1765*G1765</f>
        <v>965.85</v>
      </c>
      <c r="N1765" s="15" t="n">
        <f aca="false">M1765-L1765</f>
        <v>289.76</v>
      </c>
      <c r="O1765" s="1" t="n">
        <f aca="false">YEAR(B1765)</f>
        <v>2026</v>
      </c>
      <c r="P1765" s="1" t="n">
        <f aca="false">MONTH(B1765)</f>
        <v>10</v>
      </c>
      <c r="Q1765" s="1" t="str">
        <f aca="false">TEXT(B1765,"mmm")</f>
        <v>Oct</v>
      </c>
      <c r="R1765" s="1" t="str">
        <f aca="false">"Q"&amp;ROUNDUP(MONTH(B1765)/3,0)</f>
        <v>Q4</v>
      </c>
    </row>
    <row r="1766" customFormat="false" ht="15" hidden="false" customHeight="true" outlineLevel="0" collapsed="false">
      <c r="A1766" s="1" t="n">
        <v>11765</v>
      </c>
      <c r="B1766" s="14" t="n">
        <v>46326</v>
      </c>
      <c r="C1766" s="1" t="n">
        <v>1513</v>
      </c>
      <c r="D1766" s="1" t="s">
        <v>30</v>
      </c>
      <c r="E1766" s="1" t="s">
        <v>35</v>
      </c>
      <c r="F1766" s="1" t="n">
        <v>1</v>
      </c>
      <c r="G1766" s="15" t="n">
        <v>28.02</v>
      </c>
      <c r="H1766" s="16" t="n">
        <v>0.09</v>
      </c>
      <c r="I1766" s="1" t="s">
        <v>29</v>
      </c>
      <c r="J1766" s="1" t="n">
        <v>10</v>
      </c>
      <c r="K1766" s="1" t="n">
        <v>3.2</v>
      </c>
      <c r="L1766" s="15" t="n">
        <v>25.5</v>
      </c>
      <c r="M1766" s="15" t="n">
        <f aca="false">F1766*G1766</f>
        <v>28.02</v>
      </c>
      <c r="N1766" s="15" t="n">
        <f aca="false">M1766-L1766</f>
        <v>2.52</v>
      </c>
      <c r="O1766" s="1" t="n">
        <f aca="false">YEAR(B1766)</f>
        <v>2026</v>
      </c>
      <c r="P1766" s="1" t="n">
        <f aca="false">MONTH(B1766)</f>
        <v>10</v>
      </c>
      <c r="Q1766" s="1" t="str">
        <f aca="false">TEXT(B1766,"mmm")</f>
        <v>Oct</v>
      </c>
      <c r="R1766" s="1" t="str">
        <f aca="false">"Q"&amp;ROUNDUP(MONTH(B1766)/3,0)</f>
        <v>Q4</v>
      </c>
    </row>
    <row r="1767" customFormat="false" ht="15" hidden="false" customHeight="true" outlineLevel="0" collapsed="false">
      <c r="A1767" s="1" t="n">
        <v>11766</v>
      </c>
      <c r="B1767" s="14" t="n">
        <v>46327</v>
      </c>
      <c r="C1767" s="1" t="n">
        <v>1896</v>
      </c>
      <c r="D1767" s="1" t="s">
        <v>30</v>
      </c>
      <c r="E1767" s="1" t="s">
        <v>36</v>
      </c>
      <c r="F1767" s="1" t="n">
        <v>7</v>
      </c>
      <c r="G1767" s="15" t="n">
        <v>434.28</v>
      </c>
      <c r="H1767" s="16" t="n">
        <v>0.22</v>
      </c>
      <c r="I1767" s="1" t="s">
        <v>29</v>
      </c>
      <c r="J1767" s="1" t="n">
        <v>10</v>
      </c>
      <c r="K1767" s="1" t="n">
        <v>3.4</v>
      </c>
      <c r="L1767" s="15" t="n">
        <v>2371.17</v>
      </c>
      <c r="M1767" s="15" t="n">
        <f aca="false">F1767*G1767</f>
        <v>3039.96</v>
      </c>
      <c r="N1767" s="15" t="n">
        <f aca="false">M1767-L1767</f>
        <v>668.79</v>
      </c>
      <c r="O1767" s="1" t="n">
        <f aca="false">YEAR(B1767)</f>
        <v>2026</v>
      </c>
      <c r="P1767" s="1" t="n">
        <f aca="false">MONTH(B1767)</f>
        <v>11</v>
      </c>
      <c r="Q1767" s="1" t="str">
        <f aca="false">TEXT(B1767,"mmm")</f>
        <v>Nov</v>
      </c>
      <c r="R1767" s="1" t="str">
        <f aca="false">"Q"&amp;ROUNDUP(MONTH(B1767)/3,0)</f>
        <v>Q4</v>
      </c>
    </row>
    <row r="1768" customFormat="false" ht="15" hidden="false" customHeight="true" outlineLevel="0" collapsed="false">
      <c r="A1768" s="1" t="n">
        <v>11767</v>
      </c>
      <c r="B1768" s="14" t="n">
        <v>46328</v>
      </c>
      <c r="C1768" s="1" t="n">
        <v>1814</v>
      </c>
      <c r="D1768" s="1" t="s">
        <v>34</v>
      </c>
      <c r="E1768" s="1" t="s">
        <v>32</v>
      </c>
      <c r="F1768" s="1" t="n">
        <v>6</v>
      </c>
      <c r="G1768" s="15" t="n">
        <v>79.49</v>
      </c>
      <c r="H1768" s="16" t="n">
        <v>0.32</v>
      </c>
      <c r="I1768" s="1" t="s">
        <v>31</v>
      </c>
      <c r="J1768" s="1" t="n">
        <v>1</v>
      </c>
      <c r="K1768" s="1" t="n">
        <v>2.3</v>
      </c>
      <c r="L1768" s="15" t="n">
        <v>324.32</v>
      </c>
      <c r="M1768" s="15" t="n">
        <f aca="false">F1768*G1768</f>
        <v>476.94</v>
      </c>
      <c r="N1768" s="15" t="n">
        <f aca="false">M1768-L1768</f>
        <v>152.62</v>
      </c>
      <c r="O1768" s="1" t="n">
        <f aca="false">YEAR(B1768)</f>
        <v>2026</v>
      </c>
      <c r="P1768" s="1" t="n">
        <f aca="false">MONTH(B1768)</f>
        <v>11</v>
      </c>
      <c r="Q1768" s="1" t="str">
        <f aca="false">TEXT(B1768,"mmm")</f>
        <v>Nov</v>
      </c>
      <c r="R1768" s="1" t="str">
        <f aca="false">"Q"&amp;ROUNDUP(MONTH(B1768)/3,0)</f>
        <v>Q4</v>
      </c>
    </row>
    <row r="1769" customFormat="false" ht="15" hidden="false" customHeight="true" outlineLevel="0" collapsed="false">
      <c r="A1769" s="1" t="n">
        <v>11768</v>
      </c>
      <c r="B1769" s="14" t="n">
        <v>46329</v>
      </c>
      <c r="C1769" s="1" t="n">
        <v>1708</v>
      </c>
      <c r="D1769" s="1" t="s">
        <v>30</v>
      </c>
      <c r="E1769" s="1" t="s">
        <v>32</v>
      </c>
      <c r="F1769" s="1" t="n">
        <v>5</v>
      </c>
      <c r="G1769" s="15" t="n">
        <v>476.79</v>
      </c>
      <c r="H1769" s="16" t="n">
        <v>0.03</v>
      </c>
      <c r="I1769" s="1" t="s">
        <v>31</v>
      </c>
      <c r="J1769" s="1" t="n">
        <v>10</v>
      </c>
      <c r="K1769" s="1" t="n">
        <v>2.2</v>
      </c>
      <c r="L1769" s="15" t="n">
        <v>2312.43</v>
      </c>
      <c r="M1769" s="15" t="n">
        <f aca="false">F1769*G1769</f>
        <v>2383.95</v>
      </c>
      <c r="N1769" s="15" t="n">
        <f aca="false">M1769-L1769</f>
        <v>71.5200000000004</v>
      </c>
      <c r="O1769" s="1" t="n">
        <f aca="false">YEAR(B1769)</f>
        <v>2026</v>
      </c>
      <c r="P1769" s="1" t="n">
        <f aca="false">MONTH(B1769)</f>
        <v>11</v>
      </c>
      <c r="Q1769" s="1" t="str">
        <f aca="false">TEXT(B1769,"mmm")</f>
        <v>Nov</v>
      </c>
      <c r="R1769" s="1" t="str">
        <f aca="false">"Q"&amp;ROUNDUP(MONTH(B1769)/3,0)</f>
        <v>Q4</v>
      </c>
    </row>
    <row r="1770" customFormat="false" ht="15" hidden="false" customHeight="true" outlineLevel="0" collapsed="false">
      <c r="A1770" s="1" t="n">
        <v>11769</v>
      </c>
      <c r="B1770" s="14" t="n">
        <v>46330</v>
      </c>
      <c r="C1770" s="1" t="n">
        <v>1915</v>
      </c>
      <c r="D1770" s="1" t="s">
        <v>27</v>
      </c>
      <c r="E1770" s="1" t="s">
        <v>32</v>
      </c>
      <c r="F1770" s="1" t="n">
        <v>3</v>
      </c>
      <c r="G1770" s="15" t="n">
        <v>113.34</v>
      </c>
      <c r="H1770" s="16" t="n">
        <v>0.18</v>
      </c>
      <c r="I1770" s="1" t="s">
        <v>31</v>
      </c>
      <c r="J1770" s="1" t="n">
        <v>8</v>
      </c>
      <c r="K1770" s="1" t="n">
        <v>3.1</v>
      </c>
      <c r="L1770" s="15" t="n">
        <v>278.82</v>
      </c>
      <c r="M1770" s="15" t="n">
        <f aca="false">F1770*G1770</f>
        <v>340.02</v>
      </c>
      <c r="N1770" s="15" t="n">
        <f aca="false">M1770-L1770</f>
        <v>61.2</v>
      </c>
      <c r="O1770" s="1" t="n">
        <f aca="false">YEAR(B1770)</f>
        <v>2026</v>
      </c>
      <c r="P1770" s="1" t="n">
        <f aca="false">MONTH(B1770)</f>
        <v>11</v>
      </c>
      <c r="Q1770" s="1" t="str">
        <f aca="false">TEXT(B1770,"mmm")</f>
        <v>Nov</v>
      </c>
      <c r="R1770" s="1" t="str">
        <f aca="false">"Q"&amp;ROUNDUP(MONTH(B1770)/3,0)</f>
        <v>Q4</v>
      </c>
    </row>
    <row r="1771" customFormat="false" ht="15" hidden="false" customHeight="true" outlineLevel="0" collapsed="false">
      <c r="A1771" s="1" t="n">
        <v>11770</v>
      </c>
      <c r="B1771" s="14" t="n">
        <v>46331</v>
      </c>
      <c r="C1771" s="1" t="n">
        <v>1522</v>
      </c>
      <c r="D1771" s="1" t="s">
        <v>30</v>
      </c>
      <c r="E1771" s="1" t="s">
        <v>36</v>
      </c>
      <c r="F1771" s="1" t="n">
        <v>7</v>
      </c>
      <c r="G1771" s="15" t="n">
        <v>217.09</v>
      </c>
      <c r="H1771" s="16" t="n">
        <v>0.16</v>
      </c>
      <c r="I1771" s="1" t="s">
        <v>33</v>
      </c>
      <c r="J1771" s="1" t="n">
        <v>5</v>
      </c>
      <c r="K1771" s="1" t="n">
        <v>2.2</v>
      </c>
      <c r="L1771" s="15" t="n">
        <v>1276.49</v>
      </c>
      <c r="M1771" s="15" t="n">
        <f aca="false">F1771*G1771</f>
        <v>1519.63</v>
      </c>
      <c r="N1771" s="15" t="n">
        <f aca="false">M1771-L1771</f>
        <v>243.14</v>
      </c>
      <c r="O1771" s="1" t="n">
        <f aca="false">YEAR(B1771)</f>
        <v>2026</v>
      </c>
      <c r="P1771" s="1" t="n">
        <f aca="false">MONTH(B1771)</f>
        <v>11</v>
      </c>
      <c r="Q1771" s="1" t="str">
        <f aca="false">TEXT(B1771,"mmm")</f>
        <v>Nov</v>
      </c>
      <c r="R1771" s="1" t="str">
        <f aca="false">"Q"&amp;ROUNDUP(MONTH(B1771)/3,0)</f>
        <v>Q4</v>
      </c>
    </row>
    <row r="1772" customFormat="false" ht="15" hidden="false" customHeight="true" outlineLevel="0" collapsed="false">
      <c r="A1772" s="1" t="n">
        <v>11771</v>
      </c>
      <c r="B1772" s="14" t="n">
        <v>46332</v>
      </c>
      <c r="C1772" s="1" t="n">
        <v>1745</v>
      </c>
      <c r="D1772" s="1" t="s">
        <v>34</v>
      </c>
      <c r="E1772" s="1" t="s">
        <v>36</v>
      </c>
      <c r="F1772" s="1" t="n">
        <v>4</v>
      </c>
      <c r="G1772" s="15" t="n">
        <v>460.34</v>
      </c>
      <c r="H1772" s="16" t="n">
        <v>0.14</v>
      </c>
      <c r="I1772" s="1" t="s">
        <v>29</v>
      </c>
      <c r="J1772" s="1" t="n">
        <v>10</v>
      </c>
      <c r="K1772" s="1" t="n">
        <v>4.7</v>
      </c>
      <c r="L1772" s="15" t="n">
        <v>1583.57</v>
      </c>
      <c r="M1772" s="15" t="n">
        <f aca="false">F1772*G1772</f>
        <v>1841.36</v>
      </c>
      <c r="N1772" s="15" t="n">
        <f aca="false">M1772-L1772</f>
        <v>257.79</v>
      </c>
      <c r="O1772" s="1" t="n">
        <f aca="false">YEAR(B1772)</f>
        <v>2026</v>
      </c>
      <c r="P1772" s="1" t="n">
        <f aca="false">MONTH(B1772)</f>
        <v>11</v>
      </c>
      <c r="Q1772" s="1" t="str">
        <f aca="false">TEXT(B1772,"mmm")</f>
        <v>Nov</v>
      </c>
      <c r="R1772" s="1" t="str">
        <f aca="false">"Q"&amp;ROUNDUP(MONTH(B1772)/3,0)</f>
        <v>Q4</v>
      </c>
    </row>
    <row r="1773" customFormat="false" ht="15" hidden="false" customHeight="true" outlineLevel="0" collapsed="false">
      <c r="A1773" s="1" t="n">
        <v>11772</v>
      </c>
      <c r="B1773" s="14" t="n">
        <v>46333</v>
      </c>
      <c r="C1773" s="1" t="n">
        <v>1385</v>
      </c>
      <c r="D1773" s="1" t="s">
        <v>30</v>
      </c>
      <c r="E1773" s="1" t="s">
        <v>35</v>
      </c>
      <c r="F1773" s="1" t="n">
        <v>3</v>
      </c>
      <c r="G1773" s="15" t="n">
        <v>573.23</v>
      </c>
      <c r="H1773" s="16" t="n">
        <v>0.29</v>
      </c>
      <c r="I1773" s="1" t="s">
        <v>33</v>
      </c>
      <c r="J1773" s="1" t="n">
        <v>4</v>
      </c>
      <c r="K1773" s="1" t="n">
        <v>2.5</v>
      </c>
      <c r="L1773" s="15" t="n">
        <v>1220.98</v>
      </c>
      <c r="M1773" s="15" t="n">
        <f aca="false">F1773*G1773</f>
        <v>1719.69</v>
      </c>
      <c r="N1773" s="15" t="n">
        <f aca="false">M1773-L1773</f>
        <v>498.71</v>
      </c>
      <c r="O1773" s="1" t="n">
        <f aca="false">YEAR(B1773)</f>
        <v>2026</v>
      </c>
      <c r="P1773" s="1" t="n">
        <f aca="false">MONTH(B1773)</f>
        <v>11</v>
      </c>
      <c r="Q1773" s="1" t="str">
        <f aca="false">TEXT(B1773,"mmm")</f>
        <v>Nov</v>
      </c>
      <c r="R1773" s="1" t="str">
        <f aca="false">"Q"&amp;ROUNDUP(MONTH(B1773)/3,0)</f>
        <v>Q4</v>
      </c>
    </row>
    <row r="1774" customFormat="false" ht="15" hidden="false" customHeight="true" outlineLevel="0" collapsed="false">
      <c r="A1774" s="1" t="n">
        <v>11773</v>
      </c>
      <c r="B1774" s="14" t="n">
        <v>46334</v>
      </c>
      <c r="C1774" s="1" t="n">
        <v>1706</v>
      </c>
      <c r="D1774" s="1" t="s">
        <v>34</v>
      </c>
      <c r="E1774" s="1" t="s">
        <v>35</v>
      </c>
      <c r="F1774" s="1" t="n">
        <v>5</v>
      </c>
      <c r="G1774" s="15" t="n">
        <v>232.29</v>
      </c>
      <c r="H1774" s="16" t="n">
        <v>0.13</v>
      </c>
      <c r="I1774" s="1" t="s">
        <v>29</v>
      </c>
      <c r="J1774" s="1" t="n">
        <v>3</v>
      </c>
      <c r="K1774" s="1" t="n">
        <v>1.9</v>
      </c>
      <c r="L1774" s="15" t="n">
        <v>1010.46</v>
      </c>
      <c r="M1774" s="15" t="n">
        <f aca="false">F1774*G1774</f>
        <v>1161.45</v>
      </c>
      <c r="N1774" s="15" t="n">
        <f aca="false">M1774-L1774</f>
        <v>150.99</v>
      </c>
      <c r="O1774" s="1" t="n">
        <f aca="false">YEAR(B1774)</f>
        <v>2026</v>
      </c>
      <c r="P1774" s="1" t="n">
        <f aca="false">MONTH(B1774)</f>
        <v>11</v>
      </c>
      <c r="Q1774" s="1" t="str">
        <f aca="false">TEXT(B1774,"mmm")</f>
        <v>Nov</v>
      </c>
      <c r="R1774" s="1" t="str">
        <f aca="false">"Q"&amp;ROUNDUP(MONTH(B1774)/3,0)</f>
        <v>Q4</v>
      </c>
    </row>
    <row r="1775" customFormat="false" ht="15" hidden="false" customHeight="true" outlineLevel="0" collapsed="false">
      <c r="A1775" s="1" t="n">
        <v>11774</v>
      </c>
      <c r="B1775" s="14" t="n">
        <v>46335</v>
      </c>
      <c r="C1775" s="1" t="n">
        <v>1470</v>
      </c>
      <c r="D1775" s="1" t="s">
        <v>37</v>
      </c>
      <c r="E1775" s="1" t="s">
        <v>32</v>
      </c>
      <c r="F1775" s="1" t="n">
        <v>7</v>
      </c>
      <c r="G1775" s="15" t="n">
        <v>500.2</v>
      </c>
      <c r="H1775" s="16" t="n">
        <v>0.02</v>
      </c>
      <c r="I1775" s="1" t="s">
        <v>31</v>
      </c>
      <c r="J1775" s="1" t="n">
        <v>9</v>
      </c>
      <c r="K1775" s="1" t="n">
        <v>1.6</v>
      </c>
      <c r="L1775" s="15" t="n">
        <v>3431.37</v>
      </c>
      <c r="M1775" s="15" t="n">
        <f aca="false">F1775*G1775</f>
        <v>3501.4</v>
      </c>
      <c r="N1775" s="15" t="n">
        <f aca="false">M1775-L1775</f>
        <v>70.0300000000002</v>
      </c>
      <c r="O1775" s="1" t="n">
        <f aca="false">YEAR(B1775)</f>
        <v>2026</v>
      </c>
      <c r="P1775" s="1" t="n">
        <f aca="false">MONTH(B1775)</f>
        <v>11</v>
      </c>
      <c r="Q1775" s="1" t="str">
        <f aca="false">TEXT(B1775,"mmm")</f>
        <v>Nov</v>
      </c>
      <c r="R1775" s="1" t="str">
        <f aca="false">"Q"&amp;ROUNDUP(MONTH(B1775)/3,0)</f>
        <v>Q4</v>
      </c>
    </row>
    <row r="1776" customFormat="false" ht="15" hidden="false" customHeight="true" outlineLevel="0" collapsed="false">
      <c r="A1776" s="1" t="n">
        <v>11775</v>
      </c>
      <c r="B1776" s="14" t="n">
        <v>46336</v>
      </c>
      <c r="C1776" s="1" t="n">
        <v>1118</v>
      </c>
      <c r="D1776" s="1" t="s">
        <v>37</v>
      </c>
      <c r="E1776" s="1" t="s">
        <v>36</v>
      </c>
      <c r="F1776" s="1" t="n">
        <v>6</v>
      </c>
      <c r="G1776" s="15" t="n">
        <v>126.61</v>
      </c>
      <c r="H1776" s="16" t="n">
        <v>0.02</v>
      </c>
      <c r="I1776" s="1" t="s">
        <v>33</v>
      </c>
      <c r="J1776" s="1" t="n">
        <v>6</v>
      </c>
      <c r="K1776" s="1" t="n">
        <v>3.5</v>
      </c>
      <c r="L1776" s="15" t="n">
        <v>744.47</v>
      </c>
      <c r="M1776" s="15" t="n">
        <f aca="false">F1776*G1776</f>
        <v>759.66</v>
      </c>
      <c r="N1776" s="15" t="n">
        <f aca="false">M1776-L1776</f>
        <v>15.1899999999999</v>
      </c>
      <c r="O1776" s="1" t="n">
        <f aca="false">YEAR(B1776)</f>
        <v>2026</v>
      </c>
      <c r="P1776" s="1" t="n">
        <f aca="false">MONTH(B1776)</f>
        <v>11</v>
      </c>
      <c r="Q1776" s="1" t="str">
        <f aca="false">TEXT(B1776,"mmm")</f>
        <v>Nov</v>
      </c>
      <c r="R1776" s="1" t="str">
        <f aca="false">"Q"&amp;ROUNDUP(MONTH(B1776)/3,0)</f>
        <v>Q4</v>
      </c>
    </row>
    <row r="1777" customFormat="false" ht="15" hidden="false" customHeight="true" outlineLevel="0" collapsed="false">
      <c r="A1777" s="1" t="n">
        <v>11776</v>
      </c>
      <c r="B1777" s="14" t="n">
        <v>46337</v>
      </c>
      <c r="C1777" s="1" t="n">
        <v>1395</v>
      </c>
      <c r="D1777" s="1" t="s">
        <v>30</v>
      </c>
      <c r="E1777" s="1" t="s">
        <v>28</v>
      </c>
      <c r="F1777" s="1" t="n">
        <v>1</v>
      </c>
      <c r="G1777" s="15" t="n">
        <v>487.2</v>
      </c>
      <c r="H1777" s="16" t="n">
        <v>0.01</v>
      </c>
      <c r="I1777" s="1" t="s">
        <v>31</v>
      </c>
      <c r="J1777" s="1" t="n">
        <v>1</v>
      </c>
      <c r="K1777" s="1" t="n">
        <v>2.3</v>
      </c>
      <c r="L1777" s="15" t="n">
        <v>482.33</v>
      </c>
      <c r="M1777" s="15" t="n">
        <f aca="false">F1777*G1777</f>
        <v>487.2</v>
      </c>
      <c r="N1777" s="15" t="n">
        <f aca="false">M1777-L1777</f>
        <v>4.87</v>
      </c>
      <c r="O1777" s="1" t="n">
        <f aca="false">YEAR(B1777)</f>
        <v>2026</v>
      </c>
      <c r="P1777" s="1" t="n">
        <f aca="false">MONTH(B1777)</f>
        <v>11</v>
      </c>
      <c r="Q1777" s="1" t="str">
        <f aca="false">TEXT(B1777,"mmm")</f>
        <v>Nov</v>
      </c>
      <c r="R1777" s="1" t="str">
        <f aca="false">"Q"&amp;ROUNDUP(MONTH(B1777)/3,0)</f>
        <v>Q4</v>
      </c>
    </row>
    <row r="1778" customFormat="false" ht="15" hidden="false" customHeight="true" outlineLevel="0" collapsed="false">
      <c r="A1778" s="1" t="n">
        <v>11777</v>
      </c>
      <c r="B1778" s="14" t="n">
        <v>46338</v>
      </c>
      <c r="C1778" s="1" t="n">
        <v>1531</v>
      </c>
      <c r="D1778" s="1" t="s">
        <v>30</v>
      </c>
      <c r="E1778" s="1" t="s">
        <v>32</v>
      </c>
      <c r="F1778" s="1" t="n">
        <v>5</v>
      </c>
      <c r="G1778" s="15" t="n">
        <v>399.63</v>
      </c>
      <c r="H1778" s="16" t="n">
        <v>0.14</v>
      </c>
      <c r="I1778" s="1" t="s">
        <v>31</v>
      </c>
      <c r="J1778" s="1" t="n">
        <v>8</v>
      </c>
      <c r="K1778" s="1" t="n">
        <v>1.8</v>
      </c>
      <c r="L1778" s="15" t="n">
        <v>1718.41</v>
      </c>
      <c r="M1778" s="15" t="n">
        <f aca="false">F1778*G1778</f>
        <v>1998.15</v>
      </c>
      <c r="N1778" s="15" t="n">
        <f aca="false">M1778-L1778</f>
        <v>279.74</v>
      </c>
      <c r="O1778" s="1" t="n">
        <f aca="false">YEAR(B1778)</f>
        <v>2026</v>
      </c>
      <c r="P1778" s="1" t="n">
        <f aca="false">MONTH(B1778)</f>
        <v>11</v>
      </c>
      <c r="Q1778" s="1" t="str">
        <f aca="false">TEXT(B1778,"mmm")</f>
        <v>Nov</v>
      </c>
      <c r="R1778" s="1" t="str">
        <f aca="false">"Q"&amp;ROUNDUP(MONTH(B1778)/3,0)</f>
        <v>Q4</v>
      </c>
    </row>
    <row r="1779" customFormat="false" ht="15" hidden="false" customHeight="true" outlineLevel="0" collapsed="false">
      <c r="A1779" s="1" t="n">
        <v>11778</v>
      </c>
      <c r="B1779" s="14" t="n">
        <v>46339</v>
      </c>
      <c r="C1779" s="1" t="n">
        <v>1260</v>
      </c>
      <c r="D1779" s="1" t="s">
        <v>37</v>
      </c>
      <c r="E1779" s="1" t="s">
        <v>35</v>
      </c>
      <c r="F1779" s="1" t="n">
        <v>7</v>
      </c>
      <c r="G1779" s="15" t="n">
        <v>127.75</v>
      </c>
      <c r="H1779" s="16" t="n">
        <v>0.25</v>
      </c>
      <c r="I1779" s="1" t="s">
        <v>33</v>
      </c>
      <c r="J1779" s="1" t="n">
        <v>10</v>
      </c>
      <c r="K1779" s="1" t="n">
        <v>2.1</v>
      </c>
      <c r="L1779" s="15" t="n">
        <v>670.69</v>
      </c>
      <c r="M1779" s="15" t="n">
        <f aca="false">F1779*G1779</f>
        <v>894.25</v>
      </c>
      <c r="N1779" s="15" t="n">
        <f aca="false">M1779-L1779</f>
        <v>223.56</v>
      </c>
      <c r="O1779" s="1" t="n">
        <f aca="false">YEAR(B1779)</f>
        <v>2026</v>
      </c>
      <c r="P1779" s="1" t="n">
        <f aca="false">MONTH(B1779)</f>
        <v>11</v>
      </c>
      <c r="Q1779" s="1" t="str">
        <f aca="false">TEXT(B1779,"mmm")</f>
        <v>Nov</v>
      </c>
      <c r="R1779" s="1" t="str">
        <f aca="false">"Q"&amp;ROUNDUP(MONTH(B1779)/3,0)</f>
        <v>Q4</v>
      </c>
    </row>
    <row r="1780" customFormat="false" ht="15" hidden="false" customHeight="true" outlineLevel="0" collapsed="false">
      <c r="A1780" s="1" t="n">
        <v>11779</v>
      </c>
      <c r="B1780" s="14" t="n">
        <v>46340</v>
      </c>
      <c r="C1780" s="1" t="n">
        <v>1804</v>
      </c>
      <c r="D1780" s="1" t="s">
        <v>30</v>
      </c>
      <c r="E1780" s="1" t="s">
        <v>36</v>
      </c>
      <c r="F1780" s="1" t="n">
        <v>6</v>
      </c>
      <c r="G1780" s="15" t="n">
        <v>191.96</v>
      </c>
      <c r="H1780" s="16" t="n">
        <v>0.07</v>
      </c>
      <c r="I1780" s="1" t="s">
        <v>31</v>
      </c>
      <c r="J1780" s="1" t="n">
        <v>2</v>
      </c>
      <c r="K1780" s="1" t="n">
        <v>2.2</v>
      </c>
      <c r="L1780" s="15" t="n">
        <v>1071.14</v>
      </c>
      <c r="M1780" s="15" t="n">
        <f aca="false">F1780*G1780</f>
        <v>1151.76</v>
      </c>
      <c r="N1780" s="15" t="n">
        <f aca="false">M1780-L1780</f>
        <v>80.6199999999999</v>
      </c>
      <c r="O1780" s="1" t="n">
        <f aca="false">YEAR(B1780)</f>
        <v>2026</v>
      </c>
      <c r="P1780" s="1" t="n">
        <f aca="false">MONTH(B1780)</f>
        <v>11</v>
      </c>
      <c r="Q1780" s="1" t="str">
        <f aca="false">TEXT(B1780,"mmm")</f>
        <v>Nov</v>
      </c>
      <c r="R1780" s="1" t="str">
        <f aca="false">"Q"&amp;ROUNDUP(MONTH(B1780)/3,0)</f>
        <v>Q4</v>
      </c>
    </row>
    <row r="1781" customFormat="false" ht="15" hidden="false" customHeight="true" outlineLevel="0" collapsed="false">
      <c r="A1781" s="1" t="n">
        <v>11780</v>
      </c>
      <c r="B1781" s="14" t="n">
        <v>46341</v>
      </c>
      <c r="C1781" s="1" t="n">
        <v>1933</v>
      </c>
      <c r="D1781" s="1" t="s">
        <v>37</v>
      </c>
      <c r="E1781" s="1" t="s">
        <v>35</v>
      </c>
      <c r="F1781" s="1" t="n">
        <v>4</v>
      </c>
      <c r="G1781" s="15" t="n">
        <v>92.09</v>
      </c>
      <c r="H1781" s="16" t="n">
        <v>0.23</v>
      </c>
      <c r="I1781" s="1" t="s">
        <v>33</v>
      </c>
      <c r="J1781" s="1" t="n">
        <v>9</v>
      </c>
      <c r="K1781" s="1" t="n">
        <v>3.5</v>
      </c>
      <c r="L1781" s="15" t="n">
        <v>283.64</v>
      </c>
      <c r="M1781" s="15" t="n">
        <f aca="false">F1781*G1781</f>
        <v>368.36</v>
      </c>
      <c r="N1781" s="15" t="n">
        <f aca="false">M1781-L1781</f>
        <v>84.72</v>
      </c>
      <c r="O1781" s="1" t="n">
        <f aca="false">YEAR(B1781)</f>
        <v>2026</v>
      </c>
      <c r="P1781" s="1" t="n">
        <f aca="false">MONTH(B1781)</f>
        <v>11</v>
      </c>
      <c r="Q1781" s="1" t="str">
        <f aca="false">TEXT(B1781,"mmm")</f>
        <v>Nov</v>
      </c>
      <c r="R1781" s="1" t="str">
        <f aca="false">"Q"&amp;ROUNDUP(MONTH(B1781)/3,0)</f>
        <v>Q4</v>
      </c>
    </row>
    <row r="1782" customFormat="false" ht="15" hidden="false" customHeight="true" outlineLevel="0" collapsed="false">
      <c r="A1782" s="1" t="n">
        <v>11781</v>
      </c>
      <c r="B1782" s="14" t="n">
        <v>46342</v>
      </c>
      <c r="C1782" s="1" t="n">
        <v>1255</v>
      </c>
      <c r="D1782" s="1" t="s">
        <v>30</v>
      </c>
      <c r="E1782" s="1" t="s">
        <v>35</v>
      </c>
      <c r="F1782" s="1" t="n">
        <v>5</v>
      </c>
      <c r="G1782" s="15" t="n">
        <v>239.04</v>
      </c>
      <c r="H1782" s="16" t="n">
        <v>0.24</v>
      </c>
      <c r="I1782" s="1" t="s">
        <v>33</v>
      </c>
      <c r="J1782" s="1" t="n">
        <v>11</v>
      </c>
      <c r="K1782" s="1" t="n">
        <v>1.7</v>
      </c>
      <c r="L1782" s="15" t="n">
        <v>908.35</v>
      </c>
      <c r="M1782" s="15" t="n">
        <f aca="false">F1782*G1782</f>
        <v>1195.2</v>
      </c>
      <c r="N1782" s="15" t="n">
        <f aca="false">M1782-L1782</f>
        <v>286.85</v>
      </c>
      <c r="O1782" s="1" t="n">
        <f aca="false">YEAR(B1782)</f>
        <v>2026</v>
      </c>
      <c r="P1782" s="1" t="n">
        <f aca="false">MONTH(B1782)</f>
        <v>11</v>
      </c>
      <c r="Q1782" s="1" t="str">
        <f aca="false">TEXT(B1782,"mmm")</f>
        <v>Nov</v>
      </c>
      <c r="R1782" s="1" t="str">
        <f aca="false">"Q"&amp;ROUNDUP(MONTH(B1782)/3,0)</f>
        <v>Q4</v>
      </c>
    </row>
    <row r="1783" customFormat="false" ht="15" hidden="false" customHeight="true" outlineLevel="0" collapsed="false">
      <c r="A1783" s="1" t="n">
        <v>11782</v>
      </c>
      <c r="B1783" s="14" t="n">
        <v>46343</v>
      </c>
      <c r="C1783" s="1" t="n">
        <v>1733</v>
      </c>
      <c r="D1783" s="1" t="s">
        <v>37</v>
      </c>
      <c r="E1783" s="1" t="s">
        <v>36</v>
      </c>
      <c r="F1783" s="1" t="n">
        <v>3</v>
      </c>
      <c r="G1783" s="15" t="n">
        <v>134.13</v>
      </c>
      <c r="H1783" s="16" t="n">
        <v>0.09</v>
      </c>
      <c r="I1783" s="1" t="s">
        <v>29</v>
      </c>
      <c r="J1783" s="1" t="n">
        <v>7</v>
      </c>
      <c r="K1783" s="1" t="n">
        <v>3.9</v>
      </c>
      <c r="L1783" s="15" t="n">
        <v>366.17</v>
      </c>
      <c r="M1783" s="15" t="n">
        <f aca="false">F1783*G1783</f>
        <v>402.39</v>
      </c>
      <c r="N1783" s="15" t="n">
        <f aca="false">M1783-L1783</f>
        <v>36.22</v>
      </c>
      <c r="O1783" s="1" t="n">
        <f aca="false">YEAR(B1783)</f>
        <v>2026</v>
      </c>
      <c r="P1783" s="1" t="n">
        <f aca="false">MONTH(B1783)</f>
        <v>11</v>
      </c>
      <c r="Q1783" s="1" t="str">
        <f aca="false">TEXT(B1783,"mmm")</f>
        <v>Nov</v>
      </c>
      <c r="R1783" s="1" t="str">
        <f aca="false">"Q"&amp;ROUNDUP(MONTH(B1783)/3,0)</f>
        <v>Q4</v>
      </c>
    </row>
    <row r="1784" customFormat="false" ht="15" hidden="false" customHeight="true" outlineLevel="0" collapsed="false">
      <c r="A1784" s="1" t="n">
        <v>11783</v>
      </c>
      <c r="B1784" s="14" t="n">
        <v>46344</v>
      </c>
      <c r="C1784" s="1" t="n">
        <v>1904</v>
      </c>
      <c r="D1784" s="1" t="s">
        <v>30</v>
      </c>
      <c r="E1784" s="1" t="s">
        <v>32</v>
      </c>
      <c r="F1784" s="1" t="n">
        <v>2</v>
      </c>
      <c r="G1784" s="15" t="n">
        <v>391.74</v>
      </c>
      <c r="H1784" s="16" t="n">
        <v>0.21</v>
      </c>
      <c r="I1784" s="1" t="s">
        <v>31</v>
      </c>
      <c r="J1784" s="1" t="n">
        <v>3</v>
      </c>
      <c r="K1784" s="1" t="n">
        <v>2.2</v>
      </c>
      <c r="L1784" s="15" t="n">
        <v>618.95</v>
      </c>
      <c r="M1784" s="15" t="n">
        <f aca="false">F1784*G1784</f>
        <v>783.48</v>
      </c>
      <c r="N1784" s="15" t="n">
        <f aca="false">M1784-L1784</f>
        <v>164.53</v>
      </c>
      <c r="O1784" s="1" t="n">
        <f aca="false">YEAR(B1784)</f>
        <v>2026</v>
      </c>
      <c r="P1784" s="1" t="n">
        <f aca="false">MONTH(B1784)</f>
        <v>11</v>
      </c>
      <c r="Q1784" s="1" t="str">
        <f aca="false">TEXT(B1784,"mmm")</f>
        <v>Nov</v>
      </c>
      <c r="R1784" s="1" t="str">
        <f aca="false">"Q"&amp;ROUNDUP(MONTH(B1784)/3,0)</f>
        <v>Q4</v>
      </c>
    </row>
    <row r="1785" customFormat="false" ht="15" hidden="false" customHeight="true" outlineLevel="0" collapsed="false">
      <c r="A1785" s="1" t="n">
        <v>11784</v>
      </c>
      <c r="B1785" s="14" t="n">
        <v>46345</v>
      </c>
      <c r="C1785" s="1" t="n">
        <v>1225</v>
      </c>
      <c r="D1785" s="1" t="s">
        <v>30</v>
      </c>
      <c r="E1785" s="1" t="s">
        <v>36</v>
      </c>
      <c r="F1785" s="1" t="n">
        <v>3</v>
      </c>
      <c r="G1785" s="15" t="n">
        <v>596.79</v>
      </c>
      <c r="H1785" s="16" t="n">
        <v>0.24</v>
      </c>
      <c r="I1785" s="1" t="s">
        <v>33</v>
      </c>
      <c r="J1785" s="1" t="n">
        <v>4</v>
      </c>
      <c r="K1785" s="1" t="n">
        <v>3</v>
      </c>
      <c r="L1785" s="15" t="n">
        <v>1360.68</v>
      </c>
      <c r="M1785" s="15" t="n">
        <f aca="false">F1785*G1785</f>
        <v>1790.37</v>
      </c>
      <c r="N1785" s="15" t="n">
        <f aca="false">M1785-L1785</f>
        <v>429.69</v>
      </c>
      <c r="O1785" s="1" t="n">
        <f aca="false">YEAR(B1785)</f>
        <v>2026</v>
      </c>
      <c r="P1785" s="1" t="n">
        <f aca="false">MONTH(B1785)</f>
        <v>11</v>
      </c>
      <c r="Q1785" s="1" t="str">
        <f aca="false">TEXT(B1785,"mmm")</f>
        <v>Nov</v>
      </c>
      <c r="R1785" s="1" t="str">
        <f aca="false">"Q"&amp;ROUNDUP(MONTH(B1785)/3,0)</f>
        <v>Q4</v>
      </c>
    </row>
    <row r="1786" customFormat="false" ht="15" hidden="false" customHeight="true" outlineLevel="0" collapsed="false">
      <c r="A1786" s="1" t="n">
        <v>11785</v>
      </c>
      <c r="B1786" s="14" t="n">
        <v>46346</v>
      </c>
      <c r="C1786" s="1" t="n">
        <v>1052</v>
      </c>
      <c r="D1786" s="1" t="s">
        <v>27</v>
      </c>
      <c r="E1786" s="1" t="s">
        <v>32</v>
      </c>
      <c r="F1786" s="1" t="n">
        <v>4</v>
      </c>
      <c r="G1786" s="15" t="n">
        <v>22.03</v>
      </c>
      <c r="H1786" s="16" t="n">
        <v>0.16</v>
      </c>
      <c r="I1786" s="1" t="s">
        <v>29</v>
      </c>
      <c r="J1786" s="1" t="n">
        <v>3</v>
      </c>
      <c r="K1786" s="1" t="n">
        <v>3.6</v>
      </c>
      <c r="L1786" s="15" t="n">
        <v>74.02</v>
      </c>
      <c r="M1786" s="15" t="n">
        <f aca="false">F1786*G1786</f>
        <v>88.12</v>
      </c>
      <c r="N1786" s="15" t="n">
        <f aca="false">M1786-L1786</f>
        <v>14.1</v>
      </c>
      <c r="O1786" s="1" t="n">
        <f aca="false">YEAR(B1786)</f>
        <v>2026</v>
      </c>
      <c r="P1786" s="1" t="n">
        <f aca="false">MONTH(B1786)</f>
        <v>11</v>
      </c>
      <c r="Q1786" s="1" t="str">
        <f aca="false">TEXT(B1786,"mmm")</f>
        <v>Nov</v>
      </c>
      <c r="R1786" s="1" t="str">
        <f aca="false">"Q"&amp;ROUNDUP(MONTH(B1786)/3,0)</f>
        <v>Q4</v>
      </c>
    </row>
    <row r="1787" customFormat="false" ht="15" hidden="false" customHeight="true" outlineLevel="0" collapsed="false">
      <c r="A1787" s="1" t="n">
        <v>11786</v>
      </c>
      <c r="B1787" s="14" t="n">
        <v>46347</v>
      </c>
      <c r="C1787" s="1" t="n">
        <v>1939</v>
      </c>
      <c r="D1787" s="1" t="s">
        <v>30</v>
      </c>
      <c r="E1787" s="1" t="s">
        <v>35</v>
      </c>
      <c r="F1787" s="1" t="n">
        <v>7</v>
      </c>
      <c r="G1787" s="15" t="n">
        <v>331.44</v>
      </c>
      <c r="H1787" s="16" t="n">
        <v>0.12</v>
      </c>
      <c r="I1787" s="1" t="s">
        <v>29</v>
      </c>
      <c r="J1787" s="1" t="n">
        <v>6</v>
      </c>
      <c r="K1787" s="1" t="n">
        <v>3.2</v>
      </c>
      <c r="L1787" s="15" t="n">
        <v>2041.67</v>
      </c>
      <c r="M1787" s="15" t="n">
        <f aca="false">F1787*G1787</f>
        <v>2320.08</v>
      </c>
      <c r="N1787" s="15" t="n">
        <f aca="false">M1787-L1787</f>
        <v>278.41</v>
      </c>
      <c r="O1787" s="1" t="n">
        <f aca="false">YEAR(B1787)</f>
        <v>2026</v>
      </c>
      <c r="P1787" s="1" t="n">
        <f aca="false">MONTH(B1787)</f>
        <v>11</v>
      </c>
      <c r="Q1787" s="1" t="str">
        <f aca="false">TEXT(B1787,"mmm")</f>
        <v>Nov</v>
      </c>
      <c r="R1787" s="1" t="str">
        <f aca="false">"Q"&amp;ROUNDUP(MONTH(B1787)/3,0)</f>
        <v>Q4</v>
      </c>
    </row>
    <row r="1788" customFormat="false" ht="15" hidden="false" customHeight="true" outlineLevel="0" collapsed="false">
      <c r="A1788" s="1" t="n">
        <v>11787</v>
      </c>
      <c r="B1788" s="14" t="n">
        <v>46348</v>
      </c>
      <c r="C1788" s="1" t="n">
        <v>1866</v>
      </c>
      <c r="D1788" s="1" t="s">
        <v>30</v>
      </c>
      <c r="E1788" s="1" t="s">
        <v>36</v>
      </c>
      <c r="F1788" s="1" t="n">
        <v>1</v>
      </c>
      <c r="G1788" s="15" t="n">
        <v>350.59</v>
      </c>
      <c r="H1788" s="16" t="n">
        <v>0.22</v>
      </c>
      <c r="I1788" s="1" t="s">
        <v>33</v>
      </c>
      <c r="J1788" s="1" t="n">
        <v>9</v>
      </c>
      <c r="K1788" s="1" t="n">
        <v>3.6</v>
      </c>
      <c r="L1788" s="15" t="n">
        <v>273.46</v>
      </c>
      <c r="M1788" s="15" t="n">
        <f aca="false">F1788*G1788</f>
        <v>350.59</v>
      </c>
      <c r="N1788" s="15" t="n">
        <f aca="false">M1788-L1788</f>
        <v>77.13</v>
      </c>
      <c r="O1788" s="1" t="n">
        <f aca="false">YEAR(B1788)</f>
        <v>2026</v>
      </c>
      <c r="P1788" s="1" t="n">
        <f aca="false">MONTH(B1788)</f>
        <v>11</v>
      </c>
      <c r="Q1788" s="1" t="str">
        <f aca="false">TEXT(B1788,"mmm")</f>
        <v>Nov</v>
      </c>
      <c r="R1788" s="1" t="str">
        <f aca="false">"Q"&amp;ROUNDUP(MONTH(B1788)/3,0)</f>
        <v>Q4</v>
      </c>
    </row>
    <row r="1789" customFormat="false" ht="15" hidden="false" customHeight="true" outlineLevel="0" collapsed="false">
      <c r="A1789" s="1" t="n">
        <v>11788</v>
      </c>
      <c r="B1789" s="14" t="n">
        <v>46349</v>
      </c>
      <c r="C1789" s="1" t="n">
        <v>1499</v>
      </c>
      <c r="D1789" s="1" t="s">
        <v>34</v>
      </c>
      <c r="E1789" s="1" t="s">
        <v>28</v>
      </c>
      <c r="F1789" s="1" t="n">
        <v>5</v>
      </c>
      <c r="G1789" s="15" t="n">
        <v>549.81</v>
      </c>
      <c r="H1789" s="16" t="n">
        <v>0.34</v>
      </c>
      <c r="I1789" s="1" t="s">
        <v>33</v>
      </c>
      <c r="J1789" s="1" t="n">
        <v>10</v>
      </c>
      <c r="K1789" s="1" t="n">
        <v>2.3</v>
      </c>
      <c r="L1789" s="15" t="n">
        <v>1814.37</v>
      </c>
      <c r="M1789" s="15" t="n">
        <f aca="false">F1789*G1789</f>
        <v>2749.05</v>
      </c>
      <c r="N1789" s="15" t="n">
        <f aca="false">M1789-L1789</f>
        <v>934.68</v>
      </c>
      <c r="O1789" s="1" t="n">
        <f aca="false">YEAR(B1789)</f>
        <v>2026</v>
      </c>
      <c r="P1789" s="1" t="n">
        <f aca="false">MONTH(B1789)</f>
        <v>11</v>
      </c>
      <c r="Q1789" s="1" t="str">
        <f aca="false">TEXT(B1789,"mmm")</f>
        <v>Nov</v>
      </c>
      <c r="R1789" s="1" t="str">
        <f aca="false">"Q"&amp;ROUNDUP(MONTH(B1789)/3,0)</f>
        <v>Q4</v>
      </c>
    </row>
    <row r="1790" customFormat="false" ht="15" hidden="false" customHeight="true" outlineLevel="0" collapsed="false">
      <c r="A1790" s="1" t="n">
        <v>11789</v>
      </c>
      <c r="B1790" s="14" t="n">
        <v>46350</v>
      </c>
      <c r="C1790" s="1" t="n">
        <v>1505</v>
      </c>
      <c r="D1790" s="1" t="s">
        <v>30</v>
      </c>
      <c r="E1790" s="1" t="s">
        <v>32</v>
      </c>
      <c r="F1790" s="1" t="n">
        <v>7</v>
      </c>
      <c r="G1790" s="15" t="n">
        <v>311.01</v>
      </c>
      <c r="H1790" s="16" t="n">
        <v>0.15</v>
      </c>
      <c r="I1790" s="1" t="s">
        <v>31</v>
      </c>
      <c r="J1790" s="1" t="n">
        <v>9</v>
      </c>
      <c r="K1790" s="1" t="n">
        <v>4.9</v>
      </c>
      <c r="L1790" s="15" t="n">
        <v>1850.51</v>
      </c>
      <c r="M1790" s="15" t="n">
        <f aca="false">F1790*G1790</f>
        <v>2177.07</v>
      </c>
      <c r="N1790" s="15" t="n">
        <f aca="false">M1790-L1790</f>
        <v>326.56</v>
      </c>
      <c r="O1790" s="1" t="n">
        <f aca="false">YEAR(B1790)</f>
        <v>2026</v>
      </c>
      <c r="P1790" s="1" t="n">
        <f aca="false">MONTH(B1790)</f>
        <v>11</v>
      </c>
      <c r="Q1790" s="1" t="str">
        <f aca="false">TEXT(B1790,"mmm")</f>
        <v>Nov</v>
      </c>
      <c r="R1790" s="1" t="str">
        <f aca="false">"Q"&amp;ROUNDUP(MONTH(B1790)/3,0)</f>
        <v>Q4</v>
      </c>
    </row>
    <row r="1791" customFormat="false" ht="15" hidden="false" customHeight="true" outlineLevel="0" collapsed="false">
      <c r="A1791" s="1" t="n">
        <v>11790</v>
      </c>
      <c r="B1791" s="14" t="n">
        <v>46351</v>
      </c>
      <c r="C1791" s="1" t="n">
        <v>1853</v>
      </c>
      <c r="D1791" s="1" t="s">
        <v>30</v>
      </c>
      <c r="E1791" s="1" t="s">
        <v>28</v>
      </c>
      <c r="F1791" s="1" t="n">
        <v>1</v>
      </c>
      <c r="G1791" s="15" t="n">
        <v>333.07</v>
      </c>
      <c r="H1791" s="16" t="n">
        <v>0.14</v>
      </c>
      <c r="I1791" s="1" t="s">
        <v>33</v>
      </c>
      <c r="J1791" s="1" t="n">
        <v>1</v>
      </c>
      <c r="K1791" s="1" t="n">
        <v>2.8</v>
      </c>
      <c r="L1791" s="15" t="n">
        <v>286.44</v>
      </c>
      <c r="M1791" s="15" t="n">
        <f aca="false">F1791*G1791</f>
        <v>333.07</v>
      </c>
      <c r="N1791" s="15" t="n">
        <f aca="false">M1791-L1791</f>
        <v>46.63</v>
      </c>
      <c r="O1791" s="1" t="n">
        <f aca="false">YEAR(B1791)</f>
        <v>2026</v>
      </c>
      <c r="P1791" s="1" t="n">
        <f aca="false">MONTH(B1791)</f>
        <v>11</v>
      </c>
      <c r="Q1791" s="1" t="str">
        <f aca="false">TEXT(B1791,"mmm")</f>
        <v>Nov</v>
      </c>
      <c r="R1791" s="1" t="str">
        <f aca="false">"Q"&amp;ROUNDUP(MONTH(B1791)/3,0)</f>
        <v>Q4</v>
      </c>
    </row>
    <row r="1792" customFormat="false" ht="15" hidden="false" customHeight="true" outlineLevel="0" collapsed="false">
      <c r="A1792" s="1" t="n">
        <v>11791</v>
      </c>
      <c r="B1792" s="14" t="n">
        <v>46352</v>
      </c>
      <c r="C1792" s="1" t="n">
        <v>1363</v>
      </c>
      <c r="D1792" s="1" t="s">
        <v>34</v>
      </c>
      <c r="E1792" s="1" t="s">
        <v>32</v>
      </c>
      <c r="F1792" s="1" t="n">
        <v>4</v>
      </c>
      <c r="G1792" s="15" t="n">
        <v>290.92</v>
      </c>
      <c r="H1792" s="16" t="n">
        <v>0.16</v>
      </c>
      <c r="I1792" s="1" t="s">
        <v>33</v>
      </c>
      <c r="J1792" s="1" t="n">
        <v>10</v>
      </c>
      <c r="K1792" s="1" t="n">
        <v>2.3</v>
      </c>
      <c r="L1792" s="15" t="n">
        <v>977.49</v>
      </c>
      <c r="M1792" s="15" t="n">
        <f aca="false">F1792*G1792</f>
        <v>1163.68</v>
      </c>
      <c r="N1792" s="15" t="n">
        <f aca="false">M1792-L1792</f>
        <v>186.19</v>
      </c>
      <c r="O1792" s="1" t="n">
        <f aca="false">YEAR(B1792)</f>
        <v>2026</v>
      </c>
      <c r="P1792" s="1" t="n">
        <f aca="false">MONTH(B1792)</f>
        <v>11</v>
      </c>
      <c r="Q1792" s="1" t="str">
        <f aca="false">TEXT(B1792,"mmm")</f>
        <v>Nov</v>
      </c>
      <c r="R1792" s="1" t="str">
        <f aca="false">"Q"&amp;ROUNDUP(MONTH(B1792)/3,0)</f>
        <v>Q4</v>
      </c>
    </row>
    <row r="1793" customFormat="false" ht="15" hidden="false" customHeight="true" outlineLevel="0" collapsed="false">
      <c r="A1793" s="1" t="n">
        <v>11792</v>
      </c>
      <c r="B1793" s="14" t="n">
        <v>46353</v>
      </c>
      <c r="C1793" s="1" t="n">
        <v>1279</v>
      </c>
      <c r="D1793" s="1" t="s">
        <v>34</v>
      </c>
      <c r="E1793" s="1" t="s">
        <v>36</v>
      </c>
      <c r="F1793" s="1" t="n">
        <v>5</v>
      </c>
      <c r="G1793" s="15" t="n">
        <v>172.31</v>
      </c>
      <c r="H1793" s="16" t="n">
        <v>0.03</v>
      </c>
      <c r="I1793" s="1" t="s">
        <v>33</v>
      </c>
      <c r="J1793" s="1" t="n">
        <v>6</v>
      </c>
      <c r="K1793" s="1" t="n">
        <v>2.2</v>
      </c>
      <c r="L1793" s="15" t="n">
        <v>835.7</v>
      </c>
      <c r="M1793" s="15" t="n">
        <f aca="false">F1793*G1793</f>
        <v>861.55</v>
      </c>
      <c r="N1793" s="15" t="n">
        <f aca="false">M1793-L1793</f>
        <v>25.8499999999999</v>
      </c>
      <c r="O1793" s="1" t="n">
        <f aca="false">YEAR(B1793)</f>
        <v>2026</v>
      </c>
      <c r="P1793" s="1" t="n">
        <f aca="false">MONTH(B1793)</f>
        <v>11</v>
      </c>
      <c r="Q1793" s="1" t="str">
        <f aca="false">TEXT(B1793,"mmm")</f>
        <v>Nov</v>
      </c>
      <c r="R1793" s="1" t="str">
        <f aca="false">"Q"&amp;ROUNDUP(MONTH(B1793)/3,0)</f>
        <v>Q4</v>
      </c>
    </row>
    <row r="1794" customFormat="false" ht="15" hidden="false" customHeight="true" outlineLevel="0" collapsed="false">
      <c r="A1794" s="1" t="n">
        <v>11793</v>
      </c>
      <c r="B1794" s="14" t="n">
        <v>46354</v>
      </c>
      <c r="C1794" s="1" t="n">
        <v>1592</v>
      </c>
      <c r="D1794" s="1" t="s">
        <v>30</v>
      </c>
      <c r="E1794" s="1" t="s">
        <v>28</v>
      </c>
      <c r="F1794" s="1" t="n">
        <v>6</v>
      </c>
      <c r="G1794" s="15" t="n">
        <v>47.78</v>
      </c>
      <c r="H1794" s="16" t="n">
        <v>0.19</v>
      </c>
      <c r="I1794" s="1" t="s">
        <v>33</v>
      </c>
      <c r="J1794" s="1" t="n">
        <v>1</v>
      </c>
      <c r="K1794" s="1" t="n">
        <v>1.2</v>
      </c>
      <c r="L1794" s="15" t="n">
        <v>232.21</v>
      </c>
      <c r="M1794" s="15" t="n">
        <f aca="false">F1794*G1794</f>
        <v>286.68</v>
      </c>
      <c r="N1794" s="15" t="n">
        <f aca="false">M1794-L1794</f>
        <v>54.47</v>
      </c>
      <c r="O1794" s="1" t="n">
        <f aca="false">YEAR(B1794)</f>
        <v>2026</v>
      </c>
      <c r="P1794" s="1" t="n">
        <f aca="false">MONTH(B1794)</f>
        <v>11</v>
      </c>
      <c r="Q1794" s="1" t="str">
        <f aca="false">TEXT(B1794,"mmm")</f>
        <v>Nov</v>
      </c>
      <c r="R1794" s="1" t="str">
        <f aca="false">"Q"&amp;ROUNDUP(MONTH(B1794)/3,0)</f>
        <v>Q4</v>
      </c>
    </row>
    <row r="1795" customFormat="false" ht="15" hidden="false" customHeight="true" outlineLevel="0" collapsed="false">
      <c r="A1795" s="1" t="n">
        <v>11794</v>
      </c>
      <c r="B1795" s="14" t="n">
        <v>46355</v>
      </c>
      <c r="C1795" s="1" t="n">
        <v>1713</v>
      </c>
      <c r="D1795" s="1" t="s">
        <v>37</v>
      </c>
      <c r="E1795" s="1" t="s">
        <v>36</v>
      </c>
      <c r="F1795" s="1" t="n">
        <v>6</v>
      </c>
      <c r="G1795" s="15" t="n">
        <v>254.06</v>
      </c>
      <c r="H1795" s="16" t="n">
        <v>0.12</v>
      </c>
      <c r="I1795" s="1" t="s">
        <v>31</v>
      </c>
      <c r="J1795" s="1" t="n">
        <v>11</v>
      </c>
      <c r="K1795" s="1" t="n">
        <v>3.7</v>
      </c>
      <c r="L1795" s="15" t="n">
        <v>1341.44</v>
      </c>
      <c r="M1795" s="15" t="n">
        <f aca="false">F1795*G1795</f>
        <v>1524.36</v>
      </c>
      <c r="N1795" s="15" t="n">
        <f aca="false">M1795-L1795</f>
        <v>182.92</v>
      </c>
      <c r="O1795" s="1" t="n">
        <f aca="false">YEAR(B1795)</f>
        <v>2026</v>
      </c>
      <c r="P1795" s="1" t="n">
        <f aca="false">MONTH(B1795)</f>
        <v>11</v>
      </c>
      <c r="Q1795" s="1" t="str">
        <f aca="false">TEXT(B1795,"mmm")</f>
        <v>Nov</v>
      </c>
      <c r="R1795" s="1" t="str">
        <f aca="false">"Q"&amp;ROUNDUP(MONTH(B1795)/3,0)</f>
        <v>Q4</v>
      </c>
    </row>
    <row r="1796" customFormat="false" ht="15" hidden="false" customHeight="true" outlineLevel="0" collapsed="false">
      <c r="A1796" s="1" t="n">
        <v>11795</v>
      </c>
      <c r="B1796" s="14" t="n">
        <v>46356</v>
      </c>
      <c r="C1796" s="1" t="n">
        <v>1157</v>
      </c>
      <c r="D1796" s="1" t="s">
        <v>30</v>
      </c>
      <c r="E1796" s="1" t="s">
        <v>32</v>
      </c>
      <c r="F1796" s="1" t="n">
        <v>7</v>
      </c>
      <c r="G1796" s="15" t="n">
        <v>45.77</v>
      </c>
      <c r="H1796" s="16" t="n">
        <v>0.04</v>
      </c>
      <c r="I1796" s="1" t="s">
        <v>31</v>
      </c>
      <c r="J1796" s="1" t="n">
        <v>4</v>
      </c>
      <c r="K1796" s="1" t="n">
        <v>2.1</v>
      </c>
      <c r="L1796" s="15" t="n">
        <v>307.57</v>
      </c>
      <c r="M1796" s="15" t="n">
        <f aca="false">F1796*G1796</f>
        <v>320.39</v>
      </c>
      <c r="N1796" s="15" t="n">
        <f aca="false">M1796-L1796</f>
        <v>12.8200000000001</v>
      </c>
      <c r="O1796" s="1" t="n">
        <f aca="false">YEAR(B1796)</f>
        <v>2026</v>
      </c>
      <c r="P1796" s="1" t="n">
        <f aca="false">MONTH(B1796)</f>
        <v>11</v>
      </c>
      <c r="Q1796" s="1" t="str">
        <f aca="false">TEXT(B1796,"mmm")</f>
        <v>Nov</v>
      </c>
      <c r="R1796" s="1" t="str">
        <f aca="false">"Q"&amp;ROUNDUP(MONTH(B1796)/3,0)</f>
        <v>Q4</v>
      </c>
    </row>
    <row r="1797" customFormat="false" ht="15" hidden="false" customHeight="true" outlineLevel="0" collapsed="false">
      <c r="A1797" s="1" t="n">
        <v>11796</v>
      </c>
      <c r="B1797" s="14" t="n">
        <v>46357</v>
      </c>
      <c r="C1797" s="1" t="n">
        <v>1631</v>
      </c>
      <c r="D1797" s="1" t="s">
        <v>34</v>
      </c>
      <c r="E1797" s="1" t="s">
        <v>32</v>
      </c>
      <c r="F1797" s="1" t="n">
        <v>3</v>
      </c>
      <c r="G1797" s="15" t="n">
        <v>337.04</v>
      </c>
      <c r="H1797" s="16" t="n">
        <v>0.16</v>
      </c>
      <c r="I1797" s="1" t="s">
        <v>33</v>
      </c>
      <c r="J1797" s="1" t="n">
        <v>7</v>
      </c>
      <c r="K1797" s="1" t="n">
        <v>4.8</v>
      </c>
      <c r="L1797" s="15" t="n">
        <v>849.34</v>
      </c>
      <c r="M1797" s="15" t="n">
        <f aca="false">F1797*G1797</f>
        <v>1011.12</v>
      </c>
      <c r="N1797" s="15" t="n">
        <f aca="false">M1797-L1797</f>
        <v>161.78</v>
      </c>
      <c r="O1797" s="1" t="n">
        <f aca="false">YEAR(B1797)</f>
        <v>2026</v>
      </c>
      <c r="P1797" s="1" t="n">
        <f aca="false">MONTH(B1797)</f>
        <v>12</v>
      </c>
      <c r="Q1797" s="1" t="str">
        <f aca="false">TEXT(B1797,"mmm")</f>
        <v>Dec</v>
      </c>
      <c r="R1797" s="1" t="str">
        <f aca="false">"Q"&amp;ROUNDUP(MONTH(B1797)/3,0)</f>
        <v>Q4</v>
      </c>
    </row>
    <row r="1798" customFormat="false" ht="15" hidden="false" customHeight="true" outlineLevel="0" collapsed="false">
      <c r="A1798" s="1" t="n">
        <v>11797</v>
      </c>
      <c r="B1798" s="14" t="n">
        <v>46358</v>
      </c>
      <c r="C1798" s="1" t="n">
        <v>1058</v>
      </c>
      <c r="D1798" s="1" t="s">
        <v>37</v>
      </c>
      <c r="E1798" s="1" t="s">
        <v>32</v>
      </c>
      <c r="F1798" s="1" t="n">
        <v>7</v>
      </c>
      <c r="G1798" s="15" t="n">
        <v>194.77</v>
      </c>
      <c r="H1798" s="16" t="n">
        <v>0</v>
      </c>
      <c r="I1798" s="1" t="s">
        <v>31</v>
      </c>
      <c r="J1798" s="1" t="n">
        <v>4</v>
      </c>
      <c r="K1798" s="1" t="n">
        <v>1.8</v>
      </c>
      <c r="L1798" s="15" t="n">
        <v>1363.39</v>
      </c>
      <c r="M1798" s="15" t="n">
        <f aca="false">F1798*G1798</f>
        <v>1363.39</v>
      </c>
      <c r="N1798" s="15" t="n">
        <f aca="false">M1798-L1798</f>
        <v>0</v>
      </c>
      <c r="O1798" s="1" t="n">
        <f aca="false">YEAR(B1798)</f>
        <v>2026</v>
      </c>
      <c r="P1798" s="1" t="n">
        <f aca="false">MONTH(B1798)</f>
        <v>12</v>
      </c>
      <c r="Q1798" s="1" t="str">
        <f aca="false">TEXT(B1798,"mmm")</f>
        <v>Dec</v>
      </c>
      <c r="R1798" s="1" t="str">
        <f aca="false">"Q"&amp;ROUNDUP(MONTH(B1798)/3,0)</f>
        <v>Q4</v>
      </c>
    </row>
    <row r="1799" customFormat="false" ht="15" hidden="false" customHeight="true" outlineLevel="0" collapsed="false">
      <c r="A1799" s="1" t="n">
        <v>11798</v>
      </c>
      <c r="B1799" s="14" t="n">
        <v>46359</v>
      </c>
      <c r="C1799" s="1" t="n">
        <v>1726</v>
      </c>
      <c r="D1799" s="1" t="s">
        <v>34</v>
      </c>
      <c r="E1799" s="1" t="s">
        <v>32</v>
      </c>
      <c r="F1799" s="1" t="n">
        <v>3</v>
      </c>
      <c r="G1799" s="15" t="n">
        <v>327.16</v>
      </c>
      <c r="H1799" s="16" t="n">
        <v>0.14</v>
      </c>
      <c r="I1799" s="1" t="s">
        <v>31</v>
      </c>
      <c r="J1799" s="1" t="n">
        <v>9</v>
      </c>
      <c r="K1799" s="1" t="n">
        <v>3.1</v>
      </c>
      <c r="L1799" s="15" t="n">
        <v>844.07</v>
      </c>
      <c r="M1799" s="15" t="n">
        <f aca="false">F1799*G1799</f>
        <v>981.48</v>
      </c>
      <c r="N1799" s="15" t="n">
        <f aca="false">M1799-L1799</f>
        <v>137.41</v>
      </c>
      <c r="O1799" s="1" t="n">
        <f aca="false">YEAR(B1799)</f>
        <v>2026</v>
      </c>
      <c r="P1799" s="1" t="n">
        <f aca="false">MONTH(B1799)</f>
        <v>12</v>
      </c>
      <c r="Q1799" s="1" t="str">
        <f aca="false">TEXT(B1799,"mmm")</f>
        <v>Dec</v>
      </c>
      <c r="R1799" s="1" t="str">
        <f aca="false">"Q"&amp;ROUNDUP(MONTH(B1799)/3,0)</f>
        <v>Q4</v>
      </c>
    </row>
    <row r="1800" customFormat="false" ht="15" hidden="false" customHeight="true" outlineLevel="0" collapsed="false">
      <c r="A1800" s="1" t="n">
        <v>11799</v>
      </c>
      <c r="B1800" s="14" t="n">
        <v>46360</v>
      </c>
      <c r="C1800" s="1" t="n">
        <v>1127</v>
      </c>
      <c r="D1800" s="1" t="s">
        <v>30</v>
      </c>
      <c r="E1800" s="1" t="s">
        <v>35</v>
      </c>
      <c r="F1800" s="1" t="n">
        <v>4</v>
      </c>
      <c r="G1800" s="15" t="n">
        <v>93.56</v>
      </c>
      <c r="H1800" s="16" t="n">
        <v>0.04</v>
      </c>
      <c r="I1800" s="1" t="s">
        <v>31</v>
      </c>
      <c r="J1800" s="1" t="n">
        <v>10</v>
      </c>
      <c r="K1800" s="1" t="n">
        <v>3.9</v>
      </c>
      <c r="L1800" s="15" t="n">
        <v>359.27</v>
      </c>
      <c r="M1800" s="15" t="n">
        <f aca="false">F1800*G1800</f>
        <v>374.24</v>
      </c>
      <c r="N1800" s="15" t="n">
        <f aca="false">M1800-L1800</f>
        <v>14.97</v>
      </c>
      <c r="O1800" s="1" t="n">
        <f aca="false">YEAR(B1800)</f>
        <v>2026</v>
      </c>
      <c r="P1800" s="1" t="n">
        <f aca="false">MONTH(B1800)</f>
        <v>12</v>
      </c>
      <c r="Q1800" s="1" t="str">
        <f aca="false">TEXT(B1800,"mmm")</f>
        <v>Dec</v>
      </c>
      <c r="R1800" s="1" t="str">
        <f aca="false">"Q"&amp;ROUNDUP(MONTH(B1800)/3,0)</f>
        <v>Q4</v>
      </c>
    </row>
    <row r="1801" customFormat="false" ht="15" hidden="false" customHeight="true" outlineLevel="0" collapsed="false">
      <c r="A1801" s="1" t="n">
        <v>11800</v>
      </c>
      <c r="B1801" s="14" t="n">
        <v>46361</v>
      </c>
      <c r="C1801" s="1" t="n">
        <v>1735</v>
      </c>
      <c r="D1801" s="1" t="s">
        <v>34</v>
      </c>
      <c r="E1801" s="1" t="s">
        <v>32</v>
      </c>
      <c r="F1801" s="1" t="n">
        <v>6</v>
      </c>
      <c r="G1801" s="15" t="n">
        <v>560.59</v>
      </c>
      <c r="H1801" s="16" t="n">
        <v>0.01</v>
      </c>
      <c r="I1801" s="1" t="s">
        <v>31</v>
      </c>
      <c r="J1801" s="1" t="n">
        <v>5</v>
      </c>
      <c r="K1801" s="1" t="n">
        <v>4.5</v>
      </c>
      <c r="L1801" s="15" t="n">
        <v>3329.9</v>
      </c>
      <c r="M1801" s="15" t="n">
        <f aca="false">F1801*G1801</f>
        <v>3363.54</v>
      </c>
      <c r="N1801" s="15" t="n">
        <f aca="false">M1801-L1801</f>
        <v>33.6399999999999</v>
      </c>
      <c r="O1801" s="1" t="n">
        <f aca="false">YEAR(B1801)</f>
        <v>2026</v>
      </c>
      <c r="P1801" s="1" t="n">
        <f aca="false">MONTH(B1801)</f>
        <v>12</v>
      </c>
      <c r="Q1801" s="1" t="str">
        <f aca="false">TEXT(B1801,"mmm")</f>
        <v>Dec</v>
      </c>
      <c r="R1801" s="1" t="str">
        <f aca="false">"Q"&amp;ROUNDUP(MONTH(B1801)/3,0)</f>
        <v>Q4</v>
      </c>
    </row>
    <row r="1802" customFormat="false" ht="15" hidden="false" customHeight="true" outlineLevel="0" collapsed="false">
      <c r="A1802" s="1" t="n">
        <v>11801</v>
      </c>
      <c r="B1802" s="14" t="n">
        <v>46362</v>
      </c>
      <c r="C1802" s="1" t="n">
        <v>1720</v>
      </c>
      <c r="D1802" s="1" t="s">
        <v>34</v>
      </c>
      <c r="E1802" s="1" t="s">
        <v>28</v>
      </c>
      <c r="F1802" s="1" t="n">
        <v>5</v>
      </c>
      <c r="G1802" s="15" t="n">
        <v>538.29</v>
      </c>
      <c r="H1802" s="16" t="n">
        <v>0.29</v>
      </c>
      <c r="I1802" s="1" t="s">
        <v>29</v>
      </c>
      <c r="J1802" s="1" t="n">
        <v>9</v>
      </c>
      <c r="K1802" s="1" t="n">
        <v>1.6</v>
      </c>
      <c r="L1802" s="15" t="n">
        <v>1910.93</v>
      </c>
      <c r="M1802" s="15" t="n">
        <f aca="false">F1802*G1802</f>
        <v>2691.45</v>
      </c>
      <c r="N1802" s="15" t="n">
        <f aca="false">M1802-L1802</f>
        <v>780.52</v>
      </c>
      <c r="O1802" s="1" t="n">
        <f aca="false">YEAR(B1802)</f>
        <v>2026</v>
      </c>
      <c r="P1802" s="1" t="n">
        <f aca="false">MONTH(B1802)</f>
        <v>12</v>
      </c>
      <c r="Q1802" s="1" t="str">
        <f aca="false">TEXT(B1802,"mmm")</f>
        <v>Dec</v>
      </c>
      <c r="R1802" s="1" t="str">
        <f aca="false">"Q"&amp;ROUNDUP(MONTH(B1802)/3,0)</f>
        <v>Q4</v>
      </c>
    </row>
    <row r="1803" customFormat="false" ht="15" hidden="false" customHeight="true" outlineLevel="0" collapsed="false">
      <c r="A1803" s="1" t="n">
        <v>11802</v>
      </c>
      <c r="B1803" s="14" t="n">
        <v>46363</v>
      </c>
      <c r="C1803" s="1" t="n">
        <v>1881</v>
      </c>
      <c r="D1803" s="1" t="s">
        <v>34</v>
      </c>
      <c r="E1803" s="1" t="s">
        <v>32</v>
      </c>
      <c r="F1803" s="1" t="n">
        <v>6</v>
      </c>
      <c r="G1803" s="15" t="n">
        <v>126.15</v>
      </c>
      <c r="H1803" s="16" t="n">
        <v>0.32</v>
      </c>
      <c r="I1803" s="1" t="s">
        <v>33</v>
      </c>
      <c r="J1803" s="1" t="n">
        <v>1</v>
      </c>
      <c r="K1803" s="1" t="n">
        <v>4.9</v>
      </c>
      <c r="L1803" s="15" t="n">
        <v>514.69</v>
      </c>
      <c r="M1803" s="15" t="n">
        <f aca="false">F1803*G1803</f>
        <v>756.9</v>
      </c>
      <c r="N1803" s="15" t="n">
        <f aca="false">M1803-L1803</f>
        <v>242.21</v>
      </c>
      <c r="O1803" s="1" t="n">
        <f aca="false">YEAR(B1803)</f>
        <v>2026</v>
      </c>
      <c r="P1803" s="1" t="n">
        <f aca="false">MONTH(B1803)</f>
        <v>12</v>
      </c>
      <c r="Q1803" s="1" t="str">
        <f aca="false">TEXT(B1803,"mmm")</f>
        <v>Dec</v>
      </c>
      <c r="R1803" s="1" t="str">
        <f aca="false">"Q"&amp;ROUNDUP(MONTH(B1803)/3,0)</f>
        <v>Q4</v>
      </c>
    </row>
    <row r="1804" customFormat="false" ht="15" hidden="false" customHeight="true" outlineLevel="0" collapsed="false">
      <c r="A1804" s="1" t="n">
        <v>11803</v>
      </c>
      <c r="B1804" s="14" t="n">
        <v>46364</v>
      </c>
      <c r="C1804" s="1" t="n">
        <v>1114</v>
      </c>
      <c r="D1804" s="1" t="s">
        <v>30</v>
      </c>
      <c r="E1804" s="1" t="s">
        <v>36</v>
      </c>
      <c r="F1804" s="1" t="n">
        <v>3</v>
      </c>
      <c r="G1804" s="15" t="n">
        <v>215.91</v>
      </c>
      <c r="H1804" s="16" t="n">
        <v>0.07</v>
      </c>
      <c r="I1804" s="1" t="s">
        <v>31</v>
      </c>
      <c r="J1804" s="1" t="n">
        <v>4</v>
      </c>
      <c r="K1804" s="1" t="n">
        <v>4.6</v>
      </c>
      <c r="L1804" s="15" t="n">
        <v>602.39</v>
      </c>
      <c r="M1804" s="15" t="n">
        <f aca="false">F1804*G1804</f>
        <v>647.73</v>
      </c>
      <c r="N1804" s="15" t="n">
        <f aca="false">M1804-L1804</f>
        <v>45.34</v>
      </c>
      <c r="O1804" s="1" t="n">
        <f aca="false">YEAR(B1804)</f>
        <v>2026</v>
      </c>
      <c r="P1804" s="1" t="n">
        <f aca="false">MONTH(B1804)</f>
        <v>12</v>
      </c>
      <c r="Q1804" s="1" t="str">
        <f aca="false">TEXT(B1804,"mmm")</f>
        <v>Dec</v>
      </c>
      <c r="R1804" s="1" t="str">
        <f aca="false">"Q"&amp;ROUNDUP(MONTH(B1804)/3,0)</f>
        <v>Q4</v>
      </c>
    </row>
    <row r="1805" customFormat="false" ht="15" hidden="false" customHeight="true" outlineLevel="0" collapsed="false">
      <c r="A1805" s="1" t="n">
        <v>11804</v>
      </c>
      <c r="B1805" s="14" t="n">
        <v>46365</v>
      </c>
      <c r="C1805" s="1" t="n">
        <v>1208</v>
      </c>
      <c r="D1805" s="1" t="s">
        <v>34</v>
      </c>
      <c r="E1805" s="1" t="s">
        <v>35</v>
      </c>
      <c r="F1805" s="1" t="n">
        <v>7</v>
      </c>
      <c r="G1805" s="15" t="n">
        <v>373.89</v>
      </c>
      <c r="H1805" s="16" t="n">
        <v>0.19</v>
      </c>
      <c r="I1805" s="1" t="s">
        <v>33</v>
      </c>
      <c r="J1805" s="1" t="n">
        <v>7</v>
      </c>
      <c r="K1805" s="1" t="n">
        <v>4.9</v>
      </c>
      <c r="L1805" s="15" t="n">
        <v>2119.96</v>
      </c>
      <c r="M1805" s="15" t="n">
        <f aca="false">F1805*G1805</f>
        <v>2617.23</v>
      </c>
      <c r="N1805" s="15" t="n">
        <f aca="false">M1805-L1805</f>
        <v>497.27</v>
      </c>
      <c r="O1805" s="1" t="n">
        <f aca="false">YEAR(B1805)</f>
        <v>2026</v>
      </c>
      <c r="P1805" s="1" t="n">
        <f aca="false">MONTH(B1805)</f>
        <v>12</v>
      </c>
      <c r="Q1805" s="1" t="str">
        <f aca="false">TEXT(B1805,"mmm")</f>
        <v>Dec</v>
      </c>
      <c r="R1805" s="1" t="str">
        <f aca="false">"Q"&amp;ROUNDUP(MONTH(B1805)/3,0)</f>
        <v>Q4</v>
      </c>
    </row>
    <row r="1806" customFormat="false" ht="15" hidden="false" customHeight="true" outlineLevel="0" collapsed="false">
      <c r="A1806" s="1" t="n">
        <v>11805</v>
      </c>
      <c r="B1806" s="14" t="n">
        <v>46366</v>
      </c>
      <c r="C1806" s="1" t="n">
        <v>1525</v>
      </c>
      <c r="D1806" s="1" t="s">
        <v>30</v>
      </c>
      <c r="E1806" s="1" t="s">
        <v>28</v>
      </c>
      <c r="F1806" s="1" t="n">
        <v>4</v>
      </c>
      <c r="G1806" s="15" t="n">
        <v>70.98</v>
      </c>
      <c r="H1806" s="16" t="n">
        <v>0.1</v>
      </c>
      <c r="I1806" s="1" t="s">
        <v>31</v>
      </c>
      <c r="J1806" s="1" t="n">
        <v>2</v>
      </c>
      <c r="K1806" s="1" t="n">
        <v>4.4</v>
      </c>
      <c r="L1806" s="15" t="n">
        <v>255.53</v>
      </c>
      <c r="M1806" s="15" t="n">
        <f aca="false">F1806*G1806</f>
        <v>283.92</v>
      </c>
      <c r="N1806" s="15" t="n">
        <f aca="false">M1806-L1806</f>
        <v>28.39</v>
      </c>
      <c r="O1806" s="1" t="n">
        <f aca="false">YEAR(B1806)</f>
        <v>2026</v>
      </c>
      <c r="P1806" s="1" t="n">
        <f aca="false">MONTH(B1806)</f>
        <v>12</v>
      </c>
      <c r="Q1806" s="1" t="str">
        <f aca="false">TEXT(B1806,"mmm")</f>
        <v>Dec</v>
      </c>
      <c r="R1806" s="1" t="str">
        <f aca="false">"Q"&amp;ROUNDUP(MONTH(B1806)/3,0)</f>
        <v>Q4</v>
      </c>
    </row>
    <row r="1807" customFormat="false" ht="15" hidden="false" customHeight="true" outlineLevel="0" collapsed="false">
      <c r="A1807" s="1" t="n">
        <v>11806</v>
      </c>
      <c r="B1807" s="14" t="n">
        <v>46367</v>
      </c>
      <c r="C1807" s="1" t="n">
        <v>1520</v>
      </c>
      <c r="D1807" s="1" t="s">
        <v>30</v>
      </c>
      <c r="E1807" s="1" t="s">
        <v>35</v>
      </c>
      <c r="F1807" s="1" t="n">
        <v>6</v>
      </c>
      <c r="G1807" s="15" t="n">
        <v>222.42</v>
      </c>
      <c r="H1807" s="16" t="n">
        <v>0.17</v>
      </c>
      <c r="I1807" s="1" t="s">
        <v>33</v>
      </c>
      <c r="J1807" s="1" t="n">
        <v>9</v>
      </c>
      <c r="K1807" s="1" t="n">
        <v>4.5</v>
      </c>
      <c r="L1807" s="15" t="n">
        <v>1107.65</v>
      </c>
      <c r="M1807" s="15" t="n">
        <f aca="false">F1807*G1807</f>
        <v>1334.52</v>
      </c>
      <c r="N1807" s="15" t="n">
        <f aca="false">M1807-L1807</f>
        <v>226.87</v>
      </c>
      <c r="O1807" s="1" t="n">
        <f aca="false">YEAR(B1807)</f>
        <v>2026</v>
      </c>
      <c r="P1807" s="1" t="n">
        <f aca="false">MONTH(B1807)</f>
        <v>12</v>
      </c>
      <c r="Q1807" s="1" t="str">
        <f aca="false">TEXT(B1807,"mmm")</f>
        <v>Dec</v>
      </c>
      <c r="R1807" s="1" t="str">
        <f aca="false">"Q"&amp;ROUNDUP(MONTH(B1807)/3,0)</f>
        <v>Q4</v>
      </c>
    </row>
    <row r="1808" customFormat="false" ht="15" hidden="false" customHeight="true" outlineLevel="0" collapsed="false">
      <c r="A1808" s="1" t="n">
        <v>11807</v>
      </c>
      <c r="B1808" s="14" t="n">
        <v>46368</v>
      </c>
      <c r="C1808" s="1" t="n">
        <v>1551</v>
      </c>
      <c r="D1808" s="1" t="s">
        <v>30</v>
      </c>
      <c r="E1808" s="1" t="s">
        <v>35</v>
      </c>
      <c r="F1808" s="1" t="n">
        <v>4</v>
      </c>
      <c r="G1808" s="15" t="n">
        <v>161.9</v>
      </c>
      <c r="H1808" s="16" t="n">
        <v>0.15</v>
      </c>
      <c r="I1808" s="1" t="s">
        <v>31</v>
      </c>
      <c r="J1808" s="1" t="n">
        <v>3</v>
      </c>
      <c r="K1808" s="1" t="n">
        <v>3.4</v>
      </c>
      <c r="L1808" s="15" t="n">
        <v>550.46</v>
      </c>
      <c r="M1808" s="15" t="n">
        <f aca="false">F1808*G1808</f>
        <v>647.6</v>
      </c>
      <c r="N1808" s="15" t="n">
        <f aca="false">M1808-L1808</f>
        <v>97.14</v>
      </c>
      <c r="O1808" s="1" t="n">
        <f aca="false">YEAR(B1808)</f>
        <v>2026</v>
      </c>
      <c r="P1808" s="1" t="n">
        <f aca="false">MONTH(B1808)</f>
        <v>12</v>
      </c>
      <c r="Q1808" s="1" t="str">
        <f aca="false">TEXT(B1808,"mmm")</f>
        <v>Dec</v>
      </c>
      <c r="R1808" s="1" t="str">
        <f aca="false">"Q"&amp;ROUNDUP(MONTH(B1808)/3,0)</f>
        <v>Q4</v>
      </c>
    </row>
    <row r="1809" customFormat="false" ht="15" hidden="false" customHeight="true" outlineLevel="0" collapsed="false">
      <c r="A1809" s="1" t="n">
        <v>11808</v>
      </c>
      <c r="B1809" s="14" t="n">
        <v>46369</v>
      </c>
      <c r="C1809" s="1" t="n">
        <v>1961</v>
      </c>
      <c r="D1809" s="1" t="s">
        <v>30</v>
      </c>
      <c r="E1809" s="1" t="s">
        <v>35</v>
      </c>
      <c r="F1809" s="1" t="n">
        <v>6</v>
      </c>
      <c r="G1809" s="15" t="n">
        <v>550.58</v>
      </c>
      <c r="H1809" s="16" t="n">
        <v>0.09</v>
      </c>
      <c r="I1809" s="1" t="s">
        <v>29</v>
      </c>
      <c r="J1809" s="1" t="n">
        <v>4</v>
      </c>
      <c r="K1809" s="1" t="n">
        <v>4.4</v>
      </c>
      <c r="L1809" s="15" t="n">
        <v>3006.17</v>
      </c>
      <c r="M1809" s="15" t="n">
        <f aca="false">F1809*G1809</f>
        <v>3303.48</v>
      </c>
      <c r="N1809" s="15" t="n">
        <f aca="false">M1809-L1809</f>
        <v>297.31</v>
      </c>
      <c r="O1809" s="1" t="n">
        <f aca="false">YEAR(B1809)</f>
        <v>2026</v>
      </c>
      <c r="P1809" s="1" t="n">
        <f aca="false">MONTH(B1809)</f>
        <v>12</v>
      </c>
      <c r="Q1809" s="1" t="str">
        <f aca="false">TEXT(B1809,"mmm")</f>
        <v>Dec</v>
      </c>
      <c r="R1809" s="1" t="str">
        <f aca="false">"Q"&amp;ROUNDUP(MONTH(B1809)/3,0)</f>
        <v>Q4</v>
      </c>
    </row>
    <row r="1810" customFormat="false" ht="15" hidden="false" customHeight="true" outlineLevel="0" collapsed="false">
      <c r="A1810" s="1" t="n">
        <v>11809</v>
      </c>
      <c r="B1810" s="14" t="n">
        <v>46370</v>
      </c>
      <c r="C1810" s="1" t="n">
        <v>1236</v>
      </c>
      <c r="D1810" s="1" t="s">
        <v>37</v>
      </c>
      <c r="E1810" s="1" t="s">
        <v>36</v>
      </c>
      <c r="F1810" s="1" t="n">
        <v>7</v>
      </c>
      <c r="G1810" s="15" t="n">
        <v>513.72</v>
      </c>
      <c r="H1810" s="16" t="n">
        <v>0.25</v>
      </c>
      <c r="I1810" s="1" t="s">
        <v>31</v>
      </c>
      <c r="J1810" s="1" t="n">
        <v>4</v>
      </c>
      <c r="K1810" s="1" t="n">
        <v>3.1</v>
      </c>
      <c r="L1810" s="15" t="n">
        <v>2697.03</v>
      </c>
      <c r="M1810" s="15" t="n">
        <f aca="false">F1810*G1810</f>
        <v>3596.04</v>
      </c>
      <c r="N1810" s="15" t="n">
        <f aca="false">M1810-L1810</f>
        <v>899.01</v>
      </c>
      <c r="O1810" s="1" t="n">
        <f aca="false">YEAR(B1810)</f>
        <v>2026</v>
      </c>
      <c r="P1810" s="1" t="n">
        <f aca="false">MONTH(B1810)</f>
        <v>12</v>
      </c>
      <c r="Q1810" s="1" t="str">
        <f aca="false">TEXT(B1810,"mmm")</f>
        <v>Dec</v>
      </c>
      <c r="R1810" s="1" t="str">
        <f aca="false">"Q"&amp;ROUNDUP(MONTH(B1810)/3,0)</f>
        <v>Q4</v>
      </c>
    </row>
    <row r="1811" customFormat="false" ht="15" hidden="false" customHeight="true" outlineLevel="0" collapsed="false">
      <c r="A1811" s="1" t="n">
        <v>11810</v>
      </c>
      <c r="B1811" s="14" t="n">
        <v>46371</v>
      </c>
      <c r="C1811" s="1" t="n">
        <v>1280</v>
      </c>
      <c r="D1811" s="1" t="s">
        <v>34</v>
      </c>
      <c r="E1811" s="1" t="s">
        <v>35</v>
      </c>
      <c r="F1811" s="1" t="n">
        <v>1</v>
      </c>
      <c r="G1811" s="15" t="n">
        <v>354.2</v>
      </c>
      <c r="H1811" s="16" t="n">
        <v>0.04</v>
      </c>
      <c r="I1811" s="1" t="s">
        <v>33</v>
      </c>
      <c r="J1811" s="1" t="n">
        <v>8</v>
      </c>
      <c r="K1811" s="1" t="n">
        <v>3.2</v>
      </c>
      <c r="L1811" s="15" t="n">
        <v>340.03</v>
      </c>
      <c r="M1811" s="15" t="n">
        <f aca="false">F1811*G1811</f>
        <v>354.2</v>
      </c>
      <c r="N1811" s="15" t="n">
        <f aca="false">M1811-L1811</f>
        <v>14.17</v>
      </c>
      <c r="O1811" s="1" t="n">
        <f aca="false">YEAR(B1811)</f>
        <v>2026</v>
      </c>
      <c r="P1811" s="1" t="n">
        <f aca="false">MONTH(B1811)</f>
        <v>12</v>
      </c>
      <c r="Q1811" s="1" t="str">
        <f aca="false">TEXT(B1811,"mmm")</f>
        <v>Dec</v>
      </c>
      <c r="R1811" s="1" t="str">
        <f aca="false">"Q"&amp;ROUNDUP(MONTH(B1811)/3,0)</f>
        <v>Q4</v>
      </c>
    </row>
    <row r="1812" customFormat="false" ht="15" hidden="false" customHeight="true" outlineLevel="0" collapsed="false">
      <c r="A1812" s="1" t="n">
        <v>11811</v>
      </c>
      <c r="B1812" s="14" t="n">
        <v>46372</v>
      </c>
      <c r="C1812" s="1" t="n">
        <v>1358</v>
      </c>
      <c r="D1812" s="1" t="s">
        <v>30</v>
      </c>
      <c r="E1812" s="1" t="s">
        <v>35</v>
      </c>
      <c r="F1812" s="1" t="n">
        <v>7</v>
      </c>
      <c r="G1812" s="15" t="n">
        <v>319.4</v>
      </c>
      <c r="H1812" s="16" t="n">
        <v>0.02</v>
      </c>
      <c r="I1812" s="1" t="s">
        <v>29</v>
      </c>
      <c r="J1812" s="1" t="n">
        <v>2</v>
      </c>
      <c r="K1812" s="1" t="n">
        <v>3.3</v>
      </c>
      <c r="L1812" s="15" t="n">
        <v>2191.08</v>
      </c>
      <c r="M1812" s="15" t="n">
        <f aca="false">F1812*G1812</f>
        <v>2235.8</v>
      </c>
      <c r="N1812" s="15" t="n">
        <f aca="false">M1812-L1812</f>
        <v>44.7199999999998</v>
      </c>
      <c r="O1812" s="1" t="n">
        <f aca="false">YEAR(B1812)</f>
        <v>2026</v>
      </c>
      <c r="P1812" s="1" t="n">
        <f aca="false">MONTH(B1812)</f>
        <v>12</v>
      </c>
      <c r="Q1812" s="1" t="str">
        <f aca="false">TEXT(B1812,"mmm")</f>
        <v>Dec</v>
      </c>
      <c r="R1812" s="1" t="str">
        <f aca="false">"Q"&amp;ROUNDUP(MONTH(B1812)/3,0)</f>
        <v>Q4</v>
      </c>
    </row>
    <row r="1813" customFormat="false" ht="15" hidden="false" customHeight="true" outlineLevel="0" collapsed="false">
      <c r="A1813" s="1" t="n">
        <v>11812</v>
      </c>
      <c r="B1813" s="14" t="n">
        <v>46373</v>
      </c>
      <c r="C1813" s="1" t="n">
        <v>1200</v>
      </c>
      <c r="D1813" s="1" t="s">
        <v>34</v>
      </c>
      <c r="E1813" s="1" t="s">
        <v>32</v>
      </c>
      <c r="F1813" s="1" t="n">
        <v>6</v>
      </c>
      <c r="G1813" s="15" t="n">
        <v>559.47</v>
      </c>
      <c r="H1813" s="16" t="n">
        <v>0.27</v>
      </c>
      <c r="I1813" s="1" t="s">
        <v>29</v>
      </c>
      <c r="J1813" s="1" t="n">
        <v>5</v>
      </c>
      <c r="K1813" s="1" t="n">
        <v>5</v>
      </c>
      <c r="L1813" s="15" t="n">
        <v>2450.48</v>
      </c>
      <c r="M1813" s="15" t="n">
        <f aca="false">F1813*G1813</f>
        <v>3356.82</v>
      </c>
      <c r="N1813" s="15" t="n">
        <f aca="false">M1813-L1813</f>
        <v>906.34</v>
      </c>
      <c r="O1813" s="1" t="n">
        <f aca="false">YEAR(B1813)</f>
        <v>2026</v>
      </c>
      <c r="P1813" s="1" t="n">
        <f aca="false">MONTH(B1813)</f>
        <v>12</v>
      </c>
      <c r="Q1813" s="1" t="str">
        <f aca="false">TEXT(B1813,"mmm")</f>
        <v>Dec</v>
      </c>
      <c r="R1813" s="1" t="str">
        <f aca="false">"Q"&amp;ROUNDUP(MONTH(B1813)/3,0)</f>
        <v>Q4</v>
      </c>
    </row>
    <row r="1814" customFormat="false" ht="15" hidden="false" customHeight="true" outlineLevel="0" collapsed="false">
      <c r="A1814" s="1" t="n">
        <v>11813</v>
      </c>
      <c r="B1814" s="14" t="n">
        <v>46374</v>
      </c>
      <c r="C1814" s="1" t="n">
        <v>1757</v>
      </c>
      <c r="D1814" s="1" t="s">
        <v>34</v>
      </c>
      <c r="E1814" s="1" t="s">
        <v>36</v>
      </c>
      <c r="F1814" s="1" t="n">
        <v>3</v>
      </c>
      <c r="G1814" s="15" t="n">
        <v>560.47</v>
      </c>
      <c r="H1814" s="16" t="n">
        <v>0.23</v>
      </c>
      <c r="I1814" s="1" t="s">
        <v>31</v>
      </c>
      <c r="J1814" s="1" t="n">
        <v>2</v>
      </c>
      <c r="K1814" s="1" t="n">
        <v>1.4</v>
      </c>
      <c r="L1814" s="15" t="n">
        <v>1294.69</v>
      </c>
      <c r="M1814" s="15" t="n">
        <f aca="false">F1814*G1814</f>
        <v>1681.41</v>
      </c>
      <c r="N1814" s="15" t="n">
        <f aca="false">M1814-L1814</f>
        <v>386.72</v>
      </c>
      <c r="O1814" s="1" t="n">
        <f aca="false">YEAR(B1814)</f>
        <v>2026</v>
      </c>
      <c r="P1814" s="1" t="n">
        <f aca="false">MONTH(B1814)</f>
        <v>12</v>
      </c>
      <c r="Q1814" s="1" t="str">
        <f aca="false">TEXT(B1814,"mmm")</f>
        <v>Dec</v>
      </c>
      <c r="R1814" s="1" t="str">
        <f aca="false">"Q"&amp;ROUNDUP(MONTH(B1814)/3,0)</f>
        <v>Q4</v>
      </c>
    </row>
    <row r="1815" customFormat="false" ht="15" hidden="false" customHeight="true" outlineLevel="0" collapsed="false">
      <c r="A1815" s="1" t="n">
        <v>11814</v>
      </c>
      <c r="B1815" s="14" t="n">
        <v>46375</v>
      </c>
      <c r="C1815" s="1" t="n">
        <v>1277</v>
      </c>
      <c r="D1815" s="1" t="s">
        <v>30</v>
      </c>
      <c r="E1815" s="1" t="s">
        <v>28</v>
      </c>
      <c r="F1815" s="1" t="n">
        <v>7</v>
      </c>
      <c r="G1815" s="15" t="n">
        <v>582.06</v>
      </c>
      <c r="H1815" s="16" t="n">
        <v>0.17</v>
      </c>
      <c r="I1815" s="1" t="s">
        <v>33</v>
      </c>
      <c r="J1815" s="1" t="n">
        <v>6</v>
      </c>
      <c r="K1815" s="1" t="n">
        <v>4.2</v>
      </c>
      <c r="L1815" s="15" t="n">
        <v>3381.77</v>
      </c>
      <c r="M1815" s="15" t="n">
        <f aca="false">F1815*G1815</f>
        <v>4074.42</v>
      </c>
      <c r="N1815" s="15" t="n">
        <f aca="false">M1815-L1815</f>
        <v>692.65</v>
      </c>
      <c r="O1815" s="1" t="n">
        <f aca="false">YEAR(B1815)</f>
        <v>2026</v>
      </c>
      <c r="P1815" s="1" t="n">
        <f aca="false">MONTH(B1815)</f>
        <v>12</v>
      </c>
      <c r="Q1815" s="1" t="str">
        <f aca="false">TEXT(B1815,"mmm")</f>
        <v>Dec</v>
      </c>
      <c r="R1815" s="1" t="str">
        <f aca="false">"Q"&amp;ROUNDUP(MONTH(B1815)/3,0)</f>
        <v>Q4</v>
      </c>
    </row>
    <row r="1816" customFormat="false" ht="15" hidden="false" customHeight="true" outlineLevel="0" collapsed="false">
      <c r="A1816" s="1" t="n">
        <v>11815</v>
      </c>
      <c r="B1816" s="14" t="n">
        <v>46376</v>
      </c>
      <c r="C1816" s="1" t="n">
        <v>1234</v>
      </c>
      <c r="D1816" s="1" t="s">
        <v>30</v>
      </c>
      <c r="E1816" s="1" t="s">
        <v>28</v>
      </c>
      <c r="F1816" s="1" t="n">
        <v>5</v>
      </c>
      <c r="G1816" s="15" t="n">
        <v>88.35</v>
      </c>
      <c r="H1816" s="16" t="n">
        <v>0.16</v>
      </c>
      <c r="I1816" s="1" t="s">
        <v>31</v>
      </c>
      <c r="J1816" s="1" t="n">
        <v>9</v>
      </c>
      <c r="K1816" s="1" t="n">
        <v>2.1</v>
      </c>
      <c r="L1816" s="15" t="n">
        <v>371.07</v>
      </c>
      <c r="M1816" s="15" t="n">
        <f aca="false">F1816*G1816</f>
        <v>441.75</v>
      </c>
      <c r="N1816" s="15" t="n">
        <f aca="false">M1816-L1816</f>
        <v>70.68</v>
      </c>
      <c r="O1816" s="1" t="n">
        <f aca="false">YEAR(B1816)</f>
        <v>2026</v>
      </c>
      <c r="P1816" s="1" t="n">
        <f aca="false">MONTH(B1816)</f>
        <v>12</v>
      </c>
      <c r="Q1816" s="1" t="str">
        <f aca="false">TEXT(B1816,"mmm")</f>
        <v>Dec</v>
      </c>
      <c r="R1816" s="1" t="str">
        <f aca="false">"Q"&amp;ROUNDUP(MONTH(B1816)/3,0)</f>
        <v>Q4</v>
      </c>
    </row>
    <row r="1817" customFormat="false" ht="15" hidden="false" customHeight="true" outlineLevel="0" collapsed="false">
      <c r="A1817" s="1" t="n">
        <v>11816</v>
      </c>
      <c r="B1817" s="14" t="n">
        <v>46377</v>
      </c>
      <c r="C1817" s="1" t="n">
        <v>1493</v>
      </c>
      <c r="D1817" s="1" t="s">
        <v>27</v>
      </c>
      <c r="E1817" s="1" t="s">
        <v>28</v>
      </c>
      <c r="F1817" s="1" t="n">
        <v>3</v>
      </c>
      <c r="G1817" s="15" t="n">
        <v>108.93</v>
      </c>
      <c r="H1817" s="16" t="n">
        <v>0.17</v>
      </c>
      <c r="I1817" s="1" t="s">
        <v>33</v>
      </c>
      <c r="J1817" s="1" t="n">
        <v>9</v>
      </c>
      <c r="K1817" s="1" t="n">
        <v>2.4</v>
      </c>
      <c r="L1817" s="15" t="n">
        <v>271.24</v>
      </c>
      <c r="M1817" s="15" t="n">
        <f aca="false">F1817*G1817</f>
        <v>326.79</v>
      </c>
      <c r="N1817" s="15" t="n">
        <f aca="false">M1817-L1817</f>
        <v>55.55</v>
      </c>
      <c r="O1817" s="1" t="n">
        <f aca="false">YEAR(B1817)</f>
        <v>2026</v>
      </c>
      <c r="P1817" s="1" t="n">
        <f aca="false">MONTH(B1817)</f>
        <v>12</v>
      </c>
      <c r="Q1817" s="1" t="str">
        <f aca="false">TEXT(B1817,"mmm")</f>
        <v>Dec</v>
      </c>
      <c r="R1817" s="1" t="str">
        <f aca="false">"Q"&amp;ROUNDUP(MONTH(B1817)/3,0)</f>
        <v>Q4</v>
      </c>
    </row>
    <row r="1818" customFormat="false" ht="15" hidden="false" customHeight="true" outlineLevel="0" collapsed="false">
      <c r="A1818" s="1" t="n">
        <v>11817</v>
      </c>
      <c r="B1818" s="14" t="n">
        <v>46378</v>
      </c>
      <c r="C1818" s="1" t="n">
        <v>1003</v>
      </c>
      <c r="D1818" s="1" t="s">
        <v>30</v>
      </c>
      <c r="E1818" s="1" t="s">
        <v>36</v>
      </c>
      <c r="F1818" s="1" t="n">
        <v>3</v>
      </c>
      <c r="G1818" s="15" t="n">
        <v>410.89</v>
      </c>
      <c r="H1818" s="16" t="n">
        <v>0.15</v>
      </c>
      <c r="I1818" s="1" t="s">
        <v>31</v>
      </c>
      <c r="J1818" s="1" t="n">
        <v>1</v>
      </c>
      <c r="K1818" s="1" t="n">
        <v>1.3</v>
      </c>
      <c r="L1818" s="15" t="n">
        <v>1047.77</v>
      </c>
      <c r="M1818" s="15" t="n">
        <f aca="false">F1818*G1818</f>
        <v>1232.67</v>
      </c>
      <c r="N1818" s="15" t="n">
        <f aca="false">M1818-L1818</f>
        <v>184.9</v>
      </c>
      <c r="O1818" s="1" t="n">
        <f aca="false">YEAR(B1818)</f>
        <v>2026</v>
      </c>
      <c r="P1818" s="1" t="n">
        <f aca="false">MONTH(B1818)</f>
        <v>12</v>
      </c>
      <c r="Q1818" s="1" t="str">
        <f aca="false">TEXT(B1818,"mmm")</f>
        <v>Dec</v>
      </c>
      <c r="R1818" s="1" t="str">
        <f aca="false">"Q"&amp;ROUNDUP(MONTH(B1818)/3,0)</f>
        <v>Q4</v>
      </c>
    </row>
    <row r="1819" customFormat="false" ht="15" hidden="false" customHeight="true" outlineLevel="0" collapsed="false">
      <c r="A1819" s="1" t="n">
        <v>11818</v>
      </c>
      <c r="B1819" s="14" t="n">
        <v>46379</v>
      </c>
      <c r="C1819" s="1" t="n">
        <v>1665</v>
      </c>
      <c r="D1819" s="1" t="s">
        <v>27</v>
      </c>
      <c r="E1819" s="1" t="s">
        <v>28</v>
      </c>
      <c r="F1819" s="1" t="n">
        <v>3</v>
      </c>
      <c r="G1819" s="15" t="n">
        <v>331.74</v>
      </c>
      <c r="H1819" s="16" t="n">
        <v>0.14</v>
      </c>
      <c r="I1819" s="1" t="s">
        <v>29</v>
      </c>
      <c r="J1819" s="1" t="n">
        <v>4</v>
      </c>
      <c r="K1819" s="1" t="n">
        <v>2.4</v>
      </c>
      <c r="L1819" s="15" t="n">
        <v>855.89</v>
      </c>
      <c r="M1819" s="15" t="n">
        <f aca="false">F1819*G1819</f>
        <v>995.22</v>
      </c>
      <c r="N1819" s="15" t="n">
        <f aca="false">M1819-L1819</f>
        <v>139.33</v>
      </c>
      <c r="O1819" s="1" t="n">
        <f aca="false">YEAR(B1819)</f>
        <v>2026</v>
      </c>
      <c r="P1819" s="1" t="n">
        <f aca="false">MONTH(B1819)</f>
        <v>12</v>
      </c>
      <c r="Q1819" s="1" t="str">
        <f aca="false">TEXT(B1819,"mmm")</f>
        <v>Dec</v>
      </c>
      <c r="R1819" s="1" t="str">
        <f aca="false">"Q"&amp;ROUNDUP(MONTH(B1819)/3,0)</f>
        <v>Q4</v>
      </c>
    </row>
    <row r="1820" customFormat="false" ht="15" hidden="false" customHeight="true" outlineLevel="0" collapsed="false">
      <c r="A1820" s="1" t="n">
        <v>11819</v>
      </c>
      <c r="B1820" s="14" t="n">
        <v>46380</v>
      </c>
      <c r="C1820" s="1" t="n">
        <v>1441</v>
      </c>
      <c r="D1820" s="1" t="s">
        <v>34</v>
      </c>
      <c r="E1820" s="1" t="s">
        <v>36</v>
      </c>
      <c r="F1820" s="1" t="n">
        <v>4</v>
      </c>
      <c r="G1820" s="15" t="n">
        <v>25.8</v>
      </c>
      <c r="H1820" s="16" t="n">
        <v>0.17</v>
      </c>
      <c r="I1820" s="1" t="s">
        <v>31</v>
      </c>
      <c r="J1820" s="1" t="n">
        <v>4</v>
      </c>
      <c r="K1820" s="1" t="n">
        <v>5</v>
      </c>
      <c r="L1820" s="15" t="n">
        <v>85.66</v>
      </c>
      <c r="M1820" s="15" t="n">
        <f aca="false">F1820*G1820</f>
        <v>103.2</v>
      </c>
      <c r="N1820" s="15" t="n">
        <f aca="false">M1820-L1820</f>
        <v>17.54</v>
      </c>
      <c r="O1820" s="1" t="n">
        <f aca="false">YEAR(B1820)</f>
        <v>2026</v>
      </c>
      <c r="P1820" s="1" t="n">
        <f aca="false">MONTH(B1820)</f>
        <v>12</v>
      </c>
      <c r="Q1820" s="1" t="str">
        <f aca="false">TEXT(B1820,"mmm")</f>
        <v>Dec</v>
      </c>
      <c r="R1820" s="1" t="str">
        <f aca="false">"Q"&amp;ROUNDUP(MONTH(B1820)/3,0)</f>
        <v>Q4</v>
      </c>
    </row>
    <row r="1821" customFormat="false" ht="15" hidden="false" customHeight="true" outlineLevel="0" collapsed="false">
      <c r="A1821" s="1" t="n">
        <v>11820</v>
      </c>
      <c r="B1821" s="14" t="n">
        <v>46381</v>
      </c>
      <c r="C1821" s="1" t="n">
        <v>1028</v>
      </c>
      <c r="D1821" s="1" t="s">
        <v>34</v>
      </c>
      <c r="E1821" s="1" t="s">
        <v>32</v>
      </c>
      <c r="F1821" s="1" t="n">
        <v>2</v>
      </c>
      <c r="G1821" s="15" t="n">
        <v>51.26</v>
      </c>
      <c r="H1821" s="16" t="n">
        <v>0.18</v>
      </c>
      <c r="I1821" s="1" t="s">
        <v>33</v>
      </c>
      <c r="J1821" s="1" t="n">
        <v>1</v>
      </c>
      <c r="K1821" s="1" t="n">
        <v>2.6</v>
      </c>
      <c r="L1821" s="15" t="n">
        <v>84.07</v>
      </c>
      <c r="M1821" s="15" t="n">
        <f aca="false">F1821*G1821</f>
        <v>102.52</v>
      </c>
      <c r="N1821" s="15" t="n">
        <f aca="false">M1821-L1821</f>
        <v>18.45</v>
      </c>
      <c r="O1821" s="1" t="n">
        <f aca="false">YEAR(B1821)</f>
        <v>2026</v>
      </c>
      <c r="P1821" s="1" t="n">
        <f aca="false">MONTH(B1821)</f>
        <v>12</v>
      </c>
      <c r="Q1821" s="1" t="str">
        <f aca="false">TEXT(B1821,"mmm")</f>
        <v>Dec</v>
      </c>
      <c r="R1821" s="1" t="str">
        <f aca="false">"Q"&amp;ROUNDUP(MONTH(B1821)/3,0)</f>
        <v>Q4</v>
      </c>
    </row>
    <row r="1822" customFormat="false" ht="15" hidden="false" customHeight="true" outlineLevel="0" collapsed="false">
      <c r="A1822" s="1" t="n">
        <v>11821</v>
      </c>
      <c r="B1822" s="14" t="n">
        <v>46382</v>
      </c>
      <c r="C1822" s="1" t="n">
        <v>1108</v>
      </c>
      <c r="D1822" s="1" t="s">
        <v>34</v>
      </c>
      <c r="E1822" s="1" t="s">
        <v>32</v>
      </c>
      <c r="F1822" s="1" t="n">
        <v>2</v>
      </c>
      <c r="G1822" s="15" t="n">
        <v>534.53</v>
      </c>
      <c r="H1822" s="16" t="n">
        <v>0.24</v>
      </c>
      <c r="I1822" s="1" t="s">
        <v>33</v>
      </c>
      <c r="J1822" s="1" t="n">
        <v>10</v>
      </c>
      <c r="K1822" s="1" t="n">
        <v>3.7</v>
      </c>
      <c r="L1822" s="15" t="n">
        <v>812.49</v>
      </c>
      <c r="M1822" s="15" t="n">
        <f aca="false">F1822*G1822</f>
        <v>1069.06</v>
      </c>
      <c r="N1822" s="15" t="n">
        <f aca="false">M1822-L1822</f>
        <v>256.57</v>
      </c>
      <c r="O1822" s="1" t="n">
        <f aca="false">YEAR(B1822)</f>
        <v>2026</v>
      </c>
      <c r="P1822" s="1" t="n">
        <f aca="false">MONTH(B1822)</f>
        <v>12</v>
      </c>
      <c r="Q1822" s="1" t="str">
        <f aca="false">TEXT(B1822,"mmm")</f>
        <v>Dec</v>
      </c>
      <c r="R1822" s="1" t="str">
        <f aca="false">"Q"&amp;ROUNDUP(MONTH(B1822)/3,0)</f>
        <v>Q4</v>
      </c>
    </row>
    <row r="1823" customFormat="false" ht="15" hidden="false" customHeight="true" outlineLevel="0" collapsed="false">
      <c r="A1823" s="1" t="n">
        <v>11822</v>
      </c>
      <c r="B1823" s="14" t="n">
        <v>46383</v>
      </c>
      <c r="C1823" s="1" t="n">
        <v>1609</v>
      </c>
      <c r="D1823" s="1" t="s">
        <v>34</v>
      </c>
      <c r="E1823" s="1" t="s">
        <v>36</v>
      </c>
      <c r="F1823" s="1" t="n">
        <v>1</v>
      </c>
      <c r="G1823" s="15" t="n">
        <v>523.29</v>
      </c>
      <c r="H1823" s="16" t="n">
        <v>0.25</v>
      </c>
      <c r="I1823" s="1" t="s">
        <v>29</v>
      </c>
      <c r="J1823" s="1" t="n">
        <v>2</v>
      </c>
      <c r="K1823" s="1" t="n">
        <v>1.5</v>
      </c>
      <c r="L1823" s="15" t="n">
        <v>392.47</v>
      </c>
      <c r="M1823" s="15" t="n">
        <f aca="false">F1823*G1823</f>
        <v>523.29</v>
      </c>
      <c r="N1823" s="15" t="n">
        <f aca="false">M1823-L1823</f>
        <v>130.82</v>
      </c>
      <c r="O1823" s="1" t="n">
        <f aca="false">YEAR(B1823)</f>
        <v>2026</v>
      </c>
      <c r="P1823" s="1" t="n">
        <f aca="false">MONTH(B1823)</f>
        <v>12</v>
      </c>
      <c r="Q1823" s="1" t="str">
        <f aca="false">TEXT(B1823,"mmm")</f>
        <v>Dec</v>
      </c>
      <c r="R1823" s="1" t="str">
        <f aca="false">"Q"&amp;ROUNDUP(MONTH(B1823)/3,0)</f>
        <v>Q4</v>
      </c>
    </row>
    <row r="1824" customFormat="false" ht="15" hidden="false" customHeight="true" outlineLevel="0" collapsed="false">
      <c r="A1824" s="1" t="n">
        <v>11823</v>
      </c>
      <c r="B1824" s="14" t="n">
        <v>46384</v>
      </c>
      <c r="C1824" s="1" t="n">
        <v>1726</v>
      </c>
      <c r="D1824" s="1" t="s">
        <v>30</v>
      </c>
      <c r="E1824" s="1" t="s">
        <v>28</v>
      </c>
      <c r="F1824" s="1" t="n">
        <v>3</v>
      </c>
      <c r="G1824" s="15" t="n">
        <v>224</v>
      </c>
      <c r="H1824" s="16" t="n">
        <v>0.13</v>
      </c>
      <c r="I1824" s="1" t="s">
        <v>33</v>
      </c>
      <c r="J1824" s="1" t="n">
        <v>6</v>
      </c>
      <c r="K1824" s="1" t="n">
        <v>4.7</v>
      </c>
      <c r="L1824" s="15" t="n">
        <v>584.64</v>
      </c>
      <c r="M1824" s="15" t="n">
        <f aca="false">F1824*G1824</f>
        <v>672</v>
      </c>
      <c r="N1824" s="15" t="n">
        <f aca="false">M1824-L1824</f>
        <v>87.36</v>
      </c>
      <c r="O1824" s="1" t="n">
        <f aca="false">YEAR(B1824)</f>
        <v>2026</v>
      </c>
      <c r="P1824" s="1" t="n">
        <f aca="false">MONTH(B1824)</f>
        <v>12</v>
      </c>
      <c r="Q1824" s="1" t="str">
        <f aca="false">TEXT(B1824,"mmm")</f>
        <v>Dec</v>
      </c>
      <c r="R1824" s="1" t="str">
        <f aca="false">"Q"&amp;ROUNDUP(MONTH(B1824)/3,0)</f>
        <v>Q4</v>
      </c>
    </row>
    <row r="1825" customFormat="false" ht="15" hidden="false" customHeight="true" outlineLevel="0" collapsed="false">
      <c r="A1825" s="1" t="n">
        <v>11824</v>
      </c>
      <c r="B1825" s="14" t="n">
        <v>46385</v>
      </c>
      <c r="C1825" s="1" t="n">
        <v>1804</v>
      </c>
      <c r="D1825" s="1" t="s">
        <v>30</v>
      </c>
      <c r="E1825" s="1" t="s">
        <v>36</v>
      </c>
      <c r="F1825" s="1" t="n">
        <v>2</v>
      </c>
      <c r="G1825" s="15" t="n">
        <v>536.26</v>
      </c>
      <c r="H1825" s="16" t="n">
        <v>0.14</v>
      </c>
      <c r="I1825" s="1" t="s">
        <v>31</v>
      </c>
      <c r="J1825" s="1" t="n">
        <v>10</v>
      </c>
      <c r="K1825" s="1" t="n">
        <v>4.3</v>
      </c>
      <c r="L1825" s="15" t="n">
        <v>922.37</v>
      </c>
      <c r="M1825" s="15" t="n">
        <f aca="false">F1825*G1825</f>
        <v>1072.52</v>
      </c>
      <c r="N1825" s="15" t="n">
        <f aca="false">M1825-L1825</f>
        <v>150.15</v>
      </c>
      <c r="O1825" s="1" t="n">
        <f aca="false">YEAR(B1825)</f>
        <v>2026</v>
      </c>
      <c r="P1825" s="1" t="n">
        <f aca="false">MONTH(B1825)</f>
        <v>12</v>
      </c>
      <c r="Q1825" s="1" t="str">
        <f aca="false">TEXT(B1825,"mmm")</f>
        <v>Dec</v>
      </c>
      <c r="R1825" s="1" t="str">
        <f aca="false">"Q"&amp;ROUNDUP(MONTH(B1825)/3,0)</f>
        <v>Q4</v>
      </c>
    </row>
    <row r="1826" customFormat="false" ht="15" hidden="false" customHeight="true" outlineLevel="0" collapsed="false">
      <c r="A1826" s="1" t="n">
        <v>11825</v>
      </c>
      <c r="B1826" s="14" t="n">
        <v>46386</v>
      </c>
      <c r="C1826" s="1" t="n">
        <v>1074</v>
      </c>
      <c r="D1826" s="1" t="s">
        <v>34</v>
      </c>
      <c r="E1826" s="1" t="s">
        <v>36</v>
      </c>
      <c r="F1826" s="1" t="n">
        <v>1</v>
      </c>
      <c r="G1826" s="15" t="n">
        <v>362.3</v>
      </c>
      <c r="H1826" s="16" t="n">
        <v>0.13</v>
      </c>
      <c r="I1826" s="1" t="s">
        <v>31</v>
      </c>
      <c r="J1826" s="1" t="n">
        <v>3</v>
      </c>
      <c r="K1826" s="1" t="n">
        <v>2.5</v>
      </c>
      <c r="L1826" s="15" t="n">
        <v>315.2</v>
      </c>
      <c r="M1826" s="15" t="n">
        <f aca="false">F1826*G1826</f>
        <v>362.3</v>
      </c>
      <c r="N1826" s="15" t="n">
        <f aca="false">M1826-L1826</f>
        <v>47.1</v>
      </c>
      <c r="O1826" s="1" t="n">
        <f aca="false">YEAR(B1826)</f>
        <v>2026</v>
      </c>
      <c r="P1826" s="1" t="n">
        <f aca="false">MONTH(B1826)</f>
        <v>12</v>
      </c>
      <c r="Q1826" s="1" t="str">
        <f aca="false">TEXT(B1826,"mmm")</f>
        <v>Dec</v>
      </c>
      <c r="R1826" s="1" t="str">
        <f aca="false">"Q"&amp;ROUNDUP(MONTH(B1826)/3,0)</f>
        <v>Q4</v>
      </c>
    </row>
    <row r="1827" customFormat="false" ht="15" hidden="false" customHeight="true" outlineLevel="0" collapsed="false">
      <c r="A1827" s="1" t="n">
        <v>11826</v>
      </c>
      <c r="B1827" s="14" t="n">
        <v>46387</v>
      </c>
      <c r="C1827" s="1" t="n">
        <v>1837</v>
      </c>
      <c r="D1827" s="1" t="s">
        <v>27</v>
      </c>
      <c r="E1827" s="1" t="s">
        <v>35</v>
      </c>
      <c r="F1827" s="1" t="n">
        <v>4</v>
      </c>
      <c r="G1827" s="15" t="n">
        <v>486.45</v>
      </c>
      <c r="H1827" s="16" t="n">
        <v>0.19</v>
      </c>
      <c r="I1827" s="1" t="s">
        <v>31</v>
      </c>
      <c r="J1827" s="1" t="n">
        <v>9</v>
      </c>
      <c r="K1827" s="1" t="n">
        <v>2.4</v>
      </c>
      <c r="L1827" s="15" t="n">
        <v>1576.1</v>
      </c>
      <c r="M1827" s="15" t="n">
        <f aca="false">F1827*G1827</f>
        <v>1945.8</v>
      </c>
      <c r="N1827" s="15" t="n">
        <f aca="false">M1827-L1827</f>
        <v>369.7</v>
      </c>
      <c r="O1827" s="1" t="n">
        <f aca="false">YEAR(B1827)</f>
        <v>2026</v>
      </c>
      <c r="P1827" s="1" t="n">
        <f aca="false">MONTH(B1827)</f>
        <v>12</v>
      </c>
      <c r="Q1827" s="1" t="str">
        <f aca="false">TEXT(B1827,"mmm")</f>
        <v>Dec</v>
      </c>
      <c r="R1827" s="1" t="str">
        <f aca="false">"Q"&amp;ROUNDUP(MONTH(B1827)/3,0)</f>
        <v>Q4</v>
      </c>
    </row>
    <row r="1828" customFormat="false" ht="15" hidden="false" customHeight="true" outlineLevel="0" collapsed="false">
      <c r="A1828" s="1" t="n">
        <v>11827</v>
      </c>
      <c r="B1828" s="14" t="n">
        <v>46388</v>
      </c>
      <c r="C1828" s="1" t="n">
        <v>1145</v>
      </c>
      <c r="D1828" s="1" t="s">
        <v>37</v>
      </c>
      <c r="E1828" s="1" t="s">
        <v>36</v>
      </c>
      <c r="F1828" s="1" t="n">
        <v>3</v>
      </c>
      <c r="G1828" s="15" t="n">
        <v>265.05</v>
      </c>
      <c r="H1828" s="16" t="n">
        <v>0.16</v>
      </c>
      <c r="I1828" s="1" t="s">
        <v>33</v>
      </c>
      <c r="J1828" s="1" t="n">
        <v>3</v>
      </c>
      <c r="K1828" s="1" t="n">
        <v>2.7</v>
      </c>
      <c r="L1828" s="15" t="n">
        <v>667.93</v>
      </c>
      <c r="M1828" s="15" t="n">
        <f aca="false">F1828*G1828</f>
        <v>795.15</v>
      </c>
      <c r="N1828" s="15" t="n">
        <f aca="false">M1828-L1828</f>
        <v>127.22</v>
      </c>
      <c r="O1828" s="1" t="n">
        <f aca="false">YEAR(B1828)</f>
        <v>2027</v>
      </c>
      <c r="P1828" s="1" t="n">
        <f aca="false">MONTH(B1828)</f>
        <v>1</v>
      </c>
      <c r="Q1828" s="1" t="str">
        <f aca="false">TEXT(B1828,"mmm")</f>
        <v>Jan</v>
      </c>
      <c r="R1828" s="1" t="str">
        <f aca="false">"Q"&amp;ROUNDUP(MONTH(B1828)/3,0)</f>
        <v>Q1</v>
      </c>
    </row>
    <row r="1829" customFormat="false" ht="15" hidden="false" customHeight="true" outlineLevel="0" collapsed="false">
      <c r="A1829" s="1" t="n">
        <v>11828</v>
      </c>
      <c r="B1829" s="14" t="n">
        <v>46389</v>
      </c>
      <c r="C1829" s="1" t="n">
        <v>1127</v>
      </c>
      <c r="D1829" s="1" t="s">
        <v>34</v>
      </c>
      <c r="E1829" s="1" t="s">
        <v>35</v>
      </c>
      <c r="F1829" s="1" t="n">
        <v>5</v>
      </c>
      <c r="G1829" s="15" t="n">
        <v>81.34</v>
      </c>
      <c r="H1829" s="16" t="n">
        <v>0.31</v>
      </c>
      <c r="I1829" s="1" t="s">
        <v>33</v>
      </c>
      <c r="J1829" s="1" t="n">
        <v>3</v>
      </c>
      <c r="K1829" s="1" t="n">
        <v>2.6</v>
      </c>
      <c r="L1829" s="15" t="n">
        <v>280.62</v>
      </c>
      <c r="M1829" s="15" t="n">
        <f aca="false">F1829*G1829</f>
        <v>406.7</v>
      </c>
      <c r="N1829" s="15" t="n">
        <f aca="false">M1829-L1829</f>
        <v>126.08</v>
      </c>
      <c r="O1829" s="1" t="n">
        <f aca="false">YEAR(B1829)</f>
        <v>2027</v>
      </c>
      <c r="P1829" s="1" t="n">
        <f aca="false">MONTH(B1829)</f>
        <v>1</v>
      </c>
      <c r="Q1829" s="1" t="str">
        <f aca="false">TEXT(B1829,"mmm")</f>
        <v>Jan</v>
      </c>
      <c r="R1829" s="1" t="str">
        <f aca="false">"Q"&amp;ROUNDUP(MONTH(B1829)/3,0)</f>
        <v>Q1</v>
      </c>
    </row>
    <row r="1830" customFormat="false" ht="15" hidden="false" customHeight="true" outlineLevel="0" collapsed="false">
      <c r="A1830" s="1" t="n">
        <v>11829</v>
      </c>
      <c r="B1830" s="14" t="n">
        <v>46390</v>
      </c>
      <c r="C1830" s="1" t="n">
        <v>1852</v>
      </c>
      <c r="D1830" s="1" t="s">
        <v>34</v>
      </c>
      <c r="E1830" s="1" t="s">
        <v>32</v>
      </c>
      <c r="F1830" s="1" t="n">
        <v>4</v>
      </c>
      <c r="G1830" s="15" t="n">
        <v>268.73</v>
      </c>
      <c r="H1830" s="16" t="n">
        <v>0.24</v>
      </c>
      <c r="I1830" s="1" t="s">
        <v>33</v>
      </c>
      <c r="J1830" s="1" t="n">
        <v>9</v>
      </c>
      <c r="K1830" s="1" t="n">
        <v>2</v>
      </c>
      <c r="L1830" s="15" t="n">
        <v>816.94</v>
      </c>
      <c r="M1830" s="15" t="n">
        <f aca="false">F1830*G1830</f>
        <v>1074.92</v>
      </c>
      <c r="N1830" s="15" t="n">
        <f aca="false">M1830-L1830</f>
        <v>257.98</v>
      </c>
      <c r="O1830" s="1" t="n">
        <f aca="false">YEAR(B1830)</f>
        <v>2027</v>
      </c>
      <c r="P1830" s="1" t="n">
        <f aca="false">MONTH(B1830)</f>
        <v>1</v>
      </c>
      <c r="Q1830" s="1" t="str">
        <f aca="false">TEXT(B1830,"mmm")</f>
        <v>Jan</v>
      </c>
      <c r="R1830" s="1" t="str">
        <f aca="false">"Q"&amp;ROUNDUP(MONTH(B1830)/3,0)</f>
        <v>Q1</v>
      </c>
    </row>
    <row r="1831" customFormat="false" ht="15" hidden="false" customHeight="true" outlineLevel="0" collapsed="false">
      <c r="A1831" s="1" t="n">
        <v>11830</v>
      </c>
      <c r="B1831" s="14" t="n">
        <v>46391</v>
      </c>
      <c r="C1831" s="1" t="n">
        <v>1041</v>
      </c>
      <c r="D1831" s="1" t="s">
        <v>34</v>
      </c>
      <c r="E1831" s="1" t="s">
        <v>35</v>
      </c>
      <c r="F1831" s="1" t="n">
        <v>1</v>
      </c>
      <c r="G1831" s="15" t="n">
        <v>282.52</v>
      </c>
      <c r="H1831" s="16" t="n">
        <v>0.31</v>
      </c>
      <c r="I1831" s="1" t="s">
        <v>31</v>
      </c>
      <c r="J1831" s="1" t="n">
        <v>3</v>
      </c>
      <c r="K1831" s="1" t="n">
        <v>5</v>
      </c>
      <c r="L1831" s="15" t="n">
        <v>194.94</v>
      </c>
      <c r="M1831" s="15" t="n">
        <f aca="false">F1831*G1831</f>
        <v>282.52</v>
      </c>
      <c r="N1831" s="15" t="n">
        <f aca="false">M1831-L1831</f>
        <v>87.58</v>
      </c>
      <c r="O1831" s="1" t="n">
        <f aca="false">YEAR(B1831)</f>
        <v>2027</v>
      </c>
      <c r="P1831" s="1" t="n">
        <f aca="false">MONTH(B1831)</f>
        <v>1</v>
      </c>
      <c r="Q1831" s="1" t="str">
        <f aca="false">TEXT(B1831,"mmm")</f>
        <v>Jan</v>
      </c>
      <c r="R1831" s="1" t="str">
        <f aca="false">"Q"&amp;ROUNDUP(MONTH(B1831)/3,0)</f>
        <v>Q1</v>
      </c>
    </row>
    <row r="1832" customFormat="false" ht="15" hidden="false" customHeight="true" outlineLevel="0" collapsed="false">
      <c r="A1832" s="1" t="n">
        <v>11831</v>
      </c>
      <c r="B1832" s="14" t="n">
        <v>46392</v>
      </c>
      <c r="C1832" s="1" t="n">
        <v>1355</v>
      </c>
      <c r="D1832" s="1" t="s">
        <v>34</v>
      </c>
      <c r="E1832" s="1" t="s">
        <v>36</v>
      </c>
      <c r="F1832" s="1" t="n">
        <v>4</v>
      </c>
      <c r="G1832" s="15" t="n">
        <v>337.3</v>
      </c>
      <c r="H1832" s="16" t="n">
        <v>0.25</v>
      </c>
      <c r="I1832" s="1" t="s">
        <v>33</v>
      </c>
      <c r="J1832" s="1" t="n">
        <v>6</v>
      </c>
      <c r="K1832" s="1" t="n">
        <v>4.2</v>
      </c>
      <c r="L1832" s="15" t="n">
        <v>1011.9</v>
      </c>
      <c r="M1832" s="15" t="n">
        <f aca="false">F1832*G1832</f>
        <v>1349.2</v>
      </c>
      <c r="N1832" s="15" t="n">
        <f aca="false">M1832-L1832</f>
        <v>337.3</v>
      </c>
      <c r="O1832" s="1" t="n">
        <f aca="false">YEAR(B1832)</f>
        <v>2027</v>
      </c>
      <c r="P1832" s="1" t="n">
        <f aca="false">MONTH(B1832)</f>
        <v>1</v>
      </c>
      <c r="Q1832" s="1" t="str">
        <f aca="false">TEXT(B1832,"mmm")</f>
        <v>Jan</v>
      </c>
      <c r="R1832" s="1" t="str">
        <f aca="false">"Q"&amp;ROUNDUP(MONTH(B1832)/3,0)</f>
        <v>Q1</v>
      </c>
    </row>
    <row r="1833" customFormat="false" ht="15" hidden="false" customHeight="true" outlineLevel="0" collapsed="false">
      <c r="A1833" s="1" t="n">
        <v>11832</v>
      </c>
      <c r="B1833" s="14" t="n">
        <v>46393</v>
      </c>
      <c r="C1833" s="1" t="n">
        <v>1040</v>
      </c>
      <c r="D1833" s="1" t="s">
        <v>34</v>
      </c>
      <c r="E1833" s="1" t="s">
        <v>32</v>
      </c>
      <c r="F1833" s="1" t="n">
        <v>5</v>
      </c>
      <c r="G1833" s="15" t="n">
        <v>76.77</v>
      </c>
      <c r="H1833" s="16" t="n">
        <v>0.34</v>
      </c>
      <c r="I1833" s="1" t="s">
        <v>33</v>
      </c>
      <c r="J1833" s="1" t="n">
        <v>6</v>
      </c>
      <c r="K1833" s="1" t="n">
        <v>2.1</v>
      </c>
      <c r="L1833" s="15" t="n">
        <v>253.34</v>
      </c>
      <c r="M1833" s="15" t="n">
        <f aca="false">F1833*G1833</f>
        <v>383.85</v>
      </c>
      <c r="N1833" s="15" t="n">
        <f aca="false">M1833-L1833</f>
        <v>130.51</v>
      </c>
      <c r="O1833" s="1" t="n">
        <f aca="false">YEAR(B1833)</f>
        <v>2027</v>
      </c>
      <c r="P1833" s="1" t="n">
        <f aca="false">MONTH(B1833)</f>
        <v>1</v>
      </c>
      <c r="Q1833" s="1" t="str">
        <f aca="false">TEXT(B1833,"mmm")</f>
        <v>Jan</v>
      </c>
      <c r="R1833" s="1" t="str">
        <f aca="false">"Q"&amp;ROUNDUP(MONTH(B1833)/3,0)</f>
        <v>Q1</v>
      </c>
    </row>
    <row r="1834" customFormat="false" ht="15" hidden="false" customHeight="true" outlineLevel="0" collapsed="false">
      <c r="A1834" s="1" t="n">
        <v>11833</v>
      </c>
      <c r="B1834" s="14" t="n">
        <v>46394</v>
      </c>
      <c r="C1834" s="1" t="n">
        <v>1933</v>
      </c>
      <c r="D1834" s="1" t="s">
        <v>30</v>
      </c>
      <c r="E1834" s="1" t="s">
        <v>35</v>
      </c>
      <c r="F1834" s="1" t="n">
        <v>4</v>
      </c>
      <c r="G1834" s="15" t="n">
        <v>594.97</v>
      </c>
      <c r="H1834" s="16" t="n">
        <v>0.22</v>
      </c>
      <c r="I1834" s="1" t="s">
        <v>29</v>
      </c>
      <c r="J1834" s="1" t="n">
        <v>1</v>
      </c>
      <c r="K1834" s="1" t="n">
        <v>4.9</v>
      </c>
      <c r="L1834" s="15" t="n">
        <v>1856.31</v>
      </c>
      <c r="M1834" s="15" t="n">
        <f aca="false">F1834*G1834</f>
        <v>2379.88</v>
      </c>
      <c r="N1834" s="15" t="n">
        <f aca="false">M1834-L1834</f>
        <v>523.57</v>
      </c>
      <c r="O1834" s="1" t="n">
        <f aca="false">YEAR(B1834)</f>
        <v>2027</v>
      </c>
      <c r="P1834" s="1" t="n">
        <f aca="false">MONTH(B1834)</f>
        <v>1</v>
      </c>
      <c r="Q1834" s="1" t="str">
        <f aca="false">TEXT(B1834,"mmm")</f>
        <v>Jan</v>
      </c>
      <c r="R1834" s="1" t="str">
        <f aca="false">"Q"&amp;ROUNDUP(MONTH(B1834)/3,0)</f>
        <v>Q1</v>
      </c>
    </row>
    <row r="1835" customFormat="false" ht="15" hidden="false" customHeight="true" outlineLevel="0" collapsed="false">
      <c r="A1835" s="1" t="n">
        <v>11834</v>
      </c>
      <c r="B1835" s="14" t="n">
        <v>46395</v>
      </c>
      <c r="C1835" s="1" t="n">
        <v>1033</v>
      </c>
      <c r="D1835" s="1" t="s">
        <v>34</v>
      </c>
      <c r="E1835" s="1" t="s">
        <v>36</v>
      </c>
      <c r="F1835" s="1" t="n">
        <v>1</v>
      </c>
      <c r="G1835" s="15" t="n">
        <v>157.82</v>
      </c>
      <c r="H1835" s="16" t="n">
        <v>0.34</v>
      </c>
      <c r="I1835" s="1" t="s">
        <v>33</v>
      </c>
      <c r="J1835" s="1" t="n">
        <v>7</v>
      </c>
      <c r="K1835" s="1" t="n">
        <v>1.1</v>
      </c>
      <c r="L1835" s="15" t="n">
        <v>104.16</v>
      </c>
      <c r="M1835" s="15" t="n">
        <f aca="false">F1835*G1835</f>
        <v>157.82</v>
      </c>
      <c r="N1835" s="15" t="n">
        <f aca="false">M1835-L1835</f>
        <v>53.66</v>
      </c>
      <c r="O1835" s="1" t="n">
        <f aca="false">YEAR(B1835)</f>
        <v>2027</v>
      </c>
      <c r="P1835" s="1" t="n">
        <f aca="false">MONTH(B1835)</f>
        <v>1</v>
      </c>
      <c r="Q1835" s="1" t="str">
        <f aca="false">TEXT(B1835,"mmm")</f>
        <v>Jan</v>
      </c>
      <c r="R1835" s="1" t="str">
        <f aca="false">"Q"&amp;ROUNDUP(MONTH(B1835)/3,0)</f>
        <v>Q1</v>
      </c>
    </row>
    <row r="1836" customFormat="false" ht="15" hidden="false" customHeight="true" outlineLevel="0" collapsed="false">
      <c r="A1836" s="1" t="n">
        <v>11835</v>
      </c>
      <c r="B1836" s="14" t="n">
        <v>46396</v>
      </c>
      <c r="C1836" s="1" t="n">
        <v>1016</v>
      </c>
      <c r="D1836" s="1" t="s">
        <v>30</v>
      </c>
      <c r="E1836" s="1" t="s">
        <v>32</v>
      </c>
      <c r="F1836" s="1" t="n">
        <v>5</v>
      </c>
      <c r="G1836" s="15" t="n">
        <v>131.15</v>
      </c>
      <c r="H1836" s="16" t="n">
        <v>0.06</v>
      </c>
      <c r="I1836" s="1" t="s">
        <v>31</v>
      </c>
      <c r="J1836" s="1" t="n">
        <v>9</v>
      </c>
      <c r="K1836" s="1" t="n">
        <v>2.8</v>
      </c>
      <c r="L1836" s="15" t="n">
        <v>616.4</v>
      </c>
      <c r="M1836" s="15" t="n">
        <f aca="false">F1836*G1836</f>
        <v>655.75</v>
      </c>
      <c r="N1836" s="15" t="n">
        <f aca="false">M1836-L1836</f>
        <v>39.35</v>
      </c>
      <c r="O1836" s="1" t="n">
        <f aca="false">YEAR(B1836)</f>
        <v>2027</v>
      </c>
      <c r="P1836" s="1" t="n">
        <f aca="false">MONTH(B1836)</f>
        <v>1</v>
      </c>
      <c r="Q1836" s="1" t="str">
        <f aca="false">TEXT(B1836,"mmm")</f>
        <v>Jan</v>
      </c>
      <c r="R1836" s="1" t="str">
        <f aca="false">"Q"&amp;ROUNDUP(MONTH(B1836)/3,0)</f>
        <v>Q1</v>
      </c>
    </row>
    <row r="1837" customFormat="false" ht="15" hidden="false" customHeight="true" outlineLevel="0" collapsed="false">
      <c r="A1837" s="1" t="n">
        <v>11836</v>
      </c>
      <c r="B1837" s="14" t="n">
        <v>46397</v>
      </c>
      <c r="C1837" s="1" t="n">
        <v>1676</v>
      </c>
      <c r="D1837" s="1" t="s">
        <v>27</v>
      </c>
      <c r="E1837" s="1" t="s">
        <v>35</v>
      </c>
      <c r="F1837" s="1" t="n">
        <v>5</v>
      </c>
      <c r="G1837" s="15" t="n">
        <v>323.18</v>
      </c>
      <c r="H1837" s="16" t="n">
        <v>0.02</v>
      </c>
      <c r="I1837" s="1" t="s">
        <v>31</v>
      </c>
      <c r="J1837" s="1" t="n">
        <v>9</v>
      </c>
      <c r="K1837" s="1" t="n">
        <v>3.3</v>
      </c>
      <c r="L1837" s="15" t="n">
        <v>1583.58</v>
      </c>
      <c r="M1837" s="15" t="n">
        <f aca="false">F1837*G1837</f>
        <v>1615.9</v>
      </c>
      <c r="N1837" s="15" t="n">
        <f aca="false">M1837-L1837</f>
        <v>32.3200000000002</v>
      </c>
      <c r="O1837" s="1" t="n">
        <f aca="false">YEAR(B1837)</f>
        <v>2027</v>
      </c>
      <c r="P1837" s="1" t="n">
        <f aca="false">MONTH(B1837)</f>
        <v>1</v>
      </c>
      <c r="Q1837" s="1" t="str">
        <f aca="false">TEXT(B1837,"mmm")</f>
        <v>Jan</v>
      </c>
      <c r="R1837" s="1" t="str">
        <f aca="false">"Q"&amp;ROUNDUP(MONTH(B1837)/3,0)</f>
        <v>Q1</v>
      </c>
    </row>
    <row r="1838" customFormat="false" ht="15" hidden="false" customHeight="true" outlineLevel="0" collapsed="false">
      <c r="A1838" s="1" t="n">
        <v>11837</v>
      </c>
      <c r="B1838" s="14" t="n">
        <v>46398</v>
      </c>
      <c r="C1838" s="1" t="n">
        <v>1152</v>
      </c>
      <c r="D1838" s="1" t="s">
        <v>37</v>
      </c>
      <c r="E1838" s="1" t="s">
        <v>36</v>
      </c>
      <c r="F1838" s="1" t="n">
        <v>4</v>
      </c>
      <c r="G1838" s="15" t="n">
        <v>329.27</v>
      </c>
      <c r="H1838" s="16" t="n">
        <v>0.2</v>
      </c>
      <c r="I1838" s="1" t="s">
        <v>31</v>
      </c>
      <c r="J1838" s="1" t="n">
        <v>9</v>
      </c>
      <c r="K1838" s="1" t="n">
        <v>1.2</v>
      </c>
      <c r="L1838" s="15" t="n">
        <v>1053.66</v>
      </c>
      <c r="M1838" s="15" t="n">
        <f aca="false">F1838*G1838</f>
        <v>1317.08</v>
      </c>
      <c r="N1838" s="15" t="n">
        <f aca="false">M1838-L1838</f>
        <v>263.42</v>
      </c>
      <c r="O1838" s="1" t="n">
        <f aca="false">YEAR(B1838)</f>
        <v>2027</v>
      </c>
      <c r="P1838" s="1" t="n">
        <f aca="false">MONTH(B1838)</f>
        <v>1</v>
      </c>
      <c r="Q1838" s="1" t="str">
        <f aca="false">TEXT(B1838,"mmm")</f>
        <v>Jan</v>
      </c>
      <c r="R1838" s="1" t="str">
        <f aca="false">"Q"&amp;ROUNDUP(MONTH(B1838)/3,0)</f>
        <v>Q1</v>
      </c>
    </row>
    <row r="1839" customFormat="false" ht="15" hidden="false" customHeight="true" outlineLevel="0" collapsed="false">
      <c r="A1839" s="1" t="n">
        <v>11838</v>
      </c>
      <c r="B1839" s="14" t="n">
        <v>46399</v>
      </c>
      <c r="C1839" s="1" t="n">
        <v>1997</v>
      </c>
      <c r="D1839" s="1" t="s">
        <v>27</v>
      </c>
      <c r="E1839" s="1" t="s">
        <v>36</v>
      </c>
      <c r="F1839" s="1" t="n">
        <v>5</v>
      </c>
      <c r="G1839" s="15" t="n">
        <v>272.3</v>
      </c>
      <c r="H1839" s="16" t="n">
        <v>0.34</v>
      </c>
      <c r="I1839" s="1" t="s">
        <v>33</v>
      </c>
      <c r="J1839" s="1" t="n">
        <v>2</v>
      </c>
      <c r="K1839" s="1" t="n">
        <v>1.6</v>
      </c>
      <c r="L1839" s="15" t="n">
        <v>898.59</v>
      </c>
      <c r="M1839" s="15" t="n">
        <f aca="false">F1839*G1839</f>
        <v>1361.5</v>
      </c>
      <c r="N1839" s="15" t="n">
        <f aca="false">M1839-L1839</f>
        <v>462.91</v>
      </c>
      <c r="O1839" s="1" t="n">
        <f aca="false">YEAR(B1839)</f>
        <v>2027</v>
      </c>
      <c r="P1839" s="1" t="n">
        <f aca="false">MONTH(B1839)</f>
        <v>1</v>
      </c>
      <c r="Q1839" s="1" t="str">
        <f aca="false">TEXT(B1839,"mmm")</f>
        <v>Jan</v>
      </c>
      <c r="R1839" s="1" t="str">
        <f aca="false">"Q"&amp;ROUNDUP(MONTH(B1839)/3,0)</f>
        <v>Q1</v>
      </c>
    </row>
    <row r="1840" customFormat="false" ht="15" hidden="false" customHeight="true" outlineLevel="0" collapsed="false">
      <c r="A1840" s="1" t="n">
        <v>11839</v>
      </c>
      <c r="B1840" s="14" t="n">
        <v>46400</v>
      </c>
      <c r="C1840" s="1" t="n">
        <v>1377</v>
      </c>
      <c r="D1840" s="1" t="s">
        <v>34</v>
      </c>
      <c r="E1840" s="1" t="s">
        <v>28</v>
      </c>
      <c r="F1840" s="1" t="n">
        <v>7</v>
      </c>
      <c r="G1840" s="15" t="n">
        <v>466.56</v>
      </c>
      <c r="H1840" s="16" t="n">
        <v>0.15</v>
      </c>
      <c r="I1840" s="1" t="s">
        <v>33</v>
      </c>
      <c r="J1840" s="1" t="n">
        <v>1</v>
      </c>
      <c r="K1840" s="1" t="n">
        <v>2</v>
      </c>
      <c r="L1840" s="15" t="n">
        <v>2776.03</v>
      </c>
      <c r="M1840" s="15" t="n">
        <f aca="false">F1840*G1840</f>
        <v>3265.92</v>
      </c>
      <c r="N1840" s="15" t="n">
        <f aca="false">M1840-L1840</f>
        <v>489.89</v>
      </c>
      <c r="O1840" s="1" t="n">
        <f aca="false">YEAR(B1840)</f>
        <v>2027</v>
      </c>
      <c r="P1840" s="1" t="n">
        <f aca="false">MONTH(B1840)</f>
        <v>1</v>
      </c>
      <c r="Q1840" s="1" t="str">
        <f aca="false">TEXT(B1840,"mmm")</f>
        <v>Jan</v>
      </c>
      <c r="R1840" s="1" t="str">
        <f aca="false">"Q"&amp;ROUNDUP(MONTH(B1840)/3,0)</f>
        <v>Q1</v>
      </c>
    </row>
    <row r="1841" customFormat="false" ht="15" hidden="false" customHeight="true" outlineLevel="0" collapsed="false">
      <c r="A1841" s="1" t="n">
        <v>11840</v>
      </c>
      <c r="B1841" s="14" t="n">
        <v>46401</v>
      </c>
      <c r="C1841" s="1" t="n">
        <v>1587</v>
      </c>
      <c r="D1841" s="1" t="s">
        <v>30</v>
      </c>
      <c r="E1841" s="1" t="s">
        <v>28</v>
      </c>
      <c r="F1841" s="1" t="n">
        <v>4</v>
      </c>
      <c r="G1841" s="15" t="n">
        <v>317.24</v>
      </c>
      <c r="H1841" s="16" t="n">
        <v>0.07</v>
      </c>
      <c r="I1841" s="1" t="s">
        <v>31</v>
      </c>
      <c r="J1841" s="1" t="n">
        <v>6</v>
      </c>
      <c r="K1841" s="1" t="n">
        <v>3.9</v>
      </c>
      <c r="L1841" s="15" t="n">
        <v>1180.13</v>
      </c>
      <c r="M1841" s="15" t="n">
        <f aca="false">F1841*G1841</f>
        <v>1268.96</v>
      </c>
      <c r="N1841" s="15" t="n">
        <f aca="false">M1841-L1841</f>
        <v>88.8299999999999</v>
      </c>
      <c r="O1841" s="1" t="n">
        <f aca="false">YEAR(B1841)</f>
        <v>2027</v>
      </c>
      <c r="P1841" s="1" t="n">
        <f aca="false">MONTH(B1841)</f>
        <v>1</v>
      </c>
      <c r="Q1841" s="1" t="str">
        <f aca="false">TEXT(B1841,"mmm")</f>
        <v>Jan</v>
      </c>
      <c r="R1841" s="1" t="str">
        <f aca="false">"Q"&amp;ROUNDUP(MONTH(B1841)/3,0)</f>
        <v>Q1</v>
      </c>
    </row>
    <row r="1842" customFormat="false" ht="15" hidden="false" customHeight="true" outlineLevel="0" collapsed="false">
      <c r="A1842" s="1" t="n">
        <v>11841</v>
      </c>
      <c r="B1842" s="14" t="n">
        <v>46402</v>
      </c>
      <c r="C1842" s="1" t="n">
        <v>1598</v>
      </c>
      <c r="D1842" s="1" t="s">
        <v>30</v>
      </c>
      <c r="E1842" s="1" t="s">
        <v>35</v>
      </c>
      <c r="F1842" s="1" t="n">
        <v>3</v>
      </c>
      <c r="G1842" s="15" t="n">
        <v>371.67</v>
      </c>
      <c r="H1842" s="16" t="n">
        <v>0.18</v>
      </c>
      <c r="I1842" s="1" t="s">
        <v>31</v>
      </c>
      <c r="J1842" s="1" t="n">
        <v>6</v>
      </c>
      <c r="K1842" s="1" t="n">
        <v>4.8</v>
      </c>
      <c r="L1842" s="15" t="n">
        <v>914.31</v>
      </c>
      <c r="M1842" s="15" t="n">
        <f aca="false">F1842*G1842</f>
        <v>1115.01</v>
      </c>
      <c r="N1842" s="15" t="n">
        <f aca="false">M1842-L1842</f>
        <v>200.7</v>
      </c>
      <c r="O1842" s="1" t="n">
        <f aca="false">YEAR(B1842)</f>
        <v>2027</v>
      </c>
      <c r="P1842" s="1" t="n">
        <f aca="false">MONTH(B1842)</f>
        <v>1</v>
      </c>
      <c r="Q1842" s="1" t="str">
        <f aca="false">TEXT(B1842,"mmm")</f>
        <v>Jan</v>
      </c>
      <c r="R1842" s="1" t="str">
        <f aca="false">"Q"&amp;ROUNDUP(MONTH(B1842)/3,0)</f>
        <v>Q1</v>
      </c>
    </row>
    <row r="1843" customFormat="false" ht="15" hidden="false" customHeight="true" outlineLevel="0" collapsed="false">
      <c r="A1843" s="1" t="n">
        <v>11842</v>
      </c>
      <c r="B1843" s="14" t="n">
        <v>46403</v>
      </c>
      <c r="C1843" s="1" t="n">
        <v>1628</v>
      </c>
      <c r="D1843" s="1" t="s">
        <v>34</v>
      </c>
      <c r="E1843" s="1" t="s">
        <v>35</v>
      </c>
      <c r="F1843" s="1" t="n">
        <v>5</v>
      </c>
      <c r="G1843" s="15" t="n">
        <v>438.39</v>
      </c>
      <c r="H1843" s="16" t="n">
        <v>0.23</v>
      </c>
      <c r="I1843" s="1" t="s">
        <v>31</v>
      </c>
      <c r="J1843" s="1" t="n">
        <v>4</v>
      </c>
      <c r="K1843" s="1" t="n">
        <v>3.5</v>
      </c>
      <c r="L1843" s="15" t="n">
        <v>1687.8</v>
      </c>
      <c r="M1843" s="15" t="n">
        <f aca="false">F1843*G1843</f>
        <v>2191.95</v>
      </c>
      <c r="N1843" s="15" t="n">
        <f aca="false">M1843-L1843</f>
        <v>504.15</v>
      </c>
      <c r="O1843" s="1" t="n">
        <f aca="false">YEAR(B1843)</f>
        <v>2027</v>
      </c>
      <c r="P1843" s="1" t="n">
        <f aca="false">MONTH(B1843)</f>
        <v>1</v>
      </c>
      <c r="Q1843" s="1" t="str">
        <f aca="false">TEXT(B1843,"mmm")</f>
        <v>Jan</v>
      </c>
      <c r="R1843" s="1" t="str">
        <f aca="false">"Q"&amp;ROUNDUP(MONTH(B1843)/3,0)</f>
        <v>Q1</v>
      </c>
    </row>
    <row r="1844" customFormat="false" ht="15" hidden="false" customHeight="true" outlineLevel="0" collapsed="false">
      <c r="A1844" s="1" t="n">
        <v>11843</v>
      </c>
      <c r="B1844" s="14" t="n">
        <v>46404</v>
      </c>
      <c r="C1844" s="1" t="n">
        <v>1873</v>
      </c>
      <c r="D1844" s="1" t="s">
        <v>34</v>
      </c>
      <c r="E1844" s="1" t="s">
        <v>35</v>
      </c>
      <c r="F1844" s="1" t="n">
        <v>4</v>
      </c>
      <c r="G1844" s="15" t="n">
        <v>29.64</v>
      </c>
      <c r="H1844" s="16" t="n">
        <v>0.11</v>
      </c>
      <c r="I1844" s="1" t="s">
        <v>29</v>
      </c>
      <c r="J1844" s="1" t="n">
        <v>8</v>
      </c>
      <c r="K1844" s="1" t="n">
        <v>3.3</v>
      </c>
      <c r="L1844" s="15" t="n">
        <v>105.52</v>
      </c>
      <c r="M1844" s="15" t="n">
        <f aca="false">F1844*G1844</f>
        <v>118.56</v>
      </c>
      <c r="N1844" s="15" t="n">
        <f aca="false">M1844-L1844</f>
        <v>13.04</v>
      </c>
      <c r="O1844" s="1" t="n">
        <f aca="false">YEAR(B1844)</f>
        <v>2027</v>
      </c>
      <c r="P1844" s="1" t="n">
        <f aca="false">MONTH(B1844)</f>
        <v>1</v>
      </c>
      <c r="Q1844" s="1" t="str">
        <f aca="false">TEXT(B1844,"mmm")</f>
        <v>Jan</v>
      </c>
      <c r="R1844" s="1" t="str">
        <f aca="false">"Q"&amp;ROUNDUP(MONTH(B1844)/3,0)</f>
        <v>Q1</v>
      </c>
    </row>
    <row r="1845" customFormat="false" ht="15" hidden="false" customHeight="true" outlineLevel="0" collapsed="false">
      <c r="A1845" s="1" t="n">
        <v>11844</v>
      </c>
      <c r="B1845" s="14" t="n">
        <v>46405</v>
      </c>
      <c r="C1845" s="1" t="n">
        <v>1341</v>
      </c>
      <c r="D1845" s="1" t="s">
        <v>37</v>
      </c>
      <c r="E1845" s="1" t="s">
        <v>36</v>
      </c>
      <c r="F1845" s="1" t="n">
        <v>3</v>
      </c>
      <c r="G1845" s="15" t="n">
        <v>348.83</v>
      </c>
      <c r="H1845" s="16" t="n">
        <v>0.25</v>
      </c>
      <c r="I1845" s="1" t="s">
        <v>31</v>
      </c>
      <c r="J1845" s="1" t="n">
        <v>5</v>
      </c>
      <c r="K1845" s="1" t="n">
        <v>3.1</v>
      </c>
      <c r="L1845" s="15" t="n">
        <v>784.87</v>
      </c>
      <c r="M1845" s="15" t="n">
        <f aca="false">F1845*G1845</f>
        <v>1046.49</v>
      </c>
      <c r="N1845" s="15" t="n">
        <f aca="false">M1845-L1845</f>
        <v>261.62</v>
      </c>
      <c r="O1845" s="1" t="n">
        <f aca="false">YEAR(B1845)</f>
        <v>2027</v>
      </c>
      <c r="P1845" s="1" t="n">
        <f aca="false">MONTH(B1845)</f>
        <v>1</v>
      </c>
      <c r="Q1845" s="1" t="str">
        <f aca="false">TEXT(B1845,"mmm")</f>
        <v>Jan</v>
      </c>
      <c r="R1845" s="1" t="str">
        <f aca="false">"Q"&amp;ROUNDUP(MONTH(B1845)/3,0)</f>
        <v>Q1</v>
      </c>
    </row>
    <row r="1846" customFormat="false" ht="15" hidden="false" customHeight="true" outlineLevel="0" collapsed="false">
      <c r="A1846" s="1" t="n">
        <v>11845</v>
      </c>
      <c r="B1846" s="14" t="n">
        <v>46406</v>
      </c>
      <c r="C1846" s="1" t="n">
        <v>1980</v>
      </c>
      <c r="D1846" s="1" t="s">
        <v>30</v>
      </c>
      <c r="E1846" s="1" t="s">
        <v>35</v>
      </c>
      <c r="F1846" s="1" t="n">
        <v>5</v>
      </c>
      <c r="G1846" s="15" t="n">
        <v>532.25</v>
      </c>
      <c r="H1846" s="16" t="n">
        <v>0.34</v>
      </c>
      <c r="I1846" s="1" t="s">
        <v>31</v>
      </c>
      <c r="J1846" s="1" t="n">
        <v>7</v>
      </c>
      <c r="K1846" s="1" t="n">
        <v>2.4</v>
      </c>
      <c r="L1846" s="15" t="n">
        <v>1756.42</v>
      </c>
      <c r="M1846" s="15" t="n">
        <f aca="false">F1846*G1846</f>
        <v>2661.25</v>
      </c>
      <c r="N1846" s="15" t="n">
        <f aca="false">M1846-L1846</f>
        <v>904.83</v>
      </c>
      <c r="O1846" s="1" t="n">
        <f aca="false">YEAR(B1846)</f>
        <v>2027</v>
      </c>
      <c r="P1846" s="1" t="n">
        <f aca="false">MONTH(B1846)</f>
        <v>1</v>
      </c>
      <c r="Q1846" s="1" t="str">
        <f aca="false">TEXT(B1846,"mmm")</f>
        <v>Jan</v>
      </c>
      <c r="R1846" s="1" t="str">
        <f aca="false">"Q"&amp;ROUNDUP(MONTH(B1846)/3,0)</f>
        <v>Q1</v>
      </c>
    </row>
    <row r="1847" customFormat="false" ht="15" hidden="false" customHeight="true" outlineLevel="0" collapsed="false">
      <c r="A1847" s="1" t="n">
        <v>11846</v>
      </c>
      <c r="B1847" s="14" t="n">
        <v>46407</v>
      </c>
      <c r="C1847" s="1" t="n">
        <v>1026</v>
      </c>
      <c r="D1847" s="1" t="s">
        <v>30</v>
      </c>
      <c r="E1847" s="1" t="s">
        <v>36</v>
      </c>
      <c r="F1847" s="1" t="n">
        <v>3</v>
      </c>
      <c r="G1847" s="15" t="n">
        <v>25.17</v>
      </c>
      <c r="H1847" s="16" t="n">
        <v>0.31</v>
      </c>
      <c r="I1847" s="1" t="s">
        <v>31</v>
      </c>
      <c r="J1847" s="1" t="n">
        <v>9</v>
      </c>
      <c r="K1847" s="1" t="n">
        <v>4.3</v>
      </c>
      <c r="L1847" s="15" t="n">
        <v>52.1</v>
      </c>
      <c r="M1847" s="15" t="n">
        <f aca="false">F1847*G1847</f>
        <v>75.51</v>
      </c>
      <c r="N1847" s="15" t="n">
        <f aca="false">M1847-L1847</f>
        <v>23.41</v>
      </c>
      <c r="O1847" s="1" t="n">
        <f aca="false">YEAR(B1847)</f>
        <v>2027</v>
      </c>
      <c r="P1847" s="1" t="n">
        <f aca="false">MONTH(B1847)</f>
        <v>1</v>
      </c>
      <c r="Q1847" s="1" t="str">
        <f aca="false">TEXT(B1847,"mmm")</f>
        <v>Jan</v>
      </c>
      <c r="R1847" s="1" t="str">
        <f aca="false">"Q"&amp;ROUNDUP(MONTH(B1847)/3,0)</f>
        <v>Q1</v>
      </c>
    </row>
    <row r="1848" customFormat="false" ht="15" hidden="false" customHeight="true" outlineLevel="0" collapsed="false">
      <c r="A1848" s="1" t="n">
        <v>11847</v>
      </c>
      <c r="B1848" s="14" t="n">
        <v>46408</v>
      </c>
      <c r="C1848" s="1" t="n">
        <v>1824</v>
      </c>
      <c r="D1848" s="1" t="s">
        <v>30</v>
      </c>
      <c r="E1848" s="1" t="s">
        <v>35</v>
      </c>
      <c r="F1848" s="1" t="n">
        <v>6</v>
      </c>
      <c r="G1848" s="15" t="n">
        <v>252.03</v>
      </c>
      <c r="H1848" s="16" t="n">
        <v>0.1</v>
      </c>
      <c r="I1848" s="1" t="s">
        <v>31</v>
      </c>
      <c r="J1848" s="1" t="n">
        <v>1</v>
      </c>
      <c r="K1848" s="1" t="n">
        <v>3.2</v>
      </c>
      <c r="L1848" s="15" t="n">
        <v>1360.96</v>
      </c>
      <c r="M1848" s="15" t="n">
        <f aca="false">F1848*G1848</f>
        <v>1512.18</v>
      </c>
      <c r="N1848" s="15" t="n">
        <f aca="false">M1848-L1848</f>
        <v>151.22</v>
      </c>
      <c r="O1848" s="1" t="n">
        <f aca="false">YEAR(B1848)</f>
        <v>2027</v>
      </c>
      <c r="P1848" s="1" t="n">
        <f aca="false">MONTH(B1848)</f>
        <v>1</v>
      </c>
      <c r="Q1848" s="1" t="str">
        <f aca="false">TEXT(B1848,"mmm")</f>
        <v>Jan</v>
      </c>
      <c r="R1848" s="1" t="str">
        <f aca="false">"Q"&amp;ROUNDUP(MONTH(B1848)/3,0)</f>
        <v>Q1</v>
      </c>
    </row>
    <row r="1849" customFormat="false" ht="15" hidden="false" customHeight="true" outlineLevel="0" collapsed="false">
      <c r="A1849" s="1" t="n">
        <v>11848</v>
      </c>
      <c r="B1849" s="14" t="n">
        <v>46409</v>
      </c>
      <c r="C1849" s="1" t="n">
        <v>1286</v>
      </c>
      <c r="D1849" s="1" t="s">
        <v>30</v>
      </c>
      <c r="E1849" s="1" t="s">
        <v>36</v>
      </c>
      <c r="F1849" s="1" t="n">
        <v>5</v>
      </c>
      <c r="G1849" s="15" t="n">
        <v>556.84</v>
      </c>
      <c r="H1849" s="16" t="n">
        <v>0.11</v>
      </c>
      <c r="I1849" s="1" t="s">
        <v>33</v>
      </c>
      <c r="J1849" s="1" t="n">
        <v>9</v>
      </c>
      <c r="K1849" s="1" t="n">
        <v>1.9</v>
      </c>
      <c r="L1849" s="15" t="n">
        <v>2477.94</v>
      </c>
      <c r="M1849" s="15" t="n">
        <f aca="false">F1849*G1849</f>
        <v>2784.2</v>
      </c>
      <c r="N1849" s="15" t="n">
        <f aca="false">M1849-L1849</f>
        <v>306.26</v>
      </c>
      <c r="O1849" s="1" t="n">
        <f aca="false">YEAR(B1849)</f>
        <v>2027</v>
      </c>
      <c r="P1849" s="1" t="n">
        <f aca="false">MONTH(B1849)</f>
        <v>1</v>
      </c>
      <c r="Q1849" s="1" t="str">
        <f aca="false">TEXT(B1849,"mmm")</f>
        <v>Jan</v>
      </c>
      <c r="R1849" s="1" t="str">
        <f aca="false">"Q"&amp;ROUNDUP(MONTH(B1849)/3,0)</f>
        <v>Q1</v>
      </c>
    </row>
    <row r="1850" customFormat="false" ht="15" hidden="false" customHeight="true" outlineLevel="0" collapsed="false">
      <c r="A1850" s="1" t="n">
        <v>11849</v>
      </c>
      <c r="B1850" s="14" t="n">
        <v>46410</v>
      </c>
      <c r="C1850" s="1" t="n">
        <v>1645</v>
      </c>
      <c r="D1850" s="1" t="s">
        <v>34</v>
      </c>
      <c r="E1850" s="1" t="s">
        <v>36</v>
      </c>
      <c r="F1850" s="1" t="n">
        <v>6</v>
      </c>
      <c r="G1850" s="15" t="n">
        <v>221.6</v>
      </c>
      <c r="H1850" s="16" t="n">
        <v>0.13</v>
      </c>
      <c r="I1850" s="1" t="s">
        <v>29</v>
      </c>
      <c r="J1850" s="1" t="n">
        <v>4</v>
      </c>
      <c r="K1850" s="1" t="n">
        <v>1.5</v>
      </c>
      <c r="L1850" s="15" t="n">
        <v>1156.75</v>
      </c>
      <c r="M1850" s="15" t="n">
        <f aca="false">F1850*G1850</f>
        <v>1329.6</v>
      </c>
      <c r="N1850" s="15" t="n">
        <f aca="false">M1850-L1850</f>
        <v>172.85</v>
      </c>
      <c r="O1850" s="1" t="n">
        <f aca="false">YEAR(B1850)</f>
        <v>2027</v>
      </c>
      <c r="P1850" s="1" t="n">
        <f aca="false">MONTH(B1850)</f>
        <v>1</v>
      </c>
      <c r="Q1850" s="1" t="str">
        <f aca="false">TEXT(B1850,"mmm")</f>
        <v>Jan</v>
      </c>
      <c r="R1850" s="1" t="str">
        <f aca="false">"Q"&amp;ROUNDUP(MONTH(B1850)/3,0)</f>
        <v>Q1</v>
      </c>
    </row>
    <row r="1851" customFormat="false" ht="15" hidden="false" customHeight="true" outlineLevel="0" collapsed="false">
      <c r="A1851" s="1" t="n">
        <v>11850</v>
      </c>
      <c r="B1851" s="14" t="n">
        <v>46411</v>
      </c>
      <c r="C1851" s="1" t="n">
        <v>1730</v>
      </c>
      <c r="D1851" s="1" t="s">
        <v>34</v>
      </c>
      <c r="E1851" s="1" t="s">
        <v>28</v>
      </c>
      <c r="F1851" s="1" t="n">
        <v>1</v>
      </c>
      <c r="G1851" s="15" t="n">
        <v>283.36</v>
      </c>
      <c r="H1851" s="16" t="n">
        <v>0.14</v>
      </c>
      <c r="I1851" s="1" t="s">
        <v>31</v>
      </c>
      <c r="J1851" s="1" t="n">
        <v>7</v>
      </c>
      <c r="K1851" s="1" t="n">
        <v>4.9</v>
      </c>
      <c r="L1851" s="15" t="n">
        <v>243.69</v>
      </c>
      <c r="M1851" s="15" t="n">
        <f aca="false">F1851*G1851</f>
        <v>283.36</v>
      </c>
      <c r="N1851" s="15" t="n">
        <f aca="false">M1851-L1851</f>
        <v>39.67</v>
      </c>
      <c r="O1851" s="1" t="n">
        <f aca="false">YEAR(B1851)</f>
        <v>2027</v>
      </c>
      <c r="P1851" s="1" t="n">
        <f aca="false">MONTH(B1851)</f>
        <v>1</v>
      </c>
      <c r="Q1851" s="1" t="str">
        <f aca="false">TEXT(B1851,"mmm")</f>
        <v>Jan</v>
      </c>
      <c r="R1851" s="1" t="str">
        <f aca="false">"Q"&amp;ROUNDUP(MONTH(B1851)/3,0)</f>
        <v>Q1</v>
      </c>
    </row>
    <row r="1852" customFormat="false" ht="15" hidden="false" customHeight="true" outlineLevel="0" collapsed="false">
      <c r="A1852" s="1" t="n">
        <v>11851</v>
      </c>
      <c r="B1852" s="14" t="n">
        <v>46412</v>
      </c>
      <c r="C1852" s="1" t="n">
        <v>1167</v>
      </c>
      <c r="D1852" s="1" t="s">
        <v>34</v>
      </c>
      <c r="E1852" s="1" t="s">
        <v>32</v>
      </c>
      <c r="F1852" s="1" t="n">
        <v>1</v>
      </c>
      <c r="G1852" s="15" t="n">
        <v>589.2</v>
      </c>
      <c r="H1852" s="16" t="n">
        <v>0.04</v>
      </c>
      <c r="I1852" s="1" t="s">
        <v>33</v>
      </c>
      <c r="J1852" s="1" t="n">
        <v>11</v>
      </c>
      <c r="K1852" s="1" t="n">
        <v>1.1</v>
      </c>
      <c r="L1852" s="15" t="n">
        <v>565.63</v>
      </c>
      <c r="M1852" s="15" t="n">
        <f aca="false">F1852*G1852</f>
        <v>589.2</v>
      </c>
      <c r="N1852" s="15" t="n">
        <f aca="false">M1852-L1852</f>
        <v>23.5700000000001</v>
      </c>
      <c r="O1852" s="1" t="n">
        <f aca="false">YEAR(B1852)</f>
        <v>2027</v>
      </c>
      <c r="P1852" s="1" t="n">
        <f aca="false">MONTH(B1852)</f>
        <v>1</v>
      </c>
      <c r="Q1852" s="1" t="str">
        <f aca="false">TEXT(B1852,"mmm")</f>
        <v>Jan</v>
      </c>
      <c r="R1852" s="1" t="str">
        <f aca="false">"Q"&amp;ROUNDUP(MONTH(B1852)/3,0)</f>
        <v>Q1</v>
      </c>
    </row>
    <row r="1853" customFormat="false" ht="15" hidden="false" customHeight="true" outlineLevel="0" collapsed="false">
      <c r="A1853" s="1" t="n">
        <v>11852</v>
      </c>
      <c r="B1853" s="14" t="n">
        <v>46413</v>
      </c>
      <c r="C1853" s="1" t="n">
        <v>1609</v>
      </c>
      <c r="D1853" s="1" t="s">
        <v>34</v>
      </c>
      <c r="E1853" s="1" t="s">
        <v>36</v>
      </c>
      <c r="F1853" s="1" t="n">
        <v>4</v>
      </c>
      <c r="G1853" s="15" t="n">
        <v>131.6</v>
      </c>
      <c r="H1853" s="16" t="n">
        <v>0.27</v>
      </c>
      <c r="I1853" s="1" t="s">
        <v>31</v>
      </c>
      <c r="J1853" s="1" t="n">
        <v>4</v>
      </c>
      <c r="K1853" s="1" t="n">
        <v>4.7</v>
      </c>
      <c r="L1853" s="15" t="n">
        <v>384.27</v>
      </c>
      <c r="M1853" s="15" t="n">
        <f aca="false">F1853*G1853</f>
        <v>526.4</v>
      </c>
      <c r="N1853" s="15" t="n">
        <f aca="false">M1853-L1853</f>
        <v>142.13</v>
      </c>
      <c r="O1853" s="1" t="n">
        <f aca="false">YEAR(B1853)</f>
        <v>2027</v>
      </c>
      <c r="P1853" s="1" t="n">
        <f aca="false">MONTH(B1853)</f>
        <v>1</v>
      </c>
      <c r="Q1853" s="1" t="str">
        <f aca="false">TEXT(B1853,"mmm")</f>
        <v>Jan</v>
      </c>
      <c r="R1853" s="1" t="str">
        <f aca="false">"Q"&amp;ROUNDUP(MONTH(B1853)/3,0)</f>
        <v>Q1</v>
      </c>
    </row>
    <row r="1854" customFormat="false" ht="15" hidden="false" customHeight="true" outlineLevel="0" collapsed="false">
      <c r="A1854" s="1" t="n">
        <v>11853</v>
      </c>
      <c r="B1854" s="14" t="n">
        <v>46414</v>
      </c>
      <c r="C1854" s="1" t="n">
        <v>1267</v>
      </c>
      <c r="D1854" s="1" t="s">
        <v>27</v>
      </c>
      <c r="E1854" s="1" t="s">
        <v>35</v>
      </c>
      <c r="F1854" s="1" t="n">
        <v>2</v>
      </c>
      <c r="G1854" s="15" t="n">
        <v>53.17</v>
      </c>
      <c r="H1854" s="16" t="n">
        <v>0.13</v>
      </c>
      <c r="I1854" s="1" t="s">
        <v>29</v>
      </c>
      <c r="J1854" s="1" t="n">
        <v>4</v>
      </c>
      <c r="K1854" s="1" t="n">
        <v>1.9</v>
      </c>
      <c r="L1854" s="15" t="n">
        <v>92.52</v>
      </c>
      <c r="M1854" s="15" t="n">
        <f aca="false">F1854*G1854</f>
        <v>106.34</v>
      </c>
      <c r="N1854" s="15" t="n">
        <f aca="false">M1854-L1854</f>
        <v>13.82</v>
      </c>
      <c r="O1854" s="1" t="n">
        <f aca="false">YEAR(B1854)</f>
        <v>2027</v>
      </c>
      <c r="P1854" s="1" t="n">
        <f aca="false">MONTH(B1854)</f>
        <v>1</v>
      </c>
      <c r="Q1854" s="1" t="str">
        <f aca="false">TEXT(B1854,"mmm")</f>
        <v>Jan</v>
      </c>
      <c r="R1854" s="1" t="str">
        <f aca="false">"Q"&amp;ROUNDUP(MONTH(B1854)/3,0)</f>
        <v>Q1</v>
      </c>
    </row>
    <row r="1855" customFormat="false" ht="15" hidden="false" customHeight="true" outlineLevel="0" collapsed="false">
      <c r="A1855" s="1" t="n">
        <v>11854</v>
      </c>
      <c r="B1855" s="14" t="n">
        <v>46415</v>
      </c>
      <c r="C1855" s="1" t="n">
        <v>1748</v>
      </c>
      <c r="D1855" s="1" t="s">
        <v>30</v>
      </c>
      <c r="E1855" s="1" t="s">
        <v>28</v>
      </c>
      <c r="F1855" s="1" t="n">
        <v>6</v>
      </c>
      <c r="G1855" s="15" t="n">
        <v>517.76</v>
      </c>
      <c r="H1855" s="16" t="n">
        <v>0.31</v>
      </c>
      <c r="I1855" s="1" t="s">
        <v>31</v>
      </c>
      <c r="J1855" s="1" t="n">
        <v>4</v>
      </c>
      <c r="K1855" s="1" t="n">
        <v>3.6</v>
      </c>
      <c r="L1855" s="15" t="n">
        <v>2143.53</v>
      </c>
      <c r="M1855" s="15" t="n">
        <f aca="false">F1855*G1855</f>
        <v>3106.56</v>
      </c>
      <c r="N1855" s="15" t="n">
        <f aca="false">M1855-L1855</f>
        <v>963.03</v>
      </c>
      <c r="O1855" s="1" t="n">
        <f aca="false">YEAR(B1855)</f>
        <v>2027</v>
      </c>
      <c r="P1855" s="1" t="n">
        <f aca="false">MONTH(B1855)</f>
        <v>1</v>
      </c>
      <c r="Q1855" s="1" t="str">
        <f aca="false">TEXT(B1855,"mmm")</f>
        <v>Jan</v>
      </c>
      <c r="R1855" s="1" t="str">
        <f aca="false">"Q"&amp;ROUNDUP(MONTH(B1855)/3,0)</f>
        <v>Q1</v>
      </c>
    </row>
    <row r="1856" customFormat="false" ht="15" hidden="false" customHeight="true" outlineLevel="0" collapsed="false">
      <c r="A1856" s="1" t="n">
        <v>11855</v>
      </c>
      <c r="B1856" s="14" t="n">
        <v>46416</v>
      </c>
      <c r="C1856" s="1" t="n">
        <v>1820</v>
      </c>
      <c r="D1856" s="1" t="s">
        <v>37</v>
      </c>
      <c r="E1856" s="1" t="s">
        <v>35</v>
      </c>
      <c r="F1856" s="1" t="n">
        <v>6</v>
      </c>
      <c r="G1856" s="15" t="n">
        <v>523.05</v>
      </c>
      <c r="H1856" s="16" t="n">
        <v>0.32</v>
      </c>
      <c r="I1856" s="1" t="s">
        <v>31</v>
      </c>
      <c r="J1856" s="1" t="n">
        <v>6</v>
      </c>
      <c r="K1856" s="1" t="n">
        <v>2.2</v>
      </c>
      <c r="L1856" s="15" t="n">
        <v>2134.04</v>
      </c>
      <c r="M1856" s="15" t="n">
        <f aca="false">F1856*G1856</f>
        <v>3138.3</v>
      </c>
      <c r="N1856" s="15" t="n">
        <f aca="false">M1856-L1856</f>
        <v>1004.26</v>
      </c>
      <c r="O1856" s="1" t="n">
        <f aca="false">YEAR(B1856)</f>
        <v>2027</v>
      </c>
      <c r="P1856" s="1" t="n">
        <f aca="false">MONTH(B1856)</f>
        <v>1</v>
      </c>
      <c r="Q1856" s="1" t="str">
        <f aca="false">TEXT(B1856,"mmm")</f>
        <v>Jan</v>
      </c>
      <c r="R1856" s="1" t="str">
        <f aca="false">"Q"&amp;ROUNDUP(MONTH(B1856)/3,0)</f>
        <v>Q1</v>
      </c>
    </row>
    <row r="1857" customFormat="false" ht="15" hidden="false" customHeight="true" outlineLevel="0" collapsed="false">
      <c r="A1857" s="1" t="n">
        <v>11856</v>
      </c>
      <c r="B1857" s="14" t="n">
        <v>46417</v>
      </c>
      <c r="C1857" s="1" t="n">
        <v>1454</v>
      </c>
      <c r="D1857" s="1" t="s">
        <v>34</v>
      </c>
      <c r="E1857" s="1" t="s">
        <v>35</v>
      </c>
      <c r="F1857" s="1" t="n">
        <v>1</v>
      </c>
      <c r="G1857" s="15" t="n">
        <v>291.17</v>
      </c>
      <c r="H1857" s="16" t="n">
        <v>0.01</v>
      </c>
      <c r="I1857" s="1" t="s">
        <v>33</v>
      </c>
      <c r="J1857" s="1" t="n">
        <v>5</v>
      </c>
      <c r="K1857" s="1" t="n">
        <v>4.4</v>
      </c>
      <c r="L1857" s="15" t="n">
        <v>288.26</v>
      </c>
      <c r="M1857" s="15" t="n">
        <f aca="false">F1857*G1857</f>
        <v>291.17</v>
      </c>
      <c r="N1857" s="15" t="n">
        <f aca="false">M1857-L1857</f>
        <v>2.91000000000003</v>
      </c>
      <c r="O1857" s="1" t="n">
        <f aca="false">YEAR(B1857)</f>
        <v>2027</v>
      </c>
      <c r="P1857" s="1" t="n">
        <f aca="false">MONTH(B1857)</f>
        <v>1</v>
      </c>
      <c r="Q1857" s="1" t="str">
        <f aca="false">TEXT(B1857,"mmm")</f>
        <v>Jan</v>
      </c>
      <c r="R1857" s="1" t="str">
        <f aca="false">"Q"&amp;ROUNDUP(MONTH(B1857)/3,0)</f>
        <v>Q1</v>
      </c>
    </row>
    <row r="1858" customFormat="false" ht="15" hidden="false" customHeight="true" outlineLevel="0" collapsed="false">
      <c r="A1858" s="1" t="n">
        <v>11857</v>
      </c>
      <c r="B1858" s="14" t="n">
        <v>46418</v>
      </c>
      <c r="C1858" s="1" t="n">
        <v>1905</v>
      </c>
      <c r="D1858" s="1" t="s">
        <v>30</v>
      </c>
      <c r="E1858" s="1" t="s">
        <v>36</v>
      </c>
      <c r="F1858" s="1" t="n">
        <v>6</v>
      </c>
      <c r="G1858" s="15" t="n">
        <v>315.81</v>
      </c>
      <c r="H1858" s="16" t="n">
        <v>0.35</v>
      </c>
      <c r="I1858" s="1" t="s">
        <v>31</v>
      </c>
      <c r="J1858" s="1" t="n">
        <v>2</v>
      </c>
      <c r="K1858" s="1" t="n">
        <v>3.2</v>
      </c>
      <c r="L1858" s="15" t="n">
        <v>1231.66</v>
      </c>
      <c r="M1858" s="15" t="n">
        <f aca="false">F1858*G1858</f>
        <v>1894.86</v>
      </c>
      <c r="N1858" s="15" t="n">
        <f aca="false">M1858-L1858</f>
        <v>663.2</v>
      </c>
      <c r="O1858" s="1" t="n">
        <f aca="false">YEAR(B1858)</f>
        <v>2027</v>
      </c>
      <c r="P1858" s="1" t="n">
        <f aca="false">MONTH(B1858)</f>
        <v>1</v>
      </c>
      <c r="Q1858" s="1" t="str">
        <f aca="false">TEXT(B1858,"mmm")</f>
        <v>Jan</v>
      </c>
      <c r="R1858" s="1" t="str">
        <f aca="false">"Q"&amp;ROUNDUP(MONTH(B1858)/3,0)</f>
        <v>Q1</v>
      </c>
    </row>
    <row r="1859" customFormat="false" ht="15" hidden="false" customHeight="true" outlineLevel="0" collapsed="false">
      <c r="A1859" s="1" t="n">
        <v>11858</v>
      </c>
      <c r="B1859" s="14" t="n">
        <v>46419</v>
      </c>
      <c r="C1859" s="1" t="n">
        <v>1684</v>
      </c>
      <c r="D1859" s="1" t="s">
        <v>34</v>
      </c>
      <c r="E1859" s="1" t="s">
        <v>36</v>
      </c>
      <c r="F1859" s="1" t="n">
        <v>2</v>
      </c>
      <c r="G1859" s="15" t="n">
        <v>503.95</v>
      </c>
      <c r="H1859" s="16" t="n">
        <v>0.25</v>
      </c>
      <c r="I1859" s="1" t="s">
        <v>31</v>
      </c>
      <c r="J1859" s="1" t="n">
        <v>9</v>
      </c>
      <c r="K1859" s="1" t="n">
        <v>1.6</v>
      </c>
      <c r="L1859" s="15" t="n">
        <v>755.92</v>
      </c>
      <c r="M1859" s="15" t="n">
        <f aca="false">F1859*G1859</f>
        <v>1007.9</v>
      </c>
      <c r="N1859" s="15" t="n">
        <f aca="false">M1859-L1859</f>
        <v>251.98</v>
      </c>
      <c r="O1859" s="1" t="n">
        <f aca="false">YEAR(B1859)</f>
        <v>2027</v>
      </c>
      <c r="P1859" s="1" t="n">
        <f aca="false">MONTH(B1859)</f>
        <v>2</v>
      </c>
      <c r="Q1859" s="1" t="str">
        <f aca="false">TEXT(B1859,"mmm")</f>
        <v>Feb</v>
      </c>
      <c r="R1859" s="1" t="str">
        <f aca="false">"Q"&amp;ROUNDUP(MONTH(B1859)/3,0)</f>
        <v>Q1</v>
      </c>
    </row>
    <row r="1860" customFormat="false" ht="15" hidden="false" customHeight="true" outlineLevel="0" collapsed="false">
      <c r="A1860" s="1" t="n">
        <v>11859</v>
      </c>
      <c r="B1860" s="14" t="n">
        <v>46420</v>
      </c>
      <c r="C1860" s="1" t="n">
        <v>1400</v>
      </c>
      <c r="D1860" s="1" t="s">
        <v>34</v>
      </c>
      <c r="E1860" s="1" t="s">
        <v>32</v>
      </c>
      <c r="F1860" s="1" t="n">
        <v>3</v>
      </c>
      <c r="G1860" s="15" t="n">
        <v>447.06</v>
      </c>
      <c r="H1860" s="16" t="n">
        <v>0.18</v>
      </c>
      <c r="I1860" s="1" t="s">
        <v>33</v>
      </c>
      <c r="J1860" s="1" t="n">
        <v>11</v>
      </c>
      <c r="K1860" s="1" t="n">
        <v>2.1</v>
      </c>
      <c r="L1860" s="15" t="n">
        <v>1099.77</v>
      </c>
      <c r="M1860" s="15" t="n">
        <f aca="false">F1860*G1860</f>
        <v>1341.18</v>
      </c>
      <c r="N1860" s="15" t="n">
        <f aca="false">M1860-L1860</f>
        <v>241.41</v>
      </c>
      <c r="O1860" s="1" t="n">
        <f aca="false">YEAR(B1860)</f>
        <v>2027</v>
      </c>
      <c r="P1860" s="1" t="n">
        <f aca="false">MONTH(B1860)</f>
        <v>2</v>
      </c>
      <c r="Q1860" s="1" t="str">
        <f aca="false">TEXT(B1860,"mmm")</f>
        <v>Feb</v>
      </c>
      <c r="R1860" s="1" t="str">
        <f aca="false">"Q"&amp;ROUNDUP(MONTH(B1860)/3,0)</f>
        <v>Q1</v>
      </c>
    </row>
    <row r="1861" customFormat="false" ht="15" hidden="false" customHeight="true" outlineLevel="0" collapsed="false">
      <c r="A1861" s="1" t="n">
        <v>11860</v>
      </c>
      <c r="B1861" s="14" t="n">
        <v>46421</v>
      </c>
      <c r="C1861" s="1" t="n">
        <v>1921</v>
      </c>
      <c r="D1861" s="1" t="s">
        <v>34</v>
      </c>
      <c r="E1861" s="1" t="s">
        <v>36</v>
      </c>
      <c r="F1861" s="1" t="n">
        <v>3</v>
      </c>
      <c r="G1861" s="15" t="n">
        <v>170.11</v>
      </c>
      <c r="H1861" s="16" t="n">
        <v>0.14</v>
      </c>
      <c r="I1861" s="1" t="s">
        <v>33</v>
      </c>
      <c r="J1861" s="1" t="n">
        <v>6</v>
      </c>
      <c r="K1861" s="1" t="n">
        <v>2.3</v>
      </c>
      <c r="L1861" s="15" t="n">
        <v>438.88</v>
      </c>
      <c r="M1861" s="15" t="n">
        <f aca="false">F1861*G1861</f>
        <v>510.33</v>
      </c>
      <c r="N1861" s="15" t="n">
        <f aca="false">M1861-L1861</f>
        <v>71.4500000000001</v>
      </c>
      <c r="O1861" s="1" t="n">
        <f aca="false">YEAR(B1861)</f>
        <v>2027</v>
      </c>
      <c r="P1861" s="1" t="n">
        <f aca="false">MONTH(B1861)</f>
        <v>2</v>
      </c>
      <c r="Q1861" s="1" t="str">
        <f aca="false">TEXT(B1861,"mmm")</f>
        <v>Feb</v>
      </c>
      <c r="R1861" s="1" t="str">
        <f aca="false">"Q"&amp;ROUNDUP(MONTH(B1861)/3,0)</f>
        <v>Q1</v>
      </c>
    </row>
    <row r="1862" customFormat="false" ht="15" hidden="false" customHeight="true" outlineLevel="0" collapsed="false">
      <c r="A1862" s="1" t="n">
        <v>11861</v>
      </c>
      <c r="B1862" s="14" t="n">
        <v>46422</v>
      </c>
      <c r="C1862" s="1" t="n">
        <v>1980</v>
      </c>
      <c r="D1862" s="1" t="s">
        <v>37</v>
      </c>
      <c r="E1862" s="1" t="s">
        <v>36</v>
      </c>
      <c r="F1862" s="1" t="n">
        <v>2</v>
      </c>
      <c r="G1862" s="15" t="n">
        <v>24.88</v>
      </c>
      <c r="H1862" s="16" t="n">
        <v>0.18</v>
      </c>
      <c r="I1862" s="1" t="s">
        <v>33</v>
      </c>
      <c r="J1862" s="1" t="n">
        <v>10</v>
      </c>
      <c r="K1862" s="1" t="n">
        <v>4.5</v>
      </c>
      <c r="L1862" s="15" t="n">
        <v>40.8</v>
      </c>
      <c r="M1862" s="15" t="n">
        <f aca="false">F1862*G1862</f>
        <v>49.76</v>
      </c>
      <c r="N1862" s="15" t="n">
        <f aca="false">M1862-L1862</f>
        <v>8.96</v>
      </c>
      <c r="O1862" s="1" t="n">
        <f aca="false">YEAR(B1862)</f>
        <v>2027</v>
      </c>
      <c r="P1862" s="1" t="n">
        <f aca="false">MONTH(B1862)</f>
        <v>2</v>
      </c>
      <c r="Q1862" s="1" t="str">
        <f aca="false">TEXT(B1862,"mmm")</f>
        <v>Feb</v>
      </c>
      <c r="R1862" s="1" t="str">
        <f aca="false">"Q"&amp;ROUNDUP(MONTH(B1862)/3,0)</f>
        <v>Q1</v>
      </c>
    </row>
    <row r="1863" customFormat="false" ht="15" hidden="false" customHeight="true" outlineLevel="0" collapsed="false">
      <c r="A1863" s="1" t="n">
        <v>11862</v>
      </c>
      <c r="B1863" s="14" t="n">
        <v>46423</v>
      </c>
      <c r="C1863" s="1" t="n">
        <v>1475</v>
      </c>
      <c r="D1863" s="1" t="s">
        <v>37</v>
      </c>
      <c r="E1863" s="1" t="s">
        <v>32</v>
      </c>
      <c r="F1863" s="1" t="n">
        <v>6</v>
      </c>
      <c r="G1863" s="15" t="n">
        <v>295.62</v>
      </c>
      <c r="H1863" s="16" t="n">
        <v>0.11</v>
      </c>
      <c r="I1863" s="1" t="s">
        <v>33</v>
      </c>
      <c r="J1863" s="1" t="n">
        <v>6</v>
      </c>
      <c r="K1863" s="1" t="n">
        <v>4.1</v>
      </c>
      <c r="L1863" s="15" t="n">
        <v>1578.61</v>
      </c>
      <c r="M1863" s="15" t="n">
        <f aca="false">F1863*G1863</f>
        <v>1773.72</v>
      </c>
      <c r="N1863" s="15" t="n">
        <f aca="false">M1863-L1863</f>
        <v>195.11</v>
      </c>
      <c r="O1863" s="1" t="n">
        <f aca="false">YEAR(B1863)</f>
        <v>2027</v>
      </c>
      <c r="P1863" s="1" t="n">
        <f aca="false">MONTH(B1863)</f>
        <v>2</v>
      </c>
      <c r="Q1863" s="1" t="str">
        <f aca="false">TEXT(B1863,"mmm")</f>
        <v>Feb</v>
      </c>
      <c r="R1863" s="1" t="str">
        <f aca="false">"Q"&amp;ROUNDUP(MONTH(B1863)/3,0)</f>
        <v>Q1</v>
      </c>
    </row>
    <row r="1864" customFormat="false" ht="15" hidden="false" customHeight="true" outlineLevel="0" collapsed="false">
      <c r="A1864" s="1" t="n">
        <v>11863</v>
      </c>
      <c r="B1864" s="14" t="n">
        <v>46424</v>
      </c>
      <c r="C1864" s="1" t="n">
        <v>1701</v>
      </c>
      <c r="D1864" s="1" t="s">
        <v>30</v>
      </c>
      <c r="E1864" s="1" t="s">
        <v>35</v>
      </c>
      <c r="F1864" s="1" t="n">
        <v>6</v>
      </c>
      <c r="G1864" s="15" t="n">
        <v>517.46</v>
      </c>
      <c r="H1864" s="16" t="n">
        <v>0.22</v>
      </c>
      <c r="I1864" s="1" t="s">
        <v>33</v>
      </c>
      <c r="J1864" s="1" t="n">
        <v>9</v>
      </c>
      <c r="K1864" s="1" t="n">
        <v>4.3</v>
      </c>
      <c r="L1864" s="15" t="n">
        <v>2421.71</v>
      </c>
      <c r="M1864" s="15" t="n">
        <f aca="false">F1864*G1864</f>
        <v>3104.76</v>
      </c>
      <c r="N1864" s="15" t="n">
        <f aca="false">M1864-L1864</f>
        <v>683.05</v>
      </c>
      <c r="O1864" s="1" t="n">
        <f aca="false">YEAR(B1864)</f>
        <v>2027</v>
      </c>
      <c r="P1864" s="1" t="n">
        <f aca="false">MONTH(B1864)</f>
        <v>2</v>
      </c>
      <c r="Q1864" s="1" t="str">
        <f aca="false">TEXT(B1864,"mmm")</f>
        <v>Feb</v>
      </c>
      <c r="R1864" s="1" t="str">
        <f aca="false">"Q"&amp;ROUNDUP(MONTH(B1864)/3,0)</f>
        <v>Q1</v>
      </c>
    </row>
    <row r="1865" customFormat="false" ht="15" hidden="false" customHeight="true" outlineLevel="0" collapsed="false">
      <c r="A1865" s="1" t="n">
        <v>11864</v>
      </c>
      <c r="B1865" s="14" t="n">
        <v>46425</v>
      </c>
      <c r="C1865" s="1" t="n">
        <v>1633</v>
      </c>
      <c r="D1865" s="1" t="s">
        <v>30</v>
      </c>
      <c r="E1865" s="1" t="s">
        <v>32</v>
      </c>
      <c r="F1865" s="1" t="n">
        <v>6</v>
      </c>
      <c r="G1865" s="15" t="n">
        <v>539.06</v>
      </c>
      <c r="H1865" s="16" t="n">
        <v>0.03</v>
      </c>
      <c r="I1865" s="1" t="s">
        <v>33</v>
      </c>
      <c r="J1865" s="1" t="n">
        <v>1</v>
      </c>
      <c r="K1865" s="1" t="n">
        <v>1.2</v>
      </c>
      <c r="L1865" s="15" t="n">
        <v>3137.33</v>
      </c>
      <c r="M1865" s="15" t="n">
        <f aca="false">F1865*G1865</f>
        <v>3234.36</v>
      </c>
      <c r="N1865" s="15" t="n">
        <f aca="false">M1865-L1865</f>
        <v>97.0299999999998</v>
      </c>
      <c r="O1865" s="1" t="n">
        <f aca="false">YEAR(B1865)</f>
        <v>2027</v>
      </c>
      <c r="P1865" s="1" t="n">
        <f aca="false">MONTH(B1865)</f>
        <v>2</v>
      </c>
      <c r="Q1865" s="1" t="str">
        <f aca="false">TEXT(B1865,"mmm")</f>
        <v>Feb</v>
      </c>
      <c r="R1865" s="1" t="str">
        <f aca="false">"Q"&amp;ROUNDUP(MONTH(B1865)/3,0)</f>
        <v>Q1</v>
      </c>
    </row>
    <row r="1866" customFormat="false" ht="15" hidden="false" customHeight="true" outlineLevel="0" collapsed="false">
      <c r="A1866" s="1" t="n">
        <v>11865</v>
      </c>
      <c r="B1866" s="14" t="n">
        <v>46426</v>
      </c>
      <c r="C1866" s="1" t="n">
        <v>1557</v>
      </c>
      <c r="D1866" s="1" t="s">
        <v>27</v>
      </c>
      <c r="E1866" s="1" t="s">
        <v>32</v>
      </c>
      <c r="F1866" s="1" t="n">
        <v>7</v>
      </c>
      <c r="G1866" s="15" t="n">
        <v>574.39</v>
      </c>
      <c r="H1866" s="16" t="n">
        <v>0.22</v>
      </c>
      <c r="I1866" s="1" t="s">
        <v>33</v>
      </c>
      <c r="J1866" s="1" t="n">
        <v>7</v>
      </c>
      <c r="K1866" s="1" t="n">
        <v>3.3</v>
      </c>
      <c r="L1866" s="15" t="n">
        <v>3136.17</v>
      </c>
      <c r="M1866" s="15" t="n">
        <f aca="false">F1866*G1866</f>
        <v>4020.73</v>
      </c>
      <c r="N1866" s="15" t="n">
        <f aca="false">M1866-L1866</f>
        <v>884.56</v>
      </c>
      <c r="O1866" s="1" t="n">
        <f aca="false">YEAR(B1866)</f>
        <v>2027</v>
      </c>
      <c r="P1866" s="1" t="n">
        <f aca="false">MONTH(B1866)</f>
        <v>2</v>
      </c>
      <c r="Q1866" s="1" t="str">
        <f aca="false">TEXT(B1866,"mmm")</f>
        <v>Feb</v>
      </c>
      <c r="R1866" s="1" t="str">
        <f aca="false">"Q"&amp;ROUNDUP(MONTH(B1866)/3,0)</f>
        <v>Q1</v>
      </c>
    </row>
    <row r="1867" customFormat="false" ht="15" hidden="false" customHeight="true" outlineLevel="0" collapsed="false">
      <c r="A1867" s="1" t="n">
        <v>11866</v>
      </c>
      <c r="B1867" s="14" t="n">
        <v>46427</v>
      </c>
      <c r="C1867" s="1" t="n">
        <v>1575</v>
      </c>
      <c r="D1867" s="1" t="s">
        <v>34</v>
      </c>
      <c r="E1867" s="1" t="s">
        <v>32</v>
      </c>
      <c r="F1867" s="1" t="n">
        <v>4</v>
      </c>
      <c r="G1867" s="15" t="n">
        <v>529.54</v>
      </c>
      <c r="H1867" s="16" t="n">
        <v>0.1</v>
      </c>
      <c r="I1867" s="1" t="s">
        <v>33</v>
      </c>
      <c r="J1867" s="1" t="n">
        <v>3</v>
      </c>
      <c r="K1867" s="1" t="n">
        <v>5</v>
      </c>
      <c r="L1867" s="15" t="n">
        <v>1906.34</v>
      </c>
      <c r="M1867" s="15" t="n">
        <f aca="false">F1867*G1867</f>
        <v>2118.16</v>
      </c>
      <c r="N1867" s="15" t="n">
        <f aca="false">M1867-L1867</f>
        <v>211.82</v>
      </c>
      <c r="O1867" s="1" t="n">
        <f aca="false">YEAR(B1867)</f>
        <v>2027</v>
      </c>
      <c r="P1867" s="1" t="n">
        <f aca="false">MONTH(B1867)</f>
        <v>2</v>
      </c>
      <c r="Q1867" s="1" t="str">
        <f aca="false">TEXT(B1867,"mmm")</f>
        <v>Feb</v>
      </c>
      <c r="R1867" s="1" t="str">
        <f aca="false">"Q"&amp;ROUNDUP(MONTH(B1867)/3,0)</f>
        <v>Q1</v>
      </c>
    </row>
    <row r="1868" customFormat="false" ht="15" hidden="false" customHeight="true" outlineLevel="0" collapsed="false">
      <c r="A1868" s="1" t="n">
        <v>11867</v>
      </c>
      <c r="B1868" s="14" t="n">
        <v>46428</v>
      </c>
      <c r="C1868" s="1" t="n">
        <v>1129</v>
      </c>
      <c r="D1868" s="1" t="s">
        <v>34</v>
      </c>
      <c r="E1868" s="1" t="s">
        <v>28</v>
      </c>
      <c r="F1868" s="1" t="n">
        <v>5</v>
      </c>
      <c r="G1868" s="15" t="n">
        <v>354.33</v>
      </c>
      <c r="H1868" s="16" t="n">
        <v>0.01</v>
      </c>
      <c r="I1868" s="1" t="s">
        <v>31</v>
      </c>
      <c r="J1868" s="1" t="n">
        <v>4</v>
      </c>
      <c r="K1868" s="1" t="n">
        <v>4.1</v>
      </c>
      <c r="L1868" s="15" t="n">
        <v>1753.93</v>
      </c>
      <c r="M1868" s="15" t="n">
        <f aca="false">F1868*G1868</f>
        <v>1771.65</v>
      </c>
      <c r="N1868" s="15" t="n">
        <f aca="false">M1868-L1868</f>
        <v>17.7199999999998</v>
      </c>
      <c r="O1868" s="1" t="n">
        <f aca="false">YEAR(B1868)</f>
        <v>2027</v>
      </c>
      <c r="P1868" s="1" t="n">
        <f aca="false">MONTH(B1868)</f>
        <v>2</v>
      </c>
      <c r="Q1868" s="1" t="str">
        <f aca="false">TEXT(B1868,"mmm")</f>
        <v>Feb</v>
      </c>
      <c r="R1868" s="1" t="str">
        <f aca="false">"Q"&amp;ROUNDUP(MONTH(B1868)/3,0)</f>
        <v>Q1</v>
      </c>
    </row>
    <row r="1869" customFormat="false" ht="15" hidden="false" customHeight="true" outlineLevel="0" collapsed="false">
      <c r="A1869" s="1" t="n">
        <v>11868</v>
      </c>
      <c r="B1869" s="14" t="n">
        <v>46429</v>
      </c>
      <c r="C1869" s="1" t="n">
        <v>1821</v>
      </c>
      <c r="D1869" s="1" t="s">
        <v>34</v>
      </c>
      <c r="E1869" s="1" t="s">
        <v>35</v>
      </c>
      <c r="F1869" s="1" t="n">
        <v>2</v>
      </c>
      <c r="G1869" s="15" t="n">
        <v>275.09</v>
      </c>
      <c r="H1869" s="16" t="n">
        <v>0.19</v>
      </c>
      <c r="I1869" s="1" t="s">
        <v>31</v>
      </c>
      <c r="J1869" s="1" t="n">
        <v>1</v>
      </c>
      <c r="K1869" s="1" t="n">
        <v>1.5</v>
      </c>
      <c r="L1869" s="15" t="n">
        <v>445.65</v>
      </c>
      <c r="M1869" s="15" t="n">
        <f aca="false">F1869*G1869</f>
        <v>550.18</v>
      </c>
      <c r="N1869" s="15" t="n">
        <f aca="false">M1869-L1869</f>
        <v>104.53</v>
      </c>
      <c r="O1869" s="1" t="n">
        <f aca="false">YEAR(B1869)</f>
        <v>2027</v>
      </c>
      <c r="P1869" s="1" t="n">
        <f aca="false">MONTH(B1869)</f>
        <v>2</v>
      </c>
      <c r="Q1869" s="1" t="str">
        <f aca="false">TEXT(B1869,"mmm")</f>
        <v>Feb</v>
      </c>
      <c r="R1869" s="1" t="str">
        <f aca="false">"Q"&amp;ROUNDUP(MONTH(B1869)/3,0)</f>
        <v>Q1</v>
      </c>
    </row>
    <row r="1870" customFormat="false" ht="15" hidden="false" customHeight="true" outlineLevel="0" collapsed="false">
      <c r="A1870" s="1" t="n">
        <v>11869</v>
      </c>
      <c r="B1870" s="14" t="n">
        <v>46430</v>
      </c>
      <c r="C1870" s="1" t="n">
        <v>1362</v>
      </c>
      <c r="D1870" s="1" t="s">
        <v>37</v>
      </c>
      <c r="E1870" s="1" t="s">
        <v>28</v>
      </c>
      <c r="F1870" s="1" t="n">
        <v>2</v>
      </c>
      <c r="G1870" s="15" t="n">
        <v>468.29</v>
      </c>
      <c r="H1870" s="16" t="n">
        <v>0.2</v>
      </c>
      <c r="I1870" s="1" t="s">
        <v>31</v>
      </c>
      <c r="J1870" s="1" t="n">
        <v>3</v>
      </c>
      <c r="K1870" s="1" t="n">
        <v>3.7</v>
      </c>
      <c r="L1870" s="15" t="n">
        <v>749.26</v>
      </c>
      <c r="M1870" s="15" t="n">
        <f aca="false">F1870*G1870</f>
        <v>936.58</v>
      </c>
      <c r="N1870" s="15" t="n">
        <f aca="false">M1870-L1870</f>
        <v>187.32</v>
      </c>
      <c r="O1870" s="1" t="n">
        <f aca="false">YEAR(B1870)</f>
        <v>2027</v>
      </c>
      <c r="P1870" s="1" t="n">
        <f aca="false">MONTH(B1870)</f>
        <v>2</v>
      </c>
      <c r="Q1870" s="1" t="str">
        <f aca="false">TEXT(B1870,"mmm")</f>
        <v>Feb</v>
      </c>
      <c r="R1870" s="1" t="str">
        <f aca="false">"Q"&amp;ROUNDUP(MONTH(B1870)/3,0)</f>
        <v>Q1</v>
      </c>
    </row>
    <row r="1871" customFormat="false" ht="15" hidden="false" customHeight="true" outlineLevel="0" collapsed="false">
      <c r="A1871" s="1" t="n">
        <v>11870</v>
      </c>
      <c r="B1871" s="14" t="n">
        <v>46431</v>
      </c>
      <c r="C1871" s="1" t="n">
        <v>1704</v>
      </c>
      <c r="D1871" s="1" t="s">
        <v>27</v>
      </c>
      <c r="E1871" s="1" t="s">
        <v>28</v>
      </c>
      <c r="F1871" s="1" t="n">
        <v>7</v>
      </c>
      <c r="G1871" s="15" t="n">
        <v>447.8</v>
      </c>
      <c r="H1871" s="16" t="n">
        <v>0.15</v>
      </c>
      <c r="I1871" s="1" t="s">
        <v>31</v>
      </c>
      <c r="J1871" s="1" t="n">
        <v>7</v>
      </c>
      <c r="K1871" s="1" t="n">
        <v>4</v>
      </c>
      <c r="L1871" s="15" t="n">
        <v>2664.41</v>
      </c>
      <c r="M1871" s="15" t="n">
        <f aca="false">F1871*G1871</f>
        <v>3134.6</v>
      </c>
      <c r="N1871" s="15" t="n">
        <f aca="false">M1871-L1871</f>
        <v>470.19</v>
      </c>
      <c r="O1871" s="1" t="n">
        <f aca="false">YEAR(B1871)</f>
        <v>2027</v>
      </c>
      <c r="P1871" s="1" t="n">
        <f aca="false">MONTH(B1871)</f>
        <v>2</v>
      </c>
      <c r="Q1871" s="1" t="str">
        <f aca="false">TEXT(B1871,"mmm")</f>
        <v>Feb</v>
      </c>
      <c r="R1871" s="1" t="str">
        <f aca="false">"Q"&amp;ROUNDUP(MONTH(B1871)/3,0)</f>
        <v>Q1</v>
      </c>
    </row>
    <row r="1872" customFormat="false" ht="15" hidden="false" customHeight="true" outlineLevel="0" collapsed="false">
      <c r="A1872" s="1" t="n">
        <v>11871</v>
      </c>
      <c r="B1872" s="14" t="n">
        <v>46432</v>
      </c>
      <c r="C1872" s="1" t="n">
        <v>1818</v>
      </c>
      <c r="D1872" s="1" t="s">
        <v>34</v>
      </c>
      <c r="E1872" s="1" t="s">
        <v>36</v>
      </c>
      <c r="F1872" s="1" t="n">
        <v>2</v>
      </c>
      <c r="G1872" s="15" t="n">
        <v>329.81</v>
      </c>
      <c r="H1872" s="16" t="n">
        <v>0.03</v>
      </c>
      <c r="I1872" s="1" t="s">
        <v>33</v>
      </c>
      <c r="J1872" s="1" t="n">
        <v>6</v>
      </c>
      <c r="K1872" s="1" t="n">
        <v>3.1</v>
      </c>
      <c r="L1872" s="15" t="n">
        <v>639.83</v>
      </c>
      <c r="M1872" s="15" t="n">
        <f aca="false">F1872*G1872</f>
        <v>659.62</v>
      </c>
      <c r="N1872" s="15" t="n">
        <f aca="false">M1872-L1872</f>
        <v>19.79</v>
      </c>
      <c r="O1872" s="1" t="n">
        <f aca="false">YEAR(B1872)</f>
        <v>2027</v>
      </c>
      <c r="P1872" s="1" t="n">
        <f aca="false">MONTH(B1872)</f>
        <v>2</v>
      </c>
      <c r="Q1872" s="1" t="str">
        <f aca="false">TEXT(B1872,"mmm")</f>
        <v>Feb</v>
      </c>
      <c r="R1872" s="1" t="str">
        <f aca="false">"Q"&amp;ROUNDUP(MONTH(B1872)/3,0)</f>
        <v>Q1</v>
      </c>
    </row>
    <row r="1873" customFormat="false" ht="15" hidden="false" customHeight="true" outlineLevel="0" collapsed="false">
      <c r="A1873" s="1" t="n">
        <v>11872</v>
      </c>
      <c r="B1873" s="14" t="n">
        <v>46433</v>
      </c>
      <c r="C1873" s="1" t="n">
        <v>1692</v>
      </c>
      <c r="D1873" s="1" t="s">
        <v>27</v>
      </c>
      <c r="E1873" s="1" t="s">
        <v>32</v>
      </c>
      <c r="F1873" s="1" t="n">
        <v>2</v>
      </c>
      <c r="G1873" s="15" t="n">
        <v>66.09</v>
      </c>
      <c r="H1873" s="16" t="n">
        <v>0.31</v>
      </c>
      <c r="I1873" s="1" t="s">
        <v>31</v>
      </c>
      <c r="J1873" s="1" t="n">
        <v>1</v>
      </c>
      <c r="K1873" s="1" t="n">
        <v>1.3</v>
      </c>
      <c r="L1873" s="15" t="n">
        <v>91.2</v>
      </c>
      <c r="M1873" s="15" t="n">
        <f aca="false">F1873*G1873</f>
        <v>132.18</v>
      </c>
      <c r="N1873" s="15" t="n">
        <f aca="false">M1873-L1873</f>
        <v>40.98</v>
      </c>
      <c r="O1873" s="1" t="n">
        <f aca="false">YEAR(B1873)</f>
        <v>2027</v>
      </c>
      <c r="P1873" s="1" t="n">
        <f aca="false">MONTH(B1873)</f>
        <v>2</v>
      </c>
      <c r="Q1873" s="1" t="str">
        <f aca="false">TEXT(B1873,"mmm")</f>
        <v>Feb</v>
      </c>
      <c r="R1873" s="1" t="str">
        <f aca="false">"Q"&amp;ROUNDUP(MONTH(B1873)/3,0)</f>
        <v>Q1</v>
      </c>
    </row>
    <row r="1874" customFormat="false" ht="15" hidden="false" customHeight="true" outlineLevel="0" collapsed="false">
      <c r="A1874" s="1" t="n">
        <v>11873</v>
      </c>
      <c r="B1874" s="14" t="n">
        <v>46434</v>
      </c>
      <c r="C1874" s="1" t="n">
        <v>1291</v>
      </c>
      <c r="D1874" s="1" t="s">
        <v>37</v>
      </c>
      <c r="E1874" s="1" t="s">
        <v>32</v>
      </c>
      <c r="F1874" s="1" t="n">
        <v>7</v>
      </c>
      <c r="G1874" s="15" t="n">
        <v>556.76</v>
      </c>
      <c r="H1874" s="16" t="n">
        <v>0.21</v>
      </c>
      <c r="I1874" s="1" t="s">
        <v>31</v>
      </c>
      <c r="J1874" s="1" t="n">
        <v>9</v>
      </c>
      <c r="K1874" s="1" t="n">
        <v>1.1</v>
      </c>
      <c r="L1874" s="15" t="n">
        <v>3078.88</v>
      </c>
      <c r="M1874" s="15" t="n">
        <f aca="false">F1874*G1874</f>
        <v>3897.32</v>
      </c>
      <c r="N1874" s="15" t="n">
        <f aca="false">M1874-L1874</f>
        <v>818.44</v>
      </c>
      <c r="O1874" s="1" t="n">
        <f aca="false">YEAR(B1874)</f>
        <v>2027</v>
      </c>
      <c r="P1874" s="1" t="n">
        <f aca="false">MONTH(B1874)</f>
        <v>2</v>
      </c>
      <c r="Q1874" s="1" t="str">
        <f aca="false">TEXT(B1874,"mmm")</f>
        <v>Feb</v>
      </c>
      <c r="R1874" s="1" t="str">
        <f aca="false">"Q"&amp;ROUNDUP(MONTH(B1874)/3,0)</f>
        <v>Q1</v>
      </c>
    </row>
    <row r="1875" customFormat="false" ht="15" hidden="false" customHeight="true" outlineLevel="0" collapsed="false">
      <c r="A1875" s="1" t="n">
        <v>11874</v>
      </c>
      <c r="B1875" s="14" t="n">
        <v>46435</v>
      </c>
      <c r="C1875" s="1" t="n">
        <v>1370</v>
      </c>
      <c r="D1875" s="1" t="s">
        <v>34</v>
      </c>
      <c r="E1875" s="1" t="s">
        <v>28</v>
      </c>
      <c r="F1875" s="1" t="n">
        <v>2</v>
      </c>
      <c r="G1875" s="15" t="n">
        <v>281.53</v>
      </c>
      <c r="H1875" s="16" t="n">
        <v>0.04</v>
      </c>
      <c r="I1875" s="1" t="s">
        <v>31</v>
      </c>
      <c r="J1875" s="1" t="n">
        <v>4</v>
      </c>
      <c r="K1875" s="1" t="n">
        <v>4.8</v>
      </c>
      <c r="L1875" s="15" t="n">
        <v>540.54</v>
      </c>
      <c r="M1875" s="15" t="n">
        <f aca="false">F1875*G1875</f>
        <v>563.06</v>
      </c>
      <c r="N1875" s="15" t="n">
        <f aca="false">M1875-L1875</f>
        <v>22.52</v>
      </c>
      <c r="O1875" s="1" t="n">
        <f aca="false">YEAR(B1875)</f>
        <v>2027</v>
      </c>
      <c r="P1875" s="1" t="n">
        <f aca="false">MONTH(B1875)</f>
        <v>2</v>
      </c>
      <c r="Q1875" s="1" t="str">
        <f aca="false">TEXT(B1875,"mmm")</f>
        <v>Feb</v>
      </c>
      <c r="R1875" s="1" t="str">
        <f aca="false">"Q"&amp;ROUNDUP(MONTH(B1875)/3,0)</f>
        <v>Q1</v>
      </c>
    </row>
    <row r="1876" customFormat="false" ht="15" hidden="false" customHeight="true" outlineLevel="0" collapsed="false">
      <c r="A1876" s="1" t="n">
        <v>11875</v>
      </c>
      <c r="B1876" s="14" t="n">
        <v>46436</v>
      </c>
      <c r="C1876" s="1" t="n">
        <v>1793</v>
      </c>
      <c r="D1876" s="1" t="s">
        <v>30</v>
      </c>
      <c r="E1876" s="1" t="s">
        <v>36</v>
      </c>
      <c r="F1876" s="1" t="n">
        <v>6</v>
      </c>
      <c r="G1876" s="15" t="n">
        <v>227.55</v>
      </c>
      <c r="H1876" s="16" t="n">
        <v>0.18</v>
      </c>
      <c r="I1876" s="1" t="s">
        <v>31</v>
      </c>
      <c r="J1876" s="1" t="n">
        <v>7</v>
      </c>
      <c r="K1876" s="1" t="n">
        <v>2</v>
      </c>
      <c r="L1876" s="15" t="n">
        <v>1119.55</v>
      </c>
      <c r="M1876" s="15" t="n">
        <f aca="false">F1876*G1876</f>
        <v>1365.3</v>
      </c>
      <c r="N1876" s="15" t="n">
        <f aca="false">M1876-L1876</f>
        <v>245.75</v>
      </c>
      <c r="O1876" s="1" t="n">
        <f aca="false">YEAR(B1876)</f>
        <v>2027</v>
      </c>
      <c r="P1876" s="1" t="n">
        <f aca="false">MONTH(B1876)</f>
        <v>2</v>
      </c>
      <c r="Q1876" s="1" t="str">
        <f aca="false">TEXT(B1876,"mmm")</f>
        <v>Feb</v>
      </c>
      <c r="R1876" s="1" t="str">
        <f aca="false">"Q"&amp;ROUNDUP(MONTH(B1876)/3,0)</f>
        <v>Q1</v>
      </c>
    </row>
    <row r="1877" customFormat="false" ht="15" hidden="false" customHeight="true" outlineLevel="0" collapsed="false">
      <c r="A1877" s="1" t="n">
        <v>11876</v>
      </c>
      <c r="B1877" s="14" t="n">
        <v>46437</v>
      </c>
      <c r="C1877" s="1" t="n">
        <v>1028</v>
      </c>
      <c r="D1877" s="1" t="s">
        <v>30</v>
      </c>
      <c r="E1877" s="1" t="s">
        <v>36</v>
      </c>
      <c r="F1877" s="1" t="n">
        <v>7</v>
      </c>
      <c r="G1877" s="15" t="n">
        <v>383.3</v>
      </c>
      <c r="H1877" s="16" t="n">
        <v>0.17</v>
      </c>
      <c r="I1877" s="1" t="s">
        <v>33</v>
      </c>
      <c r="J1877" s="1" t="n">
        <v>4</v>
      </c>
      <c r="K1877" s="1" t="n">
        <v>2.5</v>
      </c>
      <c r="L1877" s="15" t="n">
        <v>2226.97</v>
      </c>
      <c r="M1877" s="15" t="n">
        <f aca="false">F1877*G1877</f>
        <v>2683.1</v>
      </c>
      <c r="N1877" s="15" t="n">
        <f aca="false">M1877-L1877</f>
        <v>456.13</v>
      </c>
      <c r="O1877" s="1" t="n">
        <f aca="false">YEAR(B1877)</f>
        <v>2027</v>
      </c>
      <c r="P1877" s="1" t="n">
        <f aca="false">MONTH(B1877)</f>
        <v>2</v>
      </c>
      <c r="Q1877" s="1" t="str">
        <f aca="false">TEXT(B1877,"mmm")</f>
        <v>Feb</v>
      </c>
      <c r="R1877" s="1" t="str">
        <f aca="false">"Q"&amp;ROUNDUP(MONTH(B1877)/3,0)</f>
        <v>Q1</v>
      </c>
    </row>
    <row r="1878" customFormat="false" ht="15" hidden="false" customHeight="true" outlineLevel="0" collapsed="false">
      <c r="A1878" s="1" t="n">
        <v>11877</v>
      </c>
      <c r="B1878" s="14" t="n">
        <v>46438</v>
      </c>
      <c r="C1878" s="1" t="n">
        <v>1148</v>
      </c>
      <c r="D1878" s="1" t="s">
        <v>27</v>
      </c>
      <c r="E1878" s="1" t="s">
        <v>36</v>
      </c>
      <c r="F1878" s="1" t="n">
        <v>4</v>
      </c>
      <c r="G1878" s="15" t="n">
        <v>409.2</v>
      </c>
      <c r="H1878" s="16" t="n">
        <v>0.02</v>
      </c>
      <c r="I1878" s="1" t="s">
        <v>33</v>
      </c>
      <c r="J1878" s="1" t="n">
        <v>7</v>
      </c>
      <c r="K1878" s="1" t="n">
        <v>4.2</v>
      </c>
      <c r="L1878" s="15" t="n">
        <v>1604.06</v>
      </c>
      <c r="M1878" s="15" t="n">
        <f aca="false">F1878*G1878</f>
        <v>1636.8</v>
      </c>
      <c r="N1878" s="15" t="n">
        <f aca="false">M1878-L1878</f>
        <v>32.74</v>
      </c>
      <c r="O1878" s="1" t="n">
        <f aca="false">YEAR(B1878)</f>
        <v>2027</v>
      </c>
      <c r="P1878" s="1" t="n">
        <f aca="false">MONTH(B1878)</f>
        <v>2</v>
      </c>
      <c r="Q1878" s="1" t="str">
        <f aca="false">TEXT(B1878,"mmm")</f>
        <v>Feb</v>
      </c>
      <c r="R1878" s="1" t="str">
        <f aca="false">"Q"&amp;ROUNDUP(MONTH(B1878)/3,0)</f>
        <v>Q1</v>
      </c>
    </row>
    <row r="1879" customFormat="false" ht="15" hidden="false" customHeight="true" outlineLevel="0" collapsed="false">
      <c r="A1879" s="1" t="n">
        <v>11878</v>
      </c>
      <c r="B1879" s="14" t="n">
        <v>46439</v>
      </c>
      <c r="C1879" s="1" t="n">
        <v>1778</v>
      </c>
      <c r="D1879" s="1" t="s">
        <v>34</v>
      </c>
      <c r="E1879" s="1" t="s">
        <v>35</v>
      </c>
      <c r="F1879" s="1" t="n">
        <v>1</v>
      </c>
      <c r="G1879" s="15" t="n">
        <v>138.25</v>
      </c>
      <c r="H1879" s="16" t="n">
        <v>0.21</v>
      </c>
      <c r="I1879" s="1" t="s">
        <v>33</v>
      </c>
      <c r="J1879" s="1" t="n">
        <v>5</v>
      </c>
      <c r="K1879" s="1" t="n">
        <v>3.8</v>
      </c>
      <c r="L1879" s="15" t="n">
        <v>109.22</v>
      </c>
      <c r="M1879" s="15" t="n">
        <f aca="false">F1879*G1879</f>
        <v>138.25</v>
      </c>
      <c r="N1879" s="15" t="n">
        <f aca="false">M1879-L1879</f>
        <v>29.03</v>
      </c>
      <c r="O1879" s="1" t="n">
        <f aca="false">YEAR(B1879)</f>
        <v>2027</v>
      </c>
      <c r="P1879" s="1" t="n">
        <f aca="false">MONTH(B1879)</f>
        <v>2</v>
      </c>
      <c r="Q1879" s="1" t="str">
        <f aca="false">TEXT(B1879,"mmm")</f>
        <v>Feb</v>
      </c>
      <c r="R1879" s="1" t="str">
        <f aca="false">"Q"&amp;ROUNDUP(MONTH(B1879)/3,0)</f>
        <v>Q1</v>
      </c>
    </row>
    <row r="1880" customFormat="false" ht="15" hidden="false" customHeight="true" outlineLevel="0" collapsed="false">
      <c r="A1880" s="1" t="n">
        <v>11879</v>
      </c>
      <c r="B1880" s="14" t="n">
        <v>46440</v>
      </c>
      <c r="C1880" s="1" t="n">
        <v>1295</v>
      </c>
      <c r="D1880" s="1" t="s">
        <v>37</v>
      </c>
      <c r="E1880" s="1" t="s">
        <v>28</v>
      </c>
      <c r="F1880" s="1" t="n">
        <v>6</v>
      </c>
      <c r="G1880" s="15" t="n">
        <v>504.61</v>
      </c>
      <c r="H1880" s="16" t="n">
        <v>0.28</v>
      </c>
      <c r="I1880" s="1" t="s">
        <v>31</v>
      </c>
      <c r="J1880" s="1" t="n">
        <v>1</v>
      </c>
      <c r="K1880" s="1" t="n">
        <v>4.9</v>
      </c>
      <c r="L1880" s="15" t="n">
        <v>2179.92</v>
      </c>
      <c r="M1880" s="15" t="n">
        <f aca="false">F1880*G1880</f>
        <v>3027.66</v>
      </c>
      <c r="N1880" s="15" t="n">
        <f aca="false">M1880-L1880</f>
        <v>847.74</v>
      </c>
      <c r="O1880" s="1" t="n">
        <f aca="false">YEAR(B1880)</f>
        <v>2027</v>
      </c>
      <c r="P1880" s="1" t="n">
        <f aca="false">MONTH(B1880)</f>
        <v>2</v>
      </c>
      <c r="Q1880" s="1" t="str">
        <f aca="false">TEXT(B1880,"mmm")</f>
        <v>Feb</v>
      </c>
      <c r="R1880" s="1" t="str">
        <f aca="false">"Q"&amp;ROUNDUP(MONTH(B1880)/3,0)</f>
        <v>Q1</v>
      </c>
    </row>
    <row r="1881" customFormat="false" ht="15" hidden="false" customHeight="true" outlineLevel="0" collapsed="false">
      <c r="A1881" s="1" t="n">
        <v>11880</v>
      </c>
      <c r="B1881" s="14" t="n">
        <v>46441</v>
      </c>
      <c r="C1881" s="1" t="n">
        <v>1010</v>
      </c>
      <c r="D1881" s="1" t="s">
        <v>34</v>
      </c>
      <c r="E1881" s="1" t="s">
        <v>35</v>
      </c>
      <c r="F1881" s="1" t="n">
        <v>6</v>
      </c>
      <c r="G1881" s="15" t="n">
        <v>184.61</v>
      </c>
      <c r="H1881" s="16" t="n">
        <v>0.26</v>
      </c>
      <c r="I1881" s="1" t="s">
        <v>29</v>
      </c>
      <c r="J1881" s="1" t="n">
        <v>4</v>
      </c>
      <c r="K1881" s="1" t="n">
        <v>1.4</v>
      </c>
      <c r="L1881" s="15" t="n">
        <v>819.67</v>
      </c>
      <c r="M1881" s="15" t="n">
        <f aca="false">F1881*G1881</f>
        <v>1107.66</v>
      </c>
      <c r="N1881" s="15" t="n">
        <f aca="false">M1881-L1881</f>
        <v>287.99</v>
      </c>
      <c r="O1881" s="1" t="n">
        <f aca="false">YEAR(B1881)</f>
        <v>2027</v>
      </c>
      <c r="P1881" s="1" t="n">
        <f aca="false">MONTH(B1881)</f>
        <v>2</v>
      </c>
      <c r="Q1881" s="1" t="str">
        <f aca="false">TEXT(B1881,"mmm")</f>
        <v>Feb</v>
      </c>
      <c r="R1881" s="1" t="str">
        <f aca="false">"Q"&amp;ROUNDUP(MONTH(B1881)/3,0)</f>
        <v>Q1</v>
      </c>
    </row>
    <row r="1882" customFormat="false" ht="15" hidden="false" customHeight="true" outlineLevel="0" collapsed="false">
      <c r="A1882" s="1" t="n">
        <v>11881</v>
      </c>
      <c r="B1882" s="14" t="n">
        <v>46442</v>
      </c>
      <c r="C1882" s="1" t="n">
        <v>1511</v>
      </c>
      <c r="D1882" s="1" t="s">
        <v>37</v>
      </c>
      <c r="E1882" s="1" t="s">
        <v>36</v>
      </c>
      <c r="F1882" s="1" t="n">
        <v>5</v>
      </c>
      <c r="G1882" s="15" t="n">
        <v>124.21</v>
      </c>
      <c r="H1882" s="16" t="n">
        <v>0.07</v>
      </c>
      <c r="I1882" s="1" t="s">
        <v>29</v>
      </c>
      <c r="J1882" s="1" t="n">
        <v>3</v>
      </c>
      <c r="K1882" s="1" t="n">
        <v>3.8</v>
      </c>
      <c r="L1882" s="15" t="n">
        <v>577.58</v>
      </c>
      <c r="M1882" s="15" t="n">
        <f aca="false">F1882*G1882</f>
        <v>621.05</v>
      </c>
      <c r="N1882" s="15" t="n">
        <f aca="false">M1882-L1882</f>
        <v>43.4699999999999</v>
      </c>
      <c r="O1882" s="1" t="n">
        <f aca="false">YEAR(B1882)</f>
        <v>2027</v>
      </c>
      <c r="P1882" s="1" t="n">
        <f aca="false">MONTH(B1882)</f>
        <v>2</v>
      </c>
      <c r="Q1882" s="1" t="str">
        <f aca="false">TEXT(B1882,"mmm")</f>
        <v>Feb</v>
      </c>
      <c r="R1882" s="1" t="str">
        <f aca="false">"Q"&amp;ROUNDUP(MONTH(B1882)/3,0)</f>
        <v>Q1</v>
      </c>
    </row>
    <row r="1883" customFormat="false" ht="15" hidden="false" customHeight="true" outlineLevel="0" collapsed="false">
      <c r="A1883" s="1" t="n">
        <v>11882</v>
      </c>
      <c r="B1883" s="14" t="n">
        <v>46443</v>
      </c>
      <c r="C1883" s="1" t="n">
        <v>1675</v>
      </c>
      <c r="D1883" s="1" t="s">
        <v>30</v>
      </c>
      <c r="E1883" s="1" t="s">
        <v>36</v>
      </c>
      <c r="F1883" s="1" t="n">
        <v>7</v>
      </c>
      <c r="G1883" s="15" t="n">
        <v>252.74</v>
      </c>
      <c r="H1883" s="16" t="n">
        <v>0.3</v>
      </c>
      <c r="I1883" s="1" t="s">
        <v>33</v>
      </c>
      <c r="J1883" s="1" t="n">
        <v>6</v>
      </c>
      <c r="K1883" s="1" t="n">
        <v>1.3</v>
      </c>
      <c r="L1883" s="15" t="n">
        <v>1238.43</v>
      </c>
      <c r="M1883" s="15" t="n">
        <f aca="false">F1883*G1883</f>
        <v>1769.18</v>
      </c>
      <c r="N1883" s="15" t="n">
        <f aca="false">M1883-L1883</f>
        <v>530.75</v>
      </c>
      <c r="O1883" s="1" t="n">
        <f aca="false">YEAR(B1883)</f>
        <v>2027</v>
      </c>
      <c r="P1883" s="1" t="n">
        <f aca="false">MONTH(B1883)</f>
        <v>2</v>
      </c>
      <c r="Q1883" s="1" t="str">
        <f aca="false">TEXT(B1883,"mmm")</f>
        <v>Feb</v>
      </c>
      <c r="R1883" s="1" t="str">
        <f aca="false">"Q"&amp;ROUNDUP(MONTH(B1883)/3,0)</f>
        <v>Q1</v>
      </c>
    </row>
    <row r="1884" customFormat="false" ht="15" hidden="false" customHeight="true" outlineLevel="0" collapsed="false">
      <c r="A1884" s="1" t="n">
        <v>11883</v>
      </c>
      <c r="B1884" s="14" t="n">
        <v>46444</v>
      </c>
      <c r="C1884" s="1" t="n">
        <v>1112</v>
      </c>
      <c r="D1884" s="1" t="s">
        <v>30</v>
      </c>
      <c r="E1884" s="1" t="s">
        <v>36</v>
      </c>
      <c r="F1884" s="1" t="n">
        <v>1</v>
      </c>
      <c r="G1884" s="15" t="n">
        <v>442.38</v>
      </c>
      <c r="H1884" s="16" t="n">
        <v>0.12</v>
      </c>
      <c r="I1884" s="1" t="s">
        <v>29</v>
      </c>
      <c r="J1884" s="1" t="n">
        <v>6</v>
      </c>
      <c r="K1884" s="1" t="n">
        <v>1</v>
      </c>
      <c r="L1884" s="15" t="n">
        <v>389.29</v>
      </c>
      <c r="M1884" s="15" t="n">
        <f aca="false">F1884*G1884</f>
        <v>442.38</v>
      </c>
      <c r="N1884" s="15" t="n">
        <f aca="false">M1884-L1884</f>
        <v>53.09</v>
      </c>
      <c r="O1884" s="1" t="n">
        <f aca="false">YEAR(B1884)</f>
        <v>2027</v>
      </c>
      <c r="P1884" s="1" t="n">
        <f aca="false">MONTH(B1884)</f>
        <v>2</v>
      </c>
      <c r="Q1884" s="1" t="str">
        <f aca="false">TEXT(B1884,"mmm")</f>
        <v>Feb</v>
      </c>
      <c r="R1884" s="1" t="str">
        <f aca="false">"Q"&amp;ROUNDUP(MONTH(B1884)/3,0)</f>
        <v>Q1</v>
      </c>
    </row>
    <row r="1885" customFormat="false" ht="15" hidden="false" customHeight="true" outlineLevel="0" collapsed="false">
      <c r="A1885" s="1" t="n">
        <v>11884</v>
      </c>
      <c r="B1885" s="14" t="n">
        <v>46445</v>
      </c>
      <c r="C1885" s="1" t="n">
        <v>1186</v>
      </c>
      <c r="D1885" s="1" t="s">
        <v>37</v>
      </c>
      <c r="E1885" s="1" t="s">
        <v>32</v>
      </c>
      <c r="F1885" s="1" t="n">
        <v>2</v>
      </c>
      <c r="G1885" s="15" t="n">
        <v>579.79</v>
      </c>
      <c r="H1885" s="16" t="n">
        <v>0.33</v>
      </c>
      <c r="I1885" s="1" t="s">
        <v>33</v>
      </c>
      <c r="J1885" s="1" t="n">
        <v>1</v>
      </c>
      <c r="K1885" s="1" t="n">
        <v>1.5</v>
      </c>
      <c r="L1885" s="15" t="n">
        <v>776.92</v>
      </c>
      <c r="M1885" s="15" t="n">
        <f aca="false">F1885*G1885</f>
        <v>1159.58</v>
      </c>
      <c r="N1885" s="15" t="n">
        <f aca="false">M1885-L1885</f>
        <v>382.66</v>
      </c>
      <c r="O1885" s="1" t="n">
        <f aca="false">YEAR(B1885)</f>
        <v>2027</v>
      </c>
      <c r="P1885" s="1" t="n">
        <f aca="false">MONTH(B1885)</f>
        <v>2</v>
      </c>
      <c r="Q1885" s="1" t="str">
        <f aca="false">TEXT(B1885,"mmm")</f>
        <v>Feb</v>
      </c>
      <c r="R1885" s="1" t="str">
        <f aca="false">"Q"&amp;ROUNDUP(MONTH(B1885)/3,0)</f>
        <v>Q1</v>
      </c>
    </row>
    <row r="1886" customFormat="false" ht="15" hidden="false" customHeight="true" outlineLevel="0" collapsed="false">
      <c r="A1886" s="1" t="n">
        <v>11885</v>
      </c>
      <c r="B1886" s="14" t="n">
        <v>46446</v>
      </c>
      <c r="C1886" s="1" t="n">
        <v>1806</v>
      </c>
      <c r="D1886" s="1" t="s">
        <v>37</v>
      </c>
      <c r="E1886" s="1" t="s">
        <v>28</v>
      </c>
      <c r="F1886" s="1" t="n">
        <v>1</v>
      </c>
      <c r="G1886" s="15" t="n">
        <v>488.43</v>
      </c>
      <c r="H1886" s="16" t="n">
        <v>0.03</v>
      </c>
      <c r="I1886" s="1" t="s">
        <v>29</v>
      </c>
      <c r="J1886" s="1" t="n">
        <v>11</v>
      </c>
      <c r="K1886" s="1" t="n">
        <v>3.5</v>
      </c>
      <c r="L1886" s="15" t="n">
        <v>473.78</v>
      </c>
      <c r="M1886" s="15" t="n">
        <f aca="false">F1886*G1886</f>
        <v>488.43</v>
      </c>
      <c r="N1886" s="15" t="n">
        <f aca="false">M1886-L1886</f>
        <v>14.65</v>
      </c>
      <c r="O1886" s="1" t="n">
        <f aca="false">YEAR(B1886)</f>
        <v>2027</v>
      </c>
      <c r="P1886" s="1" t="n">
        <f aca="false">MONTH(B1886)</f>
        <v>2</v>
      </c>
      <c r="Q1886" s="1" t="str">
        <f aca="false">TEXT(B1886,"mmm")</f>
        <v>Feb</v>
      </c>
      <c r="R1886" s="1" t="str">
        <f aca="false">"Q"&amp;ROUNDUP(MONTH(B1886)/3,0)</f>
        <v>Q1</v>
      </c>
    </row>
    <row r="1887" customFormat="false" ht="15" hidden="false" customHeight="true" outlineLevel="0" collapsed="false">
      <c r="A1887" s="1" t="n">
        <v>11886</v>
      </c>
      <c r="B1887" s="14" t="n">
        <v>46447</v>
      </c>
      <c r="C1887" s="1" t="n">
        <v>1743</v>
      </c>
      <c r="D1887" s="1" t="s">
        <v>27</v>
      </c>
      <c r="E1887" s="1" t="s">
        <v>32</v>
      </c>
      <c r="F1887" s="1" t="n">
        <v>4</v>
      </c>
      <c r="G1887" s="15" t="n">
        <v>565.1</v>
      </c>
      <c r="H1887" s="16" t="n">
        <v>0.17</v>
      </c>
      <c r="I1887" s="1" t="s">
        <v>29</v>
      </c>
      <c r="J1887" s="1" t="n">
        <v>2</v>
      </c>
      <c r="K1887" s="1" t="n">
        <v>3.7</v>
      </c>
      <c r="L1887" s="15" t="n">
        <v>1876.13</v>
      </c>
      <c r="M1887" s="15" t="n">
        <f aca="false">F1887*G1887</f>
        <v>2260.4</v>
      </c>
      <c r="N1887" s="15" t="n">
        <f aca="false">M1887-L1887</f>
        <v>384.27</v>
      </c>
      <c r="O1887" s="1" t="n">
        <f aca="false">YEAR(B1887)</f>
        <v>2027</v>
      </c>
      <c r="P1887" s="1" t="n">
        <f aca="false">MONTH(B1887)</f>
        <v>3</v>
      </c>
      <c r="Q1887" s="1" t="str">
        <f aca="false">TEXT(B1887,"mmm")</f>
        <v>Mar</v>
      </c>
      <c r="R1887" s="1" t="str">
        <f aca="false">"Q"&amp;ROUNDUP(MONTH(B1887)/3,0)</f>
        <v>Q1</v>
      </c>
    </row>
    <row r="1888" customFormat="false" ht="15" hidden="false" customHeight="true" outlineLevel="0" collapsed="false">
      <c r="A1888" s="1" t="n">
        <v>11887</v>
      </c>
      <c r="B1888" s="14" t="n">
        <v>46448</v>
      </c>
      <c r="C1888" s="1" t="n">
        <v>1226</v>
      </c>
      <c r="D1888" s="1" t="s">
        <v>34</v>
      </c>
      <c r="E1888" s="1" t="s">
        <v>35</v>
      </c>
      <c r="F1888" s="1" t="n">
        <v>3</v>
      </c>
      <c r="G1888" s="15" t="n">
        <v>97.25</v>
      </c>
      <c r="H1888" s="16" t="n">
        <v>0.21</v>
      </c>
      <c r="I1888" s="1" t="s">
        <v>29</v>
      </c>
      <c r="J1888" s="1" t="n">
        <v>2</v>
      </c>
      <c r="K1888" s="1" t="n">
        <v>2.8</v>
      </c>
      <c r="L1888" s="15" t="n">
        <v>230.48</v>
      </c>
      <c r="M1888" s="15" t="n">
        <f aca="false">F1888*G1888</f>
        <v>291.75</v>
      </c>
      <c r="N1888" s="15" t="n">
        <f aca="false">M1888-L1888</f>
        <v>61.27</v>
      </c>
      <c r="O1888" s="1" t="n">
        <f aca="false">YEAR(B1888)</f>
        <v>2027</v>
      </c>
      <c r="P1888" s="1" t="n">
        <f aca="false">MONTH(B1888)</f>
        <v>3</v>
      </c>
      <c r="Q1888" s="1" t="str">
        <f aca="false">TEXT(B1888,"mmm")</f>
        <v>Mar</v>
      </c>
      <c r="R1888" s="1" t="str">
        <f aca="false">"Q"&amp;ROUNDUP(MONTH(B1888)/3,0)</f>
        <v>Q1</v>
      </c>
    </row>
    <row r="1889" customFormat="false" ht="15" hidden="false" customHeight="true" outlineLevel="0" collapsed="false">
      <c r="A1889" s="1" t="n">
        <v>11888</v>
      </c>
      <c r="B1889" s="14" t="n">
        <v>46449</v>
      </c>
      <c r="C1889" s="1" t="n">
        <v>1309</v>
      </c>
      <c r="D1889" s="1" t="s">
        <v>37</v>
      </c>
      <c r="E1889" s="1" t="s">
        <v>32</v>
      </c>
      <c r="F1889" s="1" t="n">
        <v>6</v>
      </c>
      <c r="G1889" s="15" t="n">
        <v>56.64</v>
      </c>
      <c r="H1889" s="16" t="n">
        <v>0.09</v>
      </c>
      <c r="I1889" s="1" t="s">
        <v>33</v>
      </c>
      <c r="J1889" s="1" t="n">
        <v>10</v>
      </c>
      <c r="K1889" s="1" t="n">
        <v>1.2</v>
      </c>
      <c r="L1889" s="15" t="n">
        <v>309.25</v>
      </c>
      <c r="M1889" s="15" t="n">
        <f aca="false">F1889*G1889</f>
        <v>339.84</v>
      </c>
      <c r="N1889" s="15" t="n">
        <f aca="false">M1889-L1889</f>
        <v>30.59</v>
      </c>
      <c r="O1889" s="1" t="n">
        <f aca="false">YEAR(B1889)</f>
        <v>2027</v>
      </c>
      <c r="P1889" s="1" t="n">
        <f aca="false">MONTH(B1889)</f>
        <v>3</v>
      </c>
      <c r="Q1889" s="1" t="str">
        <f aca="false">TEXT(B1889,"mmm")</f>
        <v>Mar</v>
      </c>
      <c r="R1889" s="1" t="str">
        <f aca="false">"Q"&amp;ROUNDUP(MONTH(B1889)/3,0)</f>
        <v>Q1</v>
      </c>
    </row>
    <row r="1890" customFormat="false" ht="15" hidden="false" customHeight="true" outlineLevel="0" collapsed="false">
      <c r="A1890" s="1" t="n">
        <v>11889</v>
      </c>
      <c r="B1890" s="14" t="n">
        <v>46450</v>
      </c>
      <c r="C1890" s="1" t="n">
        <v>1097</v>
      </c>
      <c r="D1890" s="1" t="s">
        <v>34</v>
      </c>
      <c r="E1890" s="1" t="s">
        <v>28</v>
      </c>
      <c r="F1890" s="1" t="n">
        <v>7</v>
      </c>
      <c r="G1890" s="15" t="n">
        <v>341.26</v>
      </c>
      <c r="H1890" s="16" t="n">
        <v>0.27</v>
      </c>
      <c r="I1890" s="1" t="s">
        <v>33</v>
      </c>
      <c r="J1890" s="1" t="n">
        <v>4</v>
      </c>
      <c r="K1890" s="1" t="n">
        <v>3.5</v>
      </c>
      <c r="L1890" s="15" t="n">
        <v>1743.84</v>
      </c>
      <c r="M1890" s="15" t="n">
        <f aca="false">F1890*G1890</f>
        <v>2388.82</v>
      </c>
      <c r="N1890" s="15" t="n">
        <f aca="false">M1890-L1890</f>
        <v>644.98</v>
      </c>
      <c r="O1890" s="1" t="n">
        <f aca="false">YEAR(B1890)</f>
        <v>2027</v>
      </c>
      <c r="P1890" s="1" t="n">
        <f aca="false">MONTH(B1890)</f>
        <v>3</v>
      </c>
      <c r="Q1890" s="1" t="str">
        <f aca="false">TEXT(B1890,"mmm")</f>
        <v>Mar</v>
      </c>
      <c r="R1890" s="1" t="str">
        <f aca="false">"Q"&amp;ROUNDUP(MONTH(B1890)/3,0)</f>
        <v>Q1</v>
      </c>
    </row>
    <row r="1891" customFormat="false" ht="15" hidden="false" customHeight="true" outlineLevel="0" collapsed="false">
      <c r="A1891" s="1" t="n">
        <v>11890</v>
      </c>
      <c r="B1891" s="14" t="n">
        <v>46451</v>
      </c>
      <c r="C1891" s="1" t="n">
        <v>1054</v>
      </c>
      <c r="D1891" s="1" t="s">
        <v>30</v>
      </c>
      <c r="E1891" s="1" t="s">
        <v>32</v>
      </c>
      <c r="F1891" s="1" t="n">
        <v>7</v>
      </c>
      <c r="G1891" s="15" t="n">
        <v>184.82</v>
      </c>
      <c r="H1891" s="16" t="n">
        <v>0.22</v>
      </c>
      <c r="I1891" s="1" t="s">
        <v>33</v>
      </c>
      <c r="J1891" s="1" t="n">
        <v>9</v>
      </c>
      <c r="K1891" s="1" t="n">
        <v>1.3</v>
      </c>
      <c r="L1891" s="15" t="n">
        <v>1009.12</v>
      </c>
      <c r="M1891" s="15" t="n">
        <f aca="false">F1891*G1891</f>
        <v>1293.74</v>
      </c>
      <c r="N1891" s="15" t="n">
        <f aca="false">M1891-L1891</f>
        <v>284.62</v>
      </c>
      <c r="O1891" s="1" t="n">
        <f aca="false">YEAR(B1891)</f>
        <v>2027</v>
      </c>
      <c r="P1891" s="1" t="n">
        <f aca="false">MONTH(B1891)</f>
        <v>3</v>
      </c>
      <c r="Q1891" s="1" t="str">
        <f aca="false">TEXT(B1891,"mmm")</f>
        <v>Mar</v>
      </c>
      <c r="R1891" s="1" t="str">
        <f aca="false">"Q"&amp;ROUNDUP(MONTH(B1891)/3,0)</f>
        <v>Q1</v>
      </c>
    </row>
    <row r="1892" customFormat="false" ht="15" hidden="false" customHeight="true" outlineLevel="0" collapsed="false">
      <c r="A1892" s="1" t="n">
        <v>11891</v>
      </c>
      <c r="B1892" s="14" t="n">
        <v>46452</v>
      </c>
      <c r="C1892" s="1" t="n">
        <v>1622</v>
      </c>
      <c r="D1892" s="1" t="s">
        <v>30</v>
      </c>
      <c r="E1892" s="1" t="s">
        <v>36</v>
      </c>
      <c r="F1892" s="1" t="n">
        <v>1</v>
      </c>
      <c r="G1892" s="15" t="n">
        <v>499.41</v>
      </c>
      <c r="H1892" s="16" t="n">
        <v>0.01</v>
      </c>
      <c r="I1892" s="1" t="s">
        <v>31</v>
      </c>
      <c r="J1892" s="1" t="n">
        <v>11</v>
      </c>
      <c r="K1892" s="1" t="n">
        <v>1.6</v>
      </c>
      <c r="L1892" s="15" t="n">
        <v>494.42</v>
      </c>
      <c r="M1892" s="15" t="n">
        <f aca="false">F1892*G1892</f>
        <v>499.41</v>
      </c>
      <c r="N1892" s="15" t="n">
        <f aca="false">M1892-L1892</f>
        <v>4.99000000000001</v>
      </c>
      <c r="O1892" s="1" t="n">
        <f aca="false">YEAR(B1892)</f>
        <v>2027</v>
      </c>
      <c r="P1892" s="1" t="n">
        <f aca="false">MONTH(B1892)</f>
        <v>3</v>
      </c>
      <c r="Q1892" s="1" t="str">
        <f aca="false">TEXT(B1892,"mmm")</f>
        <v>Mar</v>
      </c>
      <c r="R1892" s="1" t="str">
        <f aca="false">"Q"&amp;ROUNDUP(MONTH(B1892)/3,0)</f>
        <v>Q1</v>
      </c>
    </row>
    <row r="1893" customFormat="false" ht="15" hidden="false" customHeight="true" outlineLevel="0" collapsed="false">
      <c r="A1893" s="1" t="n">
        <v>11892</v>
      </c>
      <c r="B1893" s="14" t="n">
        <v>46453</v>
      </c>
      <c r="C1893" s="1" t="n">
        <v>1663</v>
      </c>
      <c r="D1893" s="1" t="s">
        <v>30</v>
      </c>
      <c r="E1893" s="1" t="s">
        <v>35</v>
      </c>
      <c r="F1893" s="1" t="n">
        <v>5</v>
      </c>
      <c r="G1893" s="15" t="n">
        <v>408.11</v>
      </c>
      <c r="H1893" s="16" t="n">
        <v>0.21</v>
      </c>
      <c r="I1893" s="1" t="s">
        <v>31</v>
      </c>
      <c r="J1893" s="1" t="n">
        <v>2</v>
      </c>
      <c r="K1893" s="1" t="n">
        <v>3.1</v>
      </c>
      <c r="L1893" s="15" t="n">
        <v>1612.03</v>
      </c>
      <c r="M1893" s="15" t="n">
        <f aca="false">F1893*G1893</f>
        <v>2040.55</v>
      </c>
      <c r="N1893" s="15" t="n">
        <f aca="false">M1893-L1893</f>
        <v>428.52</v>
      </c>
      <c r="O1893" s="1" t="n">
        <f aca="false">YEAR(B1893)</f>
        <v>2027</v>
      </c>
      <c r="P1893" s="1" t="n">
        <f aca="false">MONTH(B1893)</f>
        <v>3</v>
      </c>
      <c r="Q1893" s="1" t="str">
        <f aca="false">TEXT(B1893,"mmm")</f>
        <v>Mar</v>
      </c>
      <c r="R1893" s="1" t="str">
        <f aca="false">"Q"&amp;ROUNDUP(MONTH(B1893)/3,0)</f>
        <v>Q1</v>
      </c>
    </row>
    <row r="1894" customFormat="false" ht="15" hidden="false" customHeight="true" outlineLevel="0" collapsed="false">
      <c r="A1894" s="1" t="n">
        <v>11893</v>
      </c>
      <c r="B1894" s="14" t="n">
        <v>46454</v>
      </c>
      <c r="C1894" s="1" t="n">
        <v>1757</v>
      </c>
      <c r="D1894" s="1" t="s">
        <v>30</v>
      </c>
      <c r="E1894" s="1" t="s">
        <v>35</v>
      </c>
      <c r="F1894" s="1" t="n">
        <v>4</v>
      </c>
      <c r="G1894" s="15" t="n">
        <v>582.88</v>
      </c>
      <c r="H1894" s="16" t="n">
        <v>0.17</v>
      </c>
      <c r="I1894" s="1" t="s">
        <v>29</v>
      </c>
      <c r="J1894" s="1" t="n">
        <v>11</v>
      </c>
      <c r="K1894" s="1" t="n">
        <v>2.4</v>
      </c>
      <c r="L1894" s="15" t="n">
        <v>1935.16</v>
      </c>
      <c r="M1894" s="15" t="n">
        <f aca="false">F1894*G1894</f>
        <v>2331.52</v>
      </c>
      <c r="N1894" s="15" t="n">
        <f aca="false">M1894-L1894</f>
        <v>396.36</v>
      </c>
      <c r="O1894" s="1" t="n">
        <f aca="false">YEAR(B1894)</f>
        <v>2027</v>
      </c>
      <c r="P1894" s="1" t="n">
        <f aca="false">MONTH(B1894)</f>
        <v>3</v>
      </c>
      <c r="Q1894" s="1" t="str">
        <f aca="false">TEXT(B1894,"mmm")</f>
        <v>Mar</v>
      </c>
      <c r="R1894" s="1" t="str">
        <f aca="false">"Q"&amp;ROUNDUP(MONTH(B1894)/3,0)</f>
        <v>Q1</v>
      </c>
    </row>
    <row r="1895" customFormat="false" ht="15" hidden="false" customHeight="true" outlineLevel="0" collapsed="false">
      <c r="A1895" s="1" t="n">
        <v>11894</v>
      </c>
      <c r="B1895" s="14" t="n">
        <v>46455</v>
      </c>
      <c r="C1895" s="1" t="n">
        <v>1405</v>
      </c>
      <c r="D1895" s="1" t="s">
        <v>27</v>
      </c>
      <c r="E1895" s="1" t="s">
        <v>36</v>
      </c>
      <c r="F1895" s="1" t="n">
        <v>3</v>
      </c>
      <c r="G1895" s="15" t="n">
        <v>164.05</v>
      </c>
      <c r="H1895" s="16" t="n">
        <v>0.07</v>
      </c>
      <c r="I1895" s="1" t="s">
        <v>31</v>
      </c>
      <c r="J1895" s="1" t="n">
        <v>8</v>
      </c>
      <c r="K1895" s="1" t="n">
        <v>2.9</v>
      </c>
      <c r="L1895" s="15" t="n">
        <v>457.7</v>
      </c>
      <c r="M1895" s="15" t="n">
        <f aca="false">F1895*G1895</f>
        <v>492.15</v>
      </c>
      <c r="N1895" s="15" t="n">
        <f aca="false">M1895-L1895</f>
        <v>34.45</v>
      </c>
      <c r="O1895" s="1" t="n">
        <f aca="false">YEAR(B1895)</f>
        <v>2027</v>
      </c>
      <c r="P1895" s="1" t="n">
        <f aca="false">MONTH(B1895)</f>
        <v>3</v>
      </c>
      <c r="Q1895" s="1" t="str">
        <f aca="false">TEXT(B1895,"mmm")</f>
        <v>Mar</v>
      </c>
      <c r="R1895" s="1" t="str">
        <f aca="false">"Q"&amp;ROUNDUP(MONTH(B1895)/3,0)</f>
        <v>Q1</v>
      </c>
    </row>
    <row r="1896" customFormat="false" ht="15" hidden="false" customHeight="true" outlineLevel="0" collapsed="false">
      <c r="A1896" s="1" t="n">
        <v>11895</v>
      </c>
      <c r="B1896" s="14" t="n">
        <v>46456</v>
      </c>
      <c r="C1896" s="1" t="n">
        <v>1068</v>
      </c>
      <c r="D1896" s="1" t="s">
        <v>34</v>
      </c>
      <c r="E1896" s="1" t="s">
        <v>36</v>
      </c>
      <c r="F1896" s="1" t="n">
        <v>4</v>
      </c>
      <c r="G1896" s="15" t="n">
        <v>299.18</v>
      </c>
      <c r="H1896" s="16" t="n">
        <v>0.35</v>
      </c>
      <c r="I1896" s="1" t="s">
        <v>33</v>
      </c>
      <c r="J1896" s="1" t="n">
        <v>11</v>
      </c>
      <c r="K1896" s="1" t="n">
        <v>3.5</v>
      </c>
      <c r="L1896" s="15" t="n">
        <v>777.87</v>
      </c>
      <c r="M1896" s="15" t="n">
        <f aca="false">F1896*G1896</f>
        <v>1196.72</v>
      </c>
      <c r="N1896" s="15" t="n">
        <f aca="false">M1896-L1896</f>
        <v>418.85</v>
      </c>
      <c r="O1896" s="1" t="n">
        <f aca="false">YEAR(B1896)</f>
        <v>2027</v>
      </c>
      <c r="P1896" s="1" t="n">
        <f aca="false">MONTH(B1896)</f>
        <v>3</v>
      </c>
      <c r="Q1896" s="1" t="str">
        <f aca="false">TEXT(B1896,"mmm")</f>
        <v>Mar</v>
      </c>
      <c r="R1896" s="1" t="str">
        <f aca="false">"Q"&amp;ROUNDUP(MONTH(B1896)/3,0)</f>
        <v>Q1</v>
      </c>
    </row>
    <row r="1897" customFormat="false" ht="15" hidden="false" customHeight="true" outlineLevel="0" collapsed="false">
      <c r="A1897" s="1" t="n">
        <v>11896</v>
      </c>
      <c r="B1897" s="14" t="n">
        <v>46457</v>
      </c>
      <c r="C1897" s="1" t="n">
        <v>1311</v>
      </c>
      <c r="D1897" s="1" t="s">
        <v>37</v>
      </c>
      <c r="E1897" s="1" t="s">
        <v>36</v>
      </c>
      <c r="F1897" s="1" t="n">
        <v>7</v>
      </c>
      <c r="G1897" s="15" t="n">
        <v>308.23</v>
      </c>
      <c r="H1897" s="16" t="n">
        <v>0.31</v>
      </c>
      <c r="I1897" s="1" t="s">
        <v>31</v>
      </c>
      <c r="J1897" s="1" t="n">
        <v>1</v>
      </c>
      <c r="K1897" s="1" t="n">
        <v>1.6</v>
      </c>
      <c r="L1897" s="15" t="n">
        <v>1488.75</v>
      </c>
      <c r="M1897" s="15" t="n">
        <f aca="false">F1897*G1897</f>
        <v>2157.61</v>
      </c>
      <c r="N1897" s="15" t="n">
        <f aca="false">M1897-L1897</f>
        <v>668.86</v>
      </c>
      <c r="O1897" s="1" t="n">
        <f aca="false">YEAR(B1897)</f>
        <v>2027</v>
      </c>
      <c r="P1897" s="1" t="n">
        <f aca="false">MONTH(B1897)</f>
        <v>3</v>
      </c>
      <c r="Q1897" s="1" t="str">
        <f aca="false">TEXT(B1897,"mmm")</f>
        <v>Mar</v>
      </c>
      <c r="R1897" s="1" t="str">
        <f aca="false">"Q"&amp;ROUNDUP(MONTH(B1897)/3,0)</f>
        <v>Q1</v>
      </c>
    </row>
    <row r="1898" customFormat="false" ht="15" hidden="false" customHeight="true" outlineLevel="0" collapsed="false">
      <c r="A1898" s="1" t="n">
        <v>11897</v>
      </c>
      <c r="B1898" s="14" t="n">
        <v>46458</v>
      </c>
      <c r="C1898" s="1" t="n">
        <v>1288</v>
      </c>
      <c r="D1898" s="1" t="s">
        <v>30</v>
      </c>
      <c r="E1898" s="1" t="s">
        <v>28</v>
      </c>
      <c r="F1898" s="1" t="n">
        <v>2</v>
      </c>
      <c r="G1898" s="15" t="n">
        <v>154.92</v>
      </c>
      <c r="H1898" s="16" t="n">
        <v>0.1</v>
      </c>
      <c r="I1898" s="1" t="s">
        <v>31</v>
      </c>
      <c r="J1898" s="1" t="n">
        <v>8</v>
      </c>
      <c r="K1898" s="1" t="n">
        <v>4.6</v>
      </c>
      <c r="L1898" s="15" t="n">
        <v>278.86</v>
      </c>
      <c r="M1898" s="15" t="n">
        <f aca="false">F1898*G1898</f>
        <v>309.84</v>
      </c>
      <c r="N1898" s="15" t="n">
        <f aca="false">M1898-L1898</f>
        <v>30.98</v>
      </c>
      <c r="O1898" s="1" t="n">
        <f aca="false">YEAR(B1898)</f>
        <v>2027</v>
      </c>
      <c r="P1898" s="1" t="n">
        <f aca="false">MONTH(B1898)</f>
        <v>3</v>
      </c>
      <c r="Q1898" s="1" t="str">
        <f aca="false">TEXT(B1898,"mmm")</f>
        <v>Mar</v>
      </c>
      <c r="R1898" s="1" t="str">
        <f aca="false">"Q"&amp;ROUNDUP(MONTH(B1898)/3,0)</f>
        <v>Q1</v>
      </c>
    </row>
    <row r="1899" customFormat="false" ht="15" hidden="false" customHeight="true" outlineLevel="0" collapsed="false">
      <c r="A1899" s="1" t="n">
        <v>11898</v>
      </c>
      <c r="B1899" s="14" t="n">
        <v>46459</v>
      </c>
      <c r="C1899" s="1" t="n">
        <v>1761</v>
      </c>
      <c r="D1899" s="1" t="s">
        <v>34</v>
      </c>
      <c r="E1899" s="1" t="s">
        <v>32</v>
      </c>
      <c r="F1899" s="1" t="n">
        <v>3</v>
      </c>
      <c r="G1899" s="15" t="n">
        <v>360.2</v>
      </c>
      <c r="H1899" s="16" t="n">
        <v>0.19</v>
      </c>
      <c r="I1899" s="1" t="s">
        <v>29</v>
      </c>
      <c r="J1899" s="1" t="n">
        <v>3</v>
      </c>
      <c r="K1899" s="1" t="n">
        <v>3.2</v>
      </c>
      <c r="L1899" s="15" t="n">
        <v>875.29</v>
      </c>
      <c r="M1899" s="15" t="n">
        <f aca="false">F1899*G1899</f>
        <v>1080.6</v>
      </c>
      <c r="N1899" s="15" t="n">
        <f aca="false">M1899-L1899</f>
        <v>205.31</v>
      </c>
      <c r="O1899" s="1" t="n">
        <f aca="false">YEAR(B1899)</f>
        <v>2027</v>
      </c>
      <c r="P1899" s="1" t="n">
        <f aca="false">MONTH(B1899)</f>
        <v>3</v>
      </c>
      <c r="Q1899" s="1" t="str">
        <f aca="false">TEXT(B1899,"mmm")</f>
        <v>Mar</v>
      </c>
      <c r="R1899" s="1" t="str">
        <f aca="false">"Q"&amp;ROUNDUP(MONTH(B1899)/3,0)</f>
        <v>Q1</v>
      </c>
    </row>
    <row r="1900" customFormat="false" ht="15" hidden="false" customHeight="true" outlineLevel="0" collapsed="false">
      <c r="A1900" s="1" t="n">
        <v>11899</v>
      </c>
      <c r="B1900" s="14" t="n">
        <v>46460</v>
      </c>
      <c r="C1900" s="1" t="n">
        <v>1547</v>
      </c>
      <c r="D1900" s="1" t="s">
        <v>34</v>
      </c>
      <c r="E1900" s="1" t="s">
        <v>35</v>
      </c>
      <c r="F1900" s="1" t="n">
        <v>7</v>
      </c>
      <c r="G1900" s="15" t="n">
        <v>274.32</v>
      </c>
      <c r="H1900" s="16" t="n">
        <v>0.11</v>
      </c>
      <c r="I1900" s="1" t="s">
        <v>29</v>
      </c>
      <c r="J1900" s="1" t="n">
        <v>5</v>
      </c>
      <c r="K1900" s="1" t="n">
        <v>1.1</v>
      </c>
      <c r="L1900" s="15" t="n">
        <v>1709.01</v>
      </c>
      <c r="M1900" s="15" t="n">
        <f aca="false">F1900*G1900</f>
        <v>1920.24</v>
      </c>
      <c r="N1900" s="15" t="n">
        <f aca="false">M1900-L1900</f>
        <v>211.23</v>
      </c>
      <c r="O1900" s="1" t="n">
        <f aca="false">YEAR(B1900)</f>
        <v>2027</v>
      </c>
      <c r="P1900" s="1" t="n">
        <f aca="false">MONTH(B1900)</f>
        <v>3</v>
      </c>
      <c r="Q1900" s="1" t="str">
        <f aca="false">TEXT(B1900,"mmm")</f>
        <v>Mar</v>
      </c>
      <c r="R1900" s="1" t="str">
        <f aca="false">"Q"&amp;ROUNDUP(MONTH(B1900)/3,0)</f>
        <v>Q1</v>
      </c>
    </row>
    <row r="1901" customFormat="false" ht="15" hidden="false" customHeight="true" outlineLevel="0" collapsed="false">
      <c r="A1901" s="1" t="n">
        <v>11900</v>
      </c>
      <c r="B1901" s="14" t="n">
        <v>46461</v>
      </c>
      <c r="C1901" s="1" t="n">
        <v>1750</v>
      </c>
      <c r="D1901" s="1" t="s">
        <v>27</v>
      </c>
      <c r="E1901" s="1" t="s">
        <v>32</v>
      </c>
      <c r="F1901" s="1" t="n">
        <v>5</v>
      </c>
      <c r="G1901" s="15" t="n">
        <v>276.33</v>
      </c>
      <c r="H1901" s="16" t="n">
        <v>0.27</v>
      </c>
      <c r="I1901" s="1" t="s">
        <v>33</v>
      </c>
      <c r="J1901" s="1" t="n">
        <v>1</v>
      </c>
      <c r="K1901" s="1" t="n">
        <v>3.5</v>
      </c>
      <c r="L1901" s="15" t="n">
        <v>1008.6</v>
      </c>
      <c r="M1901" s="15" t="n">
        <f aca="false">F1901*G1901</f>
        <v>1381.65</v>
      </c>
      <c r="N1901" s="15" t="n">
        <f aca="false">M1901-L1901</f>
        <v>373.05</v>
      </c>
      <c r="O1901" s="1" t="n">
        <f aca="false">YEAR(B1901)</f>
        <v>2027</v>
      </c>
      <c r="P1901" s="1" t="n">
        <f aca="false">MONTH(B1901)</f>
        <v>3</v>
      </c>
      <c r="Q1901" s="1" t="str">
        <f aca="false">TEXT(B1901,"mmm")</f>
        <v>Mar</v>
      </c>
      <c r="R1901" s="1" t="str">
        <f aca="false">"Q"&amp;ROUNDUP(MONTH(B1901)/3,0)</f>
        <v>Q1</v>
      </c>
    </row>
    <row r="1902" customFormat="false" ht="15" hidden="false" customHeight="true" outlineLevel="0" collapsed="false">
      <c r="A1902" s="1" t="n">
        <v>11901</v>
      </c>
      <c r="B1902" s="14" t="n">
        <v>46462</v>
      </c>
      <c r="C1902" s="1" t="n">
        <v>1147</v>
      </c>
      <c r="D1902" s="1" t="s">
        <v>27</v>
      </c>
      <c r="E1902" s="1" t="s">
        <v>36</v>
      </c>
      <c r="F1902" s="1" t="n">
        <v>3</v>
      </c>
      <c r="G1902" s="15" t="n">
        <v>227.2</v>
      </c>
      <c r="H1902" s="16" t="n">
        <v>0.33</v>
      </c>
      <c r="I1902" s="1" t="s">
        <v>31</v>
      </c>
      <c r="J1902" s="1" t="n">
        <v>1</v>
      </c>
      <c r="K1902" s="1" t="n">
        <v>2.9</v>
      </c>
      <c r="L1902" s="15" t="n">
        <v>456.67</v>
      </c>
      <c r="M1902" s="15" t="n">
        <f aca="false">F1902*G1902</f>
        <v>681.6</v>
      </c>
      <c r="N1902" s="15" t="n">
        <f aca="false">M1902-L1902</f>
        <v>224.93</v>
      </c>
      <c r="O1902" s="1" t="n">
        <f aca="false">YEAR(B1902)</f>
        <v>2027</v>
      </c>
      <c r="P1902" s="1" t="n">
        <f aca="false">MONTH(B1902)</f>
        <v>3</v>
      </c>
      <c r="Q1902" s="1" t="str">
        <f aca="false">TEXT(B1902,"mmm")</f>
        <v>Mar</v>
      </c>
      <c r="R1902" s="1" t="str">
        <f aca="false">"Q"&amp;ROUNDUP(MONTH(B1902)/3,0)</f>
        <v>Q1</v>
      </c>
    </row>
    <row r="1903" customFormat="false" ht="15" hidden="false" customHeight="true" outlineLevel="0" collapsed="false">
      <c r="A1903" s="1" t="n">
        <v>11902</v>
      </c>
      <c r="B1903" s="14" t="n">
        <v>46463</v>
      </c>
      <c r="C1903" s="1" t="n">
        <v>1466</v>
      </c>
      <c r="D1903" s="1" t="s">
        <v>27</v>
      </c>
      <c r="E1903" s="1" t="s">
        <v>36</v>
      </c>
      <c r="F1903" s="1" t="n">
        <v>7</v>
      </c>
      <c r="G1903" s="15" t="n">
        <v>24.9</v>
      </c>
      <c r="H1903" s="16" t="n">
        <v>0.13</v>
      </c>
      <c r="I1903" s="1" t="s">
        <v>33</v>
      </c>
      <c r="J1903" s="1" t="n">
        <v>6</v>
      </c>
      <c r="K1903" s="1" t="n">
        <v>3.8</v>
      </c>
      <c r="L1903" s="15" t="n">
        <v>151.64</v>
      </c>
      <c r="M1903" s="15" t="n">
        <f aca="false">F1903*G1903</f>
        <v>174.3</v>
      </c>
      <c r="N1903" s="15" t="n">
        <f aca="false">M1903-L1903</f>
        <v>22.66</v>
      </c>
      <c r="O1903" s="1" t="n">
        <f aca="false">YEAR(B1903)</f>
        <v>2027</v>
      </c>
      <c r="P1903" s="1" t="n">
        <f aca="false">MONTH(B1903)</f>
        <v>3</v>
      </c>
      <c r="Q1903" s="1" t="str">
        <f aca="false">TEXT(B1903,"mmm")</f>
        <v>Mar</v>
      </c>
      <c r="R1903" s="1" t="str">
        <f aca="false">"Q"&amp;ROUNDUP(MONTH(B1903)/3,0)</f>
        <v>Q1</v>
      </c>
    </row>
    <row r="1904" customFormat="false" ht="15" hidden="false" customHeight="true" outlineLevel="0" collapsed="false">
      <c r="A1904" s="1" t="n">
        <v>11903</v>
      </c>
      <c r="B1904" s="14" t="n">
        <v>46464</v>
      </c>
      <c r="C1904" s="1" t="n">
        <v>1738</v>
      </c>
      <c r="D1904" s="1" t="s">
        <v>27</v>
      </c>
      <c r="E1904" s="1" t="s">
        <v>32</v>
      </c>
      <c r="F1904" s="1" t="n">
        <v>5</v>
      </c>
      <c r="G1904" s="15" t="n">
        <v>320.43</v>
      </c>
      <c r="H1904" s="16" t="n">
        <v>0.28</v>
      </c>
      <c r="I1904" s="1" t="s">
        <v>31</v>
      </c>
      <c r="J1904" s="1" t="n">
        <v>3</v>
      </c>
      <c r="K1904" s="1" t="n">
        <v>4.1</v>
      </c>
      <c r="L1904" s="15" t="n">
        <v>1153.55</v>
      </c>
      <c r="M1904" s="15" t="n">
        <f aca="false">F1904*G1904</f>
        <v>1602.15</v>
      </c>
      <c r="N1904" s="15" t="n">
        <f aca="false">M1904-L1904</f>
        <v>448.6</v>
      </c>
      <c r="O1904" s="1" t="n">
        <f aca="false">YEAR(B1904)</f>
        <v>2027</v>
      </c>
      <c r="P1904" s="1" t="n">
        <f aca="false">MONTH(B1904)</f>
        <v>3</v>
      </c>
      <c r="Q1904" s="1" t="str">
        <f aca="false">TEXT(B1904,"mmm")</f>
        <v>Mar</v>
      </c>
      <c r="R1904" s="1" t="str">
        <f aca="false">"Q"&amp;ROUNDUP(MONTH(B1904)/3,0)</f>
        <v>Q1</v>
      </c>
    </row>
    <row r="1905" customFormat="false" ht="15" hidden="false" customHeight="true" outlineLevel="0" collapsed="false">
      <c r="A1905" s="1" t="n">
        <v>11904</v>
      </c>
      <c r="B1905" s="14" t="n">
        <v>46465</v>
      </c>
      <c r="C1905" s="1" t="n">
        <v>1243</v>
      </c>
      <c r="D1905" s="1" t="s">
        <v>34</v>
      </c>
      <c r="E1905" s="1" t="s">
        <v>35</v>
      </c>
      <c r="F1905" s="1" t="n">
        <v>2</v>
      </c>
      <c r="G1905" s="15" t="n">
        <v>211.12</v>
      </c>
      <c r="H1905" s="16" t="n">
        <v>0.17</v>
      </c>
      <c r="I1905" s="1" t="s">
        <v>31</v>
      </c>
      <c r="J1905" s="1" t="n">
        <v>8</v>
      </c>
      <c r="K1905" s="1" t="n">
        <v>4.8</v>
      </c>
      <c r="L1905" s="15" t="n">
        <v>350.46</v>
      </c>
      <c r="M1905" s="15" t="n">
        <f aca="false">F1905*G1905</f>
        <v>422.24</v>
      </c>
      <c r="N1905" s="15" t="n">
        <f aca="false">M1905-L1905</f>
        <v>71.78</v>
      </c>
      <c r="O1905" s="1" t="n">
        <f aca="false">YEAR(B1905)</f>
        <v>2027</v>
      </c>
      <c r="P1905" s="1" t="n">
        <f aca="false">MONTH(B1905)</f>
        <v>3</v>
      </c>
      <c r="Q1905" s="1" t="str">
        <f aca="false">TEXT(B1905,"mmm")</f>
        <v>Mar</v>
      </c>
      <c r="R1905" s="1" t="str">
        <f aca="false">"Q"&amp;ROUNDUP(MONTH(B1905)/3,0)</f>
        <v>Q1</v>
      </c>
    </row>
    <row r="1906" customFormat="false" ht="15" hidden="false" customHeight="true" outlineLevel="0" collapsed="false">
      <c r="A1906" s="1" t="n">
        <v>11905</v>
      </c>
      <c r="B1906" s="14" t="n">
        <v>46466</v>
      </c>
      <c r="C1906" s="1" t="n">
        <v>1490</v>
      </c>
      <c r="D1906" s="1" t="s">
        <v>30</v>
      </c>
      <c r="E1906" s="1" t="s">
        <v>28</v>
      </c>
      <c r="F1906" s="1" t="n">
        <v>5</v>
      </c>
      <c r="G1906" s="15" t="n">
        <v>15.77</v>
      </c>
      <c r="H1906" s="16" t="n">
        <v>0.14</v>
      </c>
      <c r="I1906" s="1" t="s">
        <v>31</v>
      </c>
      <c r="J1906" s="1" t="n">
        <v>4</v>
      </c>
      <c r="K1906" s="1" t="n">
        <v>5</v>
      </c>
      <c r="L1906" s="15" t="n">
        <v>67.81</v>
      </c>
      <c r="M1906" s="15" t="n">
        <f aca="false">F1906*G1906</f>
        <v>78.85</v>
      </c>
      <c r="N1906" s="15" t="n">
        <f aca="false">M1906-L1906</f>
        <v>11.04</v>
      </c>
      <c r="O1906" s="1" t="n">
        <f aca="false">YEAR(B1906)</f>
        <v>2027</v>
      </c>
      <c r="P1906" s="1" t="n">
        <f aca="false">MONTH(B1906)</f>
        <v>3</v>
      </c>
      <c r="Q1906" s="1" t="str">
        <f aca="false">TEXT(B1906,"mmm")</f>
        <v>Mar</v>
      </c>
      <c r="R1906" s="1" t="str">
        <f aca="false">"Q"&amp;ROUNDUP(MONTH(B1906)/3,0)</f>
        <v>Q1</v>
      </c>
    </row>
    <row r="1907" customFormat="false" ht="15" hidden="false" customHeight="true" outlineLevel="0" collapsed="false">
      <c r="A1907" s="1" t="n">
        <v>11906</v>
      </c>
      <c r="B1907" s="14" t="n">
        <v>46467</v>
      </c>
      <c r="C1907" s="1" t="n">
        <v>1848</v>
      </c>
      <c r="D1907" s="1" t="s">
        <v>37</v>
      </c>
      <c r="E1907" s="1" t="s">
        <v>32</v>
      </c>
      <c r="F1907" s="1" t="n">
        <v>4</v>
      </c>
      <c r="G1907" s="15" t="n">
        <v>195.15</v>
      </c>
      <c r="H1907" s="16" t="n">
        <v>0.33</v>
      </c>
      <c r="I1907" s="1" t="s">
        <v>33</v>
      </c>
      <c r="J1907" s="1" t="n">
        <v>6</v>
      </c>
      <c r="K1907" s="1" t="n">
        <v>3.2</v>
      </c>
      <c r="L1907" s="15" t="n">
        <v>523</v>
      </c>
      <c r="M1907" s="15" t="n">
        <f aca="false">F1907*G1907</f>
        <v>780.6</v>
      </c>
      <c r="N1907" s="15" t="n">
        <f aca="false">M1907-L1907</f>
        <v>257.6</v>
      </c>
      <c r="O1907" s="1" t="n">
        <f aca="false">YEAR(B1907)</f>
        <v>2027</v>
      </c>
      <c r="P1907" s="1" t="n">
        <f aca="false">MONTH(B1907)</f>
        <v>3</v>
      </c>
      <c r="Q1907" s="1" t="str">
        <f aca="false">TEXT(B1907,"mmm")</f>
        <v>Mar</v>
      </c>
      <c r="R1907" s="1" t="str">
        <f aca="false">"Q"&amp;ROUNDUP(MONTH(B1907)/3,0)</f>
        <v>Q1</v>
      </c>
    </row>
    <row r="1908" customFormat="false" ht="15" hidden="false" customHeight="true" outlineLevel="0" collapsed="false">
      <c r="A1908" s="1" t="n">
        <v>11907</v>
      </c>
      <c r="B1908" s="14" t="n">
        <v>46468</v>
      </c>
      <c r="C1908" s="1" t="n">
        <v>1957</v>
      </c>
      <c r="D1908" s="1" t="s">
        <v>30</v>
      </c>
      <c r="E1908" s="1" t="s">
        <v>36</v>
      </c>
      <c r="F1908" s="1" t="n">
        <v>1</v>
      </c>
      <c r="G1908" s="15" t="n">
        <v>178</v>
      </c>
      <c r="H1908" s="16" t="n">
        <v>0.18</v>
      </c>
      <c r="I1908" s="1" t="s">
        <v>31</v>
      </c>
      <c r="J1908" s="1" t="n">
        <v>10</v>
      </c>
      <c r="K1908" s="1" t="n">
        <v>3.2</v>
      </c>
      <c r="L1908" s="15" t="n">
        <v>145.96</v>
      </c>
      <c r="M1908" s="15" t="n">
        <f aca="false">F1908*G1908</f>
        <v>178</v>
      </c>
      <c r="N1908" s="15" t="n">
        <f aca="false">M1908-L1908</f>
        <v>32.04</v>
      </c>
      <c r="O1908" s="1" t="n">
        <f aca="false">YEAR(B1908)</f>
        <v>2027</v>
      </c>
      <c r="P1908" s="1" t="n">
        <f aca="false">MONTH(B1908)</f>
        <v>3</v>
      </c>
      <c r="Q1908" s="1" t="str">
        <f aca="false">TEXT(B1908,"mmm")</f>
        <v>Mar</v>
      </c>
      <c r="R1908" s="1" t="str">
        <f aca="false">"Q"&amp;ROUNDUP(MONTH(B1908)/3,0)</f>
        <v>Q1</v>
      </c>
    </row>
    <row r="1909" customFormat="false" ht="15" hidden="false" customHeight="true" outlineLevel="0" collapsed="false">
      <c r="A1909" s="1" t="n">
        <v>11908</v>
      </c>
      <c r="B1909" s="14" t="n">
        <v>46469</v>
      </c>
      <c r="C1909" s="1" t="n">
        <v>1506</v>
      </c>
      <c r="D1909" s="1" t="s">
        <v>30</v>
      </c>
      <c r="E1909" s="1" t="s">
        <v>36</v>
      </c>
      <c r="F1909" s="1" t="n">
        <v>4</v>
      </c>
      <c r="G1909" s="15" t="n">
        <v>245.17</v>
      </c>
      <c r="H1909" s="16" t="n">
        <v>0.16</v>
      </c>
      <c r="I1909" s="1" t="s">
        <v>33</v>
      </c>
      <c r="J1909" s="1" t="n">
        <v>9</v>
      </c>
      <c r="K1909" s="1" t="n">
        <v>1.1</v>
      </c>
      <c r="L1909" s="15" t="n">
        <v>823.77</v>
      </c>
      <c r="M1909" s="15" t="n">
        <f aca="false">F1909*G1909</f>
        <v>980.68</v>
      </c>
      <c r="N1909" s="15" t="n">
        <f aca="false">M1909-L1909</f>
        <v>156.91</v>
      </c>
      <c r="O1909" s="1" t="n">
        <f aca="false">YEAR(B1909)</f>
        <v>2027</v>
      </c>
      <c r="P1909" s="1" t="n">
        <f aca="false">MONTH(B1909)</f>
        <v>3</v>
      </c>
      <c r="Q1909" s="1" t="str">
        <f aca="false">TEXT(B1909,"mmm")</f>
        <v>Mar</v>
      </c>
      <c r="R1909" s="1" t="str">
        <f aca="false">"Q"&amp;ROUNDUP(MONTH(B1909)/3,0)</f>
        <v>Q1</v>
      </c>
    </row>
    <row r="1910" customFormat="false" ht="15" hidden="false" customHeight="true" outlineLevel="0" collapsed="false">
      <c r="A1910" s="1" t="n">
        <v>11909</v>
      </c>
      <c r="B1910" s="14" t="n">
        <v>46470</v>
      </c>
      <c r="C1910" s="1" t="n">
        <v>1364</v>
      </c>
      <c r="D1910" s="1" t="s">
        <v>30</v>
      </c>
      <c r="E1910" s="1" t="s">
        <v>28</v>
      </c>
      <c r="F1910" s="1" t="n">
        <v>7</v>
      </c>
      <c r="G1910" s="15" t="n">
        <v>92.13</v>
      </c>
      <c r="H1910" s="16" t="n">
        <v>0.24</v>
      </c>
      <c r="I1910" s="1" t="s">
        <v>31</v>
      </c>
      <c r="J1910" s="1" t="n">
        <v>8</v>
      </c>
      <c r="K1910" s="1" t="n">
        <v>4.5</v>
      </c>
      <c r="L1910" s="15" t="n">
        <v>490.13</v>
      </c>
      <c r="M1910" s="15" t="n">
        <f aca="false">F1910*G1910</f>
        <v>644.91</v>
      </c>
      <c r="N1910" s="15" t="n">
        <f aca="false">M1910-L1910</f>
        <v>154.78</v>
      </c>
      <c r="O1910" s="1" t="n">
        <f aca="false">YEAR(B1910)</f>
        <v>2027</v>
      </c>
      <c r="P1910" s="1" t="n">
        <f aca="false">MONTH(B1910)</f>
        <v>3</v>
      </c>
      <c r="Q1910" s="1" t="str">
        <f aca="false">TEXT(B1910,"mmm")</f>
        <v>Mar</v>
      </c>
      <c r="R1910" s="1" t="str">
        <f aca="false">"Q"&amp;ROUNDUP(MONTH(B1910)/3,0)</f>
        <v>Q1</v>
      </c>
    </row>
    <row r="1911" customFormat="false" ht="15" hidden="false" customHeight="true" outlineLevel="0" collapsed="false">
      <c r="A1911" s="1" t="n">
        <v>11910</v>
      </c>
      <c r="B1911" s="14" t="n">
        <v>46471</v>
      </c>
      <c r="C1911" s="1" t="n">
        <v>1481</v>
      </c>
      <c r="D1911" s="1" t="s">
        <v>30</v>
      </c>
      <c r="E1911" s="1" t="s">
        <v>32</v>
      </c>
      <c r="F1911" s="1" t="n">
        <v>7</v>
      </c>
      <c r="G1911" s="15" t="n">
        <v>312</v>
      </c>
      <c r="H1911" s="16" t="n">
        <v>0.09</v>
      </c>
      <c r="I1911" s="1" t="s">
        <v>31</v>
      </c>
      <c r="J1911" s="1" t="n">
        <v>4</v>
      </c>
      <c r="K1911" s="1" t="n">
        <v>1.1</v>
      </c>
      <c r="L1911" s="15" t="n">
        <v>1987.44</v>
      </c>
      <c r="M1911" s="15" t="n">
        <f aca="false">F1911*G1911</f>
        <v>2184</v>
      </c>
      <c r="N1911" s="15" t="n">
        <f aca="false">M1911-L1911</f>
        <v>196.56</v>
      </c>
      <c r="O1911" s="1" t="n">
        <f aca="false">YEAR(B1911)</f>
        <v>2027</v>
      </c>
      <c r="P1911" s="1" t="n">
        <f aca="false">MONTH(B1911)</f>
        <v>3</v>
      </c>
      <c r="Q1911" s="1" t="str">
        <f aca="false">TEXT(B1911,"mmm")</f>
        <v>Mar</v>
      </c>
      <c r="R1911" s="1" t="str">
        <f aca="false">"Q"&amp;ROUNDUP(MONTH(B1911)/3,0)</f>
        <v>Q1</v>
      </c>
    </row>
    <row r="1912" customFormat="false" ht="15" hidden="false" customHeight="true" outlineLevel="0" collapsed="false">
      <c r="A1912" s="1" t="n">
        <v>11911</v>
      </c>
      <c r="B1912" s="14" t="n">
        <v>46472</v>
      </c>
      <c r="C1912" s="1" t="n">
        <v>1200</v>
      </c>
      <c r="D1912" s="1" t="s">
        <v>30</v>
      </c>
      <c r="E1912" s="1" t="s">
        <v>28</v>
      </c>
      <c r="F1912" s="1" t="n">
        <v>6</v>
      </c>
      <c r="G1912" s="15" t="n">
        <v>420.08</v>
      </c>
      <c r="H1912" s="16" t="n">
        <v>0.11</v>
      </c>
      <c r="I1912" s="1" t="s">
        <v>31</v>
      </c>
      <c r="J1912" s="1" t="n">
        <v>10</v>
      </c>
      <c r="K1912" s="1" t="n">
        <v>3.5</v>
      </c>
      <c r="L1912" s="15" t="n">
        <v>2243.23</v>
      </c>
      <c r="M1912" s="15" t="n">
        <f aca="false">F1912*G1912</f>
        <v>2520.48</v>
      </c>
      <c r="N1912" s="15" t="n">
        <f aca="false">M1912-L1912</f>
        <v>277.25</v>
      </c>
      <c r="O1912" s="1" t="n">
        <f aca="false">YEAR(B1912)</f>
        <v>2027</v>
      </c>
      <c r="P1912" s="1" t="n">
        <f aca="false">MONTH(B1912)</f>
        <v>3</v>
      </c>
      <c r="Q1912" s="1" t="str">
        <f aca="false">TEXT(B1912,"mmm")</f>
        <v>Mar</v>
      </c>
      <c r="R1912" s="1" t="str">
        <f aca="false">"Q"&amp;ROUNDUP(MONTH(B1912)/3,0)</f>
        <v>Q1</v>
      </c>
    </row>
    <row r="1913" customFormat="false" ht="15" hidden="false" customHeight="true" outlineLevel="0" collapsed="false">
      <c r="A1913" s="1" t="n">
        <v>11912</v>
      </c>
      <c r="B1913" s="14" t="n">
        <v>46473</v>
      </c>
      <c r="C1913" s="1" t="n">
        <v>1153</v>
      </c>
      <c r="D1913" s="1" t="s">
        <v>34</v>
      </c>
      <c r="E1913" s="1" t="s">
        <v>28</v>
      </c>
      <c r="F1913" s="1" t="n">
        <v>4</v>
      </c>
      <c r="G1913" s="15" t="n">
        <v>383.66</v>
      </c>
      <c r="H1913" s="16" t="n">
        <v>0.33</v>
      </c>
      <c r="I1913" s="1" t="s">
        <v>29</v>
      </c>
      <c r="J1913" s="1" t="n">
        <v>8</v>
      </c>
      <c r="K1913" s="1" t="n">
        <v>1.4</v>
      </c>
      <c r="L1913" s="15" t="n">
        <v>1028.21</v>
      </c>
      <c r="M1913" s="15" t="n">
        <f aca="false">F1913*G1913</f>
        <v>1534.64</v>
      </c>
      <c r="N1913" s="15" t="n">
        <f aca="false">M1913-L1913</f>
        <v>506.43</v>
      </c>
      <c r="O1913" s="1" t="n">
        <f aca="false">YEAR(B1913)</f>
        <v>2027</v>
      </c>
      <c r="P1913" s="1" t="n">
        <f aca="false">MONTH(B1913)</f>
        <v>3</v>
      </c>
      <c r="Q1913" s="1" t="str">
        <f aca="false">TEXT(B1913,"mmm")</f>
        <v>Mar</v>
      </c>
      <c r="R1913" s="1" t="str">
        <f aca="false">"Q"&amp;ROUNDUP(MONTH(B1913)/3,0)</f>
        <v>Q1</v>
      </c>
    </row>
    <row r="1914" customFormat="false" ht="15" hidden="false" customHeight="true" outlineLevel="0" collapsed="false">
      <c r="A1914" s="1" t="n">
        <v>11913</v>
      </c>
      <c r="B1914" s="14" t="n">
        <v>46474</v>
      </c>
      <c r="C1914" s="1" t="n">
        <v>1449</v>
      </c>
      <c r="D1914" s="1" t="s">
        <v>30</v>
      </c>
      <c r="E1914" s="1" t="s">
        <v>35</v>
      </c>
      <c r="F1914" s="1" t="n">
        <v>3</v>
      </c>
      <c r="G1914" s="15" t="n">
        <v>485.2</v>
      </c>
      <c r="H1914" s="16" t="n">
        <v>0.24</v>
      </c>
      <c r="I1914" s="1" t="s">
        <v>33</v>
      </c>
      <c r="J1914" s="1" t="n">
        <v>7</v>
      </c>
      <c r="K1914" s="1" t="n">
        <v>2.1</v>
      </c>
      <c r="L1914" s="15" t="n">
        <v>1106.26</v>
      </c>
      <c r="M1914" s="15" t="n">
        <f aca="false">F1914*G1914</f>
        <v>1455.6</v>
      </c>
      <c r="N1914" s="15" t="n">
        <f aca="false">M1914-L1914</f>
        <v>349.34</v>
      </c>
      <c r="O1914" s="1" t="n">
        <f aca="false">YEAR(B1914)</f>
        <v>2027</v>
      </c>
      <c r="P1914" s="1" t="n">
        <f aca="false">MONTH(B1914)</f>
        <v>3</v>
      </c>
      <c r="Q1914" s="1" t="str">
        <f aca="false">TEXT(B1914,"mmm")</f>
        <v>Mar</v>
      </c>
      <c r="R1914" s="1" t="str">
        <f aca="false">"Q"&amp;ROUNDUP(MONTH(B1914)/3,0)</f>
        <v>Q1</v>
      </c>
    </row>
    <row r="1915" customFormat="false" ht="15" hidden="false" customHeight="true" outlineLevel="0" collapsed="false">
      <c r="A1915" s="1" t="n">
        <v>11914</v>
      </c>
      <c r="B1915" s="14" t="n">
        <v>46475</v>
      </c>
      <c r="C1915" s="1" t="n">
        <v>1500</v>
      </c>
      <c r="D1915" s="1" t="s">
        <v>30</v>
      </c>
      <c r="E1915" s="1" t="s">
        <v>35</v>
      </c>
      <c r="F1915" s="1" t="n">
        <v>2</v>
      </c>
      <c r="G1915" s="15" t="n">
        <v>279.42</v>
      </c>
      <c r="H1915" s="16" t="n">
        <v>0.29</v>
      </c>
      <c r="I1915" s="1" t="s">
        <v>31</v>
      </c>
      <c r="J1915" s="1" t="n">
        <v>5</v>
      </c>
      <c r="K1915" s="1" t="n">
        <v>1.6</v>
      </c>
      <c r="L1915" s="15" t="n">
        <v>396.78</v>
      </c>
      <c r="M1915" s="15" t="n">
        <f aca="false">F1915*G1915</f>
        <v>558.84</v>
      </c>
      <c r="N1915" s="15" t="n">
        <f aca="false">M1915-L1915</f>
        <v>162.06</v>
      </c>
      <c r="O1915" s="1" t="n">
        <f aca="false">YEAR(B1915)</f>
        <v>2027</v>
      </c>
      <c r="P1915" s="1" t="n">
        <f aca="false">MONTH(B1915)</f>
        <v>3</v>
      </c>
      <c r="Q1915" s="1" t="str">
        <f aca="false">TEXT(B1915,"mmm")</f>
        <v>Mar</v>
      </c>
      <c r="R1915" s="1" t="str">
        <f aca="false">"Q"&amp;ROUNDUP(MONTH(B1915)/3,0)</f>
        <v>Q1</v>
      </c>
    </row>
    <row r="1916" customFormat="false" ht="15" hidden="false" customHeight="true" outlineLevel="0" collapsed="false">
      <c r="A1916" s="1" t="n">
        <v>11915</v>
      </c>
      <c r="B1916" s="14" t="n">
        <v>46476</v>
      </c>
      <c r="C1916" s="1" t="n">
        <v>1072</v>
      </c>
      <c r="D1916" s="1" t="s">
        <v>30</v>
      </c>
      <c r="E1916" s="1" t="s">
        <v>36</v>
      </c>
      <c r="F1916" s="1" t="n">
        <v>6</v>
      </c>
      <c r="G1916" s="15" t="n">
        <v>318.67</v>
      </c>
      <c r="H1916" s="16" t="n">
        <v>0.09</v>
      </c>
      <c r="I1916" s="1" t="s">
        <v>33</v>
      </c>
      <c r="J1916" s="1" t="n">
        <v>7</v>
      </c>
      <c r="K1916" s="1" t="n">
        <v>1.5</v>
      </c>
      <c r="L1916" s="15" t="n">
        <v>1739.94</v>
      </c>
      <c r="M1916" s="15" t="n">
        <f aca="false">F1916*G1916</f>
        <v>1912.02</v>
      </c>
      <c r="N1916" s="15" t="n">
        <f aca="false">M1916-L1916</f>
        <v>172.08</v>
      </c>
      <c r="O1916" s="1" t="n">
        <f aca="false">YEAR(B1916)</f>
        <v>2027</v>
      </c>
      <c r="P1916" s="1" t="n">
        <f aca="false">MONTH(B1916)</f>
        <v>3</v>
      </c>
      <c r="Q1916" s="1" t="str">
        <f aca="false">TEXT(B1916,"mmm")</f>
        <v>Mar</v>
      </c>
      <c r="R1916" s="1" t="str">
        <f aca="false">"Q"&amp;ROUNDUP(MONTH(B1916)/3,0)</f>
        <v>Q1</v>
      </c>
    </row>
    <row r="1917" customFormat="false" ht="15" hidden="false" customHeight="true" outlineLevel="0" collapsed="false">
      <c r="A1917" s="1" t="n">
        <v>11916</v>
      </c>
      <c r="B1917" s="14" t="n">
        <v>46477</v>
      </c>
      <c r="C1917" s="1" t="n">
        <v>1712</v>
      </c>
      <c r="D1917" s="1" t="s">
        <v>34</v>
      </c>
      <c r="E1917" s="1" t="s">
        <v>32</v>
      </c>
      <c r="F1917" s="1" t="n">
        <v>6</v>
      </c>
      <c r="G1917" s="15" t="n">
        <v>489.09</v>
      </c>
      <c r="H1917" s="16" t="n">
        <v>0.19</v>
      </c>
      <c r="I1917" s="1" t="s">
        <v>29</v>
      </c>
      <c r="J1917" s="1" t="n">
        <v>7</v>
      </c>
      <c r="K1917" s="1" t="n">
        <v>1.3</v>
      </c>
      <c r="L1917" s="15" t="n">
        <v>2376.98</v>
      </c>
      <c r="M1917" s="15" t="n">
        <f aca="false">F1917*G1917</f>
        <v>2934.54</v>
      </c>
      <c r="N1917" s="15" t="n">
        <f aca="false">M1917-L1917</f>
        <v>557.56</v>
      </c>
      <c r="O1917" s="1" t="n">
        <f aca="false">YEAR(B1917)</f>
        <v>2027</v>
      </c>
      <c r="P1917" s="1" t="n">
        <f aca="false">MONTH(B1917)</f>
        <v>3</v>
      </c>
      <c r="Q1917" s="1" t="str">
        <f aca="false">TEXT(B1917,"mmm")</f>
        <v>Mar</v>
      </c>
      <c r="R1917" s="1" t="str">
        <f aca="false">"Q"&amp;ROUNDUP(MONTH(B1917)/3,0)</f>
        <v>Q1</v>
      </c>
    </row>
    <row r="1918" customFormat="false" ht="15" hidden="false" customHeight="true" outlineLevel="0" collapsed="false">
      <c r="A1918" s="1" t="n">
        <v>11917</v>
      </c>
      <c r="B1918" s="14" t="n">
        <v>46478</v>
      </c>
      <c r="C1918" s="1" t="n">
        <v>1295</v>
      </c>
      <c r="D1918" s="1" t="s">
        <v>37</v>
      </c>
      <c r="E1918" s="1" t="s">
        <v>35</v>
      </c>
      <c r="F1918" s="1" t="n">
        <v>6</v>
      </c>
      <c r="G1918" s="15" t="n">
        <v>265.21</v>
      </c>
      <c r="H1918" s="16" t="n">
        <v>0.34</v>
      </c>
      <c r="I1918" s="1" t="s">
        <v>33</v>
      </c>
      <c r="J1918" s="1" t="n">
        <v>10</v>
      </c>
      <c r="K1918" s="1" t="n">
        <v>2.3</v>
      </c>
      <c r="L1918" s="15" t="n">
        <v>1050.23</v>
      </c>
      <c r="M1918" s="15" t="n">
        <f aca="false">F1918*G1918</f>
        <v>1591.26</v>
      </c>
      <c r="N1918" s="15" t="n">
        <f aca="false">M1918-L1918</f>
        <v>541.03</v>
      </c>
      <c r="O1918" s="1" t="n">
        <f aca="false">YEAR(B1918)</f>
        <v>2027</v>
      </c>
      <c r="P1918" s="1" t="n">
        <f aca="false">MONTH(B1918)</f>
        <v>4</v>
      </c>
      <c r="Q1918" s="1" t="str">
        <f aca="false">TEXT(B1918,"mmm")</f>
        <v>Apr</v>
      </c>
      <c r="R1918" s="1" t="str">
        <f aca="false">"Q"&amp;ROUNDUP(MONTH(B1918)/3,0)</f>
        <v>Q2</v>
      </c>
    </row>
    <row r="1919" customFormat="false" ht="15" hidden="false" customHeight="true" outlineLevel="0" collapsed="false">
      <c r="A1919" s="1" t="n">
        <v>11918</v>
      </c>
      <c r="B1919" s="14" t="n">
        <v>46479</v>
      </c>
      <c r="C1919" s="1" t="n">
        <v>1016</v>
      </c>
      <c r="D1919" s="1" t="s">
        <v>34</v>
      </c>
      <c r="E1919" s="1" t="s">
        <v>36</v>
      </c>
      <c r="F1919" s="1" t="n">
        <v>7</v>
      </c>
      <c r="G1919" s="15" t="n">
        <v>425.44</v>
      </c>
      <c r="H1919" s="16" t="n">
        <v>0.11</v>
      </c>
      <c r="I1919" s="1" t="s">
        <v>33</v>
      </c>
      <c r="J1919" s="1" t="n">
        <v>2</v>
      </c>
      <c r="K1919" s="1" t="n">
        <v>2.7</v>
      </c>
      <c r="L1919" s="15" t="n">
        <v>2650.49</v>
      </c>
      <c r="M1919" s="15" t="n">
        <f aca="false">F1919*G1919</f>
        <v>2978.08</v>
      </c>
      <c r="N1919" s="15" t="n">
        <f aca="false">M1919-L1919</f>
        <v>327.59</v>
      </c>
      <c r="O1919" s="1" t="n">
        <f aca="false">YEAR(B1919)</f>
        <v>2027</v>
      </c>
      <c r="P1919" s="1" t="n">
        <f aca="false">MONTH(B1919)</f>
        <v>4</v>
      </c>
      <c r="Q1919" s="1" t="str">
        <f aca="false">TEXT(B1919,"mmm")</f>
        <v>Apr</v>
      </c>
      <c r="R1919" s="1" t="str">
        <f aca="false">"Q"&amp;ROUNDUP(MONTH(B1919)/3,0)</f>
        <v>Q2</v>
      </c>
    </row>
    <row r="1920" customFormat="false" ht="15" hidden="false" customHeight="true" outlineLevel="0" collapsed="false">
      <c r="A1920" s="1" t="n">
        <v>11919</v>
      </c>
      <c r="B1920" s="14" t="n">
        <v>46480</v>
      </c>
      <c r="C1920" s="1" t="n">
        <v>1640</v>
      </c>
      <c r="D1920" s="1" t="s">
        <v>30</v>
      </c>
      <c r="E1920" s="1" t="s">
        <v>32</v>
      </c>
      <c r="F1920" s="1" t="n">
        <v>1</v>
      </c>
      <c r="G1920" s="15" t="n">
        <v>269.24</v>
      </c>
      <c r="H1920" s="16" t="n">
        <v>0.06</v>
      </c>
      <c r="I1920" s="1" t="s">
        <v>31</v>
      </c>
      <c r="J1920" s="1" t="n">
        <v>7</v>
      </c>
      <c r="K1920" s="1" t="n">
        <v>2.9</v>
      </c>
      <c r="L1920" s="15" t="n">
        <v>253.09</v>
      </c>
      <c r="M1920" s="15" t="n">
        <f aca="false">F1920*G1920</f>
        <v>269.24</v>
      </c>
      <c r="N1920" s="15" t="n">
        <f aca="false">M1920-L1920</f>
        <v>16.15</v>
      </c>
      <c r="O1920" s="1" t="n">
        <f aca="false">YEAR(B1920)</f>
        <v>2027</v>
      </c>
      <c r="P1920" s="1" t="n">
        <f aca="false">MONTH(B1920)</f>
        <v>4</v>
      </c>
      <c r="Q1920" s="1" t="str">
        <f aca="false">TEXT(B1920,"mmm")</f>
        <v>Apr</v>
      </c>
      <c r="R1920" s="1" t="str">
        <f aca="false">"Q"&amp;ROUNDUP(MONTH(B1920)/3,0)</f>
        <v>Q2</v>
      </c>
    </row>
    <row r="1921" customFormat="false" ht="15" hidden="false" customHeight="true" outlineLevel="0" collapsed="false">
      <c r="A1921" s="1" t="n">
        <v>11920</v>
      </c>
      <c r="B1921" s="14" t="n">
        <v>46481</v>
      </c>
      <c r="C1921" s="1" t="n">
        <v>1216</v>
      </c>
      <c r="D1921" s="1" t="s">
        <v>37</v>
      </c>
      <c r="E1921" s="1" t="s">
        <v>36</v>
      </c>
      <c r="F1921" s="1" t="n">
        <v>5</v>
      </c>
      <c r="G1921" s="15" t="n">
        <v>259.38</v>
      </c>
      <c r="H1921" s="16" t="n">
        <v>0.18</v>
      </c>
      <c r="I1921" s="1" t="s">
        <v>33</v>
      </c>
      <c r="J1921" s="1" t="n">
        <v>3</v>
      </c>
      <c r="K1921" s="1" t="n">
        <v>2.8</v>
      </c>
      <c r="L1921" s="15" t="n">
        <v>1063.46</v>
      </c>
      <c r="M1921" s="15" t="n">
        <f aca="false">F1921*G1921</f>
        <v>1296.9</v>
      </c>
      <c r="N1921" s="15" t="n">
        <f aca="false">M1921-L1921</f>
        <v>233.44</v>
      </c>
      <c r="O1921" s="1" t="n">
        <f aca="false">YEAR(B1921)</f>
        <v>2027</v>
      </c>
      <c r="P1921" s="1" t="n">
        <f aca="false">MONTH(B1921)</f>
        <v>4</v>
      </c>
      <c r="Q1921" s="1" t="str">
        <f aca="false">TEXT(B1921,"mmm")</f>
        <v>Apr</v>
      </c>
      <c r="R1921" s="1" t="str">
        <f aca="false">"Q"&amp;ROUNDUP(MONTH(B1921)/3,0)</f>
        <v>Q2</v>
      </c>
    </row>
    <row r="1922" customFormat="false" ht="15" hidden="false" customHeight="true" outlineLevel="0" collapsed="false">
      <c r="A1922" s="1" t="n">
        <v>11921</v>
      </c>
      <c r="B1922" s="14" t="n">
        <v>46482</v>
      </c>
      <c r="C1922" s="1" t="n">
        <v>1060</v>
      </c>
      <c r="D1922" s="1" t="s">
        <v>30</v>
      </c>
      <c r="E1922" s="1" t="s">
        <v>35</v>
      </c>
      <c r="F1922" s="1" t="n">
        <v>3</v>
      </c>
      <c r="G1922" s="15" t="n">
        <v>459.72</v>
      </c>
      <c r="H1922" s="16" t="n">
        <v>0.14</v>
      </c>
      <c r="I1922" s="1" t="s">
        <v>33</v>
      </c>
      <c r="J1922" s="1" t="n">
        <v>8</v>
      </c>
      <c r="K1922" s="1" t="n">
        <v>3.1</v>
      </c>
      <c r="L1922" s="15" t="n">
        <v>1186.08</v>
      </c>
      <c r="M1922" s="15" t="n">
        <f aca="false">F1922*G1922</f>
        <v>1379.16</v>
      </c>
      <c r="N1922" s="15" t="n">
        <f aca="false">M1922-L1922</f>
        <v>193.08</v>
      </c>
      <c r="O1922" s="1" t="n">
        <f aca="false">YEAR(B1922)</f>
        <v>2027</v>
      </c>
      <c r="P1922" s="1" t="n">
        <f aca="false">MONTH(B1922)</f>
        <v>4</v>
      </c>
      <c r="Q1922" s="1" t="str">
        <f aca="false">TEXT(B1922,"mmm")</f>
        <v>Apr</v>
      </c>
      <c r="R1922" s="1" t="str">
        <f aca="false">"Q"&amp;ROUNDUP(MONTH(B1922)/3,0)</f>
        <v>Q2</v>
      </c>
    </row>
    <row r="1923" customFormat="false" ht="15" hidden="false" customHeight="true" outlineLevel="0" collapsed="false">
      <c r="A1923" s="1" t="n">
        <v>11922</v>
      </c>
      <c r="B1923" s="14" t="n">
        <v>46483</v>
      </c>
      <c r="C1923" s="1" t="n">
        <v>1938</v>
      </c>
      <c r="D1923" s="1" t="s">
        <v>34</v>
      </c>
      <c r="E1923" s="1" t="s">
        <v>36</v>
      </c>
      <c r="F1923" s="1" t="n">
        <v>7</v>
      </c>
      <c r="G1923" s="15" t="n">
        <v>117.28</v>
      </c>
      <c r="H1923" s="16" t="n">
        <v>0.06</v>
      </c>
      <c r="I1923" s="1" t="s">
        <v>33</v>
      </c>
      <c r="J1923" s="1" t="n">
        <v>8</v>
      </c>
      <c r="K1923" s="1" t="n">
        <v>4.4</v>
      </c>
      <c r="L1923" s="15" t="n">
        <v>771.7</v>
      </c>
      <c r="M1923" s="15" t="n">
        <f aca="false">F1923*G1923</f>
        <v>820.96</v>
      </c>
      <c r="N1923" s="15" t="n">
        <f aca="false">M1923-L1923</f>
        <v>49.26</v>
      </c>
      <c r="O1923" s="1" t="n">
        <f aca="false">YEAR(B1923)</f>
        <v>2027</v>
      </c>
      <c r="P1923" s="1" t="n">
        <f aca="false">MONTH(B1923)</f>
        <v>4</v>
      </c>
      <c r="Q1923" s="1" t="str">
        <f aca="false">TEXT(B1923,"mmm")</f>
        <v>Apr</v>
      </c>
      <c r="R1923" s="1" t="str">
        <f aca="false">"Q"&amp;ROUNDUP(MONTH(B1923)/3,0)</f>
        <v>Q2</v>
      </c>
    </row>
    <row r="1924" customFormat="false" ht="15" hidden="false" customHeight="true" outlineLevel="0" collapsed="false">
      <c r="A1924" s="1" t="n">
        <v>11923</v>
      </c>
      <c r="B1924" s="14" t="n">
        <v>46484</v>
      </c>
      <c r="C1924" s="1" t="n">
        <v>1615</v>
      </c>
      <c r="D1924" s="1" t="s">
        <v>37</v>
      </c>
      <c r="E1924" s="1" t="s">
        <v>32</v>
      </c>
      <c r="F1924" s="1" t="n">
        <v>2</v>
      </c>
      <c r="G1924" s="15" t="n">
        <v>213.07</v>
      </c>
      <c r="H1924" s="16" t="n">
        <v>0.31</v>
      </c>
      <c r="I1924" s="1" t="s">
        <v>29</v>
      </c>
      <c r="J1924" s="1" t="n">
        <v>9</v>
      </c>
      <c r="K1924" s="1" t="n">
        <v>3.5</v>
      </c>
      <c r="L1924" s="15" t="n">
        <v>294.04</v>
      </c>
      <c r="M1924" s="15" t="n">
        <f aca="false">F1924*G1924</f>
        <v>426.14</v>
      </c>
      <c r="N1924" s="15" t="n">
        <f aca="false">M1924-L1924</f>
        <v>132.1</v>
      </c>
      <c r="O1924" s="1" t="n">
        <f aca="false">YEAR(B1924)</f>
        <v>2027</v>
      </c>
      <c r="P1924" s="1" t="n">
        <f aca="false">MONTH(B1924)</f>
        <v>4</v>
      </c>
      <c r="Q1924" s="1" t="str">
        <f aca="false">TEXT(B1924,"mmm")</f>
        <v>Apr</v>
      </c>
      <c r="R1924" s="1" t="str">
        <f aca="false">"Q"&amp;ROUNDUP(MONTH(B1924)/3,0)</f>
        <v>Q2</v>
      </c>
    </row>
    <row r="1925" customFormat="false" ht="15" hidden="false" customHeight="true" outlineLevel="0" collapsed="false">
      <c r="A1925" s="1" t="n">
        <v>11924</v>
      </c>
      <c r="B1925" s="14" t="n">
        <v>46485</v>
      </c>
      <c r="C1925" s="1" t="n">
        <v>1041</v>
      </c>
      <c r="D1925" s="1" t="s">
        <v>30</v>
      </c>
      <c r="E1925" s="1" t="s">
        <v>32</v>
      </c>
      <c r="F1925" s="1" t="n">
        <v>7</v>
      </c>
      <c r="G1925" s="15" t="n">
        <v>146.14</v>
      </c>
      <c r="H1925" s="16" t="n">
        <v>0.35</v>
      </c>
      <c r="I1925" s="1" t="s">
        <v>31</v>
      </c>
      <c r="J1925" s="1" t="n">
        <v>11</v>
      </c>
      <c r="K1925" s="1" t="n">
        <v>1.1</v>
      </c>
      <c r="L1925" s="15" t="n">
        <v>664.94</v>
      </c>
      <c r="M1925" s="15" t="n">
        <f aca="false">F1925*G1925</f>
        <v>1022.98</v>
      </c>
      <c r="N1925" s="15" t="n">
        <f aca="false">M1925-L1925</f>
        <v>358.04</v>
      </c>
      <c r="O1925" s="1" t="n">
        <f aca="false">YEAR(B1925)</f>
        <v>2027</v>
      </c>
      <c r="P1925" s="1" t="n">
        <f aca="false">MONTH(B1925)</f>
        <v>4</v>
      </c>
      <c r="Q1925" s="1" t="str">
        <f aca="false">TEXT(B1925,"mmm")</f>
        <v>Apr</v>
      </c>
      <c r="R1925" s="1" t="str">
        <f aca="false">"Q"&amp;ROUNDUP(MONTH(B1925)/3,0)</f>
        <v>Q2</v>
      </c>
    </row>
    <row r="1926" customFormat="false" ht="15" hidden="false" customHeight="true" outlineLevel="0" collapsed="false">
      <c r="A1926" s="1" t="n">
        <v>11925</v>
      </c>
      <c r="B1926" s="14" t="n">
        <v>46486</v>
      </c>
      <c r="C1926" s="1" t="n">
        <v>1024</v>
      </c>
      <c r="D1926" s="1" t="s">
        <v>37</v>
      </c>
      <c r="E1926" s="1" t="s">
        <v>36</v>
      </c>
      <c r="F1926" s="1" t="n">
        <v>1</v>
      </c>
      <c r="G1926" s="15" t="n">
        <v>225.08</v>
      </c>
      <c r="H1926" s="16" t="n">
        <v>0.2</v>
      </c>
      <c r="I1926" s="1" t="s">
        <v>31</v>
      </c>
      <c r="J1926" s="1" t="n">
        <v>4</v>
      </c>
      <c r="K1926" s="1" t="n">
        <v>1.7</v>
      </c>
      <c r="L1926" s="15" t="n">
        <v>180.06</v>
      </c>
      <c r="M1926" s="15" t="n">
        <f aca="false">F1926*G1926</f>
        <v>225.08</v>
      </c>
      <c r="N1926" s="15" t="n">
        <f aca="false">M1926-L1926</f>
        <v>45.02</v>
      </c>
      <c r="O1926" s="1" t="n">
        <f aca="false">YEAR(B1926)</f>
        <v>2027</v>
      </c>
      <c r="P1926" s="1" t="n">
        <f aca="false">MONTH(B1926)</f>
        <v>4</v>
      </c>
      <c r="Q1926" s="1" t="str">
        <f aca="false">TEXT(B1926,"mmm")</f>
        <v>Apr</v>
      </c>
      <c r="R1926" s="1" t="str">
        <f aca="false">"Q"&amp;ROUNDUP(MONTH(B1926)/3,0)</f>
        <v>Q2</v>
      </c>
    </row>
    <row r="1927" customFormat="false" ht="15" hidden="false" customHeight="true" outlineLevel="0" collapsed="false">
      <c r="A1927" s="1" t="n">
        <v>11926</v>
      </c>
      <c r="B1927" s="14" t="n">
        <v>46487</v>
      </c>
      <c r="C1927" s="1" t="n">
        <v>1038</v>
      </c>
      <c r="D1927" s="1" t="s">
        <v>37</v>
      </c>
      <c r="E1927" s="1" t="s">
        <v>32</v>
      </c>
      <c r="F1927" s="1" t="n">
        <v>7</v>
      </c>
      <c r="G1927" s="15" t="n">
        <v>149.77</v>
      </c>
      <c r="H1927" s="16" t="n">
        <v>0.27</v>
      </c>
      <c r="I1927" s="1" t="s">
        <v>29</v>
      </c>
      <c r="J1927" s="1" t="n">
        <v>10</v>
      </c>
      <c r="K1927" s="1" t="n">
        <v>2.4</v>
      </c>
      <c r="L1927" s="15" t="n">
        <v>765.32</v>
      </c>
      <c r="M1927" s="15" t="n">
        <f aca="false">F1927*G1927</f>
        <v>1048.39</v>
      </c>
      <c r="N1927" s="15" t="n">
        <f aca="false">M1927-L1927</f>
        <v>283.07</v>
      </c>
      <c r="O1927" s="1" t="n">
        <f aca="false">YEAR(B1927)</f>
        <v>2027</v>
      </c>
      <c r="P1927" s="1" t="n">
        <f aca="false">MONTH(B1927)</f>
        <v>4</v>
      </c>
      <c r="Q1927" s="1" t="str">
        <f aca="false">TEXT(B1927,"mmm")</f>
        <v>Apr</v>
      </c>
      <c r="R1927" s="1" t="str">
        <f aca="false">"Q"&amp;ROUNDUP(MONTH(B1927)/3,0)</f>
        <v>Q2</v>
      </c>
    </row>
    <row r="1928" customFormat="false" ht="15" hidden="false" customHeight="true" outlineLevel="0" collapsed="false">
      <c r="A1928" s="1" t="n">
        <v>11927</v>
      </c>
      <c r="B1928" s="14" t="n">
        <v>46488</v>
      </c>
      <c r="C1928" s="1" t="n">
        <v>1802</v>
      </c>
      <c r="D1928" s="1" t="s">
        <v>30</v>
      </c>
      <c r="E1928" s="1" t="s">
        <v>36</v>
      </c>
      <c r="F1928" s="1" t="n">
        <v>7</v>
      </c>
      <c r="G1928" s="15" t="n">
        <v>353.95</v>
      </c>
      <c r="H1928" s="16" t="n">
        <v>0.3</v>
      </c>
      <c r="I1928" s="1" t="s">
        <v>33</v>
      </c>
      <c r="J1928" s="1" t="n">
        <v>3</v>
      </c>
      <c r="K1928" s="1" t="n">
        <v>4.8</v>
      </c>
      <c r="L1928" s="15" t="n">
        <v>1734.36</v>
      </c>
      <c r="M1928" s="15" t="n">
        <f aca="false">F1928*G1928</f>
        <v>2477.65</v>
      </c>
      <c r="N1928" s="15" t="n">
        <f aca="false">M1928-L1928</f>
        <v>743.29</v>
      </c>
      <c r="O1928" s="1" t="n">
        <f aca="false">YEAR(B1928)</f>
        <v>2027</v>
      </c>
      <c r="P1928" s="1" t="n">
        <f aca="false">MONTH(B1928)</f>
        <v>4</v>
      </c>
      <c r="Q1928" s="1" t="str">
        <f aca="false">TEXT(B1928,"mmm")</f>
        <v>Apr</v>
      </c>
      <c r="R1928" s="1" t="str">
        <f aca="false">"Q"&amp;ROUNDUP(MONTH(B1928)/3,0)</f>
        <v>Q2</v>
      </c>
    </row>
    <row r="1929" customFormat="false" ht="15" hidden="false" customHeight="true" outlineLevel="0" collapsed="false">
      <c r="A1929" s="1" t="n">
        <v>11928</v>
      </c>
      <c r="B1929" s="14" t="n">
        <v>46489</v>
      </c>
      <c r="C1929" s="1" t="n">
        <v>1130</v>
      </c>
      <c r="D1929" s="1" t="s">
        <v>30</v>
      </c>
      <c r="E1929" s="1" t="s">
        <v>32</v>
      </c>
      <c r="F1929" s="1" t="n">
        <v>4</v>
      </c>
      <c r="G1929" s="15" t="n">
        <v>481.93</v>
      </c>
      <c r="H1929" s="16" t="n">
        <v>0.25</v>
      </c>
      <c r="I1929" s="1" t="s">
        <v>31</v>
      </c>
      <c r="J1929" s="1" t="n">
        <v>9</v>
      </c>
      <c r="K1929" s="1" t="n">
        <v>1.3</v>
      </c>
      <c r="L1929" s="15" t="n">
        <v>1445.79</v>
      </c>
      <c r="M1929" s="15" t="n">
        <f aca="false">F1929*G1929</f>
        <v>1927.72</v>
      </c>
      <c r="N1929" s="15" t="n">
        <f aca="false">M1929-L1929</f>
        <v>481.93</v>
      </c>
      <c r="O1929" s="1" t="n">
        <f aca="false">YEAR(B1929)</f>
        <v>2027</v>
      </c>
      <c r="P1929" s="1" t="n">
        <f aca="false">MONTH(B1929)</f>
        <v>4</v>
      </c>
      <c r="Q1929" s="1" t="str">
        <f aca="false">TEXT(B1929,"mmm")</f>
        <v>Apr</v>
      </c>
      <c r="R1929" s="1" t="str">
        <f aca="false">"Q"&amp;ROUNDUP(MONTH(B1929)/3,0)</f>
        <v>Q2</v>
      </c>
    </row>
    <row r="1930" customFormat="false" ht="15" hidden="false" customHeight="true" outlineLevel="0" collapsed="false">
      <c r="A1930" s="1" t="n">
        <v>11929</v>
      </c>
      <c r="B1930" s="14" t="n">
        <v>46490</v>
      </c>
      <c r="C1930" s="1" t="n">
        <v>1497</v>
      </c>
      <c r="D1930" s="1" t="s">
        <v>34</v>
      </c>
      <c r="E1930" s="1" t="s">
        <v>36</v>
      </c>
      <c r="F1930" s="1" t="n">
        <v>2</v>
      </c>
      <c r="G1930" s="15" t="n">
        <v>475.17</v>
      </c>
      <c r="H1930" s="16" t="n">
        <v>0.02</v>
      </c>
      <c r="I1930" s="1" t="s">
        <v>31</v>
      </c>
      <c r="J1930" s="1" t="n">
        <v>9</v>
      </c>
      <c r="K1930" s="1" t="n">
        <v>3.8</v>
      </c>
      <c r="L1930" s="15" t="n">
        <v>931.33</v>
      </c>
      <c r="M1930" s="15" t="n">
        <f aca="false">F1930*G1930</f>
        <v>950.34</v>
      </c>
      <c r="N1930" s="15" t="n">
        <f aca="false">M1930-L1930</f>
        <v>19.01</v>
      </c>
      <c r="O1930" s="1" t="n">
        <f aca="false">YEAR(B1930)</f>
        <v>2027</v>
      </c>
      <c r="P1930" s="1" t="n">
        <f aca="false">MONTH(B1930)</f>
        <v>4</v>
      </c>
      <c r="Q1930" s="1" t="str">
        <f aca="false">TEXT(B1930,"mmm")</f>
        <v>Apr</v>
      </c>
      <c r="R1930" s="1" t="str">
        <f aca="false">"Q"&amp;ROUNDUP(MONTH(B1930)/3,0)</f>
        <v>Q2</v>
      </c>
    </row>
    <row r="1931" customFormat="false" ht="15" hidden="false" customHeight="true" outlineLevel="0" collapsed="false">
      <c r="A1931" s="1" t="n">
        <v>11930</v>
      </c>
      <c r="B1931" s="14" t="n">
        <v>46491</v>
      </c>
      <c r="C1931" s="1" t="n">
        <v>1228</v>
      </c>
      <c r="D1931" s="1" t="s">
        <v>34</v>
      </c>
      <c r="E1931" s="1" t="s">
        <v>36</v>
      </c>
      <c r="F1931" s="1" t="n">
        <v>6</v>
      </c>
      <c r="G1931" s="15" t="n">
        <v>228.23</v>
      </c>
      <c r="H1931" s="16" t="n">
        <v>0.06</v>
      </c>
      <c r="I1931" s="1" t="s">
        <v>29</v>
      </c>
      <c r="J1931" s="1" t="n">
        <v>2</v>
      </c>
      <c r="K1931" s="1" t="n">
        <v>1.1</v>
      </c>
      <c r="L1931" s="15" t="n">
        <v>1287.22</v>
      </c>
      <c r="M1931" s="15" t="n">
        <f aca="false">F1931*G1931</f>
        <v>1369.38</v>
      </c>
      <c r="N1931" s="15" t="n">
        <f aca="false">M1931-L1931</f>
        <v>82.1599999999999</v>
      </c>
      <c r="O1931" s="1" t="n">
        <f aca="false">YEAR(B1931)</f>
        <v>2027</v>
      </c>
      <c r="P1931" s="1" t="n">
        <f aca="false">MONTH(B1931)</f>
        <v>4</v>
      </c>
      <c r="Q1931" s="1" t="str">
        <f aca="false">TEXT(B1931,"mmm")</f>
        <v>Apr</v>
      </c>
      <c r="R1931" s="1" t="str">
        <f aca="false">"Q"&amp;ROUNDUP(MONTH(B1931)/3,0)</f>
        <v>Q2</v>
      </c>
    </row>
    <row r="1932" customFormat="false" ht="15" hidden="false" customHeight="true" outlineLevel="0" collapsed="false">
      <c r="A1932" s="1" t="n">
        <v>11931</v>
      </c>
      <c r="B1932" s="14" t="n">
        <v>46492</v>
      </c>
      <c r="C1932" s="1" t="n">
        <v>1107</v>
      </c>
      <c r="D1932" s="1" t="s">
        <v>30</v>
      </c>
      <c r="E1932" s="1" t="s">
        <v>36</v>
      </c>
      <c r="F1932" s="1" t="n">
        <v>2</v>
      </c>
      <c r="G1932" s="15" t="n">
        <v>593.42</v>
      </c>
      <c r="H1932" s="16" t="n">
        <v>0.02</v>
      </c>
      <c r="I1932" s="1" t="s">
        <v>31</v>
      </c>
      <c r="J1932" s="1" t="n">
        <v>6</v>
      </c>
      <c r="K1932" s="1" t="n">
        <v>2.5</v>
      </c>
      <c r="L1932" s="15" t="n">
        <v>1163.1</v>
      </c>
      <c r="M1932" s="15" t="n">
        <f aca="false">F1932*G1932</f>
        <v>1186.84</v>
      </c>
      <c r="N1932" s="15" t="n">
        <f aca="false">M1932-L1932</f>
        <v>23.74</v>
      </c>
      <c r="O1932" s="1" t="n">
        <f aca="false">YEAR(B1932)</f>
        <v>2027</v>
      </c>
      <c r="P1932" s="1" t="n">
        <f aca="false">MONTH(B1932)</f>
        <v>4</v>
      </c>
      <c r="Q1932" s="1" t="str">
        <f aca="false">TEXT(B1932,"mmm")</f>
        <v>Apr</v>
      </c>
      <c r="R1932" s="1" t="str">
        <f aca="false">"Q"&amp;ROUNDUP(MONTH(B1932)/3,0)</f>
        <v>Q2</v>
      </c>
    </row>
    <row r="1933" customFormat="false" ht="15" hidden="false" customHeight="true" outlineLevel="0" collapsed="false">
      <c r="A1933" s="1" t="n">
        <v>11932</v>
      </c>
      <c r="B1933" s="14" t="n">
        <v>46493</v>
      </c>
      <c r="C1933" s="1" t="n">
        <v>1171</v>
      </c>
      <c r="D1933" s="1" t="s">
        <v>30</v>
      </c>
      <c r="E1933" s="1" t="s">
        <v>28</v>
      </c>
      <c r="F1933" s="1" t="n">
        <v>2</v>
      </c>
      <c r="G1933" s="15" t="n">
        <v>362.4</v>
      </c>
      <c r="H1933" s="16" t="n">
        <v>0</v>
      </c>
      <c r="I1933" s="1" t="s">
        <v>31</v>
      </c>
      <c r="J1933" s="1" t="n">
        <v>3</v>
      </c>
      <c r="K1933" s="1" t="n">
        <v>4.1</v>
      </c>
      <c r="L1933" s="15" t="n">
        <v>724.8</v>
      </c>
      <c r="M1933" s="15" t="n">
        <f aca="false">F1933*G1933</f>
        <v>724.8</v>
      </c>
      <c r="N1933" s="15" t="n">
        <f aca="false">M1933-L1933</f>
        <v>0</v>
      </c>
      <c r="O1933" s="1" t="n">
        <f aca="false">YEAR(B1933)</f>
        <v>2027</v>
      </c>
      <c r="P1933" s="1" t="n">
        <f aca="false">MONTH(B1933)</f>
        <v>4</v>
      </c>
      <c r="Q1933" s="1" t="str">
        <f aca="false">TEXT(B1933,"mmm")</f>
        <v>Apr</v>
      </c>
      <c r="R1933" s="1" t="str">
        <f aca="false">"Q"&amp;ROUNDUP(MONTH(B1933)/3,0)</f>
        <v>Q2</v>
      </c>
    </row>
    <row r="1934" customFormat="false" ht="15" hidden="false" customHeight="true" outlineLevel="0" collapsed="false">
      <c r="A1934" s="1" t="n">
        <v>11933</v>
      </c>
      <c r="B1934" s="14" t="n">
        <v>46494</v>
      </c>
      <c r="C1934" s="1" t="n">
        <v>1434</v>
      </c>
      <c r="D1934" s="1" t="s">
        <v>30</v>
      </c>
      <c r="E1934" s="1" t="s">
        <v>32</v>
      </c>
      <c r="F1934" s="1" t="n">
        <v>4</v>
      </c>
      <c r="G1934" s="15" t="n">
        <v>248.65</v>
      </c>
      <c r="H1934" s="16" t="n">
        <v>0.11</v>
      </c>
      <c r="I1934" s="1" t="s">
        <v>31</v>
      </c>
      <c r="J1934" s="1" t="n">
        <v>5</v>
      </c>
      <c r="K1934" s="1" t="n">
        <v>2.4</v>
      </c>
      <c r="L1934" s="15" t="n">
        <v>885.19</v>
      </c>
      <c r="M1934" s="15" t="n">
        <f aca="false">F1934*G1934</f>
        <v>994.6</v>
      </c>
      <c r="N1934" s="15" t="n">
        <f aca="false">M1934-L1934</f>
        <v>109.41</v>
      </c>
      <c r="O1934" s="1" t="n">
        <f aca="false">YEAR(B1934)</f>
        <v>2027</v>
      </c>
      <c r="P1934" s="1" t="n">
        <f aca="false">MONTH(B1934)</f>
        <v>4</v>
      </c>
      <c r="Q1934" s="1" t="str">
        <f aca="false">TEXT(B1934,"mmm")</f>
        <v>Apr</v>
      </c>
      <c r="R1934" s="1" t="str">
        <f aca="false">"Q"&amp;ROUNDUP(MONTH(B1934)/3,0)</f>
        <v>Q2</v>
      </c>
    </row>
    <row r="1935" customFormat="false" ht="15" hidden="false" customHeight="true" outlineLevel="0" collapsed="false">
      <c r="A1935" s="1" t="n">
        <v>11934</v>
      </c>
      <c r="B1935" s="14" t="n">
        <v>46495</v>
      </c>
      <c r="C1935" s="1" t="n">
        <v>1477</v>
      </c>
      <c r="D1935" s="1" t="s">
        <v>34</v>
      </c>
      <c r="E1935" s="1" t="s">
        <v>35</v>
      </c>
      <c r="F1935" s="1" t="n">
        <v>5</v>
      </c>
      <c r="G1935" s="15" t="n">
        <v>503.79</v>
      </c>
      <c r="H1935" s="16" t="n">
        <v>0.14</v>
      </c>
      <c r="I1935" s="1" t="s">
        <v>29</v>
      </c>
      <c r="J1935" s="1" t="n">
        <v>2</v>
      </c>
      <c r="K1935" s="1" t="n">
        <v>2.7</v>
      </c>
      <c r="L1935" s="15" t="n">
        <v>2166.3</v>
      </c>
      <c r="M1935" s="15" t="n">
        <f aca="false">F1935*G1935</f>
        <v>2518.95</v>
      </c>
      <c r="N1935" s="15" t="n">
        <f aca="false">M1935-L1935</f>
        <v>352.65</v>
      </c>
      <c r="O1935" s="1" t="n">
        <f aca="false">YEAR(B1935)</f>
        <v>2027</v>
      </c>
      <c r="P1935" s="1" t="n">
        <f aca="false">MONTH(B1935)</f>
        <v>4</v>
      </c>
      <c r="Q1935" s="1" t="str">
        <f aca="false">TEXT(B1935,"mmm")</f>
        <v>Apr</v>
      </c>
      <c r="R1935" s="1" t="str">
        <f aca="false">"Q"&amp;ROUNDUP(MONTH(B1935)/3,0)</f>
        <v>Q2</v>
      </c>
    </row>
    <row r="1936" customFormat="false" ht="15" hidden="false" customHeight="true" outlineLevel="0" collapsed="false">
      <c r="A1936" s="1" t="n">
        <v>11935</v>
      </c>
      <c r="B1936" s="14" t="n">
        <v>46496</v>
      </c>
      <c r="C1936" s="1" t="n">
        <v>1101</v>
      </c>
      <c r="D1936" s="1" t="s">
        <v>34</v>
      </c>
      <c r="E1936" s="1" t="s">
        <v>36</v>
      </c>
      <c r="F1936" s="1" t="n">
        <v>7</v>
      </c>
      <c r="G1936" s="15" t="n">
        <v>441.98</v>
      </c>
      <c r="H1936" s="16" t="n">
        <v>0.08</v>
      </c>
      <c r="I1936" s="1" t="s">
        <v>29</v>
      </c>
      <c r="J1936" s="1" t="n">
        <v>4</v>
      </c>
      <c r="K1936" s="1" t="n">
        <v>4.6</v>
      </c>
      <c r="L1936" s="15" t="n">
        <v>2846.35</v>
      </c>
      <c r="M1936" s="15" t="n">
        <f aca="false">F1936*G1936</f>
        <v>3093.86</v>
      </c>
      <c r="N1936" s="15" t="n">
        <f aca="false">M1936-L1936</f>
        <v>247.51</v>
      </c>
      <c r="O1936" s="1" t="n">
        <f aca="false">YEAR(B1936)</f>
        <v>2027</v>
      </c>
      <c r="P1936" s="1" t="n">
        <f aca="false">MONTH(B1936)</f>
        <v>4</v>
      </c>
      <c r="Q1936" s="1" t="str">
        <f aca="false">TEXT(B1936,"mmm")</f>
        <v>Apr</v>
      </c>
      <c r="R1936" s="1" t="str">
        <f aca="false">"Q"&amp;ROUNDUP(MONTH(B1936)/3,0)</f>
        <v>Q2</v>
      </c>
    </row>
    <row r="1937" customFormat="false" ht="15" hidden="false" customHeight="true" outlineLevel="0" collapsed="false">
      <c r="A1937" s="1" t="n">
        <v>11936</v>
      </c>
      <c r="B1937" s="14" t="n">
        <v>46497</v>
      </c>
      <c r="C1937" s="1" t="n">
        <v>1865</v>
      </c>
      <c r="D1937" s="1" t="s">
        <v>30</v>
      </c>
      <c r="E1937" s="1" t="s">
        <v>28</v>
      </c>
      <c r="F1937" s="1" t="n">
        <v>3</v>
      </c>
      <c r="G1937" s="15" t="n">
        <v>453.33</v>
      </c>
      <c r="H1937" s="16" t="n">
        <v>0.02</v>
      </c>
      <c r="I1937" s="1" t="s">
        <v>33</v>
      </c>
      <c r="J1937" s="1" t="n">
        <v>11</v>
      </c>
      <c r="K1937" s="1" t="n">
        <v>1.3</v>
      </c>
      <c r="L1937" s="15" t="n">
        <v>1332.79</v>
      </c>
      <c r="M1937" s="15" t="n">
        <f aca="false">F1937*G1937</f>
        <v>1359.99</v>
      </c>
      <c r="N1937" s="15" t="n">
        <f aca="false">M1937-L1937</f>
        <v>27.2</v>
      </c>
      <c r="O1937" s="1" t="n">
        <f aca="false">YEAR(B1937)</f>
        <v>2027</v>
      </c>
      <c r="P1937" s="1" t="n">
        <f aca="false">MONTH(B1937)</f>
        <v>4</v>
      </c>
      <c r="Q1937" s="1" t="str">
        <f aca="false">TEXT(B1937,"mmm")</f>
        <v>Apr</v>
      </c>
      <c r="R1937" s="1" t="str">
        <f aca="false">"Q"&amp;ROUNDUP(MONTH(B1937)/3,0)</f>
        <v>Q2</v>
      </c>
    </row>
    <row r="1938" customFormat="false" ht="15" hidden="false" customHeight="true" outlineLevel="0" collapsed="false">
      <c r="A1938" s="1" t="n">
        <v>11937</v>
      </c>
      <c r="B1938" s="14" t="n">
        <v>46498</v>
      </c>
      <c r="C1938" s="1" t="n">
        <v>1523</v>
      </c>
      <c r="D1938" s="1" t="s">
        <v>34</v>
      </c>
      <c r="E1938" s="1" t="s">
        <v>35</v>
      </c>
      <c r="F1938" s="1" t="n">
        <v>6</v>
      </c>
      <c r="G1938" s="15" t="n">
        <v>129.74</v>
      </c>
      <c r="H1938" s="16" t="n">
        <v>0.19</v>
      </c>
      <c r="I1938" s="1" t="s">
        <v>33</v>
      </c>
      <c r="J1938" s="1" t="n">
        <v>3</v>
      </c>
      <c r="K1938" s="1" t="n">
        <v>3.1</v>
      </c>
      <c r="L1938" s="15" t="n">
        <v>630.54</v>
      </c>
      <c r="M1938" s="15" t="n">
        <f aca="false">F1938*G1938</f>
        <v>778.44</v>
      </c>
      <c r="N1938" s="15" t="n">
        <f aca="false">M1938-L1938</f>
        <v>147.9</v>
      </c>
      <c r="O1938" s="1" t="n">
        <f aca="false">YEAR(B1938)</f>
        <v>2027</v>
      </c>
      <c r="P1938" s="1" t="n">
        <f aca="false">MONTH(B1938)</f>
        <v>4</v>
      </c>
      <c r="Q1938" s="1" t="str">
        <f aca="false">TEXT(B1938,"mmm")</f>
        <v>Apr</v>
      </c>
      <c r="R1938" s="1" t="str">
        <f aca="false">"Q"&amp;ROUNDUP(MONTH(B1938)/3,0)</f>
        <v>Q2</v>
      </c>
    </row>
    <row r="1939" customFormat="false" ht="15" hidden="false" customHeight="true" outlineLevel="0" collapsed="false">
      <c r="A1939" s="1" t="n">
        <v>11938</v>
      </c>
      <c r="B1939" s="14" t="n">
        <v>46499</v>
      </c>
      <c r="C1939" s="1" t="n">
        <v>1274</v>
      </c>
      <c r="D1939" s="1" t="s">
        <v>37</v>
      </c>
      <c r="E1939" s="1" t="s">
        <v>36</v>
      </c>
      <c r="F1939" s="1" t="n">
        <v>5</v>
      </c>
      <c r="G1939" s="15" t="n">
        <v>288.97</v>
      </c>
      <c r="H1939" s="16" t="n">
        <v>0.1</v>
      </c>
      <c r="I1939" s="1" t="s">
        <v>31</v>
      </c>
      <c r="J1939" s="1" t="n">
        <v>2</v>
      </c>
      <c r="K1939" s="1" t="n">
        <v>2.5</v>
      </c>
      <c r="L1939" s="15" t="n">
        <v>1300.37</v>
      </c>
      <c r="M1939" s="15" t="n">
        <f aca="false">F1939*G1939</f>
        <v>1444.85</v>
      </c>
      <c r="N1939" s="15" t="n">
        <f aca="false">M1939-L1939</f>
        <v>144.48</v>
      </c>
      <c r="O1939" s="1" t="n">
        <f aca="false">YEAR(B1939)</f>
        <v>2027</v>
      </c>
      <c r="P1939" s="1" t="n">
        <f aca="false">MONTH(B1939)</f>
        <v>4</v>
      </c>
      <c r="Q1939" s="1" t="str">
        <f aca="false">TEXT(B1939,"mmm")</f>
        <v>Apr</v>
      </c>
      <c r="R1939" s="1" t="str">
        <f aca="false">"Q"&amp;ROUNDUP(MONTH(B1939)/3,0)</f>
        <v>Q2</v>
      </c>
    </row>
    <row r="1940" customFormat="false" ht="15" hidden="false" customHeight="true" outlineLevel="0" collapsed="false">
      <c r="A1940" s="1" t="n">
        <v>11939</v>
      </c>
      <c r="B1940" s="14" t="n">
        <v>46500</v>
      </c>
      <c r="C1940" s="1" t="n">
        <v>1612</v>
      </c>
      <c r="D1940" s="1" t="s">
        <v>34</v>
      </c>
      <c r="E1940" s="1" t="s">
        <v>35</v>
      </c>
      <c r="F1940" s="1" t="n">
        <v>1</v>
      </c>
      <c r="G1940" s="15" t="n">
        <v>519.17</v>
      </c>
      <c r="H1940" s="16" t="n">
        <v>0.28</v>
      </c>
      <c r="I1940" s="1" t="s">
        <v>31</v>
      </c>
      <c r="J1940" s="1" t="n">
        <v>6</v>
      </c>
      <c r="K1940" s="1" t="n">
        <v>4.9</v>
      </c>
      <c r="L1940" s="15" t="n">
        <v>373.8</v>
      </c>
      <c r="M1940" s="15" t="n">
        <f aca="false">F1940*G1940</f>
        <v>519.17</v>
      </c>
      <c r="N1940" s="15" t="n">
        <f aca="false">M1940-L1940</f>
        <v>145.37</v>
      </c>
      <c r="O1940" s="1" t="n">
        <f aca="false">YEAR(B1940)</f>
        <v>2027</v>
      </c>
      <c r="P1940" s="1" t="n">
        <f aca="false">MONTH(B1940)</f>
        <v>4</v>
      </c>
      <c r="Q1940" s="1" t="str">
        <f aca="false">TEXT(B1940,"mmm")</f>
        <v>Apr</v>
      </c>
      <c r="R1940" s="1" t="str">
        <f aca="false">"Q"&amp;ROUNDUP(MONTH(B1940)/3,0)</f>
        <v>Q2</v>
      </c>
    </row>
    <row r="1941" customFormat="false" ht="15" hidden="false" customHeight="true" outlineLevel="0" collapsed="false">
      <c r="A1941" s="1" t="n">
        <v>11940</v>
      </c>
      <c r="B1941" s="14" t="n">
        <v>46501</v>
      </c>
      <c r="C1941" s="1" t="n">
        <v>1043</v>
      </c>
      <c r="D1941" s="1" t="s">
        <v>30</v>
      </c>
      <c r="E1941" s="1" t="s">
        <v>28</v>
      </c>
      <c r="F1941" s="1" t="n">
        <v>7</v>
      </c>
      <c r="G1941" s="15" t="n">
        <v>309.86</v>
      </c>
      <c r="H1941" s="16" t="n">
        <v>0</v>
      </c>
      <c r="I1941" s="1" t="s">
        <v>29</v>
      </c>
      <c r="J1941" s="1" t="n">
        <v>11</v>
      </c>
      <c r="K1941" s="1" t="n">
        <v>4.2</v>
      </c>
      <c r="L1941" s="15" t="n">
        <v>2169.02</v>
      </c>
      <c r="M1941" s="15" t="n">
        <f aca="false">F1941*G1941</f>
        <v>2169.02</v>
      </c>
      <c r="N1941" s="15" t="n">
        <f aca="false">M1941-L1941</f>
        <v>0</v>
      </c>
      <c r="O1941" s="1" t="n">
        <f aca="false">YEAR(B1941)</f>
        <v>2027</v>
      </c>
      <c r="P1941" s="1" t="n">
        <f aca="false">MONTH(B1941)</f>
        <v>4</v>
      </c>
      <c r="Q1941" s="1" t="str">
        <f aca="false">TEXT(B1941,"mmm")</f>
        <v>Apr</v>
      </c>
      <c r="R1941" s="1" t="str">
        <f aca="false">"Q"&amp;ROUNDUP(MONTH(B1941)/3,0)</f>
        <v>Q2</v>
      </c>
    </row>
    <row r="1942" customFormat="false" ht="15" hidden="false" customHeight="true" outlineLevel="0" collapsed="false">
      <c r="A1942" s="1" t="n">
        <v>11941</v>
      </c>
      <c r="B1942" s="14" t="n">
        <v>46502</v>
      </c>
      <c r="C1942" s="1" t="n">
        <v>1954</v>
      </c>
      <c r="D1942" s="1" t="s">
        <v>27</v>
      </c>
      <c r="E1942" s="1" t="s">
        <v>35</v>
      </c>
      <c r="F1942" s="1" t="n">
        <v>6</v>
      </c>
      <c r="G1942" s="15" t="n">
        <v>414.82</v>
      </c>
      <c r="H1942" s="16" t="n">
        <v>0.29</v>
      </c>
      <c r="I1942" s="1" t="s">
        <v>31</v>
      </c>
      <c r="J1942" s="1" t="n">
        <v>3</v>
      </c>
      <c r="K1942" s="1" t="n">
        <v>1.5</v>
      </c>
      <c r="L1942" s="15" t="n">
        <v>1767.13</v>
      </c>
      <c r="M1942" s="15" t="n">
        <f aca="false">F1942*G1942</f>
        <v>2488.92</v>
      </c>
      <c r="N1942" s="15" t="n">
        <f aca="false">M1942-L1942</f>
        <v>721.79</v>
      </c>
      <c r="O1942" s="1" t="n">
        <f aca="false">YEAR(B1942)</f>
        <v>2027</v>
      </c>
      <c r="P1942" s="1" t="n">
        <f aca="false">MONTH(B1942)</f>
        <v>4</v>
      </c>
      <c r="Q1942" s="1" t="str">
        <f aca="false">TEXT(B1942,"mmm")</f>
        <v>Apr</v>
      </c>
      <c r="R1942" s="1" t="str">
        <f aca="false">"Q"&amp;ROUNDUP(MONTH(B1942)/3,0)</f>
        <v>Q2</v>
      </c>
    </row>
    <row r="1943" customFormat="false" ht="15" hidden="false" customHeight="true" outlineLevel="0" collapsed="false">
      <c r="A1943" s="1" t="n">
        <v>11942</v>
      </c>
      <c r="B1943" s="14" t="n">
        <v>46503</v>
      </c>
      <c r="C1943" s="1" t="n">
        <v>1816</v>
      </c>
      <c r="D1943" s="1" t="s">
        <v>34</v>
      </c>
      <c r="E1943" s="1" t="s">
        <v>36</v>
      </c>
      <c r="F1943" s="1" t="n">
        <v>3</v>
      </c>
      <c r="G1943" s="15" t="n">
        <v>358.94</v>
      </c>
      <c r="H1943" s="16" t="n">
        <v>0.33</v>
      </c>
      <c r="I1943" s="1" t="s">
        <v>33</v>
      </c>
      <c r="J1943" s="1" t="n">
        <v>4</v>
      </c>
      <c r="K1943" s="1" t="n">
        <v>4.7</v>
      </c>
      <c r="L1943" s="15" t="n">
        <v>721.47</v>
      </c>
      <c r="M1943" s="15" t="n">
        <f aca="false">F1943*G1943</f>
        <v>1076.82</v>
      </c>
      <c r="N1943" s="15" t="n">
        <f aca="false">M1943-L1943</f>
        <v>355.35</v>
      </c>
      <c r="O1943" s="1" t="n">
        <f aca="false">YEAR(B1943)</f>
        <v>2027</v>
      </c>
      <c r="P1943" s="1" t="n">
        <f aca="false">MONTH(B1943)</f>
        <v>4</v>
      </c>
      <c r="Q1943" s="1" t="str">
        <f aca="false">TEXT(B1943,"mmm")</f>
        <v>Apr</v>
      </c>
      <c r="R1943" s="1" t="str">
        <f aca="false">"Q"&amp;ROUNDUP(MONTH(B1943)/3,0)</f>
        <v>Q2</v>
      </c>
    </row>
    <row r="1944" customFormat="false" ht="15" hidden="false" customHeight="true" outlineLevel="0" collapsed="false">
      <c r="A1944" s="1" t="n">
        <v>11943</v>
      </c>
      <c r="B1944" s="14" t="n">
        <v>46504</v>
      </c>
      <c r="C1944" s="1" t="n">
        <v>1956</v>
      </c>
      <c r="D1944" s="1" t="s">
        <v>30</v>
      </c>
      <c r="E1944" s="1" t="s">
        <v>35</v>
      </c>
      <c r="F1944" s="1" t="n">
        <v>7</v>
      </c>
      <c r="G1944" s="15" t="n">
        <v>507.78</v>
      </c>
      <c r="H1944" s="16" t="n">
        <v>0.25</v>
      </c>
      <c r="I1944" s="1" t="s">
        <v>33</v>
      </c>
      <c r="J1944" s="1" t="n">
        <v>6</v>
      </c>
      <c r="K1944" s="1" t="n">
        <v>1.8</v>
      </c>
      <c r="L1944" s="15" t="n">
        <v>2665.84</v>
      </c>
      <c r="M1944" s="15" t="n">
        <f aca="false">F1944*G1944</f>
        <v>3554.46</v>
      </c>
      <c r="N1944" s="15" t="n">
        <f aca="false">M1944-L1944</f>
        <v>888.62</v>
      </c>
      <c r="O1944" s="1" t="n">
        <f aca="false">YEAR(B1944)</f>
        <v>2027</v>
      </c>
      <c r="P1944" s="1" t="n">
        <f aca="false">MONTH(B1944)</f>
        <v>4</v>
      </c>
      <c r="Q1944" s="1" t="str">
        <f aca="false">TEXT(B1944,"mmm")</f>
        <v>Apr</v>
      </c>
      <c r="R1944" s="1" t="str">
        <f aca="false">"Q"&amp;ROUNDUP(MONTH(B1944)/3,0)</f>
        <v>Q2</v>
      </c>
    </row>
    <row r="1945" customFormat="false" ht="15" hidden="false" customHeight="true" outlineLevel="0" collapsed="false">
      <c r="A1945" s="1" t="n">
        <v>11944</v>
      </c>
      <c r="B1945" s="14" t="n">
        <v>46505</v>
      </c>
      <c r="C1945" s="1" t="n">
        <v>1016</v>
      </c>
      <c r="D1945" s="1" t="s">
        <v>34</v>
      </c>
      <c r="E1945" s="1" t="s">
        <v>35</v>
      </c>
      <c r="F1945" s="1" t="n">
        <v>1</v>
      </c>
      <c r="G1945" s="15" t="n">
        <v>181.47</v>
      </c>
      <c r="H1945" s="16" t="n">
        <v>0.26</v>
      </c>
      <c r="I1945" s="1" t="s">
        <v>31</v>
      </c>
      <c r="J1945" s="1" t="n">
        <v>5</v>
      </c>
      <c r="K1945" s="1" t="n">
        <v>1.3</v>
      </c>
      <c r="L1945" s="15" t="n">
        <v>134.29</v>
      </c>
      <c r="M1945" s="15" t="n">
        <f aca="false">F1945*G1945</f>
        <v>181.47</v>
      </c>
      <c r="N1945" s="15" t="n">
        <f aca="false">M1945-L1945</f>
        <v>47.18</v>
      </c>
      <c r="O1945" s="1" t="n">
        <f aca="false">YEAR(B1945)</f>
        <v>2027</v>
      </c>
      <c r="P1945" s="1" t="n">
        <f aca="false">MONTH(B1945)</f>
        <v>4</v>
      </c>
      <c r="Q1945" s="1" t="str">
        <f aca="false">TEXT(B1945,"mmm")</f>
        <v>Apr</v>
      </c>
      <c r="R1945" s="1" t="str">
        <f aca="false">"Q"&amp;ROUNDUP(MONTH(B1945)/3,0)</f>
        <v>Q2</v>
      </c>
    </row>
    <row r="1946" customFormat="false" ht="15" hidden="false" customHeight="true" outlineLevel="0" collapsed="false">
      <c r="A1946" s="1" t="n">
        <v>11945</v>
      </c>
      <c r="B1946" s="14" t="n">
        <v>46506</v>
      </c>
      <c r="C1946" s="1" t="n">
        <v>1329</v>
      </c>
      <c r="D1946" s="1" t="s">
        <v>30</v>
      </c>
      <c r="E1946" s="1" t="s">
        <v>36</v>
      </c>
      <c r="F1946" s="1" t="n">
        <v>4</v>
      </c>
      <c r="G1946" s="15" t="n">
        <v>351.65</v>
      </c>
      <c r="H1946" s="16" t="n">
        <v>0.33</v>
      </c>
      <c r="I1946" s="1" t="s">
        <v>33</v>
      </c>
      <c r="J1946" s="1" t="n">
        <v>4</v>
      </c>
      <c r="K1946" s="1" t="n">
        <v>3.2</v>
      </c>
      <c r="L1946" s="15" t="n">
        <v>942.42</v>
      </c>
      <c r="M1946" s="15" t="n">
        <f aca="false">F1946*G1946</f>
        <v>1406.6</v>
      </c>
      <c r="N1946" s="15" t="n">
        <f aca="false">M1946-L1946</f>
        <v>464.18</v>
      </c>
      <c r="O1946" s="1" t="n">
        <f aca="false">YEAR(B1946)</f>
        <v>2027</v>
      </c>
      <c r="P1946" s="1" t="n">
        <f aca="false">MONTH(B1946)</f>
        <v>4</v>
      </c>
      <c r="Q1946" s="1" t="str">
        <f aca="false">TEXT(B1946,"mmm")</f>
        <v>Apr</v>
      </c>
      <c r="R1946" s="1" t="str">
        <f aca="false">"Q"&amp;ROUNDUP(MONTH(B1946)/3,0)</f>
        <v>Q2</v>
      </c>
    </row>
    <row r="1947" customFormat="false" ht="15" hidden="false" customHeight="true" outlineLevel="0" collapsed="false">
      <c r="A1947" s="1" t="n">
        <v>11946</v>
      </c>
      <c r="B1947" s="14" t="n">
        <v>46507</v>
      </c>
      <c r="C1947" s="1" t="n">
        <v>1568</v>
      </c>
      <c r="D1947" s="1" t="s">
        <v>30</v>
      </c>
      <c r="E1947" s="1" t="s">
        <v>28</v>
      </c>
      <c r="F1947" s="1" t="n">
        <v>5</v>
      </c>
      <c r="G1947" s="15" t="n">
        <v>87.09</v>
      </c>
      <c r="H1947" s="16" t="n">
        <v>0.07</v>
      </c>
      <c r="I1947" s="1" t="s">
        <v>33</v>
      </c>
      <c r="J1947" s="1" t="n">
        <v>4</v>
      </c>
      <c r="K1947" s="1" t="n">
        <v>3.9</v>
      </c>
      <c r="L1947" s="15" t="n">
        <v>404.97</v>
      </c>
      <c r="M1947" s="15" t="n">
        <f aca="false">F1947*G1947</f>
        <v>435.45</v>
      </c>
      <c r="N1947" s="15" t="n">
        <f aca="false">M1947-L1947</f>
        <v>30.48</v>
      </c>
      <c r="O1947" s="1" t="n">
        <f aca="false">YEAR(B1947)</f>
        <v>2027</v>
      </c>
      <c r="P1947" s="1" t="n">
        <f aca="false">MONTH(B1947)</f>
        <v>4</v>
      </c>
      <c r="Q1947" s="1" t="str">
        <f aca="false">TEXT(B1947,"mmm")</f>
        <v>Apr</v>
      </c>
      <c r="R1947" s="1" t="str">
        <f aca="false">"Q"&amp;ROUNDUP(MONTH(B1947)/3,0)</f>
        <v>Q2</v>
      </c>
    </row>
    <row r="1948" customFormat="false" ht="15" hidden="false" customHeight="true" outlineLevel="0" collapsed="false">
      <c r="A1948" s="1" t="n">
        <v>11947</v>
      </c>
      <c r="B1948" s="14" t="n">
        <v>46508</v>
      </c>
      <c r="C1948" s="1" t="n">
        <v>1822</v>
      </c>
      <c r="D1948" s="1" t="s">
        <v>30</v>
      </c>
      <c r="E1948" s="1" t="s">
        <v>28</v>
      </c>
      <c r="F1948" s="1" t="n">
        <v>7</v>
      </c>
      <c r="G1948" s="15" t="n">
        <v>418.77</v>
      </c>
      <c r="H1948" s="16" t="n">
        <v>0.35</v>
      </c>
      <c r="I1948" s="1" t="s">
        <v>33</v>
      </c>
      <c r="J1948" s="1" t="n">
        <v>2</v>
      </c>
      <c r="K1948" s="1" t="n">
        <v>3.9</v>
      </c>
      <c r="L1948" s="15" t="n">
        <v>1905.4</v>
      </c>
      <c r="M1948" s="15" t="n">
        <f aca="false">F1948*G1948</f>
        <v>2931.39</v>
      </c>
      <c r="N1948" s="15" t="n">
        <f aca="false">M1948-L1948</f>
        <v>1025.99</v>
      </c>
      <c r="O1948" s="1" t="n">
        <f aca="false">YEAR(B1948)</f>
        <v>2027</v>
      </c>
      <c r="P1948" s="1" t="n">
        <f aca="false">MONTH(B1948)</f>
        <v>5</v>
      </c>
      <c r="Q1948" s="1" t="str">
        <f aca="false">TEXT(B1948,"mmm")</f>
        <v>May</v>
      </c>
      <c r="R1948" s="1" t="str">
        <f aca="false">"Q"&amp;ROUNDUP(MONTH(B1948)/3,0)</f>
        <v>Q2</v>
      </c>
    </row>
    <row r="1949" customFormat="false" ht="15" hidden="false" customHeight="true" outlineLevel="0" collapsed="false">
      <c r="A1949" s="1" t="n">
        <v>11948</v>
      </c>
      <c r="B1949" s="14" t="n">
        <v>46509</v>
      </c>
      <c r="C1949" s="1" t="n">
        <v>1496</v>
      </c>
      <c r="D1949" s="1" t="s">
        <v>30</v>
      </c>
      <c r="E1949" s="1" t="s">
        <v>35</v>
      </c>
      <c r="F1949" s="1" t="n">
        <v>6</v>
      </c>
      <c r="G1949" s="15" t="n">
        <v>443.2</v>
      </c>
      <c r="H1949" s="16" t="n">
        <v>0.27</v>
      </c>
      <c r="I1949" s="1" t="s">
        <v>31</v>
      </c>
      <c r="J1949" s="1" t="n">
        <v>10</v>
      </c>
      <c r="K1949" s="1" t="n">
        <v>3.1</v>
      </c>
      <c r="L1949" s="15" t="n">
        <v>1941.22</v>
      </c>
      <c r="M1949" s="15" t="n">
        <f aca="false">F1949*G1949</f>
        <v>2659.2</v>
      </c>
      <c r="N1949" s="15" t="n">
        <f aca="false">M1949-L1949</f>
        <v>717.98</v>
      </c>
      <c r="O1949" s="1" t="n">
        <f aca="false">YEAR(B1949)</f>
        <v>2027</v>
      </c>
      <c r="P1949" s="1" t="n">
        <f aca="false">MONTH(B1949)</f>
        <v>5</v>
      </c>
      <c r="Q1949" s="1" t="str">
        <f aca="false">TEXT(B1949,"mmm")</f>
        <v>May</v>
      </c>
      <c r="R1949" s="1" t="str">
        <f aca="false">"Q"&amp;ROUNDUP(MONTH(B1949)/3,0)</f>
        <v>Q2</v>
      </c>
    </row>
    <row r="1950" customFormat="false" ht="15" hidden="false" customHeight="true" outlineLevel="0" collapsed="false">
      <c r="A1950" s="1" t="n">
        <v>11949</v>
      </c>
      <c r="B1950" s="14" t="n">
        <v>46510</v>
      </c>
      <c r="C1950" s="1" t="n">
        <v>1814</v>
      </c>
      <c r="D1950" s="1" t="s">
        <v>27</v>
      </c>
      <c r="E1950" s="1" t="s">
        <v>32</v>
      </c>
      <c r="F1950" s="1" t="n">
        <v>2</v>
      </c>
      <c r="G1950" s="15" t="n">
        <v>40.06</v>
      </c>
      <c r="H1950" s="16" t="n">
        <v>0.25</v>
      </c>
      <c r="I1950" s="1" t="s">
        <v>31</v>
      </c>
      <c r="J1950" s="1" t="n">
        <v>4</v>
      </c>
      <c r="K1950" s="1" t="n">
        <v>3</v>
      </c>
      <c r="L1950" s="15" t="n">
        <v>60.09</v>
      </c>
      <c r="M1950" s="15" t="n">
        <f aca="false">F1950*G1950</f>
        <v>80.12</v>
      </c>
      <c r="N1950" s="15" t="n">
        <f aca="false">M1950-L1950</f>
        <v>20.03</v>
      </c>
      <c r="O1950" s="1" t="n">
        <f aca="false">YEAR(B1950)</f>
        <v>2027</v>
      </c>
      <c r="P1950" s="1" t="n">
        <f aca="false">MONTH(B1950)</f>
        <v>5</v>
      </c>
      <c r="Q1950" s="1" t="str">
        <f aca="false">TEXT(B1950,"mmm")</f>
        <v>May</v>
      </c>
      <c r="R1950" s="1" t="str">
        <f aca="false">"Q"&amp;ROUNDUP(MONTH(B1950)/3,0)</f>
        <v>Q2</v>
      </c>
    </row>
    <row r="1951" customFormat="false" ht="15" hidden="false" customHeight="true" outlineLevel="0" collapsed="false">
      <c r="A1951" s="1" t="n">
        <v>11950</v>
      </c>
      <c r="B1951" s="14" t="n">
        <v>46511</v>
      </c>
      <c r="C1951" s="1" t="n">
        <v>1011</v>
      </c>
      <c r="D1951" s="1" t="s">
        <v>34</v>
      </c>
      <c r="E1951" s="1" t="s">
        <v>35</v>
      </c>
      <c r="F1951" s="1" t="n">
        <v>3</v>
      </c>
      <c r="G1951" s="15" t="n">
        <v>410.34</v>
      </c>
      <c r="H1951" s="16" t="n">
        <v>0.13</v>
      </c>
      <c r="I1951" s="1" t="s">
        <v>33</v>
      </c>
      <c r="J1951" s="1" t="n">
        <v>8</v>
      </c>
      <c r="K1951" s="1" t="n">
        <v>4.9</v>
      </c>
      <c r="L1951" s="15" t="n">
        <v>1070.99</v>
      </c>
      <c r="M1951" s="15" t="n">
        <f aca="false">F1951*G1951</f>
        <v>1231.02</v>
      </c>
      <c r="N1951" s="15" t="n">
        <f aca="false">M1951-L1951</f>
        <v>160.03</v>
      </c>
      <c r="O1951" s="1" t="n">
        <f aca="false">YEAR(B1951)</f>
        <v>2027</v>
      </c>
      <c r="P1951" s="1" t="n">
        <f aca="false">MONTH(B1951)</f>
        <v>5</v>
      </c>
      <c r="Q1951" s="1" t="str">
        <f aca="false">TEXT(B1951,"mmm")</f>
        <v>May</v>
      </c>
      <c r="R1951" s="1" t="str">
        <f aca="false">"Q"&amp;ROUNDUP(MONTH(B1951)/3,0)</f>
        <v>Q2</v>
      </c>
    </row>
    <row r="1952" customFormat="false" ht="15" hidden="false" customHeight="true" outlineLevel="0" collapsed="false">
      <c r="A1952" s="1" t="n">
        <v>11951</v>
      </c>
      <c r="B1952" s="14" t="n">
        <v>46512</v>
      </c>
      <c r="C1952" s="1" t="n">
        <v>1317</v>
      </c>
      <c r="D1952" s="1" t="s">
        <v>34</v>
      </c>
      <c r="E1952" s="1" t="s">
        <v>32</v>
      </c>
      <c r="F1952" s="1" t="n">
        <v>7</v>
      </c>
      <c r="G1952" s="15" t="n">
        <v>257.59</v>
      </c>
      <c r="H1952" s="16" t="n">
        <v>0.19</v>
      </c>
      <c r="I1952" s="1" t="s">
        <v>29</v>
      </c>
      <c r="J1952" s="1" t="n">
        <v>5</v>
      </c>
      <c r="K1952" s="1" t="n">
        <v>4.3</v>
      </c>
      <c r="L1952" s="15" t="n">
        <v>1460.54</v>
      </c>
      <c r="M1952" s="15" t="n">
        <f aca="false">F1952*G1952</f>
        <v>1803.13</v>
      </c>
      <c r="N1952" s="15" t="n">
        <f aca="false">M1952-L1952</f>
        <v>342.59</v>
      </c>
      <c r="O1952" s="1" t="n">
        <f aca="false">YEAR(B1952)</f>
        <v>2027</v>
      </c>
      <c r="P1952" s="1" t="n">
        <f aca="false">MONTH(B1952)</f>
        <v>5</v>
      </c>
      <c r="Q1952" s="1" t="str">
        <f aca="false">TEXT(B1952,"mmm")</f>
        <v>May</v>
      </c>
      <c r="R1952" s="1" t="str">
        <f aca="false">"Q"&amp;ROUNDUP(MONTH(B1952)/3,0)</f>
        <v>Q2</v>
      </c>
    </row>
    <row r="1953" customFormat="false" ht="15" hidden="false" customHeight="true" outlineLevel="0" collapsed="false">
      <c r="A1953" s="1" t="n">
        <v>11952</v>
      </c>
      <c r="B1953" s="14" t="n">
        <v>46513</v>
      </c>
      <c r="C1953" s="1" t="n">
        <v>1591</v>
      </c>
      <c r="D1953" s="1" t="s">
        <v>27</v>
      </c>
      <c r="E1953" s="1" t="s">
        <v>35</v>
      </c>
      <c r="F1953" s="1" t="n">
        <v>6</v>
      </c>
      <c r="G1953" s="15" t="n">
        <v>87.6</v>
      </c>
      <c r="H1953" s="16" t="n">
        <v>0.23</v>
      </c>
      <c r="I1953" s="1" t="s">
        <v>31</v>
      </c>
      <c r="J1953" s="1" t="n">
        <v>11</v>
      </c>
      <c r="K1953" s="1" t="n">
        <v>3.8</v>
      </c>
      <c r="L1953" s="15" t="n">
        <v>404.71</v>
      </c>
      <c r="M1953" s="15" t="n">
        <f aca="false">F1953*G1953</f>
        <v>525.6</v>
      </c>
      <c r="N1953" s="15" t="n">
        <f aca="false">M1953-L1953</f>
        <v>120.89</v>
      </c>
      <c r="O1953" s="1" t="n">
        <f aca="false">YEAR(B1953)</f>
        <v>2027</v>
      </c>
      <c r="P1953" s="1" t="n">
        <f aca="false">MONTH(B1953)</f>
        <v>5</v>
      </c>
      <c r="Q1953" s="1" t="str">
        <f aca="false">TEXT(B1953,"mmm")</f>
        <v>May</v>
      </c>
      <c r="R1953" s="1" t="str">
        <f aca="false">"Q"&amp;ROUNDUP(MONTH(B1953)/3,0)</f>
        <v>Q2</v>
      </c>
    </row>
    <row r="1954" customFormat="false" ht="15" hidden="false" customHeight="true" outlineLevel="0" collapsed="false">
      <c r="A1954" s="1" t="n">
        <v>11953</v>
      </c>
      <c r="B1954" s="14" t="n">
        <v>46514</v>
      </c>
      <c r="C1954" s="1" t="n">
        <v>1215</v>
      </c>
      <c r="D1954" s="1" t="s">
        <v>30</v>
      </c>
      <c r="E1954" s="1" t="s">
        <v>28</v>
      </c>
      <c r="F1954" s="1" t="n">
        <v>2</v>
      </c>
      <c r="G1954" s="15" t="n">
        <v>260.65</v>
      </c>
      <c r="H1954" s="16" t="n">
        <v>0.22</v>
      </c>
      <c r="I1954" s="1" t="s">
        <v>29</v>
      </c>
      <c r="J1954" s="1" t="n">
        <v>10</v>
      </c>
      <c r="K1954" s="1" t="n">
        <v>1.8</v>
      </c>
      <c r="L1954" s="15" t="n">
        <v>406.61</v>
      </c>
      <c r="M1954" s="15" t="n">
        <f aca="false">F1954*G1954</f>
        <v>521.3</v>
      </c>
      <c r="N1954" s="15" t="n">
        <f aca="false">M1954-L1954</f>
        <v>114.69</v>
      </c>
      <c r="O1954" s="1" t="n">
        <f aca="false">YEAR(B1954)</f>
        <v>2027</v>
      </c>
      <c r="P1954" s="1" t="n">
        <f aca="false">MONTH(B1954)</f>
        <v>5</v>
      </c>
      <c r="Q1954" s="1" t="str">
        <f aca="false">TEXT(B1954,"mmm")</f>
        <v>May</v>
      </c>
      <c r="R1954" s="1" t="str">
        <f aca="false">"Q"&amp;ROUNDUP(MONTH(B1954)/3,0)</f>
        <v>Q2</v>
      </c>
    </row>
    <row r="1955" customFormat="false" ht="15" hidden="false" customHeight="true" outlineLevel="0" collapsed="false">
      <c r="A1955" s="1" t="n">
        <v>11954</v>
      </c>
      <c r="B1955" s="14" t="n">
        <v>46515</v>
      </c>
      <c r="C1955" s="1" t="n">
        <v>1338</v>
      </c>
      <c r="D1955" s="1" t="s">
        <v>27</v>
      </c>
      <c r="E1955" s="1" t="s">
        <v>35</v>
      </c>
      <c r="F1955" s="1" t="n">
        <v>6</v>
      </c>
      <c r="G1955" s="15" t="n">
        <v>128.63</v>
      </c>
      <c r="H1955" s="16" t="n">
        <v>0.25</v>
      </c>
      <c r="I1955" s="1" t="s">
        <v>33</v>
      </c>
      <c r="J1955" s="1" t="n">
        <v>10</v>
      </c>
      <c r="K1955" s="1" t="n">
        <v>4.3</v>
      </c>
      <c r="L1955" s="15" t="n">
        <v>578.84</v>
      </c>
      <c r="M1955" s="15" t="n">
        <f aca="false">F1955*G1955</f>
        <v>771.78</v>
      </c>
      <c r="N1955" s="15" t="n">
        <f aca="false">M1955-L1955</f>
        <v>192.94</v>
      </c>
      <c r="O1955" s="1" t="n">
        <f aca="false">YEAR(B1955)</f>
        <v>2027</v>
      </c>
      <c r="P1955" s="1" t="n">
        <f aca="false">MONTH(B1955)</f>
        <v>5</v>
      </c>
      <c r="Q1955" s="1" t="str">
        <f aca="false">TEXT(B1955,"mmm")</f>
        <v>May</v>
      </c>
      <c r="R1955" s="1" t="str">
        <f aca="false">"Q"&amp;ROUNDUP(MONTH(B1955)/3,0)</f>
        <v>Q2</v>
      </c>
    </row>
    <row r="1956" customFormat="false" ht="15" hidden="false" customHeight="true" outlineLevel="0" collapsed="false">
      <c r="A1956" s="1" t="n">
        <v>11955</v>
      </c>
      <c r="B1956" s="14" t="n">
        <v>46516</v>
      </c>
      <c r="C1956" s="1" t="n">
        <v>1775</v>
      </c>
      <c r="D1956" s="1" t="s">
        <v>30</v>
      </c>
      <c r="E1956" s="1" t="s">
        <v>35</v>
      </c>
      <c r="F1956" s="1" t="n">
        <v>7</v>
      </c>
      <c r="G1956" s="15" t="n">
        <v>258.1</v>
      </c>
      <c r="H1956" s="16" t="n">
        <v>0.03</v>
      </c>
      <c r="I1956" s="1" t="s">
        <v>29</v>
      </c>
      <c r="J1956" s="1" t="n">
        <v>8</v>
      </c>
      <c r="K1956" s="1" t="n">
        <v>4</v>
      </c>
      <c r="L1956" s="15" t="n">
        <v>1752.5</v>
      </c>
      <c r="M1956" s="15" t="n">
        <f aca="false">F1956*G1956</f>
        <v>1806.7</v>
      </c>
      <c r="N1956" s="15" t="n">
        <f aca="false">M1956-L1956</f>
        <v>54.2000000000003</v>
      </c>
      <c r="O1956" s="1" t="n">
        <f aca="false">YEAR(B1956)</f>
        <v>2027</v>
      </c>
      <c r="P1956" s="1" t="n">
        <f aca="false">MONTH(B1956)</f>
        <v>5</v>
      </c>
      <c r="Q1956" s="1" t="str">
        <f aca="false">TEXT(B1956,"mmm")</f>
        <v>May</v>
      </c>
      <c r="R1956" s="1" t="str">
        <f aca="false">"Q"&amp;ROUNDUP(MONTH(B1956)/3,0)</f>
        <v>Q2</v>
      </c>
    </row>
    <row r="1957" customFormat="false" ht="15" hidden="false" customHeight="true" outlineLevel="0" collapsed="false">
      <c r="A1957" s="1" t="n">
        <v>11956</v>
      </c>
      <c r="B1957" s="14" t="n">
        <v>46517</v>
      </c>
      <c r="C1957" s="1" t="n">
        <v>1990</v>
      </c>
      <c r="D1957" s="1" t="s">
        <v>37</v>
      </c>
      <c r="E1957" s="1" t="s">
        <v>32</v>
      </c>
      <c r="F1957" s="1" t="n">
        <v>1</v>
      </c>
      <c r="G1957" s="15" t="n">
        <v>239.84</v>
      </c>
      <c r="H1957" s="16" t="n">
        <v>0.12</v>
      </c>
      <c r="I1957" s="1" t="s">
        <v>31</v>
      </c>
      <c r="J1957" s="1" t="n">
        <v>6</v>
      </c>
      <c r="K1957" s="1" t="n">
        <v>5</v>
      </c>
      <c r="L1957" s="15" t="n">
        <v>211.06</v>
      </c>
      <c r="M1957" s="15" t="n">
        <f aca="false">F1957*G1957</f>
        <v>239.84</v>
      </c>
      <c r="N1957" s="15" t="n">
        <f aca="false">M1957-L1957</f>
        <v>28.78</v>
      </c>
      <c r="O1957" s="1" t="n">
        <f aca="false">YEAR(B1957)</f>
        <v>2027</v>
      </c>
      <c r="P1957" s="1" t="n">
        <f aca="false">MONTH(B1957)</f>
        <v>5</v>
      </c>
      <c r="Q1957" s="1" t="str">
        <f aca="false">TEXT(B1957,"mmm")</f>
        <v>May</v>
      </c>
      <c r="R1957" s="1" t="str">
        <f aca="false">"Q"&amp;ROUNDUP(MONTH(B1957)/3,0)</f>
        <v>Q2</v>
      </c>
    </row>
    <row r="1958" customFormat="false" ht="15" hidden="false" customHeight="true" outlineLevel="0" collapsed="false">
      <c r="A1958" s="1" t="n">
        <v>11957</v>
      </c>
      <c r="B1958" s="14" t="n">
        <v>46518</v>
      </c>
      <c r="C1958" s="1" t="n">
        <v>1660</v>
      </c>
      <c r="D1958" s="1" t="s">
        <v>30</v>
      </c>
      <c r="E1958" s="1" t="s">
        <v>28</v>
      </c>
      <c r="F1958" s="1" t="n">
        <v>2</v>
      </c>
      <c r="G1958" s="15" t="n">
        <v>446.96</v>
      </c>
      <c r="H1958" s="16" t="n">
        <v>0.15</v>
      </c>
      <c r="I1958" s="1" t="s">
        <v>31</v>
      </c>
      <c r="J1958" s="1" t="n">
        <v>10</v>
      </c>
      <c r="K1958" s="1" t="n">
        <v>1.5</v>
      </c>
      <c r="L1958" s="15" t="n">
        <v>759.83</v>
      </c>
      <c r="M1958" s="15" t="n">
        <f aca="false">F1958*G1958</f>
        <v>893.92</v>
      </c>
      <c r="N1958" s="15" t="n">
        <f aca="false">M1958-L1958</f>
        <v>134.09</v>
      </c>
      <c r="O1958" s="1" t="n">
        <f aca="false">YEAR(B1958)</f>
        <v>2027</v>
      </c>
      <c r="P1958" s="1" t="n">
        <f aca="false">MONTH(B1958)</f>
        <v>5</v>
      </c>
      <c r="Q1958" s="1" t="str">
        <f aca="false">TEXT(B1958,"mmm")</f>
        <v>May</v>
      </c>
      <c r="R1958" s="1" t="str">
        <f aca="false">"Q"&amp;ROUNDUP(MONTH(B1958)/3,0)</f>
        <v>Q2</v>
      </c>
    </row>
    <row r="1959" customFormat="false" ht="15" hidden="false" customHeight="true" outlineLevel="0" collapsed="false">
      <c r="A1959" s="1" t="n">
        <v>11958</v>
      </c>
      <c r="B1959" s="14" t="n">
        <v>46519</v>
      </c>
      <c r="C1959" s="1" t="n">
        <v>1080</v>
      </c>
      <c r="D1959" s="1" t="s">
        <v>37</v>
      </c>
      <c r="E1959" s="1" t="s">
        <v>32</v>
      </c>
      <c r="F1959" s="1" t="n">
        <v>2</v>
      </c>
      <c r="G1959" s="15" t="n">
        <v>467.92</v>
      </c>
      <c r="H1959" s="16" t="n">
        <v>0.09</v>
      </c>
      <c r="I1959" s="1" t="s">
        <v>31</v>
      </c>
      <c r="J1959" s="1" t="n">
        <v>5</v>
      </c>
      <c r="K1959" s="1" t="n">
        <v>3.9</v>
      </c>
      <c r="L1959" s="15" t="n">
        <v>851.61</v>
      </c>
      <c r="M1959" s="15" t="n">
        <f aca="false">F1959*G1959</f>
        <v>935.84</v>
      </c>
      <c r="N1959" s="15" t="n">
        <f aca="false">M1959-L1959</f>
        <v>84.23</v>
      </c>
      <c r="O1959" s="1" t="n">
        <f aca="false">YEAR(B1959)</f>
        <v>2027</v>
      </c>
      <c r="P1959" s="1" t="n">
        <f aca="false">MONTH(B1959)</f>
        <v>5</v>
      </c>
      <c r="Q1959" s="1" t="str">
        <f aca="false">TEXT(B1959,"mmm")</f>
        <v>May</v>
      </c>
      <c r="R1959" s="1" t="str">
        <f aca="false">"Q"&amp;ROUNDUP(MONTH(B1959)/3,0)</f>
        <v>Q2</v>
      </c>
    </row>
    <row r="1960" customFormat="false" ht="15" hidden="false" customHeight="true" outlineLevel="0" collapsed="false">
      <c r="A1960" s="1" t="n">
        <v>11959</v>
      </c>
      <c r="B1960" s="14" t="n">
        <v>46520</v>
      </c>
      <c r="C1960" s="1" t="n">
        <v>1726</v>
      </c>
      <c r="D1960" s="1" t="s">
        <v>27</v>
      </c>
      <c r="E1960" s="1" t="s">
        <v>35</v>
      </c>
      <c r="F1960" s="1" t="n">
        <v>6</v>
      </c>
      <c r="G1960" s="15" t="n">
        <v>370.11</v>
      </c>
      <c r="H1960" s="16" t="n">
        <v>0.06</v>
      </c>
      <c r="I1960" s="1" t="s">
        <v>31</v>
      </c>
      <c r="J1960" s="1" t="n">
        <v>4</v>
      </c>
      <c r="K1960" s="1" t="n">
        <v>4.9</v>
      </c>
      <c r="L1960" s="15" t="n">
        <v>2087.42</v>
      </c>
      <c r="M1960" s="15" t="n">
        <f aca="false">F1960*G1960</f>
        <v>2220.66</v>
      </c>
      <c r="N1960" s="15" t="n">
        <f aca="false">M1960-L1960</f>
        <v>133.24</v>
      </c>
      <c r="O1960" s="1" t="n">
        <f aca="false">YEAR(B1960)</f>
        <v>2027</v>
      </c>
      <c r="P1960" s="1" t="n">
        <f aca="false">MONTH(B1960)</f>
        <v>5</v>
      </c>
      <c r="Q1960" s="1" t="str">
        <f aca="false">TEXT(B1960,"mmm")</f>
        <v>May</v>
      </c>
      <c r="R1960" s="1" t="str">
        <f aca="false">"Q"&amp;ROUNDUP(MONTH(B1960)/3,0)</f>
        <v>Q2</v>
      </c>
    </row>
    <row r="1961" customFormat="false" ht="15" hidden="false" customHeight="true" outlineLevel="0" collapsed="false">
      <c r="A1961" s="1" t="n">
        <v>11960</v>
      </c>
      <c r="B1961" s="14" t="n">
        <v>46521</v>
      </c>
      <c r="C1961" s="1" t="n">
        <v>1484</v>
      </c>
      <c r="D1961" s="1" t="s">
        <v>30</v>
      </c>
      <c r="E1961" s="1" t="s">
        <v>36</v>
      </c>
      <c r="F1961" s="1" t="n">
        <v>4</v>
      </c>
      <c r="G1961" s="15" t="n">
        <v>28.27</v>
      </c>
      <c r="H1961" s="16" t="n">
        <v>0.05</v>
      </c>
      <c r="I1961" s="1" t="s">
        <v>29</v>
      </c>
      <c r="J1961" s="1" t="n">
        <v>10</v>
      </c>
      <c r="K1961" s="1" t="n">
        <v>2.9</v>
      </c>
      <c r="L1961" s="15" t="n">
        <v>107.43</v>
      </c>
      <c r="M1961" s="15" t="n">
        <f aca="false">F1961*G1961</f>
        <v>113.08</v>
      </c>
      <c r="N1961" s="15" t="n">
        <f aca="false">M1961-L1961</f>
        <v>5.64999999999999</v>
      </c>
      <c r="O1961" s="1" t="n">
        <f aca="false">YEAR(B1961)</f>
        <v>2027</v>
      </c>
      <c r="P1961" s="1" t="n">
        <f aca="false">MONTH(B1961)</f>
        <v>5</v>
      </c>
      <c r="Q1961" s="1" t="str">
        <f aca="false">TEXT(B1961,"mmm")</f>
        <v>May</v>
      </c>
      <c r="R1961" s="1" t="str">
        <f aca="false">"Q"&amp;ROUNDUP(MONTH(B1961)/3,0)</f>
        <v>Q2</v>
      </c>
    </row>
    <row r="1962" customFormat="false" ht="15" hidden="false" customHeight="true" outlineLevel="0" collapsed="false">
      <c r="A1962" s="1" t="n">
        <v>11961</v>
      </c>
      <c r="B1962" s="14" t="n">
        <v>46522</v>
      </c>
      <c r="C1962" s="1" t="n">
        <v>1373</v>
      </c>
      <c r="D1962" s="1" t="s">
        <v>34</v>
      </c>
      <c r="E1962" s="1" t="s">
        <v>35</v>
      </c>
      <c r="F1962" s="1" t="n">
        <v>7</v>
      </c>
      <c r="G1962" s="15" t="n">
        <v>559.65</v>
      </c>
      <c r="H1962" s="16" t="n">
        <v>0.13</v>
      </c>
      <c r="I1962" s="1" t="s">
        <v>31</v>
      </c>
      <c r="J1962" s="1" t="n">
        <v>9</v>
      </c>
      <c r="K1962" s="1" t="n">
        <v>3.9</v>
      </c>
      <c r="L1962" s="15" t="n">
        <v>3408.27</v>
      </c>
      <c r="M1962" s="15" t="n">
        <f aca="false">F1962*G1962</f>
        <v>3917.55</v>
      </c>
      <c r="N1962" s="15" t="n">
        <f aca="false">M1962-L1962</f>
        <v>509.28</v>
      </c>
      <c r="O1962" s="1" t="n">
        <f aca="false">YEAR(B1962)</f>
        <v>2027</v>
      </c>
      <c r="P1962" s="1" t="n">
        <f aca="false">MONTH(B1962)</f>
        <v>5</v>
      </c>
      <c r="Q1962" s="1" t="str">
        <f aca="false">TEXT(B1962,"mmm")</f>
        <v>May</v>
      </c>
      <c r="R1962" s="1" t="str">
        <f aca="false">"Q"&amp;ROUNDUP(MONTH(B1962)/3,0)</f>
        <v>Q2</v>
      </c>
    </row>
    <row r="1963" customFormat="false" ht="15" hidden="false" customHeight="true" outlineLevel="0" collapsed="false">
      <c r="A1963" s="1" t="n">
        <v>11962</v>
      </c>
      <c r="B1963" s="14" t="n">
        <v>46523</v>
      </c>
      <c r="C1963" s="1" t="n">
        <v>1975</v>
      </c>
      <c r="D1963" s="1" t="s">
        <v>34</v>
      </c>
      <c r="E1963" s="1" t="s">
        <v>35</v>
      </c>
      <c r="F1963" s="1" t="n">
        <v>4</v>
      </c>
      <c r="G1963" s="15" t="n">
        <v>416.45</v>
      </c>
      <c r="H1963" s="16" t="n">
        <v>0.17</v>
      </c>
      <c r="I1963" s="1" t="s">
        <v>33</v>
      </c>
      <c r="J1963" s="1" t="n">
        <v>10</v>
      </c>
      <c r="K1963" s="1" t="n">
        <v>4.9</v>
      </c>
      <c r="L1963" s="15" t="n">
        <v>1382.61</v>
      </c>
      <c r="M1963" s="15" t="n">
        <f aca="false">F1963*G1963</f>
        <v>1665.8</v>
      </c>
      <c r="N1963" s="15" t="n">
        <f aca="false">M1963-L1963</f>
        <v>283.19</v>
      </c>
      <c r="O1963" s="1" t="n">
        <f aca="false">YEAR(B1963)</f>
        <v>2027</v>
      </c>
      <c r="P1963" s="1" t="n">
        <f aca="false">MONTH(B1963)</f>
        <v>5</v>
      </c>
      <c r="Q1963" s="1" t="str">
        <f aca="false">TEXT(B1963,"mmm")</f>
        <v>May</v>
      </c>
      <c r="R1963" s="1" t="str">
        <f aca="false">"Q"&amp;ROUNDUP(MONTH(B1963)/3,0)</f>
        <v>Q2</v>
      </c>
    </row>
    <row r="1964" customFormat="false" ht="15" hidden="false" customHeight="true" outlineLevel="0" collapsed="false">
      <c r="A1964" s="1" t="n">
        <v>11963</v>
      </c>
      <c r="B1964" s="14" t="n">
        <v>46524</v>
      </c>
      <c r="C1964" s="1" t="n">
        <v>1709</v>
      </c>
      <c r="D1964" s="1" t="s">
        <v>34</v>
      </c>
      <c r="E1964" s="1" t="s">
        <v>32</v>
      </c>
      <c r="F1964" s="1" t="n">
        <v>5</v>
      </c>
      <c r="G1964" s="15" t="n">
        <v>35</v>
      </c>
      <c r="H1964" s="16" t="n">
        <v>0.02</v>
      </c>
      <c r="I1964" s="1" t="s">
        <v>31</v>
      </c>
      <c r="J1964" s="1" t="n">
        <v>5</v>
      </c>
      <c r="K1964" s="1" t="n">
        <v>3.2</v>
      </c>
      <c r="L1964" s="15" t="n">
        <v>171.5</v>
      </c>
      <c r="M1964" s="15" t="n">
        <f aca="false">F1964*G1964</f>
        <v>175</v>
      </c>
      <c r="N1964" s="15" t="n">
        <f aca="false">M1964-L1964</f>
        <v>3.5</v>
      </c>
      <c r="O1964" s="1" t="n">
        <f aca="false">YEAR(B1964)</f>
        <v>2027</v>
      </c>
      <c r="P1964" s="1" t="n">
        <f aca="false">MONTH(B1964)</f>
        <v>5</v>
      </c>
      <c r="Q1964" s="1" t="str">
        <f aca="false">TEXT(B1964,"mmm")</f>
        <v>May</v>
      </c>
      <c r="R1964" s="1" t="str">
        <f aca="false">"Q"&amp;ROUNDUP(MONTH(B1964)/3,0)</f>
        <v>Q2</v>
      </c>
    </row>
    <row r="1965" customFormat="false" ht="15" hidden="false" customHeight="true" outlineLevel="0" collapsed="false">
      <c r="A1965" s="1" t="n">
        <v>11964</v>
      </c>
      <c r="B1965" s="14" t="n">
        <v>46525</v>
      </c>
      <c r="C1965" s="1" t="n">
        <v>1199</v>
      </c>
      <c r="D1965" s="1" t="s">
        <v>34</v>
      </c>
      <c r="E1965" s="1" t="s">
        <v>36</v>
      </c>
      <c r="F1965" s="1" t="n">
        <v>1</v>
      </c>
      <c r="G1965" s="15" t="n">
        <v>494.02</v>
      </c>
      <c r="H1965" s="16" t="n">
        <v>0.33</v>
      </c>
      <c r="I1965" s="1" t="s">
        <v>33</v>
      </c>
      <c r="J1965" s="1" t="n">
        <v>10</v>
      </c>
      <c r="K1965" s="1" t="n">
        <v>3.8</v>
      </c>
      <c r="L1965" s="15" t="n">
        <v>330.99</v>
      </c>
      <c r="M1965" s="15" t="n">
        <f aca="false">F1965*G1965</f>
        <v>494.02</v>
      </c>
      <c r="N1965" s="15" t="n">
        <f aca="false">M1965-L1965</f>
        <v>163.03</v>
      </c>
      <c r="O1965" s="1" t="n">
        <f aca="false">YEAR(B1965)</f>
        <v>2027</v>
      </c>
      <c r="P1965" s="1" t="n">
        <f aca="false">MONTH(B1965)</f>
        <v>5</v>
      </c>
      <c r="Q1965" s="1" t="str">
        <f aca="false">TEXT(B1965,"mmm")</f>
        <v>May</v>
      </c>
      <c r="R1965" s="1" t="str">
        <f aca="false">"Q"&amp;ROUNDUP(MONTH(B1965)/3,0)</f>
        <v>Q2</v>
      </c>
    </row>
    <row r="1966" customFormat="false" ht="15" hidden="false" customHeight="true" outlineLevel="0" collapsed="false">
      <c r="A1966" s="1" t="n">
        <v>11965</v>
      </c>
      <c r="B1966" s="14" t="n">
        <v>46526</v>
      </c>
      <c r="C1966" s="1" t="n">
        <v>1536</v>
      </c>
      <c r="D1966" s="1" t="s">
        <v>34</v>
      </c>
      <c r="E1966" s="1" t="s">
        <v>36</v>
      </c>
      <c r="F1966" s="1" t="n">
        <v>4</v>
      </c>
      <c r="G1966" s="15" t="n">
        <v>132.16</v>
      </c>
      <c r="H1966" s="16" t="n">
        <v>0.27</v>
      </c>
      <c r="I1966" s="1" t="s">
        <v>31</v>
      </c>
      <c r="J1966" s="1" t="n">
        <v>11</v>
      </c>
      <c r="K1966" s="1" t="n">
        <v>1.1</v>
      </c>
      <c r="L1966" s="15" t="n">
        <v>385.91</v>
      </c>
      <c r="M1966" s="15" t="n">
        <f aca="false">F1966*G1966</f>
        <v>528.64</v>
      </c>
      <c r="N1966" s="15" t="n">
        <f aca="false">M1966-L1966</f>
        <v>142.73</v>
      </c>
      <c r="O1966" s="1" t="n">
        <f aca="false">YEAR(B1966)</f>
        <v>2027</v>
      </c>
      <c r="P1966" s="1" t="n">
        <f aca="false">MONTH(B1966)</f>
        <v>5</v>
      </c>
      <c r="Q1966" s="1" t="str">
        <f aca="false">TEXT(B1966,"mmm")</f>
        <v>May</v>
      </c>
      <c r="R1966" s="1" t="str">
        <f aca="false">"Q"&amp;ROUNDUP(MONTH(B1966)/3,0)</f>
        <v>Q2</v>
      </c>
    </row>
    <row r="1967" customFormat="false" ht="15" hidden="false" customHeight="true" outlineLevel="0" collapsed="false">
      <c r="A1967" s="1" t="n">
        <v>11966</v>
      </c>
      <c r="B1967" s="14" t="n">
        <v>46527</v>
      </c>
      <c r="C1967" s="1" t="n">
        <v>1465</v>
      </c>
      <c r="D1967" s="1" t="s">
        <v>30</v>
      </c>
      <c r="E1967" s="1" t="s">
        <v>32</v>
      </c>
      <c r="F1967" s="1" t="n">
        <v>6</v>
      </c>
      <c r="G1967" s="15" t="n">
        <v>353.84</v>
      </c>
      <c r="H1967" s="16" t="n">
        <v>0.26</v>
      </c>
      <c r="I1967" s="1" t="s">
        <v>31</v>
      </c>
      <c r="J1967" s="1" t="n">
        <v>6</v>
      </c>
      <c r="K1967" s="1" t="n">
        <v>3.1</v>
      </c>
      <c r="L1967" s="15" t="n">
        <v>1571.05</v>
      </c>
      <c r="M1967" s="15" t="n">
        <f aca="false">F1967*G1967</f>
        <v>2123.04</v>
      </c>
      <c r="N1967" s="15" t="n">
        <f aca="false">M1967-L1967</f>
        <v>551.99</v>
      </c>
      <c r="O1967" s="1" t="n">
        <f aca="false">YEAR(B1967)</f>
        <v>2027</v>
      </c>
      <c r="P1967" s="1" t="n">
        <f aca="false">MONTH(B1967)</f>
        <v>5</v>
      </c>
      <c r="Q1967" s="1" t="str">
        <f aca="false">TEXT(B1967,"mmm")</f>
        <v>May</v>
      </c>
      <c r="R1967" s="1" t="str">
        <f aca="false">"Q"&amp;ROUNDUP(MONTH(B1967)/3,0)</f>
        <v>Q2</v>
      </c>
    </row>
    <row r="1968" customFormat="false" ht="15" hidden="false" customHeight="true" outlineLevel="0" collapsed="false">
      <c r="A1968" s="1" t="n">
        <v>11967</v>
      </c>
      <c r="B1968" s="14" t="n">
        <v>46528</v>
      </c>
      <c r="C1968" s="1" t="n">
        <v>1088</v>
      </c>
      <c r="D1968" s="1" t="s">
        <v>30</v>
      </c>
      <c r="E1968" s="1" t="s">
        <v>28</v>
      </c>
      <c r="F1968" s="1" t="n">
        <v>7</v>
      </c>
      <c r="G1968" s="15" t="n">
        <v>287.98</v>
      </c>
      <c r="H1968" s="16" t="n">
        <v>0.06</v>
      </c>
      <c r="I1968" s="1" t="s">
        <v>31</v>
      </c>
      <c r="J1968" s="1" t="n">
        <v>7</v>
      </c>
      <c r="K1968" s="1" t="n">
        <v>2</v>
      </c>
      <c r="L1968" s="15" t="n">
        <v>1894.91</v>
      </c>
      <c r="M1968" s="15" t="n">
        <f aca="false">F1968*G1968</f>
        <v>2015.86</v>
      </c>
      <c r="N1968" s="15" t="n">
        <f aca="false">M1968-L1968</f>
        <v>120.95</v>
      </c>
      <c r="O1968" s="1" t="n">
        <f aca="false">YEAR(B1968)</f>
        <v>2027</v>
      </c>
      <c r="P1968" s="1" t="n">
        <f aca="false">MONTH(B1968)</f>
        <v>5</v>
      </c>
      <c r="Q1968" s="1" t="str">
        <f aca="false">TEXT(B1968,"mmm")</f>
        <v>May</v>
      </c>
      <c r="R1968" s="1" t="str">
        <f aca="false">"Q"&amp;ROUNDUP(MONTH(B1968)/3,0)</f>
        <v>Q2</v>
      </c>
    </row>
    <row r="1969" customFormat="false" ht="15" hidden="false" customHeight="true" outlineLevel="0" collapsed="false">
      <c r="A1969" s="1" t="n">
        <v>11968</v>
      </c>
      <c r="B1969" s="14" t="n">
        <v>46529</v>
      </c>
      <c r="C1969" s="1" t="n">
        <v>1267</v>
      </c>
      <c r="D1969" s="1" t="s">
        <v>30</v>
      </c>
      <c r="E1969" s="1" t="s">
        <v>36</v>
      </c>
      <c r="F1969" s="1" t="n">
        <v>4</v>
      </c>
      <c r="G1969" s="15" t="n">
        <v>260.61</v>
      </c>
      <c r="H1969" s="16" t="n">
        <v>0.21</v>
      </c>
      <c r="I1969" s="1" t="s">
        <v>33</v>
      </c>
      <c r="J1969" s="1" t="n">
        <v>11</v>
      </c>
      <c r="K1969" s="1" t="n">
        <v>1.5</v>
      </c>
      <c r="L1969" s="15" t="n">
        <v>823.53</v>
      </c>
      <c r="M1969" s="15" t="n">
        <f aca="false">F1969*G1969</f>
        <v>1042.44</v>
      </c>
      <c r="N1969" s="15" t="n">
        <f aca="false">M1969-L1969</f>
        <v>218.91</v>
      </c>
      <c r="O1969" s="1" t="n">
        <f aca="false">YEAR(B1969)</f>
        <v>2027</v>
      </c>
      <c r="P1969" s="1" t="n">
        <f aca="false">MONTH(B1969)</f>
        <v>5</v>
      </c>
      <c r="Q1969" s="1" t="str">
        <f aca="false">TEXT(B1969,"mmm")</f>
        <v>May</v>
      </c>
      <c r="R1969" s="1" t="str">
        <f aca="false">"Q"&amp;ROUNDUP(MONTH(B1969)/3,0)</f>
        <v>Q2</v>
      </c>
    </row>
    <row r="1970" customFormat="false" ht="15" hidden="false" customHeight="true" outlineLevel="0" collapsed="false">
      <c r="A1970" s="1" t="n">
        <v>11969</v>
      </c>
      <c r="B1970" s="14" t="n">
        <v>46530</v>
      </c>
      <c r="C1970" s="1" t="n">
        <v>1654</v>
      </c>
      <c r="D1970" s="1" t="s">
        <v>30</v>
      </c>
      <c r="E1970" s="1" t="s">
        <v>36</v>
      </c>
      <c r="F1970" s="1" t="n">
        <v>5</v>
      </c>
      <c r="G1970" s="15" t="n">
        <v>535.48</v>
      </c>
      <c r="H1970" s="16" t="n">
        <v>0.19</v>
      </c>
      <c r="I1970" s="1" t="s">
        <v>31</v>
      </c>
      <c r="J1970" s="1" t="n">
        <v>11</v>
      </c>
      <c r="K1970" s="1" t="n">
        <v>3.8</v>
      </c>
      <c r="L1970" s="15" t="n">
        <v>2168.69</v>
      </c>
      <c r="M1970" s="15" t="n">
        <f aca="false">F1970*G1970</f>
        <v>2677.4</v>
      </c>
      <c r="N1970" s="15" t="n">
        <f aca="false">M1970-L1970</f>
        <v>508.71</v>
      </c>
      <c r="O1970" s="1" t="n">
        <f aca="false">YEAR(B1970)</f>
        <v>2027</v>
      </c>
      <c r="P1970" s="1" t="n">
        <f aca="false">MONTH(B1970)</f>
        <v>5</v>
      </c>
      <c r="Q1970" s="1" t="str">
        <f aca="false">TEXT(B1970,"mmm")</f>
        <v>May</v>
      </c>
      <c r="R1970" s="1" t="str">
        <f aca="false">"Q"&amp;ROUNDUP(MONTH(B1970)/3,0)</f>
        <v>Q2</v>
      </c>
    </row>
    <row r="1971" customFormat="false" ht="15" hidden="false" customHeight="true" outlineLevel="0" collapsed="false">
      <c r="A1971" s="1" t="n">
        <v>11970</v>
      </c>
      <c r="B1971" s="14" t="n">
        <v>46531</v>
      </c>
      <c r="C1971" s="1" t="n">
        <v>1570</v>
      </c>
      <c r="D1971" s="1" t="s">
        <v>34</v>
      </c>
      <c r="E1971" s="1" t="s">
        <v>32</v>
      </c>
      <c r="F1971" s="1" t="n">
        <v>3</v>
      </c>
      <c r="G1971" s="15" t="n">
        <v>270.86</v>
      </c>
      <c r="H1971" s="16" t="n">
        <v>0.34</v>
      </c>
      <c r="I1971" s="1" t="s">
        <v>31</v>
      </c>
      <c r="J1971" s="1" t="n">
        <v>1</v>
      </c>
      <c r="K1971" s="1" t="n">
        <v>1.2</v>
      </c>
      <c r="L1971" s="15" t="n">
        <v>536.3</v>
      </c>
      <c r="M1971" s="15" t="n">
        <f aca="false">F1971*G1971</f>
        <v>812.58</v>
      </c>
      <c r="N1971" s="15" t="n">
        <f aca="false">M1971-L1971</f>
        <v>276.28</v>
      </c>
      <c r="O1971" s="1" t="n">
        <f aca="false">YEAR(B1971)</f>
        <v>2027</v>
      </c>
      <c r="P1971" s="1" t="n">
        <f aca="false">MONTH(B1971)</f>
        <v>5</v>
      </c>
      <c r="Q1971" s="1" t="str">
        <f aca="false">TEXT(B1971,"mmm")</f>
        <v>May</v>
      </c>
      <c r="R1971" s="1" t="str">
        <f aca="false">"Q"&amp;ROUNDUP(MONTH(B1971)/3,0)</f>
        <v>Q2</v>
      </c>
    </row>
    <row r="1972" customFormat="false" ht="15" hidden="false" customHeight="true" outlineLevel="0" collapsed="false">
      <c r="A1972" s="1" t="n">
        <v>11971</v>
      </c>
      <c r="B1972" s="14" t="n">
        <v>46532</v>
      </c>
      <c r="C1972" s="1" t="n">
        <v>1921</v>
      </c>
      <c r="D1972" s="1" t="s">
        <v>34</v>
      </c>
      <c r="E1972" s="1" t="s">
        <v>28</v>
      </c>
      <c r="F1972" s="1" t="n">
        <v>5</v>
      </c>
      <c r="G1972" s="15" t="n">
        <v>59.08</v>
      </c>
      <c r="H1972" s="16" t="n">
        <v>0.26</v>
      </c>
      <c r="I1972" s="1" t="s">
        <v>31</v>
      </c>
      <c r="J1972" s="1" t="n">
        <v>9</v>
      </c>
      <c r="K1972" s="1" t="n">
        <v>4.6</v>
      </c>
      <c r="L1972" s="15" t="n">
        <v>218.6</v>
      </c>
      <c r="M1972" s="15" t="n">
        <f aca="false">F1972*G1972</f>
        <v>295.4</v>
      </c>
      <c r="N1972" s="15" t="n">
        <f aca="false">M1972-L1972</f>
        <v>76.8</v>
      </c>
      <c r="O1972" s="1" t="n">
        <f aca="false">YEAR(B1972)</f>
        <v>2027</v>
      </c>
      <c r="P1972" s="1" t="n">
        <f aca="false">MONTH(B1972)</f>
        <v>5</v>
      </c>
      <c r="Q1972" s="1" t="str">
        <f aca="false">TEXT(B1972,"mmm")</f>
        <v>May</v>
      </c>
      <c r="R1972" s="1" t="str">
        <f aca="false">"Q"&amp;ROUNDUP(MONTH(B1972)/3,0)</f>
        <v>Q2</v>
      </c>
    </row>
    <row r="1973" customFormat="false" ht="15" hidden="false" customHeight="true" outlineLevel="0" collapsed="false">
      <c r="A1973" s="1" t="n">
        <v>11972</v>
      </c>
      <c r="B1973" s="14" t="n">
        <v>46533</v>
      </c>
      <c r="C1973" s="1" t="n">
        <v>1488</v>
      </c>
      <c r="D1973" s="1" t="s">
        <v>34</v>
      </c>
      <c r="E1973" s="1" t="s">
        <v>28</v>
      </c>
      <c r="F1973" s="1" t="n">
        <v>2</v>
      </c>
      <c r="G1973" s="15" t="n">
        <v>568.78</v>
      </c>
      <c r="H1973" s="16" t="n">
        <v>0.2</v>
      </c>
      <c r="I1973" s="1" t="s">
        <v>29</v>
      </c>
      <c r="J1973" s="1" t="n">
        <v>8</v>
      </c>
      <c r="K1973" s="1" t="n">
        <v>3.1</v>
      </c>
      <c r="L1973" s="15" t="n">
        <v>910.05</v>
      </c>
      <c r="M1973" s="15" t="n">
        <f aca="false">F1973*G1973</f>
        <v>1137.56</v>
      </c>
      <c r="N1973" s="15" t="n">
        <f aca="false">M1973-L1973</f>
        <v>227.51</v>
      </c>
      <c r="O1973" s="1" t="n">
        <f aca="false">YEAR(B1973)</f>
        <v>2027</v>
      </c>
      <c r="P1973" s="1" t="n">
        <f aca="false">MONTH(B1973)</f>
        <v>5</v>
      </c>
      <c r="Q1973" s="1" t="str">
        <f aca="false">TEXT(B1973,"mmm")</f>
        <v>May</v>
      </c>
      <c r="R1973" s="1" t="str">
        <f aca="false">"Q"&amp;ROUNDUP(MONTH(B1973)/3,0)</f>
        <v>Q2</v>
      </c>
    </row>
    <row r="1974" customFormat="false" ht="15" hidden="false" customHeight="true" outlineLevel="0" collapsed="false">
      <c r="A1974" s="1" t="n">
        <v>11973</v>
      </c>
      <c r="B1974" s="14" t="n">
        <v>46534</v>
      </c>
      <c r="C1974" s="1" t="n">
        <v>1876</v>
      </c>
      <c r="D1974" s="1" t="s">
        <v>30</v>
      </c>
      <c r="E1974" s="1" t="s">
        <v>35</v>
      </c>
      <c r="F1974" s="1" t="n">
        <v>7</v>
      </c>
      <c r="G1974" s="15" t="n">
        <v>553.51</v>
      </c>
      <c r="H1974" s="16" t="n">
        <v>0.3</v>
      </c>
      <c r="I1974" s="1" t="s">
        <v>33</v>
      </c>
      <c r="J1974" s="1" t="n">
        <v>11</v>
      </c>
      <c r="K1974" s="1" t="n">
        <v>3.6</v>
      </c>
      <c r="L1974" s="15" t="n">
        <v>2712.2</v>
      </c>
      <c r="M1974" s="15" t="n">
        <f aca="false">F1974*G1974</f>
        <v>3874.57</v>
      </c>
      <c r="N1974" s="15" t="n">
        <f aca="false">M1974-L1974</f>
        <v>1162.37</v>
      </c>
      <c r="O1974" s="1" t="n">
        <f aca="false">YEAR(B1974)</f>
        <v>2027</v>
      </c>
      <c r="P1974" s="1" t="n">
        <f aca="false">MONTH(B1974)</f>
        <v>5</v>
      </c>
      <c r="Q1974" s="1" t="str">
        <f aca="false">TEXT(B1974,"mmm")</f>
        <v>May</v>
      </c>
      <c r="R1974" s="1" t="str">
        <f aca="false">"Q"&amp;ROUNDUP(MONTH(B1974)/3,0)</f>
        <v>Q2</v>
      </c>
    </row>
    <row r="1975" customFormat="false" ht="15" hidden="false" customHeight="true" outlineLevel="0" collapsed="false">
      <c r="A1975" s="1" t="n">
        <v>11974</v>
      </c>
      <c r="B1975" s="14" t="n">
        <v>46535</v>
      </c>
      <c r="C1975" s="1" t="n">
        <v>1537</v>
      </c>
      <c r="D1975" s="1" t="s">
        <v>34</v>
      </c>
      <c r="E1975" s="1" t="s">
        <v>35</v>
      </c>
      <c r="F1975" s="1" t="n">
        <v>2</v>
      </c>
      <c r="G1975" s="15" t="n">
        <v>415.39</v>
      </c>
      <c r="H1975" s="16" t="n">
        <v>0.05</v>
      </c>
      <c r="I1975" s="1" t="s">
        <v>33</v>
      </c>
      <c r="J1975" s="1" t="n">
        <v>5</v>
      </c>
      <c r="K1975" s="1" t="n">
        <v>2</v>
      </c>
      <c r="L1975" s="15" t="n">
        <v>789.24</v>
      </c>
      <c r="M1975" s="15" t="n">
        <f aca="false">F1975*G1975</f>
        <v>830.78</v>
      </c>
      <c r="N1975" s="15" t="n">
        <f aca="false">M1975-L1975</f>
        <v>41.54</v>
      </c>
      <c r="O1975" s="1" t="n">
        <f aca="false">YEAR(B1975)</f>
        <v>2027</v>
      </c>
      <c r="P1975" s="1" t="n">
        <f aca="false">MONTH(B1975)</f>
        <v>5</v>
      </c>
      <c r="Q1975" s="1" t="str">
        <f aca="false">TEXT(B1975,"mmm")</f>
        <v>May</v>
      </c>
      <c r="R1975" s="1" t="str">
        <f aca="false">"Q"&amp;ROUNDUP(MONTH(B1975)/3,0)</f>
        <v>Q2</v>
      </c>
    </row>
    <row r="1976" customFormat="false" ht="15" hidden="false" customHeight="true" outlineLevel="0" collapsed="false">
      <c r="A1976" s="1" t="n">
        <v>11975</v>
      </c>
      <c r="B1976" s="14" t="n">
        <v>46536</v>
      </c>
      <c r="C1976" s="1" t="n">
        <v>1046</v>
      </c>
      <c r="D1976" s="1" t="s">
        <v>34</v>
      </c>
      <c r="E1976" s="1" t="s">
        <v>32</v>
      </c>
      <c r="F1976" s="1" t="n">
        <v>4</v>
      </c>
      <c r="G1976" s="15" t="n">
        <v>288.72</v>
      </c>
      <c r="H1976" s="16" t="n">
        <v>0.01</v>
      </c>
      <c r="I1976" s="1" t="s">
        <v>33</v>
      </c>
      <c r="J1976" s="1" t="n">
        <v>3</v>
      </c>
      <c r="K1976" s="1" t="n">
        <v>1.7</v>
      </c>
      <c r="L1976" s="15" t="n">
        <v>1143.33</v>
      </c>
      <c r="M1976" s="15" t="n">
        <f aca="false">F1976*G1976</f>
        <v>1154.88</v>
      </c>
      <c r="N1976" s="15" t="n">
        <f aca="false">M1976-L1976</f>
        <v>11.5500000000002</v>
      </c>
      <c r="O1976" s="1" t="n">
        <f aca="false">YEAR(B1976)</f>
        <v>2027</v>
      </c>
      <c r="P1976" s="1" t="n">
        <f aca="false">MONTH(B1976)</f>
        <v>5</v>
      </c>
      <c r="Q1976" s="1" t="str">
        <f aca="false">TEXT(B1976,"mmm")</f>
        <v>May</v>
      </c>
      <c r="R1976" s="1" t="str">
        <f aca="false">"Q"&amp;ROUNDUP(MONTH(B1976)/3,0)</f>
        <v>Q2</v>
      </c>
    </row>
    <row r="1977" customFormat="false" ht="15" hidden="false" customHeight="true" outlineLevel="0" collapsed="false">
      <c r="A1977" s="1" t="n">
        <v>11976</v>
      </c>
      <c r="B1977" s="14" t="n">
        <v>46537</v>
      </c>
      <c r="C1977" s="1" t="n">
        <v>1287</v>
      </c>
      <c r="D1977" s="1" t="s">
        <v>30</v>
      </c>
      <c r="E1977" s="1" t="s">
        <v>28</v>
      </c>
      <c r="F1977" s="1" t="n">
        <v>4</v>
      </c>
      <c r="G1977" s="15" t="n">
        <v>69.32</v>
      </c>
      <c r="H1977" s="16" t="n">
        <v>0.24</v>
      </c>
      <c r="I1977" s="1" t="s">
        <v>31</v>
      </c>
      <c r="J1977" s="1" t="n">
        <v>5</v>
      </c>
      <c r="K1977" s="1" t="n">
        <v>2</v>
      </c>
      <c r="L1977" s="15" t="n">
        <v>210.73</v>
      </c>
      <c r="M1977" s="15" t="n">
        <f aca="false">F1977*G1977</f>
        <v>277.28</v>
      </c>
      <c r="N1977" s="15" t="n">
        <f aca="false">M1977-L1977</f>
        <v>66.55</v>
      </c>
      <c r="O1977" s="1" t="n">
        <f aca="false">YEAR(B1977)</f>
        <v>2027</v>
      </c>
      <c r="P1977" s="1" t="n">
        <f aca="false">MONTH(B1977)</f>
        <v>5</v>
      </c>
      <c r="Q1977" s="1" t="str">
        <f aca="false">TEXT(B1977,"mmm")</f>
        <v>May</v>
      </c>
      <c r="R1977" s="1" t="str">
        <f aca="false">"Q"&amp;ROUNDUP(MONTH(B1977)/3,0)</f>
        <v>Q2</v>
      </c>
    </row>
    <row r="1978" customFormat="false" ht="15" hidden="false" customHeight="true" outlineLevel="0" collapsed="false">
      <c r="A1978" s="1" t="n">
        <v>11977</v>
      </c>
      <c r="B1978" s="14" t="n">
        <v>46538</v>
      </c>
      <c r="C1978" s="1" t="n">
        <v>1777</v>
      </c>
      <c r="D1978" s="1" t="s">
        <v>37</v>
      </c>
      <c r="E1978" s="1" t="s">
        <v>32</v>
      </c>
      <c r="F1978" s="1" t="n">
        <v>5</v>
      </c>
      <c r="G1978" s="15" t="n">
        <v>477.59</v>
      </c>
      <c r="H1978" s="16" t="n">
        <v>0.03</v>
      </c>
      <c r="I1978" s="1" t="s">
        <v>33</v>
      </c>
      <c r="J1978" s="1" t="n">
        <v>5</v>
      </c>
      <c r="K1978" s="1" t="n">
        <v>1.9</v>
      </c>
      <c r="L1978" s="15" t="n">
        <v>2316.31</v>
      </c>
      <c r="M1978" s="15" t="n">
        <f aca="false">F1978*G1978</f>
        <v>2387.95</v>
      </c>
      <c r="N1978" s="15" t="n">
        <f aca="false">M1978-L1978</f>
        <v>71.6399999999999</v>
      </c>
      <c r="O1978" s="1" t="n">
        <f aca="false">YEAR(B1978)</f>
        <v>2027</v>
      </c>
      <c r="P1978" s="1" t="n">
        <f aca="false">MONTH(B1978)</f>
        <v>5</v>
      </c>
      <c r="Q1978" s="1" t="str">
        <f aca="false">TEXT(B1978,"mmm")</f>
        <v>May</v>
      </c>
      <c r="R1978" s="1" t="str">
        <f aca="false">"Q"&amp;ROUNDUP(MONTH(B1978)/3,0)</f>
        <v>Q2</v>
      </c>
    </row>
    <row r="1979" customFormat="false" ht="15" hidden="false" customHeight="true" outlineLevel="0" collapsed="false">
      <c r="A1979" s="1" t="n">
        <v>11978</v>
      </c>
      <c r="B1979" s="14" t="n">
        <v>46539</v>
      </c>
      <c r="C1979" s="1" t="n">
        <v>1015</v>
      </c>
      <c r="D1979" s="1" t="s">
        <v>34</v>
      </c>
      <c r="E1979" s="1" t="s">
        <v>35</v>
      </c>
      <c r="F1979" s="1" t="n">
        <v>5</v>
      </c>
      <c r="G1979" s="15" t="n">
        <v>59.15</v>
      </c>
      <c r="H1979" s="16" t="n">
        <v>0.04</v>
      </c>
      <c r="I1979" s="1" t="s">
        <v>31</v>
      </c>
      <c r="J1979" s="1" t="n">
        <v>9</v>
      </c>
      <c r="K1979" s="1" t="n">
        <v>4.5</v>
      </c>
      <c r="L1979" s="15" t="n">
        <v>283.92</v>
      </c>
      <c r="M1979" s="15" t="n">
        <f aca="false">F1979*G1979</f>
        <v>295.75</v>
      </c>
      <c r="N1979" s="15" t="n">
        <f aca="false">M1979-L1979</f>
        <v>11.83</v>
      </c>
      <c r="O1979" s="1" t="n">
        <f aca="false">YEAR(B1979)</f>
        <v>2027</v>
      </c>
      <c r="P1979" s="1" t="n">
        <f aca="false">MONTH(B1979)</f>
        <v>6</v>
      </c>
      <c r="Q1979" s="1" t="str">
        <f aca="false">TEXT(B1979,"mmm")</f>
        <v>Jun</v>
      </c>
      <c r="R1979" s="1" t="str">
        <f aca="false">"Q"&amp;ROUNDUP(MONTH(B1979)/3,0)</f>
        <v>Q2</v>
      </c>
    </row>
    <row r="1980" customFormat="false" ht="15" hidden="false" customHeight="true" outlineLevel="0" collapsed="false">
      <c r="A1980" s="1" t="n">
        <v>11979</v>
      </c>
      <c r="B1980" s="14" t="n">
        <v>46540</v>
      </c>
      <c r="C1980" s="1" t="n">
        <v>1710</v>
      </c>
      <c r="D1980" s="1" t="s">
        <v>30</v>
      </c>
      <c r="E1980" s="1" t="s">
        <v>32</v>
      </c>
      <c r="F1980" s="1" t="n">
        <v>6</v>
      </c>
      <c r="G1980" s="15" t="n">
        <v>55.13</v>
      </c>
      <c r="H1980" s="16" t="n">
        <v>0.26</v>
      </c>
      <c r="I1980" s="1" t="s">
        <v>31</v>
      </c>
      <c r="J1980" s="1" t="n">
        <v>7</v>
      </c>
      <c r="K1980" s="1" t="n">
        <v>4.1</v>
      </c>
      <c r="L1980" s="15" t="n">
        <v>244.78</v>
      </c>
      <c r="M1980" s="15" t="n">
        <f aca="false">F1980*G1980</f>
        <v>330.78</v>
      </c>
      <c r="N1980" s="15" t="n">
        <f aca="false">M1980-L1980</f>
        <v>86</v>
      </c>
      <c r="O1980" s="1" t="n">
        <f aca="false">YEAR(B1980)</f>
        <v>2027</v>
      </c>
      <c r="P1980" s="1" t="n">
        <f aca="false">MONTH(B1980)</f>
        <v>6</v>
      </c>
      <c r="Q1980" s="1" t="str">
        <f aca="false">TEXT(B1980,"mmm")</f>
        <v>Jun</v>
      </c>
      <c r="R1980" s="1" t="str">
        <f aca="false">"Q"&amp;ROUNDUP(MONTH(B1980)/3,0)</f>
        <v>Q2</v>
      </c>
    </row>
    <row r="1981" customFormat="false" ht="15" hidden="false" customHeight="true" outlineLevel="0" collapsed="false">
      <c r="A1981" s="1" t="n">
        <v>11980</v>
      </c>
      <c r="B1981" s="14" t="n">
        <v>46541</v>
      </c>
      <c r="C1981" s="1" t="n">
        <v>1400</v>
      </c>
      <c r="D1981" s="1" t="s">
        <v>37</v>
      </c>
      <c r="E1981" s="1" t="s">
        <v>32</v>
      </c>
      <c r="F1981" s="1" t="n">
        <v>1</v>
      </c>
      <c r="G1981" s="15" t="n">
        <v>329.37</v>
      </c>
      <c r="H1981" s="16" t="n">
        <v>0.09</v>
      </c>
      <c r="I1981" s="1" t="s">
        <v>33</v>
      </c>
      <c r="J1981" s="1" t="n">
        <v>2</v>
      </c>
      <c r="K1981" s="1" t="n">
        <v>4.4</v>
      </c>
      <c r="L1981" s="15" t="n">
        <v>299.73</v>
      </c>
      <c r="M1981" s="15" t="n">
        <f aca="false">F1981*G1981</f>
        <v>329.37</v>
      </c>
      <c r="N1981" s="15" t="n">
        <f aca="false">M1981-L1981</f>
        <v>29.64</v>
      </c>
      <c r="O1981" s="1" t="n">
        <f aca="false">YEAR(B1981)</f>
        <v>2027</v>
      </c>
      <c r="P1981" s="1" t="n">
        <f aca="false">MONTH(B1981)</f>
        <v>6</v>
      </c>
      <c r="Q1981" s="1" t="str">
        <f aca="false">TEXT(B1981,"mmm")</f>
        <v>Jun</v>
      </c>
      <c r="R1981" s="1" t="str">
        <f aca="false">"Q"&amp;ROUNDUP(MONTH(B1981)/3,0)</f>
        <v>Q2</v>
      </c>
    </row>
    <row r="1982" customFormat="false" ht="15" hidden="false" customHeight="true" outlineLevel="0" collapsed="false">
      <c r="A1982" s="1" t="n">
        <v>11981</v>
      </c>
      <c r="B1982" s="14" t="n">
        <v>46542</v>
      </c>
      <c r="C1982" s="1" t="n">
        <v>1918</v>
      </c>
      <c r="D1982" s="1" t="s">
        <v>37</v>
      </c>
      <c r="E1982" s="1" t="s">
        <v>36</v>
      </c>
      <c r="F1982" s="1" t="n">
        <v>6</v>
      </c>
      <c r="G1982" s="15" t="n">
        <v>108.68</v>
      </c>
      <c r="H1982" s="16" t="n">
        <v>0.22</v>
      </c>
      <c r="I1982" s="1" t="s">
        <v>33</v>
      </c>
      <c r="J1982" s="1" t="n">
        <v>5</v>
      </c>
      <c r="K1982" s="1" t="n">
        <v>3.9</v>
      </c>
      <c r="L1982" s="15" t="n">
        <v>508.62</v>
      </c>
      <c r="M1982" s="15" t="n">
        <f aca="false">F1982*G1982</f>
        <v>652.08</v>
      </c>
      <c r="N1982" s="15" t="n">
        <f aca="false">M1982-L1982</f>
        <v>143.46</v>
      </c>
      <c r="O1982" s="1" t="n">
        <f aca="false">YEAR(B1982)</f>
        <v>2027</v>
      </c>
      <c r="P1982" s="1" t="n">
        <f aca="false">MONTH(B1982)</f>
        <v>6</v>
      </c>
      <c r="Q1982" s="1" t="str">
        <f aca="false">TEXT(B1982,"mmm")</f>
        <v>Jun</v>
      </c>
      <c r="R1982" s="1" t="str">
        <f aca="false">"Q"&amp;ROUNDUP(MONTH(B1982)/3,0)</f>
        <v>Q2</v>
      </c>
    </row>
    <row r="1983" customFormat="false" ht="15" hidden="false" customHeight="true" outlineLevel="0" collapsed="false">
      <c r="A1983" s="1" t="n">
        <v>11982</v>
      </c>
      <c r="B1983" s="14" t="n">
        <v>46543</v>
      </c>
      <c r="C1983" s="1" t="n">
        <v>1793</v>
      </c>
      <c r="D1983" s="1" t="s">
        <v>27</v>
      </c>
      <c r="E1983" s="1" t="s">
        <v>36</v>
      </c>
      <c r="F1983" s="1" t="n">
        <v>2</v>
      </c>
      <c r="G1983" s="15" t="n">
        <v>19.52</v>
      </c>
      <c r="H1983" s="16" t="n">
        <v>0.32</v>
      </c>
      <c r="I1983" s="1" t="s">
        <v>31</v>
      </c>
      <c r="J1983" s="1" t="n">
        <v>9</v>
      </c>
      <c r="K1983" s="1" t="n">
        <v>3.6</v>
      </c>
      <c r="L1983" s="15" t="n">
        <v>26.55</v>
      </c>
      <c r="M1983" s="15" t="n">
        <f aca="false">F1983*G1983</f>
        <v>39.04</v>
      </c>
      <c r="N1983" s="15" t="n">
        <f aca="false">M1983-L1983</f>
        <v>12.49</v>
      </c>
      <c r="O1983" s="1" t="n">
        <f aca="false">YEAR(B1983)</f>
        <v>2027</v>
      </c>
      <c r="P1983" s="1" t="n">
        <f aca="false">MONTH(B1983)</f>
        <v>6</v>
      </c>
      <c r="Q1983" s="1" t="str">
        <f aca="false">TEXT(B1983,"mmm")</f>
        <v>Jun</v>
      </c>
      <c r="R1983" s="1" t="str">
        <f aca="false">"Q"&amp;ROUNDUP(MONTH(B1983)/3,0)</f>
        <v>Q2</v>
      </c>
    </row>
    <row r="1984" customFormat="false" ht="15" hidden="false" customHeight="true" outlineLevel="0" collapsed="false">
      <c r="A1984" s="1" t="n">
        <v>11983</v>
      </c>
      <c r="B1984" s="14" t="n">
        <v>46544</v>
      </c>
      <c r="C1984" s="1" t="n">
        <v>1980</v>
      </c>
      <c r="D1984" s="1" t="s">
        <v>34</v>
      </c>
      <c r="E1984" s="1" t="s">
        <v>36</v>
      </c>
      <c r="F1984" s="1" t="n">
        <v>6</v>
      </c>
      <c r="G1984" s="15" t="n">
        <v>262.52</v>
      </c>
      <c r="H1984" s="16" t="n">
        <v>0.11</v>
      </c>
      <c r="I1984" s="1" t="s">
        <v>31</v>
      </c>
      <c r="J1984" s="1" t="n">
        <v>11</v>
      </c>
      <c r="K1984" s="1" t="n">
        <v>3.1</v>
      </c>
      <c r="L1984" s="15" t="n">
        <v>1401.86</v>
      </c>
      <c r="M1984" s="15" t="n">
        <f aca="false">F1984*G1984</f>
        <v>1575.12</v>
      </c>
      <c r="N1984" s="15" t="n">
        <f aca="false">M1984-L1984</f>
        <v>173.26</v>
      </c>
      <c r="O1984" s="1" t="n">
        <f aca="false">YEAR(B1984)</f>
        <v>2027</v>
      </c>
      <c r="P1984" s="1" t="n">
        <f aca="false">MONTH(B1984)</f>
        <v>6</v>
      </c>
      <c r="Q1984" s="1" t="str">
        <f aca="false">TEXT(B1984,"mmm")</f>
        <v>Jun</v>
      </c>
      <c r="R1984" s="1" t="str">
        <f aca="false">"Q"&amp;ROUNDUP(MONTH(B1984)/3,0)</f>
        <v>Q2</v>
      </c>
    </row>
    <row r="1985" customFormat="false" ht="15" hidden="false" customHeight="true" outlineLevel="0" collapsed="false">
      <c r="A1985" s="1" t="n">
        <v>11984</v>
      </c>
      <c r="B1985" s="14" t="n">
        <v>46545</v>
      </c>
      <c r="C1985" s="1" t="n">
        <v>1085</v>
      </c>
      <c r="D1985" s="1" t="s">
        <v>34</v>
      </c>
      <c r="E1985" s="1" t="s">
        <v>35</v>
      </c>
      <c r="F1985" s="1" t="n">
        <v>5</v>
      </c>
      <c r="G1985" s="15" t="n">
        <v>95.27</v>
      </c>
      <c r="H1985" s="16" t="n">
        <v>0.08</v>
      </c>
      <c r="I1985" s="1" t="s">
        <v>33</v>
      </c>
      <c r="J1985" s="1" t="n">
        <v>2</v>
      </c>
      <c r="K1985" s="1" t="n">
        <v>2.1</v>
      </c>
      <c r="L1985" s="15" t="n">
        <v>438.24</v>
      </c>
      <c r="M1985" s="15" t="n">
        <f aca="false">F1985*G1985</f>
        <v>476.35</v>
      </c>
      <c r="N1985" s="15" t="n">
        <f aca="false">M1985-L1985</f>
        <v>38.11</v>
      </c>
      <c r="O1985" s="1" t="n">
        <f aca="false">YEAR(B1985)</f>
        <v>2027</v>
      </c>
      <c r="P1985" s="1" t="n">
        <f aca="false">MONTH(B1985)</f>
        <v>6</v>
      </c>
      <c r="Q1985" s="1" t="str">
        <f aca="false">TEXT(B1985,"mmm")</f>
        <v>Jun</v>
      </c>
      <c r="R1985" s="1" t="str">
        <f aca="false">"Q"&amp;ROUNDUP(MONTH(B1985)/3,0)</f>
        <v>Q2</v>
      </c>
    </row>
    <row r="1986" customFormat="false" ht="15" hidden="false" customHeight="true" outlineLevel="0" collapsed="false">
      <c r="A1986" s="1" t="n">
        <v>11985</v>
      </c>
      <c r="B1986" s="14" t="n">
        <v>46546</v>
      </c>
      <c r="C1986" s="1" t="n">
        <v>1249</v>
      </c>
      <c r="D1986" s="1" t="s">
        <v>27</v>
      </c>
      <c r="E1986" s="1" t="s">
        <v>32</v>
      </c>
      <c r="F1986" s="1" t="n">
        <v>7</v>
      </c>
      <c r="G1986" s="15" t="n">
        <v>108.9</v>
      </c>
      <c r="H1986" s="16" t="n">
        <v>0.04</v>
      </c>
      <c r="I1986" s="1" t="s">
        <v>33</v>
      </c>
      <c r="J1986" s="1" t="n">
        <v>8</v>
      </c>
      <c r="K1986" s="1" t="n">
        <v>3.8</v>
      </c>
      <c r="L1986" s="15" t="n">
        <v>731.81</v>
      </c>
      <c r="M1986" s="15" t="n">
        <f aca="false">F1986*G1986</f>
        <v>762.3</v>
      </c>
      <c r="N1986" s="15" t="n">
        <f aca="false">M1986-L1986</f>
        <v>30.4900000000001</v>
      </c>
      <c r="O1986" s="1" t="n">
        <f aca="false">YEAR(B1986)</f>
        <v>2027</v>
      </c>
      <c r="P1986" s="1" t="n">
        <f aca="false">MONTH(B1986)</f>
        <v>6</v>
      </c>
      <c r="Q1986" s="1" t="str">
        <f aca="false">TEXT(B1986,"mmm")</f>
        <v>Jun</v>
      </c>
      <c r="R1986" s="1" t="str">
        <f aca="false">"Q"&amp;ROUNDUP(MONTH(B1986)/3,0)</f>
        <v>Q2</v>
      </c>
    </row>
    <row r="1987" customFormat="false" ht="15" hidden="false" customHeight="true" outlineLevel="0" collapsed="false">
      <c r="A1987" s="1" t="n">
        <v>11986</v>
      </c>
      <c r="B1987" s="14" t="n">
        <v>46547</v>
      </c>
      <c r="C1987" s="1" t="n">
        <v>1390</v>
      </c>
      <c r="D1987" s="1" t="s">
        <v>30</v>
      </c>
      <c r="E1987" s="1" t="s">
        <v>36</v>
      </c>
      <c r="F1987" s="1" t="n">
        <v>6</v>
      </c>
      <c r="G1987" s="15" t="n">
        <v>59.99</v>
      </c>
      <c r="H1987" s="16" t="n">
        <v>0.05</v>
      </c>
      <c r="I1987" s="1" t="s">
        <v>31</v>
      </c>
      <c r="J1987" s="1" t="n">
        <v>3</v>
      </c>
      <c r="K1987" s="1" t="n">
        <v>1.5</v>
      </c>
      <c r="L1987" s="15" t="n">
        <v>341.94</v>
      </c>
      <c r="M1987" s="15" t="n">
        <f aca="false">F1987*G1987</f>
        <v>359.94</v>
      </c>
      <c r="N1987" s="15" t="n">
        <f aca="false">M1987-L1987</f>
        <v>18</v>
      </c>
      <c r="O1987" s="1" t="n">
        <f aca="false">YEAR(B1987)</f>
        <v>2027</v>
      </c>
      <c r="P1987" s="1" t="n">
        <f aca="false">MONTH(B1987)</f>
        <v>6</v>
      </c>
      <c r="Q1987" s="1" t="str">
        <f aca="false">TEXT(B1987,"mmm")</f>
        <v>Jun</v>
      </c>
      <c r="R1987" s="1" t="str">
        <f aca="false">"Q"&amp;ROUNDUP(MONTH(B1987)/3,0)</f>
        <v>Q2</v>
      </c>
    </row>
    <row r="1988" customFormat="false" ht="15" hidden="false" customHeight="true" outlineLevel="0" collapsed="false">
      <c r="A1988" s="1" t="n">
        <v>11987</v>
      </c>
      <c r="B1988" s="14" t="n">
        <v>46548</v>
      </c>
      <c r="C1988" s="1" t="n">
        <v>1781</v>
      </c>
      <c r="D1988" s="1" t="s">
        <v>30</v>
      </c>
      <c r="E1988" s="1" t="s">
        <v>36</v>
      </c>
      <c r="F1988" s="1" t="n">
        <v>3</v>
      </c>
      <c r="G1988" s="15" t="n">
        <v>134.98</v>
      </c>
      <c r="H1988" s="16" t="n">
        <v>0.02</v>
      </c>
      <c r="I1988" s="1" t="s">
        <v>31</v>
      </c>
      <c r="J1988" s="1" t="n">
        <v>4</v>
      </c>
      <c r="K1988" s="1" t="n">
        <v>3</v>
      </c>
      <c r="L1988" s="15" t="n">
        <v>396.84</v>
      </c>
      <c r="M1988" s="15" t="n">
        <f aca="false">F1988*G1988</f>
        <v>404.94</v>
      </c>
      <c r="N1988" s="15" t="n">
        <f aca="false">M1988-L1988</f>
        <v>8.09999999999997</v>
      </c>
      <c r="O1988" s="1" t="n">
        <f aca="false">YEAR(B1988)</f>
        <v>2027</v>
      </c>
      <c r="P1988" s="1" t="n">
        <f aca="false">MONTH(B1988)</f>
        <v>6</v>
      </c>
      <c r="Q1988" s="1" t="str">
        <f aca="false">TEXT(B1988,"mmm")</f>
        <v>Jun</v>
      </c>
      <c r="R1988" s="1" t="str">
        <f aca="false">"Q"&amp;ROUNDUP(MONTH(B1988)/3,0)</f>
        <v>Q2</v>
      </c>
    </row>
    <row r="1989" customFormat="false" ht="15" hidden="false" customHeight="true" outlineLevel="0" collapsed="false">
      <c r="A1989" s="1" t="n">
        <v>11988</v>
      </c>
      <c r="B1989" s="14" t="n">
        <v>46549</v>
      </c>
      <c r="C1989" s="1" t="n">
        <v>1334</v>
      </c>
      <c r="D1989" s="1" t="s">
        <v>37</v>
      </c>
      <c r="E1989" s="1" t="s">
        <v>36</v>
      </c>
      <c r="F1989" s="1" t="n">
        <v>1</v>
      </c>
      <c r="G1989" s="15" t="n">
        <v>433.56</v>
      </c>
      <c r="H1989" s="16" t="n">
        <v>0.03</v>
      </c>
      <c r="I1989" s="1" t="s">
        <v>29</v>
      </c>
      <c r="J1989" s="1" t="n">
        <v>2</v>
      </c>
      <c r="K1989" s="1" t="n">
        <v>1.8</v>
      </c>
      <c r="L1989" s="15" t="n">
        <v>420.55</v>
      </c>
      <c r="M1989" s="15" t="n">
        <f aca="false">F1989*G1989</f>
        <v>433.56</v>
      </c>
      <c r="N1989" s="15" t="n">
        <f aca="false">M1989-L1989</f>
        <v>13.01</v>
      </c>
      <c r="O1989" s="1" t="n">
        <f aca="false">YEAR(B1989)</f>
        <v>2027</v>
      </c>
      <c r="P1989" s="1" t="n">
        <f aca="false">MONTH(B1989)</f>
        <v>6</v>
      </c>
      <c r="Q1989" s="1" t="str">
        <f aca="false">TEXT(B1989,"mmm")</f>
        <v>Jun</v>
      </c>
      <c r="R1989" s="1" t="str">
        <f aca="false">"Q"&amp;ROUNDUP(MONTH(B1989)/3,0)</f>
        <v>Q2</v>
      </c>
    </row>
    <row r="1990" customFormat="false" ht="15" hidden="false" customHeight="true" outlineLevel="0" collapsed="false">
      <c r="A1990" s="1" t="n">
        <v>11989</v>
      </c>
      <c r="B1990" s="14" t="n">
        <v>46550</v>
      </c>
      <c r="C1990" s="1" t="n">
        <v>1628</v>
      </c>
      <c r="D1990" s="1" t="s">
        <v>37</v>
      </c>
      <c r="E1990" s="1" t="s">
        <v>35</v>
      </c>
      <c r="F1990" s="1" t="n">
        <v>5</v>
      </c>
      <c r="G1990" s="15" t="n">
        <v>488.22</v>
      </c>
      <c r="H1990" s="16" t="n">
        <v>0.15</v>
      </c>
      <c r="I1990" s="1" t="s">
        <v>33</v>
      </c>
      <c r="J1990" s="1" t="n">
        <v>9</v>
      </c>
      <c r="K1990" s="1" t="n">
        <v>3</v>
      </c>
      <c r="L1990" s="15" t="n">
        <v>2074.94</v>
      </c>
      <c r="M1990" s="15" t="n">
        <f aca="false">F1990*G1990</f>
        <v>2441.1</v>
      </c>
      <c r="N1990" s="15" t="n">
        <f aca="false">M1990-L1990</f>
        <v>366.16</v>
      </c>
      <c r="O1990" s="1" t="n">
        <f aca="false">YEAR(B1990)</f>
        <v>2027</v>
      </c>
      <c r="P1990" s="1" t="n">
        <f aca="false">MONTH(B1990)</f>
        <v>6</v>
      </c>
      <c r="Q1990" s="1" t="str">
        <f aca="false">TEXT(B1990,"mmm")</f>
        <v>Jun</v>
      </c>
      <c r="R1990" s="1" t="str">
        <f aca="false">"Q"&amp;ROUNDUP(MONTH(B1990)/3,0)</f>
        <v>Q2</v>
      </c>
    </row>
    <row r="1991" customFormat="false" ht="15" hidden="false" customHeight="true" outlineLevel="0" collapsed="false">
      <c r="A1991" s="1" t="n">
        <v>11990</v>
      </c>
      <c r="B1991" s="14" t="n">
        <v>46551</v>
      </c>
      <c r="C1991" s="1" t="n">
        <v>1518</v>
      </c>
      <c r="D1991" s="1" t="s">
        <v>27</v>
      </c>
      <c r="E1991" s="1" t="s">
        <v>35</v>
      </c>
      <c r="F1991" s="1" t="n">
        <v>7</v>
      </c>
      <c r="G1991" s="15" t="n">
        <v>279.73</v>
      </c>
      <c r="H1991" s="16" t="n">
        <v>0.11</v>
      </c>
      <c r="I1991" s="1" t="s">
        <v>29</v>
      </c>
      <c r="J1991" s="1" t="n">
        <v>6</v>
      </c>
      <c r="K1991" s="1" t="n">
        <v>2.2</v>
      </c>
      <c r="L1991" s="15" t="n">
        <v>1742.72</v>
      </c>
      <c r="M1991" s="15" t="n">
        <f aca="false">F1991*G1991</f>
        <v>1958.11</v>
      </c>
      <c r="N1991" s="15" t="n">
        <f aca="false">M1991-L1991</f>
        <v>215.39</v>
      </c>
      <c r="O1991" s="1" t="n">
        <f aca="false">YEAR(B1991)</f>
        <v>2027</v>
      </c>
      <c r="P1991" s="1" t="n">
        <f aca="false">MONTH(B1991)</f>
        <v>6</v>
      </c>
      <c r="Q1991" s="1" t="str">
        <f aca="false">TEXT(B1991,"mmm")</f>
        <v>Jun</v>
      </c>
      <c r="R1991" s="1" t="str">
        <f aca="false">"Q"&amp;ROUNDUP(MONTH(B1991)/3,0)</f>
        <v>Q2</v>
      </c>
    </row>
    <row r="1992" customFormat="false" ht="15" hidden="false" customHeight="true" outlineLevel="0" collapsed="false">
      <c r="A1992" s="1" t="n">
        <v>11991</v>
      </c>
      <c r="B1992" s="14" t="n">
        <v>46552</v>
      </c>
      <c r="C1992" s="1" t="n">
        <v>1136</v>
      </c>
      <c r="D1992" s="1" t="s">
        <v>27</v>
      </c>
      <c r="E1992" s="1" t="s">
        <v>32</v>
      </c>
      <c r="F1992" s="1" t="n">
        <v>4</v>
      </c>
      <c r="G1992" s="15" t="n">
        <v>311.33</v>
      </c>
      <c r="H1992" s="16" t="n">
        <v>0.25</v>
      </c>
      <c r="I1992" s="1" t="s">
        <v>31</v>
      </c>
      <c r="J1992" s="1" t="n">
        <v>9</v>
      </c>
      <c r="K1992" s="1" t="n">
        <v>1.2</v>
      </c>
      <c r="L1992" s="15" t="n">
        <v>933.99</v>
      </c>
      <c r="M1992" s="15" t="n">
        <f aca="false">F1992*G1992</f>
        <v>1245.32</v>
      </c>
      <c r="N1992" s="15" t="n">
        <f aca="false">M1992-L1992</f>
        <v>311.33</v>
      </c>
      <c r="O1992" s="1" t="n">
        <f aca="false">YEAR(B1992)</f>
        <v>2027</v>
      </c>
      <c r="P1992" s="1" t="n">
        <f aca="false">MONTH(B1992)</f>
        <v>6</v>
      </c>
      <c r="Q1992" s="1" t="str">
        <f aca="false">TEXT(B1992,"mmm")</f>
        <v>Jun</v>
      </c>
      <c r="R1992" s="1" t="str">
        <f aca="false">"Q"&amp;ROUNDUP(MONTH(B1992)/3,0)</f>
        <v>Q2</v>
      </c>
    </row>
    <row r="1993" customFormat="false" ht="15" hidden="false" customHeight="true" outlineLevel="0" collapsed="false">
      <c r="A1993" s="1" t="n">
        <v>11992</v>
      </c>
      <c r="B1993" s="14" t="n">
        <v>46553</v>
      </c>
      <c r="C1993" s="1" t="n">
        <v>1882</v>
      </c>
      <c r="D1993" s="1" t="s">
        <v>37</v>
      </c>
      <c r="E1993" s="1" t="s">
        <v>32</v>
      </c>
      <c r="F1993" s="1" t="n">
        <v>6</v>
      </c>
      <c r="G1993" s="15" t="n">
        <v>34.1</v>
      </c>
      <c r="H1993" s="16" t="n">
        <v>0.3</v>
      </c>
      <c r="I1993" s="1" t="s">
        <v>33</v>
      </c>
      <c r="J1993" s="1" t="n">
        <v>11</v>
      </c>
      <c r="K1993" s="1" t="n">
        <v>3</v>
      </c>
      <c r="L1993" s="15" t="n">
        <v>143.22</v>
      </c>
      <c r="M1993" s="15" t="n">
        <f aca="false">F1993*G1993</f>
        <v>204.6</v>
      </c>
      <c r="N1993" s="15" t="n">
        <f aca="false">M1993-L1993</f>
        <v>61.38</v>
      </c>
      <c r="O1993" s="1" t="n">
        <f aca="false">YEAR(B1993)</f>
        <v>2027</v>
      </c>
      <c r="P1993" s="1" t="n">
        <f aca="false">MONTH(B1993)</f>
        <v>6</v>
      </c>
      <c r="Q1993" s="1" t="str">
        <f aca="false">TEXT(B1993,"mmm")</f>
        <v>Jun</v>
      </c>
      <c r="R1993" s="1" t="str">
        <f aca="false">"Q"&amp;ROUNDUP(MONTH(B1993)/3,0)</f>
        <v>Q2</v>
      </c>
    </row>
    <row r="1994" customFormat="false" ht="15" hidden="false" customHeight="true" outlineLevel="0" collapsed="false">
      <c r="A1994" s="1" t="n">
        <v>11993</v>
      </c>
      <c r="B1994" s="14" t="n">
        <v>46554</v>
      </c>
      <c r="C1994" s="1" t="n">
        <v>1687</v>
      </c>
      <c r="D1994" s="1" t="s">
        <v>34</v>
      </c>
      <c r="E1994" s="1" t="s">
        <v>32</v>
      </c>
      <c r="F1994" s="1" t="n">
        <v>5</v>
      </c>
      <c r="G1994" s="15" t="n">
        <v>55.55</v>
      </c>
      <c r="H1994" s="16" t="n">
        <v>0.27</v>
      </c>
      <c r="I1994" s="1" t="s">
        <v>31</v>
      </c>
      <c r="J1994" s="1" t="n">
        <v>8</v>
      </c>
      <c r="K1994" s="1" t="n">
        <v>1.7</v>
      </c>
      <c r="L1994" s="15" t="n">
        <v>202.76</v>
      </c>
      <c r="M1994" s="15" t="n">
        <f aca="false">F1994*G1994</f>
        <v>277.75</v>
      </c>
      <c r="N1994" s="15" t="n">
        <f aca="false">M1994-L1994</f>
        <v>74.99</v>
      </c>
      <c r="O1994" s="1" t="n">
        <f aca="false">YEAR(B1994)</f>
        <v>2027</v>
      </c>
      <c r="P1994" s="1" t="n">
        <f aca="false">MONTH(B1994)</f>
        <v>6</v>
      </c>
      <c r="Q1994" s="1" t="str">
        <f aca="false">TEXT(B1994,"mmm")</f>
        <v>Jun</v>
      </c>
      <c r="R1994" s="1" t="str">
        <f aca="false">"Q"&amp;ROUNDUP(MONTH(B1994)/3,0)</f>
        <v>Q2</v>
      </c>
    </row>
    <row r="1995" customFormat="false" ht="15" hidden="false" customHeight="true" outlineLevel="0" collapsed="false">
      <c r="A1995" s="1" t="n">
        <v>11994</v>
      </c>
      <c r="B1995" s="14" t="n">
        <v>46555</v>
      </c>
      <c r="C1995" s="1" t="n">
        <v>1839</v>
      </c>
      <c r="D1995" s="1" t="s">
        <v>27</v>
      </c>
      <c r="E1995" s="1" t="s">
        <v>36</v>
      </c>
      <c r="F1995" s="1" t="n">
        <v>4</v>
      </c>
      <c r="G1995" s="15" t="n">
        <v>165.68</v>
      </c>
      <c r="H1995" s="16" t="n">
        <v>0.19</v>
      </c>
      <c r="I1995" s="1" t="s">
        <v>33</v>
      </c>
      <c r="J1995" s="1" t="n">
        <v>9</v>
      </c>
      <c r="K1995" s="1" t="n">
        <v>1.6</v>
      </c>
      <c r="L1995" s="15" t="n">
        <v>536.8</v>
      </c>
      <c r="M1995" s="15" t="n">
        <f aca="false">F1995*G1995</f>
        <v>662.72</v>
      </c>
      <c r="N1995" s="15" t="n">
        <f aca="false">M1995-L1995</f>
        <v>125.92</v>
      </c>
      <c r="O1995" s="1" t="n">
        <f aca="false">YEAR(B1995)</f>
        <v>2027</v>
      </c>
      <c r="P1995" s="1" t="n">
        <f aca="false">MONTH(B1995)</f>
        <v>6</v>
      </c>
      <c r="Q1995" s="1" t="str">
        <f aca="false">TEXT(B1995,"mmm")</f>
        <v>Jun</v>
      </c>
      <c r="R1995" s="1" t="str">
        <f aca="false">"Q"&amp;ROUNDUP(MONTH(B1995)/3,0)</f>
        <v>Q2</v>
      </c>
    </row>
    <row r="1996" customFormat="false" ht="15" hidden="false" customHeight="true" outlineLevel="0" collapsed="false">
      <c r="A1996" s="1" t="n">
        <v>11995</v>
      </c>
      <c r="B1996" s="14" t="n">
        <v>46556</v>
      </c>
      <c r="C1996" s="1" t="n">
        <v>1497</v>
      </c>
      <c r="D1996" s="1" t="s">
        <v>34</v>
      </c>
      <c r="E1996" s="1" t="s">
        <v>28</v>
      </c>
      <c r="F1996" s="1" t="n">
        <v>4</v>
      </c>
      <c r="G1996" s="15" t="n">
        <v>333.18</v>
      </c>
      <c r="H1996" s="16" t="n">
        <v>0.04</v>
      </c>
      <c r="I1996" s="1" t="s">
        <v>31</v>
      </c>
      <c r="J1996" s="1" t="n">
        <v>5</v>
      </c>
      <c r="K1996" s="1" t="n">
        <v>2.5</v>
      </c>
      <c r="L1996" s="15" t="n">
        <v>1279.41</v>
      </c>
      <c r="M1996" s="15" t="n">
        <f aca="false">F1996*G1996</f>
        <v>1332.72</v>
      </c>
      <c r="N1996" s="15" t="n">
        <f aca="false">M1996-L1996</f>
        <v>53.3099999999999</v>
      </c>
      <c r="O1996" s="1" t="n">
        <f aca="false">YEAR(B1996)</f>
        <v>2027</v>
      </c>
      <c r="P1996" s="1" t="n">
        <f aca="false">MONTH(B1996)</f>
        <v>6</v>
      </c>
      <c r="Q1996" s="1" t="str">
        <f aca="false">TEXT(B1996,"mmm")</f>
        <v>Jun</v>
      </c>
      <c r="R1996" s="1" t="str">
        <f aca="false">"Q"&amp;ROUNDUP(MONTH(B1996)/3,0)</f>
        <v>Q2</v>
      </c>
    </row>
    <row r="1997" customFormat="false" ht="15" hidden="false" customHeight="true" outlineLevel="0" collapsed="false">
      <c r="A1997" s="1" t="n">
        <v>11996</v>
      </c>
      <c r="B1997" s="14" t="n">
        <v>46557</v>
      </c>
      <c r="C1997" s="1" t="n">
        <v>1826</v>
      </c>
      <c r="D1997" s="1" t="s">
        <v>34</v>
      </c>
      <c r="E1997" s="1" t="s">
        <v>35</v>
      </c>
      <c r="F1997" s="1" t="n">
        <v>2</v>
      </c>
      <c r="G1997" s="15" t="n">
        <v>447.64</v>
      </c>
      <c r="H1997" s="16" t="n">
        <v>0.25</v>
      </c>
      <c r="I1997" s="1" t="s">
        <v>31</v>
      </c>
      <c r="J1997" s="1" t="n">
        <v>6</v>
      </c>
      <c r="K1997" s="1" t="n">
        <v>2.4</v>
      </c>
      <c r="L1997" s="15" t="n">
        <v>671.46</v>
      </c>
      <c r="M1997" s="15" t="n">
        <f aca="false">F1997*G1997</f>
        <v>895.28</v>
      </c>
      <c r="N1997" s="15" t="n">
        <f aca="false">M1997-L1997</f>
        <v>223.82</v>
      </c>
      <c r="O1997" s="1" t="n">
        <f aca="false">YEAR(B1997)</f>
        <v>2027</v>
      </c>
      <c r="P1997" s="1" t="n">
        <f aca="false">MONTH(B1997)</f>
        <v>6</v>
      </c>
      <c r="Q1997" s="1" t="str">
        <f aca="false">TEXT(B1997,"mmm")</f>
        <v>Jun</v>
      </c>
      <c r="R1997" s="1" t="str">
        <f aca="false">"Q"&amp;ROUNDUP(MONTH(B1997)/3,0)</f>
        <v>Q2</v>
      </c>
    </row>
    <row r="1998" customFormat="false" ht="15" hidden="false" customHeight="true" outlineLevel="0" collapsed="false">
      <c r="A1998" s="1" t="n">
        <v>11997</v>
      </c>
      <c r="B1998" s="14" t="n">
        <v>46558</v>
      </c>
      <c r="C1998" s="1" t="n">
        <v>1726</v>
      </c>
      <c r="D1998" s="1" t="s">
        <v>27</v>
      </c>
      <c r="E1998" s="1" t="s">
        <v>36</v>
      </c>
      <c r="F1998" s="1" t="n">
        <v>2</v>
      </c>
      <c r="G1998" s="15" t="n">
        <v>368.93</v>
      </c>
      <c r="H1998" s="16" t="n">
        <v>0.13</v>
      </c>
      <c r="I1998" s="1" t="s">
        <v>31</v>
      </c>
      <c r="J1998" s="1" t="n">
        <v>7</v>
      </c>
      <c r="K1998" s="1" t="n">
        <v>4.5</v>
      </c>
      <c r="L1998" s="15" t="n">
        <v>641.94</v>
      </c>
      <c r="M1998" s="15" t="n">
        <f aca="false">F1998*G1998</f>
        <v>737.86</v>
      </c>
      <c r="N1998" s="15" t="n">
        <f aca="false">M1998-L1998</f>
        <v>95.92</v>
      </c>
      <c r="O1998" s="1" t="n">
        <f aca="false">YEAR(B1998)</f>
        <v>2027</v>
      </c>
      <c r="P1998" s="1" t="n">
        <f aca="false">MONTH(B1998)</f>
        <v>6</v>
      </c>
      <c r="Q1998" s="1" t="str">
        <f aca="false">TEXT(B1998,"mmm")</f>
        <v>Jun</v>
      </c>
      <c r="R1998" s="1" t="str">
        <f aca="false">"Q"&amp;ROUNDUP(MONTH(B1998)/3,0)</f>
        <v>Q2</v>
      </c>
    </row>
    <row r="1999" customFormat="false" ht="15" hidden="false" customHeight="true" outlineLevel="0" collapsed="false">
      <c r="A1999" s="1" t="n">
        <v>11998</v>
      </c>
      <c r="B1999" s="14" t="n">
        <v>46559</v>
      </c>
      <c r="C1999" s="1" t="n">
        <v>1476</v>
      </c>
      <c r="D1999" s="1" t="s">
        <v>34</v>
      </c>
      <c r="E1999" s="1" t="s">
        <v>36</v>
      </c>
      <c r="F1999" s="1" t="n">
        <v>7</v>
      </c>
      <c r="G1999" s="15" t="n">
        <v>244.39</v>
      </c>
      <c r="H1999" s="16" t="n">
        <v>0.03</v>
      </c>
      <c r="I1999" s="1" t="s">
        <v>33</v>
      </c>
      <c r="J1999" s="1" t="n">
        <v>5</v>
      </c>
      <c r="K1999" s="1" t="n">
        <v>3.3</v>
      </c>
      <c r="L1999" s="15" t="n">
        <v>1659.41</v>
      </c>
      <c r="M1999" s="15" t="n">
        <f aca="false">F1999*G1999</f>
        <v>1710.73</v>
      </c>
      <c r="N1999" s="15" t="n">
        <f aca="false">M1999-L1999</f>
        <v>51.3199999999999</v>
      </c>
      <c r="O1999" s="1" t="n">
        <f aca="false">YEAR(B1999)</f>
        <v>2027</v>
      </c>
      <c r="P1999" s="1" t="n">
        <f aca="false">MONTH(B1999)</f>
        <v>6</v>
      </c>
      <c r="Q1999" s="1" t="str">
        <f aca="false">TEXT(B1999,"mmm")</f>
        <v>Jun</v>
      </c>
      <c r="R1999" s="1" t="str">
        <f aca="false">"Q"&amp;ROUNDUP(MONTH(B1999)/3,0)</f>
        <v>Q2</v>
      </c>
    </row>
    <row r="2000" customFormat="false" ht="15" hidden="false" customHeight="true" outlineLevel="0" collapsed="false">
      <c r="A2000" s="1" t="n">
        <v>11999</v>
      </c>
      <c r="B2000" s="14" t="n">
        <v>46560</v>
      </c>
      <c r="C2000" s="1" t="n">
        <v>1593</v>
      </c>
      <c r="D2000" s="1" t="s">
        <v>34</v>
      </c>
      <c r="E2000" s="1" t="s">
        <v>32</v>
      </c>
      <c r="F2000" s="1" t="n">
        <v>5</v>
      </c>
      <c r="G2000" s="15" t="n">
        <v>84.22</v>
      </c>
      <c r="H2000" s="16" t="n">
        <v>0.29</v>
      </c>
      <c r="I2000" s="1" t="s">
        <v>33</v>
      </c>
      <c r="J2000" s="1" t="n">
        <v>1</v>
      </c>
      <c r="K2000" s="1" t="n">
        <v>4.4</v>
      </c>
      <c r="L2000" s="15" t="n">
        <v>298.98</v>
      </c>
      <c r="M2000" s="15" t="n">
        <f aca="false">F2000*G2000</f>
        <v>421.1</v>
      </c>
      <c r="N2000" s="15" t="n">
        <f aca="false">M2000-L2000</f>
        <v>122.12</v>
      </c>
      <c r="O2000" s="1" t="n">
        <f aca="false">YEAR(B2000)</f>
        <v>2027</v>
      </c>
      <c r="P2000" s="1" t="n">
        <f aca="false">MONTH(B2000)</f>
        <v>6</v>
      </c>
      <c r="Q2000" s="1" t="str">
        <f aca="false">TEXT(B2000,"mmm")</f>
        <v>Jun</v>
      </c>
      <c r="R2000" s="1" t="str">
        <f aca="false">"Q"&amp;ROUNDUP(MONTH(B2000)/3,0)</f>
        <v>Q2</v>
      </c>
    </row>
    <row r="2001" customFormat="false" ht="15" hidden="false" customHeight="true" outlineLevel="0" collapsed="false">
      <c r="A2001" s="1" t="n">
        <v>12000</v>
      </c>
      <c r="B2001" s="14" t="n">
        <v>46561</v>
      </c>
      <c r="C2001" s="1" t="n">
        <v>1222</v>
      </c>
      <c r="D2001" s="1" t="s">
        <v>34</v>
      </c>
      <c r="E2001" s="1" t="s">
        <v>32</v>
      </c>
      <c r="F2001" s="1" t="n">
        <v>7</v>
      </c>
      <c r="G2001" s="15" t="n">
        <v>471.75</v>
      </c>
      <c r="H2001" s="16" t="n">
        <v>0.12</v>
      </c>
      <c r="I2001" s="1" t="s">
        <v>33</v>
      </c>
      <c r="J2001" s="1" t="n">
        <v>9</v>
      </c>
      <c r="K2001" s="1" t="n">
        <v>1.6</v>
      </c>
      <c r="L2001" s="15" t="n">
        <v>2905.98</v>
      </c>
      <c r="M2001" s="15" t="n">
        <f aca="false">F2001*G2001</f>
        <v>3302.25</v>
      </c>
      <c r="N2001" s="15" t="n">
        <f aca="false">M2001-L2001</f>
        <v>396.27</v>
      </c>
      <c r="O2001" s="1" t="n">
        <f aca="false">YEAR(B2001)</f>
        <v>2027</v>
      </c>
      <c r="P2001" s="1" t="n">
        <f aca="false">MONTH(B2001)</f>
        <v>6</v>
      </c>
      <c r="Q2001" s="1" t="str">
        <f aca="false">TEXT(B2001,"mmm")</f>
        <v>Jun</v>
      </c>
      <c r="R2001" s="1" t="str">
        <f aca="false">"Q"&amp;ROUNDUP(MONTH(B2001)/3,0)</f>
        <v>Q2</v>
      </c>
    </row>
    <row r="2002" customFormat="false" ht="15" hidden="false" customHeight="true" outlineLevel="0" collapsed="false">
      <c r="A2002" s="1" t="n">
        <v>12001</v>
      </c>
      <c r="B2002" s="14" t="n">
        <v>46562</v>
      </c>
      <c r="C2002" s="1" t="n">
        <v>1989</v>
      </c>
      <c r="D2002" s="1" t="s">
        <v>27</v>
      </c>
      <c r="E2002" s="1" t="s">
        <v>36</v>
      </c>
      <c r="F2002" s="1" t="n">
        <v>5</v>
      </c>
      <c r="G2002" s="15" t="n">
        <v>227.81</v>
      </c>
      <c r="H2002" s="16" t="n">
        <v>0.08</v>
      </c>
      <c r="I2002" s="1" t="s">
        <v>29</v>
      </c>
      <c r="J2002" s="1" t="n">
        <v>2</v>
      </c>
      <c r="K2002" s="1" t="n">
        <v>2.4</v>
      </c>
      <c r="L2002" s="15" t="n">
        <v>1047.93</v>
      </c>
      <c r="M2002" s="15" t="n">
        <f aca="false">F2002*G2002</f>
        <v>1139.05</v>
      </c>
      <c r="N2002" s="15" t="n">
        <f aca="false">M2002-L2002</f>
        <v>91.1199999999999</v>
      </c>
      <c r="O2002" s="1" t="n">
        <f aca="false">YEAR(B2002)</f>
        <v>2027</v>
      </c>
      <c r="P2002" s="1" t="n">
        <f aca="false">MONTH(B2002)</f>
        <v>6</v>
      </c>
      <c r="Q2002" s="1" t="str">
        <f aca="false">TEXT(B2002,"mmm")</f>
        <v>Jun</v>
      </c>
      <c r="R2002" s="1" t="str">
        <f aca="false">"Q"&amp;ROUNDUP(MONTH(B2002)/3,0)</f>
        <v>Q2</v>
      </c>
    </row>
    <row r="2003" customFormat="false" ht="15" hidden="false" customHeight="true" outlineLevel="0" collapsed="false">
      <c r="A2003" s="1" t="n">
        <v>12002</v>
      </c>
      <c r="B2003" s="14" t="n">
        <v>46563</v>
      </c>
      <c r="C2003" s="1" t="n">
        <v>1371</v>
      </c>
      <c r="D2003" s="1" t="s">
        <v>30</v>
      </c>
      <c r="E2003" s="1" t="s">
        <v>35</v>
      </c>
      <c r="F2003" s="1" t="n">
        <v>3</v>
      </c>
      <c r="G2003" s="15" t="n">
        <v>445.59</v>
      </c>
      <c r="H2003" s="16" t="n">
        <v>0.31</v>
      </c>
      <c r="I2003" s="1" t="s">
        <v>33</v>
      </c>
      <c r="J2003" s="1" t="n">
        <v>7</v>
      </c>
      <c r="K2003" s="1" t="n">
        <v>3.2</v>
      </c>
      <c r="L2003" s="15" t="n">
        <v>922.37</v>
      </c>
      <c r="M2003" s="15" t="n">
        <f aca="false">F2003*G2003</f>
        <v>1336.77</v>
      </c>
      <c r="N2003" s="15" t="n">
        <f aca="false">M2003-L2003</f>
        <v>414.4</v>
      </c>
      <c r="O2003" s="1" t="n">
        <f aca="false">YEAR(B2003)</f>
        <v>2027</v>
      </c>
      <c r="P2003" s="1" t="n">
        <f aca="false">MONTH(B2003)</f>
        <v>6</v>
      </c>
      <c r="Q2003" s="1" t="str">
        <f aca="false">TEXT(B2003,"mmm")</f>
        <v>Jun</v>
      </c>
      <c r="R2003" s="1" t="str">
        <f aca="false">"Q"&amp;ROUNDUP(MONTH(B2003)/3,0)</f>
        <v>Q2</v>
      </c>
    </row>
    <row r="2004" customFormat="false" ht="15" hidden="false" customHeight="true" outlineLevel="0" collapsed="false">
      <c r="A2004" s="1" t="n">
        <v>12003</v>
      </c>
      <c r="B2004" s="14" t="n">
        <v>46564</v>
      </c>
      <c r="C2004" s="1" t="n">
        <v>1934</v>
      </c>
      <c r="D2004" s="1" t="s">
        <v>37</v>
      </c>
      <c r="E2004" s="1" t="s">
        <v>35</v>
      </c>
      <c r="F2004" s="1" t="n">
        <v>1</v>
      </c>
      <c r="G2004" s="15" t="n">
        <v>315.09</v>
      </c>
      <c r="H2004" s="16" t="n">
        <v>0.32</v>
      </c>
      <c r="I2004" s="1" t="s">
        <v>33</v>
      </c>
      <c r="J2004" s="1" t="n">
        <v>8</v>
      </c>
      <c r="K2004" s="1" t="n">
        <v>1.6</v>
      </c>
      <c r="L2004" s="15" t="n">
        <v>214.26</v>
      </c>
      <c r="M2004" s="15" t="n">
        <f aca="false">F2004*G2004</f>
        <v>315.09</v>
      </c>
      <c r="N2004" s="15" t="n">
        <f aca="false">M2004-L2004</f>
        <v>100.83</v>
      </c>
      <c r="O2004" s="1" t="n">
        <f aca="false">YEAR(B2004)</f>
        <v>2027</v>
      </c>
      <c r="P2004" s="1" t="n">
        <f aca="false">MONTH(B2004)</f>
        <v>6</v>
      </c>
      <c r="Q2004" s="1" t="str">
        <f aca="false">TEXT(B2004,"mmm")</f>
        <v>Jun</v>
      </c>
      <c r="R2004" s="1" t="str">
        <f aca="false">"Q"&amp;ROUNDUP(MONTH(B2004)/3,0)</f>
        <v>Q2</v>
      </c>
    </row>
    <row r="2005" customFormat="false" ht="15" hidden="false" customHeight="true" outlineLevel="0" collapsed="false">
      <c r="A2005" s="1" t="n">
        <v>12004</v>
      </c>
      <c r="B2005" s="14" t="n">
        <v>46565</v>
      </c>
      <c r="C2005" s="1" t="n">
        <v>1994</v>
      </c>
      <c r="D2005" s="1" t="s">
        <v>34</v>
      </c>
      <c r="E2005" s="1" t="s">
        <v>36</v>
      </c>
      <c r="F2005" s="1" t="n">
        <v>1</v>
      </c>
      <c r="G2005" s="15" t="n">
        <v>447.12</v>
      </c>
      <c r="H2005" s="16" t="n">
        <v>0.12</v>
      </c>
      <c r="I2005" s="1" t="s">
        <v>29</v>
      </c>
      <c r="J2005" s="1" t="n">
        <v>8</v>
      </c>
      <c r="K2005" s="1" t="n">
        <v>1.5</v>
      </c>
      <c r="L2005" s="15" t="n">
        <v>393.47</v>
      </c>
      <c r="M2005" s="15" t="n">
        <f aca="false">F2005*G2005</f>
        <v>447.12</v>
      </c>
      <c r="N2005" s="15" t="n">
        <f aca="false">M2005-L2005</f>
        <v>53.65</v>
      </c>
      <c r="O2005" s="1" t="n">
        <f aca="false">YEAR(B2005)</f>
        <v>2027</v>
      </c>
      <c r="P2005" s="1" t="n">
        <f aca="false">MONTH(B2005)</f>
        <v>6</v>
      </c>
      <c r="Q2005" s="1" t="str">
        <f aca="false">TEXT(B2005,"mmm")</f>
        <v>Jun</v>
      </c>
      <c r="R2005" s="1" t="str">
        <f aca="false">"Q"&amp;ROUNDUP(MONTH(B2005)/3,0)</f>
        <v>Q2</v>
      </c>
    </row>
    <row r="2006" customFormat="false" ht="15" hidden="false" customHeight="true" outlineLevel="0" collapsed="false">
      <c r="A2006" s="1" t="n">
        <v>12005</v>
      </c>
      <c r="B2006" s="14" t="n">
        <v>46566</v>
      </c>
      <c r="C2006" s="1" t="n">
        <v>1401</v>
      </c>
      <c r="D2006" s="1" t="s">
        <v>37</v>
      </c>
      <c r="E2006" s="1" t="s">
        <v>28</v>
      </c>
      <c r="F2006" s="1" t="n">
        <v>5</v>
      </c>
      <c r="G2006" s="15" t="n">
        <v>545.76</v>
      </c>
      <c r="H2006" s="16" t="n">
        <v>0.12</v>
      </c>
      <c r="I2006" s="1" t="s">
        <v>33</v>
      </c>
      <c r="J2006" s="1" t="n">
        <v>1</v>
      </c>
      <c r="K2006" s="1" t="n">
        <v>3.6</v>
      </c>
      <c r="L2006" s="15" t="n">
        <v>2401.34</v>
      </c>
      <c r="M2006" s="15" t="n">
        <f aca="false">F2006*G2006</f>
        <v>2728.8</v>
      </c>
      <c r="N2006" s="15" t="n">
        <f aca="false">M2006-L2006</f>
        <v>327.46</v>
      </c>
      <c r="O2006" s="1" t="n">
        <f aca="false">YEAR(B2006)</f>
        <v>2027</v>
      </c>
      <c r="P2006" s="1" t="n">
        <f aca="false">MONTH(B2006)</f>
        <v>6</v>
      </c>
      <c r="Q2006" s="1" t="str">
        <f aca="false">TEXT(B2006,"mmm")</f>
        <v>Jun</v>
      </c>
      <c r="R2006" s="1" t="str">
        <f aca="false">"Q"&amp;ROUNDUP(MONTH(B2006)/3,0)</f>
        <v>Q2</v>
      </c>
    </row>
    <row r="2007" customFormat="false" ht="15" hidden="false" customHeight="true" outlineLevel="0" collapsed="false">
      <c r="A2007" s="1" t="n">
        <v>12006</v>
      </c>
      <c r="B2007" s="14" t="n">
        <v>46567</v>
      </c>
      <c r="C2007" s="1" t="n">
        <v>1442</v>
      </c>
      <c r="D2007" s="1" t="s">
        <v>37</v>
      </c>
      <c r="E2007" s="1" t="s">
        <v>28</v>
      </c>
      <c r="F2007" s="1" t="n">
        <v>2</v>
      </c>
      <c r="G2007" s="15" t="n">
        <v>553.8</v>
      </c>
      <c r="H2007" s="16" t="n">
        <v>0.2</v>
      </c>
      <c r="I2007" s="1" t="s">
        <v>31</v>
      </c>
      <c r="J2007" s="1" t="n">
        <v>10</v>
      </c>
      <c r="K2007" s="1" t="n">
        <v>3.6</v>
      </c>
      <c r="L2007" s="15" t="n">
        <v>886.08</v>
      </c>
      <c r="M2007" s="15" t="n">
        <f aca="false">F2007*G2007</f>
        <v>1107.6</v>
      </c>
      <c r="N2007" s="15" t="n">
        <f aca="false">M2007-L2007</f>
        <v>221.52</v>
      </c>
      <c r="O2007" s="1" t="n">
        <f aca="false">YEAR(B2007)</f>
        <v>2027</v>
      </c>
      <c r="P2007" s="1" t="n">
        <f aca="false">MONTH(B2007)</f>
        <v>6</v>
      </c>
      <c r="Q2007" s="1" t="str">
        <f aca="false">TEXT(B2007,"mmm")</f>
        <v>Jun</v>
      </c>
      <c r="R2007" s="1" t="str">
        <f aca="false">"Q"&amp;ROUNDUP(MONTH(B2007)/3,0)</f>
        <v>Q2</v>
      </c>
    </row>
    <row r="2008" customFormat="false" ht="15" hidden="false" customHeight="true" outlineLevel="0" collapsed="false">
      <c r="A2008" s="1" t="n">
        <v>12007</v>
      </c>
      <c r="B2008" s="14" t="n">
        <v>46568</v>
      </c>
      <c r="C2008" s="1" t="n">
        <v>1489</v>
      </c>
      <c r="D2008" s="1" t="s">
        <v>34</v>
      </c>
      <c r="E2008" s="1" t="s">
        <v>35</v>
      </c>
      <c r="F2008" s="1" t="n">
        <v>6</v>
      </c>
      <c r="G2008" s="15" t="n">
        <v>328.04</v>
      </c>
      <c r="H2008" s="16" t="n">
        <v>0.26</v>
      </c>
      <c r="I2008" s="1" t="s">
        <v>29</v>
      </c>
      <c r="J2008" s="1" t="n">
        <v>7</v>
      </c>
      <c r="K2008" s="1" t="n">
        <v>1.9</v>
      </c>
      <c r="L2008" s="15" t="n">
        <v>1456.5</v>
      </c>
      <c r="M2008" s="15" t="n">
        <f aca="false">F2008*G2008</f>
        <v>1968.24</v>
      </c>
      <c r="N2008" s="15" t="n">
        <f aca="false">M2008-L2008</f>
        <v>511.74</v>
      </c>
      <c r="O2008" s="1" t="n">
        <f aca="false">YEAR(B2008)</f>
        <v>2027</v>
      </c>
      <c r="P2008" s="1" t="n">
        <f aca="false">MONTH(B2008)</f>
        <v>6</v>
      </c>
      <c r="Q2008" s="1" t="str">
        <f aca="false">TEXT(B2008,"mmm")</f>
        <v>Jun</v>
      </c>
      <c r="R2008" s="1" t="str">
        <f aca="false">"Q"&amp;ROUNDUP(MONTH(B2008)/3,0)</f>
        <v>Q2</v>
      </c>
    </row>
    <row r="2009" customFormat="false" ht="15" hidden="false" customHeight="true" outlineLevel="0" collapsed="false">
      <c r="A2009" s="1" t="n">
        <v>12008</v>
      </c>
      <c r="B2009" s="14" t="n">
        <v>46569</v>
      </c>
      <c r="C2009" s="1" t="n">
        <v>1614</v>
      </c>
      <c r="D2009" s="1" t="s">
        <v>30</v>
      </c>
      <c r="E2009" s="1" t="s">
        <v>32</v>
      </c>
      <c r="F2009" s="1" t="n">
        <v>7</v>
      </c>
      <c r="G2009" s="15" t="n">
        <v>314.23</v>
      </c>
      <c r="H2009" s="16" t="n">
        <v>0.02</v>
      </c>
      <c r="I2009" s="1" t="s">
        <v>31</v>
      </c>
      <c r="J2009" s="1" t="n">
        <v>9</v>
      </c>
      <c r="K2009" s="1" t="n">
        <v>1.9</v>
      </c>
      <c r="L2009" s="15" t="n">
        <v>2155.62</v>
      </c>
      <c r="M2009" s="15" t="n">
        <f aca="false">F2009*G2009</f>
        <v>2199.61</v>
      </c>
      <c r="N2009" s="15" t="n">
        <f aca="false">M2009-L2009</f>
        <v>43.9900000000002</v>
      </c>
      <c r="O2009" s="1" t="n">
        <f aca="false">YEAR(B2009)</f>
        <v>2027</v>
      </c>
      <c r="P2009" s="1" t="n">
        <f aca="false">MONTH(B2009)</f>
        <v>7</v>
      </c>
      <c r="Q2009" s="1" t="str">
        <f aca="false">TEXT(B2009,"mmm")</f>
        <v>Jul</v>
      </c>
      <c r="R2009" s="1" t="str">
        <f aca="false">"Q"&amp;ROUNDUP(MONTH(B2009)/3,0)</f>
        <v>Q3</v>
      </c>
    </row>
    <row r="2010" customFormat="false" ht="15" hidden="false" customHeight="true" outlineLevel="0" collapsed="false">
      <c r="A2010" s="1" t="n">
        <v>12009</v>
      </c>
      <c r="B2010" s="14" t="n">
        <v>46570</v>
      </c>
      <c r="C2010" s="1" t="n">
        <v>1272</v>
      </c>
      <c r="D2010" s="1" t="s">
        <v>34</v>
      </c>
      <c r="E2010" s="1" t="s">
        <v>28</v>
      </c>
      <c r="F2010" s="1" t="n">
        <v>3</v>
      </c>
      <c r="G2010" s="15" t="n">
        <v>170.42</v>
      </c>
      <c r="H2010" s="16" t="n">
        <v>0.21</v>
      </c>
      <c r="I2010" s="1" t="s">
        <v>33</v>
      </c>
      <c r="J2010" s="1" t="n">
        <v>11</v>
      </c>
      <c r="K2010" s="1" t="n">
        <v>4</v>
      </c>
      <c r="L2010" s="15" t="n">
        <v>403.9</v>
      </c>
      <c r="M2010" s="15" t="n">
        <f aca="false">F2010*G2010</f>
        <v>511.26</v>
      </c>
      <c r="N2010" s="15" t="n">
        <f aca="false">M2010-L2010</f>
        <v>107.36</v>
      </c>
      <c r="O2010" s="1" t="n">
        <f aca="false">YEAR(B2010)</f>
        <v>2027</v>
      </c>
      <c r="P2010" s="1" t="n">
        <f aca="false">MONTH(B2010)</f>
        <v>7</v>
      </c>
      <c r="Q2010" s="1" t="str">
        <f aca="false">TEXT(B2010,"mmm")</f>
        <v>Jul</v>
      </c>
      <c r="R2010" s="1" t="str">
        <f aca="false">"Q"&amp;ROUNDUP(MONTH(B2010)/3,0)</f>
        <v>Q3</v>
      </c>
    </row>
    <row r="2011" customFormat="false" ht="15" hidden="false" customHeight="true" outlineLevel="0" collapsed="false">
      <c r="A2011" s="1" t="n">
        <v>12010</v>
      </c>
      <c r="B2011" s="14" t="n">
        <v>46571</v>
      </c>
      <c r="C2011" s="1" t="n">
        <v>1525</v>
      </c>
      <c r="D2011" s="1" t="s">
        <v>27</v>
      </c>
      <c r="E2011" s="1" t="s">
        <v>28</v>
      </c>
      <c r="F2011" s="1" t="n">
        <v>1</v>
      </c>
      <c r="G2011" s="15" t="n">
        <v>562.44</v>
      </c>
      <c r="H2011" s="16" t="n">
        <v>0.33</v>
      </c>
      <c r="I2011" s="1" t="s">
        <v>31</v>
      </c>
      <c r="J2011" s="1" t="n">
        <v>11</v>
      </c>
      <c r="K2011" s="1" t="n">
        <v>1.5</v>
      </c>
      <c r="L2011" s="15" t="n">
        <v>376.83</v>
      </c>
      <c r="M2011" s="15" t="n">
        <f aca="false">F2011*G2011</f>
        <v>562.44</v>
      </c>
      <c r="N2011" s="15" t="n">
        <f aca="false">M2011-L2011</f>
        <v>185.61</v>
      </c>
      <c r="O2011" s="1" t="n">
        <f aca="false">YEAR(B2011)</f>
        <v>2027</v>
      </c>
      <c r="P2011" s="1" t="n">
        <f aca="false">MONTH(B2011)</f>
        <v>7</v>
      </c>
      <c r="Q2011" s="1" t="str">
        <f aca="false">TEXT(B2011,"mmm")</f>
        <v>Jul</v>
      </c>
      <c r="R2011" s="1" t="str">
        <f aca="false">"Q"&amp;ROUNDUP(MONTH(B2011)/3,0)</f>
        <v>Q3</v>
      </c>
    </row>
    <row r="2012" customFormat="false" ht="15" hidden="false" customHeight="true" outlineLevel="0" collapsed="false">
      <c r="A2012" s="1" t="n">
        <v>12011</v>
      </c>
      <c r="B2012" s="14" t="n">
        <v>46572</v>
      </c>
      <c r="C2012" s="1" t="n">
        <v>1158</v>
      </c>
      <c r="D2012" s="1" t="s">
        <v>30</v>
      </c>
      <c r="E2012" s="1" t="s">
        <v>32</v>
      </c>
      <c r="F2012" s="1" t="n">
        <v>5</v>
      </c>
      <c r="G2012" s="15" t="n">
        <v>282.88</v>
      </c>
      <c r="H2012" s="16" t="n">
        <v>0.09</v>
      </c>
      <c r="I2012" s="1" t="s">
        <v>33</v>
      </c>
      <c r="J2012" s="1" t="n">
        <v>3</v>
      </c>
      <c r="K2012" s="1" t="n">
        <v>4.7</v>
      </c>
      <c r="L2012" s="15" t="n">
        <v>1287.1</v>
      </c>
      <c r="M2012" s="15" t="n">
        <f aca="false">F2012*G2012</f>
        <v>1414.4</v>
      </c>
      <c r="N2012" s="15" t="n">
        <f aca="false">M2012-L2012</f>
        <v>127.3</v>
      </c>
      <c r="O2012" s="1" t="n">
        <f aca="false">YEAR(B2012)</f>
        <v>2027</v>
      </c>
      <c r="P2012" s="1" t="n">
        <f aca="false">MONTH(B2012)</f>
        <v>7</v>
      </c>
      <c r="Q2012" s="1" t="str">
        <f aca="false">TEXT(B2012,"mmm")</f>
        <v>Jul</v>
      </c>
      <c r="R2012" s="1" t="str">
        <f aca="false">"Q"&amp;ROUNDUP(MONTH(B2012)/3,0)</f>
        <v>Q3</v>
      </c>
    </row>
    <row r="2013" customFormat="false" ht="15" hidden="false" customHeight="true" outlineLevel="0" collapsed="false">
      <c r="A2013" s="1" t="n">
        <v>12012</v>
      </c>
      <c r="B2013" s="14" t="n">
        <v>46573</v>
      </c>
      <c r="C2013" s="1" t="n">
        <v>1151</v>
      </c>
      <c r="D2013" s="1" t="s">
        <v>27</v>
      </c>
      <c r="E2013" s="1" t="s">
        <v>28</v>
      </c>
      <c r="F2013" s="1" t="n">
        <v>2</v>
      </c>
      <c r="G2013" s="15" t="n">
        <v>89.64</v>
      </c>
      <c r="H2013" s="16" t="n">
        <v>0.32</v>
      </c>
      <c r="I2013" s="1" t="s">
        <v>33</v>
      </c>
      <c r="J2013" s="1" t="n">
        <v>8</v>
      </c>
      <c r="K2013" s="1" t="n">
        <v>4.8</v>
      </c>
      <c r="L2013" s="15" t="n">
        <v>121.91</v>
      </c>
      <c r="M2013" s="15" t="n">
        <f aca="false">F2013*G2013</f>
        <v>179.28</v>
      </c>
      <c r="N2013" s="15" t="n">
        <f aca="false">M2013-L2013</f>
        <v>57.37</v>
      </c>
      <c r="O2013" s="1" t="n">
        <f aca="false">YEAR(B2013)</f>
        <v>2027</v>
      </c>
      <c r="P2013" s="1" t="n">
        <f aca="false">MONTH(B2013)</f>
        <v>7</v>
      </c>
      <c r="Q2013" s="1" t="str">
        <f aca="false">TEXT(B2013,"mmm")</f>
        <v>Jul</v>
      </c>
      <c r="R2013" s="1" t="str">
        <f aca="false">"Q"&amp;ROUNDUP(MONTH(B2013)/3,0)</f>
        <v>Q3</v>
      </c>
    </row>
    <row r="2014" customFormat="false" ht="15" hidden="false" customHeight="true" outlineLevel="0" collapsed="false">
      <c r="A2014" s="1" t="n">
        <v>12013</v>
      </c>
      <c r="B2014" s="14" t="n">
        <v>46574</v>
      </c>
      <c r="C2014" s="1" t="n">
        <v>1994</v>
      </c>
      <c r="D2014" s="1" t="s">
        <v>34</v>
      </c>
      <c r="E2014" s="1" t="s">
        <v>36</v>
      </c>
      <c r="F2014" s="1" t="n">
        <v>2</v>
      </c>
      <c r="G2014" s="15" t="n">
        <v>268.13</v>
      </c>
      <c r="H2014" s="16" t="n">
        <v>0.33</v>
      </c>
      <c r="I2014" s="1" t="s">
        <v>31</v>
      </c>
      <c r="J2014" s="1" t="n">
        <v>8</v>
      </c>
      <c r="K2014" s="1" t="n">
        <v>4.5</v>
      </c>
      <c r="L2014" s="15" t="n">
        <v>359.29</v>
      </c>
      <c r="M2014" s="15" t="n">
        <f aca="false">F2014*G2014</f>
        <v>536.26</v>
      </c>
      <c r="N2014" s="15" t="n">
        <f aca="false">M2014-L2014</f>
        <v>176.97</v>
      </c>
      <c r="O2014" s="1" t="n">
        <f aca="false">YEAR(B2014)</f>
        <v>2027</v>
      </c>
      <c r="P2014" s="1" t="n">
        <f aca="false">MONTH(B2014)</f>
        <v>7</v>
      </c>
      <c r="Q2014" s="1" t="str">
        <f aca="false">TEXT(B2014,"mmm")</f>
        <v>Jul</v>
      </c>
      <c r="R2014" s="1" t="str">
        <f aca="false">"Q"&amp;ROUNDUP(MONTH(B2014)/3,0)</f>
        <v>Q3</v>
      </c>
    </row>
    <row r="2015" customFormat="false" ht="15" hidden="false" customHeight="true" outlineLevel="0" collapsed="false">
      <c r="A2015" s="1" t="n">
        <v>12014</v>
      </c>
      <c r="B2015" s="14" t="n">
        <v>46575</v>
      </c>
      <c r="C2015" s="1" t="n">
        <v>1619</v>
      </c>
      <c r="D2015" s="1" t="s">
        <v>37</v>
      </c>
      <c r="E2015" s="1" t="s">
        <v>28</v>
      </c>
      <c r="F2015" s="1" t="n">
        <v>2</v>
      </c>
      <c r="G2015" s="15" t="n">
        <v>89.33</v>
      </c>
      <c r="H2015" s="16" t="n">
        <v>0.09</v>
      </c>
      <c r="I2015" s="1" t="s">
        <v>33</v>
      </c>
      <c r="J2015" s="1" t="n">
        <v>9</v>
      </c>
      <c r="K2015" s="1" t="n">
        <v>1.8</v>
      </c>
      <c r="L2015" s="15" t="n">
        <v>162.58</v>
      </c>
      <c r="M2015" s="15" t="n">
        <f aca="false">F2015*G2015</f>
        <v>178.66</v>
      </c>
      <c r="N2015" s="15" t="n">
        <f aca="false">M2015-L2015</f>
        <v>16.08</v>
      </c>
      <c r="O2015" s="1" t="n">
        <f aca="false">YEAR(B2015)</f>
        <v>2027</v>
      </c>
      <c r="P2015" s="1" t="n">
        <f aca="false">MONTH(B2015)</f>
        <v>7</v>
      </c>
      <c r="Q2015" s="1" t="str">
        <f aca="false">TEXT(B2015,"mmm")</f>
        <v>Jul</v>
      </c>
      <c r="R2015" s="1" t="str">
        <f aca="false">"Q"&amp;ROUNDUP(MONTH(B2015)/3,0)</f>
        <v>Q3</v>
      </c>
    </row>
    <row r="2016" customFormat="false" ht="15" hidden="false" customHeight="true" outlineLevel="0" collapsed="false">
      <c r="A2016" s="1" t="n">
        <v>12015</v>
      </c>
      <c r="B2016" s="14" t="n">
        <v>46576</v>
      </c>
      <c r="C2016" s="1" t="n">
        <v>1187</v>
      </c>
      <c r="D2016" s="1" t="s">
        <v>37</v>
      </c>
      <c r="E2016" s="1" t="s">
        <v>32</v>
      </c>
      <c r="F2016" s="1" t="n">
        <v>7</v>
      </c>
      <c r="G2016" s="15" t="n">
        <v>308.98</v>
      </c>
      <c r="H2016" s="16" t="n">
        <v>0.26</v>
      </c>
      <c r="I2016" s="1" t="s">
        <v>33</v>
      </c>
      <c r="J2016" s="1" t="n">
        <v>8</v>
      </c>
      <c r="K2016" s="1" t="n">
        <v>1.1</v>
      </c>
      <c r="L2016" s="15" t="n">
        <v>1600.52</v>
      </c>
      <c r="M2016" s="15" t="n">
        <f aca="false">F2016*G2016</f>
        <v>2162.86</v>
      </c>
      <c r="N2016" s="15" t="n">
        <f aca="false">M2016-L2016</f>
        <v>562.34</v>
      </c>
      <c r="O2016" s="1" t="n">
        <f aca="false">YEAR(B2016)</f>
        <v>2027</v>
      </c>
      <c r="P2016" s="1" t="n">
        <f aca="false">MONTH(B2016)</f>
        <v>7</v>
      </c>
      <c r="Q2016" s="1" t="str">
        <f aca="false">TEXT(B2016,"mmm")</f>
        <v>Jul</v>
      </c>
      <c r="R2016" s="1" t="str">
        <f aca="false">"Q"&amp;ROUNDUP(MONTH(B2016)/3,0)</f>
        <v>Q3</v>
      </c>
    </row>
    <row r="2017" customFormat="false" ht="15" hidden="false" customHeight="true" outlineLevel="0" collapsed="false">
      <c r="A2017" s="1" t="n">
        <v>12016</v>
      </c>
      <c r="B2017" s="14" t="n">
        <v>46577</v>
      </c>
      <c r="C2017" s="1" t="n">
        <v>1812</v>
      </c>
      <c r="D2017" s="1" t="s">
        <v>37</v>
      </c>
      <c r="E2017" s="1" t="s">
        <v>36</v>
      </c>
      <c r="F2017" s="1" t="n">
        <v>6</v>
      </c>
      <c r="G2017" s="15" t="n">
        <v>343.35</v>
      </c>
      <c r="H2017" s="16" t="n">
        <v>0.08</v>
      </c>
      <c r="I2017" s="1" t="s">
        <v>31</v>
      </c>
      <c r="J2017" s="1" t="n">
        <v>5</v>
      </c>
      <c r="K2017" s="1" t="n">
        <v>4.7</v>
      </c>
      <c r="L2017" s="15" t="n">
        <v>1895.29</v>
      </c>
      <c r="M2017" s="15" t="n">
        <f aca="false">F2017*G2017</f>
        <v>2060.1</v>
      </c>
      <c r="N2017" s="15" t="n">
        <f aca="false">M2017-L2017</f>
        <v>164.81</v>
      </c>
      <c r="O2017" s="1" t="n">
        <f aca="false">YEAR(B2017)</f>
        <v>2027</v>
      </c>
      <c r="P2017" s="1" t="n">
        <f aca="false">MONTH(B2017)</f>
        <v>7</v>
      </c>
      <c r="Q2017" s="1" t="str">
        <f aca="false">TEXT(B2017,"mmm")</f>
        <v>Jul</v>
      </c>
      <c r="R2017" s="1" t="str">
        <f aca="false">"Q"&amp;ROUNDUP(MONTH(B2017)/3,0)</f>
        <v>Q3</v>
      </c>
    </row>
    <row r="2018" customFormat="false" ht="15" hidden="false" customHeight="true" outlineLevel="0" collapsed="false">
      <c r="A2018" s="1" t="n">
        <v>12017</v>
      </c>
      <c r="B2018" s="14" t="n">
        <v>46578</v>
      </c>
      <c r="C2018" s="1" t="n">
        <v>1097</v>
      </c>
      <c r="D2018" s="1" t="s">
        <v>27</v>
      </c>
      <c r="E2018" s="1" t="s">
        <v>28</v>
      </c>
      <c r="F2018" s="1" t="n">
        <v>4</v>
      </c>
      <c r="G2018" s="15" t="n">
        <v>212.59</v>
      </c>
      <c r="H2018" s="16" t="n">
        <v>0.26</v>
      </c>
      <c r="I2018" s="1" t="s">
        <v>31</v>
      </c>
      <c r="J2018" s="1" t="n">
        <v>5</v>
      </c>
      <c r="K2018" s="1" t="n">
        <v>2.4</v>
      </c>
      <c r="L2018" s="15" t="n">
        <v>629.27</v>
      </c>
      <c r="M2018" s="15" t="n">
        <f aca="false">F2018*G2018</f>
        <v>850.36</v>
      </c>
      <c r="N2018" s="15" t="n">
        <f aca="false">M2018-L2018</f>
        <v>221.09</v>
      </c>
      <c r="O2018" s="1" t="n">
        <f aca="false">YEAR(B2018)</f>
        <v>2027</v>
      </c>
      <c r="P2018" s="1" t="n">
        <f aca="false">MONTH(B2018)</f>
        <v>7</v>
      </c>
      <c r="Q2018" s="1" t="str">
        <f aca="false">TEXT(B2018,"mmm")</f>
        <v>Jul</v>
      </c>
      <c r="R2018" s="1" t="str">
        <f aca="false">"Q"&amp;ROUNDUP(MONTH(B2018)/3,0)</f>
        <v>Q3</v>
      </c>
    </row>
    <row r="2019" customFormat="false" ht="15" hidden="false" customHeight="true" outlineLevel="0" collapsed="false">
      <c r="A2019" s="1" t="n">
        <v>12018</v>
      </c>
      <c r="B2019" s="14" t="n">
        <v>46579</v>
      </c>
      <c r="C2019" s="1" t="n">
        <v>1130</v>
      </c>
      <c r="D2019" s="1" t="s">
        <v>30</v>
      </c>
      <c r="E2019" s="1" t="s">
        <v>35</v>
      </c>
      <c r="F2019" s="1" t="n">
        <v>7</v>
      </c>
      <c r="G2019" s="15" t="n">
        <v>56.92</v>
      </c>
      <c r="H2019" s="16" t="n">
        <v>0.28</v>
      </c>
      <c r="I2019" s="1" t="s">
        <v>31</v>
      </c>
      <c r="J2019" s="1" t="n">
        <v>3</v>
      </c>
      <c r="K2019" s="1" t="n">
        <v>2.2</v>
      </c>
      <c r="L2019" s="15" t="n">
        <v>286.88</v>
      </c>
      <c r="M2019" s="15" t="n">
        <f aca="false">F2019*G2019</f>
        <v>398.44</v>
      </c>
      <c r="N2019" s="15" t="n">
        <f aca="false">M2019-L2019</f>
        <v>111.56</v>
      </c>
      <c r="O2019" s="1" t="n">
        <f aca="false">YEAR(B2019)</f>
        <v>2027</v>
      </c>
      <c r="P2019" s="1" t="n">
        <f aca="false">MONTH(B2019)</f>
        <v>7</v>
      </c>
      <c r="Q2019" s="1" t="str">
        <f aca="false">TEXT(B2019,"mmm")</f>
        <v>Jul</v>
      </c>
      <c r="R2019" s="1" t="str">
        <f aca="false">"Q"&amp;ROUNDUP(MONTH(B2019)/3,0)</f>
        <v>Q3</v>
      </c>
    </row>
    <row r="2020" customFormat="false" ht="15" hidden="false" customHeight="true" outlineLevel="0" collapsed="false">
      <c r="A2020" s="1" t="n">
        <v>12019</v>
      </c>
      <c r="B2020" s="14" t="n">
        <v>46580</v>
      </c>
      <c r="C2020" s="1" t="n">
        <v>1804</v>
      </c>
      <c r="D2020" s="1" t="s">
        <v>34</v>
      </c>
      <c r="E2020" s="1" t="s">
        <v>36</v>
      </c>
      <c r="F2020" s="1" t="n">
        <v>6</v>
      </c>
      <c r="G2020" s="15" t="n">
        <v>566.95</v>
      </c>
      <c r="H2020" s="16" t="n">
        <v>0.09</v>
      </c>
      <c r="I2020" s="1" t="s">
        <v>29</v>
      </c>
      <c r="J2020" s="1" t="n">
        <v>6</v>
      </c>
      <c r="K2020" s="1" t="n">
        <v>2</v>
      </c>
      <c r="L2020" s="15" t="n">
        <v>3095.55</v>
      </c>
      <c r="M2020" s="15" t="n">
        <f aca="false">F2020*G2020</f>
        <v>3401.7</v>
      </c>
      <c r="N2020" s="15" t="n">
        <f aca="false">M2020-L2020</f>
        <v>306.15</v>
      </c>
      <c r="O2020" s="1" t="n">
        <f aca="false">YEAR(B2020)</f>
        <v>2027</v>
      </c>
      <c r="P2020" s="1" t="n">
        <f aca="false">MONTH(B2020)</f>
        <v>7</v>
      </c>
      <c r="Q2020" s="1" t="str">
        <f aca="false">TEXT(B2020,"mmm")</f>
        <v>Jul</v>
      </c>
      <c r="R2020" s="1" t="str">
        <f aca="false">"Q"&amp;ROUNDUP(MONTH(B2020)/3,0)</f>
        <v>Q3</v>
      </c>
    </row>
    <row r="2021" customFormat="false" ht="15" hidden="false" customHeight="true" outlineLevel="0" collapsed="false">
      <c r="A2021" s="1" t="n">
        <v>12020</v>
      </c>
      <c r="B2021" s="14" t="n">
        <v>46581</v>
      </c>
      <c r="C2021" s="1" t="n">
        <v>1170</v>
      </c>
      <c r="D2021" s="1" t="s">
        <v>37</v>
      </c>
      <c r="E2021" s="1" t="s">
        <v>36</v>
      </c>
      <c r="F2021" s="1" t="n">
        <v>2</v>
      </c>
      <c r="G2021" s="15" t="n">
        <v>467.41</v>
      </c>
      <c r="H2021" s="16" t="n">
        <v>0.25</v>
      </c>
      <c r="I2021" s="1" t="s">
        <v>33</v>
      </c>
      <c r="J2021" s="1" t="n">
        <v>10</v>
      </c>
      <c r="K2021" s="1" t="n">
        <v>2</v>
      </c>
      <c r="L2021" s="15" t="n">
        <v>701.12</v>
      </c>
      <c r="M2021" s="15" t="n">
        <f aca="false">F2021*G2021</f>
        <v>934.82</v>
      </c>
      <c r="N2021" s="15" t="n">
        <f aca="false">M2021-L2021</f>
        <v>233.7</v>
      </c>
      <c r="O2021" s="1" t="n">
        <f aca="false">YEAR(B2021)</f>
        <v>2027</v>
      </c>
      <c r="P2021" s="1" t="n">
        <f aca="false">MONTH(B2021)</f>
        <v>7</v>
      </c>
      <c r="Q2021" s="1" t="str">
        <f aca="false">TEXT(B2021,"mmm")</f>
        <v>Jul</v>
      </c>
      <c r="R2021" s="1" t="str">
        <f aca="false">"Q"&amp;ROUNDUP(MONTH(B2021)/3,0)</f>
        <v>Q3</v>
      </c>
    </row>
    <row r="2022" customFormat="false" ht="15" hidden="false" customHeight="true" outlineLevel="0" collapsed="false">
      <c r="A2022" s="1" t="n">
        <v>12021</v>
      </c>
      <c r="B2022" s="14" t="n">
        <v>46582</v>
      </c>
      <c r="C2022" s="1" t="n">
        <v>1935</v>
      </c>
      <c r="D2022" s="1" t="s">
        <v>37</v>
      </c>
      <c r="E2022" s="1" t="s">
        <v>35</v>
      </c>
      <c r="F2022" s="1" t="n">
        <v>5</v>
      </c>
      <c r="G2022" s="15" t="n">
        <v>505.75</v>
      </c>
      <c r="H2022" s="16" t="n">
        <v>0.28</v>
      </c>
      <c r="I2022" s="1" t="s">
        <v>29</v>
      </c>
      <c r="J2022" s="1" t="n">
        <v>3</v>
      </c>
      <c r="K2022" s="1" t="n">
        <v>3.9</v>
      </c>
      <c r="L2022" s="15" t="n">
        <v>1820.7</v>
      </c>
      <c r="M2022" s="15" t="n">
        <f aca="false">F2022*G2022</f>
        <v>2528.75</v>
      </c>
      <c r="N2022" s="15" t="n">
        <f aca="false">M2022-L2022</f>
        <v>708.05</v>
      </c>
      <c r="O2022" s="1" t="n">
        <f aca="false">YEAR(B2022)</f>
        <v>2027</v>
      </c>
      <c r="P2022" s="1" t="n">
        <f aca="false">MONTH(B2022)</f>
        <v>7</v>
      </c>
      <c r="Q2022" s="1" t="str">
        <f aca="false">TEXT(B2022,"mmm")</f>
        <v>Jul</v>
      </c>
      <c r="R2022" s="1" t="str">
        <f aca="false">"Q"&amp;ROUNDUP(MONTH(B2022)/3,0)</f>
        <v>Q3</v>
      </c>
    </row>
    <row r="2023" customFormat="false" ht="15" hidden="false" customHeight="true" outlineLevel="0" collapsed="false">
      <c r="A2023" s="1" t="n">
        <v>12022</v>
      </c>
      <c r="B2023" s="14" t="n">
        <v>46583</v>
      </c>
      <c r="C2023" s="1" t="n">
        <v>1985</v>
      </c>
      <c r="D2023" s="1" t="s">
        <v>30</v>
      </c>
      <c r="E2023" s="1" t="s">
        <v>35</v>
      </c>
      <c r="F2023" s="1" t="n">
        <v>3</v>
      </c>
      <c r="G2023" s="15" t="n">
        <v>229.62</v>
      </c>
      <c r="H2023" s="16" t="n">
        <v>0.13</v>
      </c>
      <c r="I2023" s="1" t="s">
        <v>31</v>
      </c>
      <c r="J2023" s="1" t="n">
        <v>2</v>
      </c>
      <c r="K2023" s="1" t="n">
        <v>4.6</v>
      </c>
      <c r="L2023" s="15" t="n">
        <v>599.31</v>
      </c>
      <c r="M2023" s="15" t="n">
        <f aca="false">F2023*G2023</f>
        <v>688.86</v>
      </c>
      <c r="N2023" s="15" t="n">
        <f aca="false">M2023-L2023</f>
        <v>89.5500000000001</v>
      </c>
      <c r="O2023" s="1" t="n">
        <f aca="false">YEAR(B2023)</f>
        <v>2027</v>
      </c>
      <c r="P2023" s="1" t="n">
        <f aca="false">MONTH(B2023)</f>
        <v>7</v>
      </c>
      <c r="Q2023" s="1" t="str">
        <f aca="false">TEXT(B2023,"mmm")</f>
        <v>Jul</v>
      </c>
      <c r="R2023" s="1" t="str">
        <f aca="false">"Q"&amp;ROUNDUP(MONTH(B2023)/3,0)</f>
        <v>Q3</v>
      </c>
    </row>
    <row r="2024" customFormat="false" ht="15" hidden="false" customHeight="true" outlineLevel="0" collapsed="false">
      <c r="A2024" s="1" t="n">
        <v>12023</v>
      </c>
      <c r="B2024" s="14" t="n">
        <v>46584</v>
      </c>
      <c r="C2024" s="1" t="n">
        <v>1182</v>
      </c>
      <c r="D2024" s="1" t="s">
        <v>34</v>
      </c>
      <c r="E2024" s="1" t="s">
        <v>28</v>
      </c>
      <c r="F2024" s="1" t="n">
        <v>6</v>
      </c>
      <c r="G2024" s="15" t="n">
        <v>460.09</v>
      </c>
      <c r="H2024" s="16" t="n">
        <v>0.06</v>
      </c>
      <c r="I2024" s="1" t="s">
        <v>31</v>
      </c>
      <c r="J2024" s="1" t="n">
        <v>7</v>
      </c>
      <c r="K2024" s="1" t="n">
        <v>4.1</v>
      </c>
      <c r="L2024" s="15" t="n">
        <v>2594.91</v>
      </c>
      <c r="M2024" s="15" t="n">
        <f aca="false">F2024*G2024</f>
        <v>2760.54</v>
      </c>
      <c r="N2024" s="15" t="n">
        <f aca="false">M2024-L2024</f>
        <v>165.63</v>
      </c>
      <c r="O2024" s="1" t="n">
        <f aca="false">YEAR(B2024)</f>
        <v>2027</v>
      </c>
      <c r="P2024" s="1" t="n">
        <f aca="false">MONTH(B2024)</f>
        <v>7</v>
      </c>
      <c r="Q2024" s="1" t="str">
        <f aca="false">TEXT(B2024,"mmm")</f>
        <v>Jul</v>
      </c>
      <c r="R2024" s="1" t="str">
        <f aca="false">"Q"&amp;ROUNDUP(MONTH(B2024)/3,0)</f>
        <v>Q3</v>
      </c>
    </row>
    <row r="2025" customFormat="false" ht="15" hidden="false" customHeight="true" outlineLevel="0" collapsed="false">
      <c r="A2025" s="1" t="n">
        <v>12024</v>
      </c>
      <c r="B2025" s="14" t="n">
        <v>46585</v>
      </c>
      <c r="C2025" s="1" t="n">
        <v>1982</v>
      </c>
      <c r="D2025" s="1" t="s">
        <v>30</v>
      </c>
      <c r="E2025" s="1" t="s">
        <v>28</v>
      </c>
      <c r="F2025" s="1" t="n">
        <v>5</v>
      </c>
      <c r="G2025" s="15" t="n">
        <v>298.94</v>
      </c>
      <c r="H2025" s="16" t="n">
        <v>0.03</v>
      </c>
      <c r="I2025" s="1" t="s">
        <v>31</v>
      </c>
      <c r="J2025" s="1" t="n">
        <v>10</v>
      </c>
      <c r="K2025" s="1" t="n">
        <v>3.7</v>
      </c>
      <c r="L2025" s="15" t="n">
        <v>1449.86</v>
      </c>
      <c r="M2025" s="15" t="n">
        <f aca="false">F2025*G2025</f>
        <v>1494.7</v>
      </c>
      <c r="N2025" s="15" t="n">
        <f aca="false">M2025-L2025</f>
        <v>44.8400000000001</v>
      </c>
      <c r="O2025" s="1" t="n">
        <f aca="false">YEAR(B2025)</f>
        <v>2027</v>
      </c>
      <c r="P2025" s="1" t="n">
        <f aca="false">MONTH(B2025)</f>
        <v>7</v>
      </c>
      <c r="Q2025" s="1" t="str">
        <f aca="false">TEXT(B2025,"mmm")</f>
        <v>Jul</v>
      </c>
      <c r="R2025" s="1" t="str">
        <f aca="false">"Q"&amp;ROUNDUP(MONTH(B2025)/3,0)</f>
        <v>Q3</v>
      </c>
    </row>
    <row r="2026" customFormat="false" ht="15" hidden="false" customHeight="true" outlineLevel="0" collapsed="false">
      <c r="A2026" s="1" t="n">
        <v>12025</v>
      </c>
      <c r="B2026" s="14" t="n">
        <v>46586</v>
      </c>
      <c r="C2026" s="1" t="n">
        <v>1363</v>
      </c>
      <c r="D2026" s="1" t="s">
        <v>34</v>
      </c>
      <c r="E2026" s="1" t="s">
        <v>32</v>
      </c>
      <c r="F2026" s="1" t="n">
        <v>7</v>
      </c>
      <c r="G2026" s="15" t="n">
        <v>132.63</v>
      </c>
      <c r="H2026" s="16" t="n">
        <v>0.2</v>
      </c>
      <c r="I2026" s="1" t="s">
        <v>31</v>
      </c>
      <c r="J2026" s="1" t="n">
        <v>3</v>
      </c>
      <c r="K2026" s="1" t="n">
        <v>2.2</v>
      </c>
      <c r="L2026" s="15" t="n">
        <v>742.73</v>
      </c>
      <c r="M2026" s="15" t="n">
        <f aca="false">F2026*G2026</f>
        <v>928.41</v>
      </c>
      <c r="N2026" s="15" t="n">
        <f aca="false">M2026-L2026</f>
        <v>185.68</v>
      </c>
      <c r="O2026" s="1" t="n">
        <f aca="false">YEAR(B2026)</f>
        <v>2027</v>
      </c>
      <c r="P2026" s="1" t="n">
        <f aca="false">MONTH(B2026)</f>
        <v>7</v>
      </c>
      <c r="Q2026" s="1" t="str">
        <f aca="false">TEXT(B2026,"mmm")</f>
        <v>Jul</v>
      </c>
      <c r="R2026" s="1" t="str">
        <f aca="false">"Q"&amp;ROUNDUP(MONTH(B2026)/3,0)</f>
        <v>Q3</v>
      </c>
    </row>
    <row r="2027" customFormat="false" ht="15" hidden="false" customHeight="true" outlineLevel="0" collapsed="false">
      <c r="A2027" s="1" t="n">
        <v>12026</v>
      </c>
      <c r="B2027" s="14" t="n">
        <v>46587</v>
      </c>
      <c r="C2027" s="1" t="n">
        <v>1038</v>
      </c>
      <c r="D2027" s="1" t="s">
        <v>30</v>
      </c>
      <c r="E2027" s="1" t="s">
        <v>32</v>
      </c>
      <c r="F2027" s="1" t="n">
        <v>7</v>
      </c>
      <c r="G2027" s="15" t="n">
        <v>87.79</v>
      </c>
      <c r="H2027" s="16" t="n">
        <v>0.34</v>
      </c>
      <c r="I2027" s="1" t="s">
        <v>33</v>
      </c>
      <c r="J2027" s="1" t="n">
        <v>4</v>
      </c>
      <c r="K2027" s="1" t="n">
        <v>3.2</v>
      </c>
      <c r="L2027" s="15" t="n">
        <v>405.59</v>
      </c>
      <c r="M2027" s="15" t="n">
        <f aca="false">F2027*G2027</f>
        <v>614.53</v>
      </c>
      <c r="N2027" s="15" t="n">
        <f aca="false">M2027-L2027</f>
        <v>208.94</v>
      </c>
      <c r="O2027" s="1" t="n">
        <f aca="false">YEAR(B2027)</f>
        <v>2027</v>
      </c>
      <c r="P2027" s="1" t="n">
        <f aca="false">MONTH(B2027)</f>
        <v>7</v>
      </c>
      <c r="Q2027" s="1" t="str">
        <f aca="false">TEXT(B2027,"mmm")</f>
        <v>Jul</v>
      </c>
      <c r="R2027" s="1" t="str">
        <f aca="false">"Q"&amp;ROUNDUP(MONTH(B2027)/3,0)</f>
        <v>Q3</v>
      </c>
    </row>
    <row r="2028" customFormat="false" ht="15" hidden="false" customHeight="true" outlineLevel="0" collapsed="false">
      <c r="A2028" s="1" t="n">
        <v>12027</v>
      </c>
      <c r="B2028" s="14" t="n">
        <v>46588</v>
      </c>
      <c r="C2028" s="1" t="n">
        <v>1526</v>
      </c>
      <c r="D2028" s="1" t="s">
        <v>30</v>
      </c>
      <c r="E2028" s="1" t="s">
        <v>36</v>
      </c>
      <c r="F2028" s="1" t="n">
        <v>2</v>
      </c>
      <c r="G2028" s="15" t="n">
        <v>216.85</v>
      </c>
      <c r="H2028" s="16" t="n">
        <v>0.29</v>
      </c>
      <c r="I2028" s="1" t="s">
        <v>29</v>
      </c>
      <c r="J2028" s="1" t="n">
        <v>11</v>
      </c>
      <c r="K2028" s="1" t="n">
        <v>1.9</v>
      </c>
      <c r="L2028" s="15" t="n">
        <v>307.93</v>
      </c>
      <c r="M2028" s="15" t="n">
        <f aca="false">F2028*G2028</f>
        <v>433.7</v>
      </c>
      <c r="N2028" s="15" t="n">
        <f aca="false">M2028-L2028</f>
        <v>125.77</v>
      </c>
      <c r="O2028" s="1" t="n">
        <f aca="false">YEAR(B2028)</f>
        <v>2027</v>
      </c>
      <c r="P2028" s="1" t="n">
        <f aca="false">MONTH(B2028)</f>
        <v>7</v>
      </c>
      <c r="Q2028" s="1" t="str">
        <f aca="false">TEXT(B2028,"mmm")</f>
        <v>Jul</v>
      </c>
      <c r="R2028" s="1" t="str">
        <f aca="false">"Q"&amp;ROUNDUP(MONTH(B2028)/3,0)</f>
        <v>Q3</v>
      </c>
    </row>
    <row r="2029" customFormat="false" ht="15" hidden="false" customHeight="true" outlineLevel="0" collapsed="false">
      <c r="A2029" s="1" t="n">
        <v>12028</v>
      </c>
      <c r="B2029" s="14" t="n">
        <v>46589</v>
      </c>
      <c r="C2029" s="1" t="n">
        <v>1887</v>
      </c>
      <c r="D2029" s="1" t="s">
        <v>37</v>
      </c>
      <c r="E2029" s="1" t="s">
        <v>35</v>
      </c>
      <c r="F2029" s="1" t="n">
        <v>3</v>
      </c>
      <c r="G2029" s="15" t="n">
        <v>95.47</v>
      </c>
      <c r="H2029" s="16" t="n">
        <v>0.15</v>
      </c>
      <c r="I2029" s="1" t="s">
        <v>31</v>
      </c>
      <c r="J2029" s="1" t="n">
        <v>10</v>
      </c>
      <c r="K2029" s="1" t="n">
        <v>1.4</v>
      </c>
      <c r="L2029" s="15" t="n">
        <v>243.45</v>
      </c>
      <c r="M2029" s="15" t="n">
        <f aca="false">F2029*G2029</f>
        <v>286.41</v>
      </c>
      <c r="N2029" s="15" t="n">
        <f aca="false">M2029-L2029</f>
        <v>42.96</v>
      </c>
      <c r="O2029" s="1" t="n">
        <f aca="false">YEAR(B2029)</f>
        <v>2027</v>
      </c>
      <c r="P2029" s="1" t="n">
        <f aca="false">MONTH(B2029)</f>
        <v>7</v>
      </c>
      <c r="Q2029" s="1" t="str">
        <f aca="false">TEXT(B2029,"mmm")</f>
        <v>Jul</v>
      </c>
      <c r="R2029" s="1" t="str">
        <f aca="false">"Q"&amp;ROUNDUP(MONTH(B2029)/3,0)</f>
        <v>Q3</v>
      </c>
    </row>
    <row r="2030" customFormat="false" ht="15" hidden="false" customHeight="true" outlineLevel="0" collapsed="false">
      <c r="A2030" s="1" t="n">
        <v>12029</v>
      </c>
      <c r="B2030" s="14" t="n">
        <v>46590</v>
      </c>
      <c r="C2030" s="1" t="n">
        <v>1496</v>
      </c>
      <c r="D2030" s="1" t="s">
        <v>34</v>
      </c>
      <c r="E2030" s="1" t="s">
        <v>35</v>
      </c>
      <c r="F2030" s="1" t="n">
        <v>1</v>
      </c>
      <c r="G2030" s="15" t="n">
        <v>598.99</v>
      </c>
      <c r="H2030" s="16" t="n">
        <v>0.19</v>
      </c>
      <c r="I2030" s="1" t="s">
        <v>29</v>
      </c>
      <c r="J2030" s="1" t="n">
        <v>8</v>
      </c>
      <c r="K2030" s="1" t="n">
        <v>1.5</v>
      </c>
      <c r="L2030" s="15" t="n">
        <v>485.18</v>
      </c>
      <c r="M2030" s="15" t="n">
        <f aca="false">F2030*G2030</f>
        <v>598.99</v>
      </c>
      <c r="N2030" s="15" t="n">
        <f aca="false">M2030-L2030</f>
        <v>113.81</v>
      </c>
      <c r="O2030" s="1" t="n">
        <f aca="false">YEAR(B2030)</f>
        <v>2027</v>
      </c>
      <c r="P2030" s="1" t="n">
        <f aca="false">MONTH(B2030)</f>
        <v>7</v>
      </c>
      <c r="Q2030" s="1" t="str">
        <f aca="false">TEXT(B2030,"mmm")</f>
        <v>Jul</v>
      </c>
      <c r="R2030" s="1" t="str">
        <f aca="false">"Q"&amp;ROUNDUP(MONTH(B2030)/3,0)</f>
        <v>Q3</v>
      </c>
    </row>
    <row r="2031" customFormat="false" ht="15" hidden="false" customHeight="true" outlineLevel="0" collapsed="false">
      <c r="A2031" s="1" t="n">
        <v>12030</v>
      </c>
      <c r="B2031" s="14" t="n">
        <v>46591</v>
      </c>
      <c r="C2031" s="1" t="n">
        <v>1515</v>
      </c>
      <c r="D2031" s="1" t="s">
        <v>30</v>
      </c>
      <c r="E2031" s="1" t="s">
        <v>32</v>
      </c>
      <c r="F2031" s="1" t="n">
        <v>1</v>
      </c>
      <c r="G2031" s="15" t="n">
        <v>43.78</v>
      </c>
      <c r="H2031" s="16" t="n">
        <v>0.1</v>
      </c>
      <c r="I2031" s="1" t="s">
        <v>31</v>
      </c>
      <c r="J2031" s="1" t="n">
        <v>1</v>
      </c>
      <c r="K2031" s="1" t="n">
        <v>3.4</v>
      </c>
      <c r="L2031" s="15" t="n">
        <v>39.4</v>
      </c>
      <c r="M2031" s="15" t="n">
        <f aca="false">F2031*G2031</f>
        <v>43.78</v>
      </c>
      <c r="N2031" s="15" t="n">
        <f aca="false">M2031-L2031</f>
        <v>4.38</v>
      </c>
      <c r="O2031" s="1" t="n">
        <f aca="false">YEAR(B2031)</f>
        <v>2027</v>
      </c>
      <c r="P2031" s="1" t="n">
        <f aca="false">MONTH(B2031)</f>
        <v>7</v>
      </c>
      <c r="Q2031" s="1" t="str">
        <f aca="false">TEXT(B2031,"mmm")</f>
        <v>Jul</v>
      </c>
      <c r="R2031" s="1" t="str">
        <f aca="false">"Q"&amp;ROUNDUP(MONTH(B2031)/3,0)</f>
        <v>Q3</v>
      </c>
    </row>
    <row r="2032" customFormat="false" ht="15" hidden="false" customHeight="true" outlineLevel="0" collapsed="false">
      <c r="A2032" s="1" t="n">
        <v>12031</v>
      </c>
      <c r="B2032" s="14" t="n">
        <v>46592</v>
      </c>
      <c r="C2032" s="1" t="n">
        <v>1348</v>
      </c>
      <c r="D2032" s="1" t="s">
        <v>34</v>
      </c>
      <c r="E2032" s="1" t="s">
        <v>36</v>
      </c>
      <c r="F2032" s="1" t="n">
        <v>7</v>
      </c>
      <c r="G2032" s="15" t="n">
        <v>273.07</v>
      </c>
      <c r="H2032" s="16" t="n">
        <v>0.06</v>
      </c>
      <c r="I2032" s="1" t="s">
        <v>29</v>
      </c>
      <c r="J2032" s="1" t="n">
        <v>9</v>
      </c>
      <c r="K2032" s="1" t="n">
        <v>1.2</v>
      </c>
      <c r="L2032" s="15" t="n">
        <v>1796.8</v>
      </c>
      <c r="M2032" s="15" t="n">
        <f aca="false">F2032*G2032</f>
        <v>1911.49</v>
      </c>
      <c r="N2032" s="15" t="n">
        <f aca="false">M2032-L2032</f>
        <v>114.69</v>
      </c>
      <c r="O2032" s="1" t="n">
        <f aca="false">YEAR(B2032)</f>
        <v>2027</v>
      </c>
      <c r="P2032" s="1" t="n">
        <f aca="false">MONTH(B2032)</f>
        <v>7</v>
      </c>
      <c r="Q2032" s="1" t="str">
        <f aca="false">TEXT(B2032,"mmm")</f>
        <v>Jul</v>
      </c>
      <c r="R2032" s="1" t="str">
        <f aca="false">"Q"&amp;ROUNDUP(MONTH(B2032)/3,0)</f>
        <v>Q3</v>
      </c>
    </row>
    <row r="2033" customFormat="false" ht="15" hidden="false" customHeight="true" outlineLevel="0" collapsed="false">
      <c r="A2033" s="1" t="n">
        <v>12032</v>
      </c>
      <c r="B2033" s="14" t="n">
        <v>46593</v>
      </c>
      <c r="C2033" s="1" t="n">
        <v>1981</v>
      </c>
      <c r="D2033" s="1" t="s">
        <v>34</v>
      </c>
      <c r="E2033" s="1" t="s">
        <v>36</v>
      </c>
      <c r="F2033" s="1" t="n">
        <v>5</v>
      </c>
      <c r="G2033" s="15" t="n">
        <v>279.47</v>
      </c>
      <c r="H2033" s="16" t="n">
        <v>0.17</v>
      </c>
      <c r="I2033" s="1" t="s">
        <v>31</v>
      </c>
      <c r="J2033" s="1" t="n">
        <v>6</v>
      </c>
      <c r="K2033" s="1" t="n">
        <v>4.9</v>
      </c>
      <c r="L2033" s="15" t="n">
        <v>1159.8</v>
      </c>
      <c r="M2033" s="15" t="n">
        <f aca="false">F2033*G2033</f>
        <v>1397.35</v>
      </c>
      <c r="N2033" s="15" t="n">
        <f aca="false">M2033-L2033</f>
        <v>237.55</v>
      </c>
      <c r="O2033" s="1" t="n">
        <f aca="false">YEAR(B2033)</f>
        <v>2027</v>
      </c>
      <c r="P2033" s="1" t="n">
        <f aca="false">MONTH(B2033)</f>
        <v>7</v>
      </c>
      <c r="Q2033" s="1" t="str">
        <f aca="false">TEXT(B2033,"mmm")</f>
        <v>Jul</v>
      </c>
      <c r="R2033" s="1" t="str">
        <f aca="false">"Q"&amp;ROUNDUP(MONTH(B2033)/3,0)</f>
        <v>Q3</v>
      </c>
    </row>
    <row r="2034" customFormat="false" ht="15" hidden="false" customHeight="true" outlineLevel="0" collapsed="false">
      <c r="A2034" s="1" t="n">
        <v>12033</v>
      </c>
      <c r="B2034" s="14" t="n">
        <v>46594</v>
      </c>
      <c r="C2034" s="1" t="n">
        <v>1920</v>
      </c>
      <c r="D2034" s="1" t="s">
        <v>37</v>
      </c>
      <c r="E2034" s="1" t="s">
        <v>32</v>
      </c>
      <c r="F2034" s="1" t="n">
        <v>3</v>
      </c>
      <c r="G2034" s="15" t="n">
        <v>190.87</v>
      </c>
      <c r="H2034" s="16" t="n">
        <v>0.16</v>
      </c>
      <c r="I2034" s="1" t="s">
        <v>29</v>
      </c>
      <c r="J2034" s="1" t="n">
        <v>2</v>
      </c>
      <c r="K2034" s="1" t="n">
        <v>5</v>
      </c>
      <c r="L2034" s="15" t="n">
        <v>480.99</v>
      </c>
      <c r="M2034" s="15" t="n">
        <f aca="false">F2034*G2034</f>
        <v>572.61</v>
      </c>
      <c r="N2034" s="15" t="n">
        <f aca="false">M2034-L2034</f>
        <v>91.62</v>
      </c>
      <c r="O2034" s="1" t="n">
        <f aca="false">YEAR(B2034)</f>
        <v>2027</v>
      </c>
      <c r="P2034" s="1" t="n">
        <f aca="false">MONTH(B2034)</f>
        <v>7</v>
      </c>
      <c r="Q2034" s="1" t="str">
        <f aca="false">TEXT(B2034,"mmm")</f>
        <v>Jul</v>
      </c>
      <c r="R2034" s="1" t="str">
        <f aca="false">"Q"&amp;ROUNDUP(MONTH(B2034)/3,0)</f>
        <v>Q3</v>
      </c>
    </row>
    <row r="2035" customFormat="false" ht="15" hidden="false" customHeight="true" outlineLevel="0" collapsed="false">
      <c r="A2035" s="1" t="n">
        <v>12034</v>
      </c>
      <c r="B2035" s="14" t="n">
        <v>46595</v>
      </c>
      <c r="C2035" s="1" t="n">
        <v>1396</v>
      </c>
      <c r="D2035" s="1" t="s">
        <v>27</v>
      </c>
      <c r="E2035" s="1" t="s">
        <v>32</v>
      </c>
      <c r="F2035" s="1" t="n">
        <v>5</v>
      </c>
      <c r="G2035" s="15" t="n">
        <v>349.24</v>
      </c>
      <c r="H2035" s="16" t="n">
        <v>0.18</v>
      </c>
      <c r="I2035" s="1" t="s">
        <v>31</v>
      </c>
      <c r="J2035" s="1" t="n">
        <v>3</v>
      </c>
      <c r="K2035" s="1" t="n">
        <v>1.6</v>
      </c>
      <c r="L2035" s="15" t="n">
        <v>1431.88</v>
      </c>
      <c r="M2035" s="15" t="n">
        <f aca="false">F2035*G2035</f>
        <v>1746.2</v>
      </c>
      <c r="N2035" s="15" t="n">
        <f aca="false">M2035-L2035</f>
        <v>314.32</v>
      </c>
      <c r="O2035" s="1" t="n">
        <f aca="false">YEAR(B2035)</f>
        <v>2027</v>
      </c>
      <c r="P2035" s="1" t="n">
        <f aca="false">MONTH(B2035)</f>
        <v>7</v>
      </c>
      <c r="Q2035" s="1" t="str">
        <f aca="false">TEXT(B2035,"mmm")</f>
        <v>Jul</v>
      </c>
      <c r="R2035" s="1" t="str">
        <f aca="false">"Q"&amp;ROUNDUP(MONTH(B2035)/3,0)</f>
        <v>Q3</v>
      </c>
    </row>
    <row r="2036" customFormat="false" ht="15" hidden="false" customHeight="true" outlineLevel="0" collapsed="false">
      <c r="A2036" s="1" t="n">
        <v>12035</v>
      </c>
      <c r="B2036" s="14" t="n">
        <v>46596</v>
      </c>
      <c r="C2036" s="1" t="n">
        <v>1721</v>
      </c>
      <c r="D2036" s="1" t="s">
        <v>30</v>
      </c>
      <c r="E2036" s="1" t="s">
        <v>32</v>
      </c>
      <c r="F2036" s="1" t="n">
        <v>3</v>
      </c>
      <c r="G2036" s="15" t="n">
        <v>102.74</v>
      </c>
      <c r="H2036" s="16" t="n">
        <v>0.33</v>
      </c>
      <c r="I2036" s="1" t="s">
        <v>29</v>
      </c>
      <c r="J2036" s="1" t="n">
        <v>5</v>
      </c>
      <c r="K2036" s="1" t="n">
        <v>2.7</v>
      </c>
      <c r="L2036" s="15" t="n">
        <v>206.51</v>
      </c>
      <c r="M2036" s="15" t="n">
        <f aca="false">F2036*G2036</f>
        <v>308.22</v>
      </c>
      <c r="N2036" s="15" t="n">
        <f aca="false">M2036-L2036</f>
        <v>101.71</v>
      </c>
      <c r="O2036" s="1" t="n">
        <f aca="false">YEAR(B2036)</f>
        <v>2027</v>
      </c>
      <c r="P2036" s="1" t="n">
        <f aca="false">MONTH(B2036)</f>
        <v>7</v>
      </c>
      <c r="Q2036" s="1" t="str">
        <f aca="false">TEXT(B2036,"mmm")</f>
        <v>Jul</v>
      </c>
      <c r="R2036" s="1" t="str">
        <f aca="false">"Q"&amp;ROUNDUP(MONTH(B2036)/3,0)</f>
        <v>Q3</v>
      </c>
    </row>
    <row r="2037" customFormat="false" ht="15" hidden="false" customHeight="true" outlineLevel="0" collapsed="false">
      <c r="A2037" s="1" t="n">
        <v>12036</v>
      </c>
      <c r="B2037" s="14" t="n">
        <v>46597</v>
      </c>
      <c r="C2037" s="1" t="n">
        <v>1160</v>
      </c>
      <c r="D2037" s="1" t="s">
        <v>37</v>
      </c>
      <c r="E2037" s="1" t="s">
        <v>28</v>
      </c>
      <c r="F2037" s="1" t="n">
        <v>3</v>
      </c>
      <c r="G2037" s="15" t="n">
        <v>473.59</v>
      </c>
      <c r="H2037" s="16" t="n">
        <v>0.21</v>
      </c>
      <c r="I2037" s="1" t="s">
        <v>31</v>
      </c>
      <c r="J2037" s="1" t="n">
        <v>11</v>
      </c>
      <c r="K2037" s="1" t="n">
        <v>4.1</v>
      </c>
      <c r="L2037" s="15" t="n">
        <v>1122.41</v>
      </c>
      <c r="M2037" s="15" t="n">
        <f aca="false">F2037*G2037</f>
        <v>1420.77</v>
      </c>
      <c r="N2037" s="15" t="n">
        <f aca="false">M2037-L2037</f>
        <v>298.36</v>
      </c>
      <c r="O2037" s="1" t="n">
        <f aca="false">YEAR(B2037)</f>
        <v>2027</v>
      </c>
      <c r="P2037" s="1" t="n">
        <f aca="false">MONTH(B2037)</f>
        <v>7</v>
      </c>
      <c r="Q2037" s="1" t="str">
        <f aca="false">TEXT(B2037,"mmm")</f>
        <v>Jul</v>
      </c>
      <c r="R2037" s="1" t="str">
        <f aca="false">"Q"&amp;ROUNDUP(MONTH(B2037)/3,0)</f>
        <v>Q3</v>
      </c>
    </row>
    <row r="2038" customFormat="false" ht="15" hidden="false" customHeight="true" outlineLevel="0" collapsed="false">
      <c r="A2038" s="1" t="n">
        <v>12037</v>
      </c>
      <c r="B2038" s="14" t="n">
        <v>46598</v>
      </c>
      <c r="C2038" s="1" t="n">
        <v>1015</v>
      </c>
      <c r="D2038" s="1" t="s">
        <v>27</v>
      </c>
      <c r="E2038" s="1" t="s">
        <v>36</v>
      </c>
      <c r="F2038" s="1" t="n">
        <v>7</v>
      </c>
      <c r="G2038" s="15" t="n">
        <v>209.48</v>
      </c>
      <c r="H2038" s="16" t="n">
        <v>0.21</v>
      </c>
      <c r="I2038" s="1" t="s">
        <v>31</v>
      </c>
      <c r="J2038" s="1" t="n">
        <v>6</v>
      </c>
      <c r="K2038" s="1" t="n">
        <v>4.8</v>
      </c>
      <c r="L2038" s="15" t="n">
        <v>1158.42</v>
      </c>
      <c r="M2038" s="15" t="n">
        <f aca="false">F2038*G2038</f>
        <v>1466.36</v>
      </c>
      <c r="N2038" s="15" t="n">
        <f aca="false">M2038-L2038</f>
        <v>307.94</v>
      </c>
      <c r="O2038" s="1" t="n">
        <f aca="false">YEAR(B2038)</f>
        <v>2027</v>
      </c>
      <c r="P2038" s="1" t="n">
        <f aca="false">MONTH(B2038)</f>
        <v>7</v>
      </c>
      <c r="Q2038" s="1" t="str">
        <f aca="false">TEXT(B2038,"mmm")</f>
        <v>Jul</v>
      </c>
      <c r="R2038" s="1" t="str">
        <f aca="false">"Q"&amp;ROUNDUP(MONTH(B2038)/3,0)</f>
        <v>Q3</v>
      </c>
    </row>
    <row r="2039" customFormat="false" ht="15" hidden="false" customHeight="true" outlineLevel="0" collapsed="false">
      <c r="A2039" s="1" t="n">
        <v>12038</v>
      </c>
      <c r="B2039" s="14" t="n">
        <v>46599</v>
      </c>
      <c r="C2039" s="1" t="n">
        <v>1492</v>
      </c>
      <c r="D2039" s="1" t="s">
        <v>37</v>
      </c>
      <c r="E2039" s="1" t="s">
        <v>36</v>
      </c>
      <c r="F2039" s="1" t="n">
        <v>5</v>
      </c>
      <c r="G2039" s="15" t="n">
        <v>360.94</v>
      </c>
      <c r="H2039" s="16" t="n">
        <v>0.04</v>
      </c>
      <c r="I2039" s="1" t="s">
        <v>33</v>
      </c>
      <c r="J2039" s="1" t="n">
        <v>9</v>
      </c>
      <c r="K2039" s="1" t="n">
        <v>4.6</v>
      </c>
      <c r="L2039" s="15" t="n">
        <v>1732.51</v>
      </c>
      <c r="M2039" s="15" t="n">
        <f aca="false">F2039*G2039</f>
        <v>1804.7</v>
      </c>
      <c r="N2039" s="15" t="n">
        <f aca="false">M2039-L2039</f>
        <v>72.1900000000001</v>
      </c>
      <c r="O2039" s="1" t="n">
        <f aca="false">YEAR(B2039)</f>
        <v>2027</v>
      </c>
      <c r="P2039" s="1" t="n">
        <f aca="false">MONTH(B2039)</f>
        <v>7</v>
      </c>
      <c r="Q2039" s="1" t="str">
        <f aca="false">TEXT(B2039,"mmm")</f>
        <v>Jul</v>
      </c>
      <c r="R2039" s="1" t="str">
        <f aca="false">"Q"&amp;ROUNDUP(MONTH(B2039)/3,0)</f>
        <v>Q3</v>
      </c>
    </row>
    <row r="2040" customFormat="false" ht="15" hidden="false" customHeight="true" outlineLevel="0" collapsed="false">
      <c r="A2040" s="1" t="n">
        <v>12039</v>
      </c>
      <c r="B2040" s="14" t="n">
        <v>46600</v>
      </c>
      <c r="C2040" s="1" t="n">
        <v>1425</v>
      </c>
      <c r="D2040" s="1" t="s">
        <v>34</v>
      </c>
      <c r="E2040" s="1" t="s">
        <v>36</v>
      </c>
      <c r="F2040" s="1" t="n">
        <v>7</v>
      </c>
      <c r="G2040" s="15" t="n">
        <v>433.65</v>
      </c>
      <c r="H2040" s="16" t="n">
        <v>0.35</v>
      </c>
      <c r="I2040" s="1" t="s">
        <v>31</v>
      </c>
      <c r="J2040" s="1" t="n">
        <v>2</v>
      </c>
      <c r="K2040" s="1" t="n">
        <v>2</v>
      </c>
      <c r="L2040" s="15" t="n">
        <v>1973.11</v>
      </c>
      <c r="M2040" s="15" t="n">
        <f aca="false">F2040*G2040</f>
        <v>3035.55</v>
      </c>
      <c r="N2040" s="15" t="n">
        <f aca="false">M2040-L2040</f>
        <v>1062.44</v>
      </c>
      <c r="O2040" s="1" t="n">
        <f aca="false">YEAR(B2040)</f>
        <v>2027</v>
      </c>
      <c r="P2040" s="1" t="n">
        <f aca="false">MONTH(B2040)</f>
        <v>8</v>
      </c>
      <c r="Q2040" s="1" t="str">
        <f aca="false">TEXT(B2040,"mmm")</f>
        <v>Aug</v>
      </c>
      <c r="R2040" s="1" t="str">
        <f aca="false">"Q"&amp;ROUNDUP(MONTH(B2040)/3,0)</f>
        <v>Q3</v>
      </c>
    </row>
    <row r="2041" customFormat="false" ht="15" hidden="false" customHeight="true" outlineLevel="0" collapsed="false">
      <c r="A2041" s="1" t="n">
        <v>12040</v>
      </c>
      <c r="B2041" s="14" t="n">
        <v>46601</v>
      </c>
      <c r="C2041" s="1" t="n">
        <v>1107</v>
      </c>
      <c r="D2041" s="1" t="s">
        <v>27</v>
      </c>
      <c r="E2041" s="1" t="s">
        <v>32</v>
      </c>
      <c r="F2041" s="1" t="n">
        <v>3</v>
      </c>
      <c r="G2041" s="15" t="n">
        <v>535.09</v>
      </c>
      <c r="H2041" s="16" t="n">
        <v>0.27</v>
      </c>
      <c r="I2041" s="1" t="s">
        <v>33</v>
      </c>
      <c r="J2041" s="1" t="n">
        <v>5</v>
      </c>
      <c r="K2041" s="1" t="n">
        <v>1.3</v>
      </c>
      <c r="L2041" s="15" t="n">
        <v>1171.85</v>
      </c>
      <c r="M2041" s="15" t="n">
        <f aca="false">F2041*G2041</f>
        <v>1605.27</v>
      </c>
      <c r="N2041" s="15" t="n">
        <f aca="false">M2041-L2041</f>
        <v>433.42</v>
      </c>
      <c r="O2041" s="1" t="n">
        <f aca="false">YEAR(B2041)</f>
        <v>2027</v>
      </c>
      <c r="P2041" s="1" t="n">
        <f aca="false">MONTH(B2041)</f>
        <v>8</v>
      </c>
      <c r="Q2041" s="1" t="str">
        <f aca="false">TEXT(B2041,"mmm")</f>
        <v>Aug</v>
      </c>
      <c r="R2041" s="1" t="str">
        <f aca="false">"Q"&amp;ROUNDUP(MONTH(B2041)/3,0)</f>
        <v>Q3</v>
      </c>
    </row>
    <row r="2042" customFormat="false" ht="15" hidden="false" customHeight="true" outlineLevel="0" collapsed="false">
      <c r="A2042" s="1" t="n">
        <v>12041</v>
      </c>
      <c r="B2042" s="14" t="n">
        <v>46602</v>
      </c>
      <c r="C2042" s="1" t="n">
        <v>1893</v>
      </c>
      <c r="D2042" s="1" t="s">
        <v>30</v>
      </c>
      <c r="E2042" s="1" t="s">
        <v>32</v>
      </c>
      <c r="F2042" s="1" t="n">
        <v>6</v>
      </c>
      <c r="G2042" s="15" t="n">
        <v>503.94</v>
      </c>
      <c r="H2042" s="16" t="n">
        <v>0.31</v>
      </c>
      <c r="I2042" s="1" t="s">
        <v>29</v>
      </c>
      <c r="J2042" s="1" t="n">
        <v>7</v>
      </c>
      <c r="K2042" s="1" t="n">
        <v>2.2</v>
      </c>
      <c r="L2042" s="15" t="n">
        <v>2086.31</v>
      </c>
      <c r="M2042" s="15" t="n">
        <f aca="false">F2042*G2042</f>
        <v>3023.64</v>
      </c>
      <c r="N2042" s="15" t="n">
        <f aca="false">M2042-L2042</f>
        <v>937.33</v>
      </c>
      <c r="O2042" s="1" t="n">
        <f aca="false">YEAR(B2042)</f>
        <v>2027</v>
      </c>
      <c r="P2042" s="1" t="n">
        <f aca="false">MONTH(B2042)</f>
        <v>8</v>
      </c>
      <c r="Q2042" s="1" t="str">
        <f aca="false">TEXT(B2042,"mmm")</f>
        <v>Aug</v>
      </c>
      <c r="R2042" s="1" t="str">
        <f aca="false">"Q"&amp;ROUNDUP(MONTH(B2042)/3,0)</f>
        <v>Q3</v>
      </c>
    </row>
    <row r="2043" customFormat="false" ht="15" hidden="false" customHeight="true" outlineLevel="0" collapsed="false">
      <c r="A2043" s="1" t="n">
        <v>12042</v>
      </c>
      <c r="B2043" s="14" t="n">
        <v>46603</v>
      </c>
      <c r="C2043" s="1" t="n">
        <v>1449</v>
      </c>
      <c r="D2043" s="1" t="s">
        <v>34</v>
      </c>
      <c r="E2043" s="1" t="s">
        <v>32</v>
      </c>
      <c r="F2043" s="1" t="n">
        <v>2</v>
      </c>
      <c r="G2043" s="15" t="n">
        <v>370.86</v>
      </c>
      <c r="H2043" s="16" t="n">
        <v>0.15</v>
      </c>
      <c r="I2043" s="1" t="s">
        <v>33</v>
      </c>
      <c r="J2043" s="1" t="n">
        <v>11</v>
      </c>
      <c r="K2043" s="1" t="n">
        <v>2.7</v>
      </c>
      <c r="L2043" s="15" t="n">
        <v>630.46</v>
      </c>
      <c r="M2043" s="15" t="n">
        <f aca="false">F2043*G2043</f>
        <v>741.72</v>
      </c>
      <c r="N2043" s="15" t="n">
        <f aca="false">M2043-L2043</f>
        <v>111.26</v>
      </c>
      <c r="O2043" s="1" t="n">
        <f aca="false">YEAR(B2043)</f>
        <v>2027</v>
      </c>
      <c r="P2043" s="1" t="n">
        <f aca="false">MONTH(B2043)</f>
        <v>8</v>
      </c>
      <c r="Q2043" s="1" t="str">
        <f aca="false">TEXT(B2043,"mmm")</f>
        <v>Aug</v>
      </c>
      <c r="R2043" s="1" t="str">
        <f aca="false">"Q"&amp;ROUNDUP(MONTH(B2043)/3,0)</f>
        <v>Q3</v>
      </c>
    </row>
    <row r="2044" customFormat="false" ht="15" hidden="false" customHeight="true" outlineLevel="0" collapsed="false">
      <c r="A2044" s="1" t="n">
        <v>12043</v>
      </c>
      <c r="B2044" s="14" t="n">
        <v>46604</v>
      </c>
      <c r="C2044" s="1" t="n">
        <v>1310</v>
      </c>
      <c r="D2044" s="1" t="s">
        <v>34</v>
      </c>
      <c r="E2044" s="1" t="s">
        <v>32</v>
      </c>
      <c r="F2044" s="1" t="n">
        <v>3</v>
      </c>
      <c r="G2044" s="15" t="n">
        <v>242.21</v>
      </c>
      <c r="H2044" s="16" t="n">
        <v>0.18</v>
      </c>
      <c r="I2044" s="1" t="s">
        <v>33</v>
      </c>
      <c r="J2044" s="1" t="n">
        <v>11</v>
      </c>
      <c r="K2044" s="1" t="n">
        <v>2.4</v>
      </c>
      <c r="L2044" s="15" t="n">
        <v>595.84</v>
      </c>
      <c r="M2044" s="15" t="n">
        <f aca="false">F2044*G2044</f>
        <v>726.63</v>
      </c>
      <c r="N2044" s="15" t="n">
        <f aca="false">M2044-L2044</f>
        <v>130.79</v>
      </c>
      <c r="O2044" s="1" t="n">
        <f aca="false">YEAR(B2044)</f>
        <v>2027</v>
      </c>
      <c r="P2044" s="1" t="n">
        <f aca="false">MONTH(B2044)</f>
        <v>8</v>
      </c>
      <c r="Q2044" s="1" t="str">
        <f aca="false">TEXT(B2044,"mmm")</f>
        <v>Aug</v>
      </c>
      <c r="R2044" s="1" t="str">
        <f aca="false">"Q"&amp;ROUNDUP(MONTH(B2044)/3,0)</f>
        <v>Q3</v>
      </c>
    </row>
    <row r="2045" customFormat="false" ht="15" hidden="false" customHeight="true" outlineLevel="0" collapsed="false">
      <c r="A2045" s="1" t="n">
        <v>12044</v>
      </c>
      <c r="B2045" s="14" t="n">
        <v>46605</v>
      </c>
      <c r="C2045" s="1" t="n">
        <v>1738</v>
      </c>
      <c r="D2045" s="1" t="s">
        <v>30</v>
      </c>
      <c r="E2045" s="1" t="s">
        <v>35</v>
      </c>
      <c r="F2045" s="1" t="n">
        <v>6</v>
      </c>
      <c r="G2045" s="15" t="n">
        <v>309.37</v>
      </c>
      <c r="H2045" s="16" t="n">
        <v>0.18</v>
      </c>
      <c r="I2045" s="1" t="s">
        <v>31</v>
      </c>
      <c r="J2045" s="1" t="n">
        <v>7</v>
      </c>
      <c r="K2045" s="1" t="n">
        <v>4.1</v>
      </c>
      <c r="L2045" s="15" t="n">
        <v>1522.1</v>
      </c>
      <c r="M2045" s="15" t="n">
        <f aca="false">F2045*G2045</f>
        <v>1856.22</v>
      </c>
      <c r="N2045" s="15" t="n">
        <f aca="false">M2045-L2045</f>
        <v>334.12</v>
      </c>
      <c r="O2045" s="1" t="n">
        <f aca="false">YEAR(B2045)</f>
        <v>2027</v>
      </c>
      <c r="P2045" s="1" t="n">
        <f aca="false">MONTH(B2045)</f>
        <v>8</v>
      </c>
      <c r="Q2045" s="1" t="str">
        <f aca="false">TEXT(B2045,"mmm")</f>
        <v>Aug</v>
      </c>
      <c r="R2045" s="1" t="str">
        <f aca="false">"Q"&amp;ROUNDUP(MONTH(B2045)/3,0)</f>
        <v>Q3</v>
      </c>
    </row>
    <row r="2046" customFormat="false" ht="15" hidden="false" customHeight="true" outlineLevel="0" collapsed="false">
      <c r="A2046" s="1" t="n">
        <v>12045</v>
      </c>
      <c r="B2046" s="14" t="n">
        <v>46606</v>
      </c>
      <c r="C2046" s="1" t="n">
        <v>1169</v>
      </c>
      <c r="D2046" s="1" t="s">
        <v>34</v>
      </c>
      <c r="E2046" s="1" t="s">
        <v>32</v>
      </c>
      <c r="F2046" s="1" t="n">
        <v>3</v>
      </c>
      <c r="G2046" s="15" t="n">
        <v>464.71</v>
      </c>
      <c r="H2046" s="16" t="n">
        <v>0.07</v>
      </c>
      <c r="I2046" s="1" t="s">
        <v>33</v>
      </c>
      <c r="J2046" s="1" t="n">
        <v>4</v>
      </c>
      <c r="K2046" s="1" t="n">
        <v>2</v>
      </c>
      <c r="L2046" s="15" t="n">
        <v>1296.54</v>
      </c>
      <c r="M2046" s="15" t="n">
        <f aca="false">F2046*G2046</f>
        <v>1394.13</v>
      </c>
      <c r="N2046" s="15" t="n">
        <f aca="false">M2046-L2046</f>
        <v>97.5899999999999</v>
      </c>
      <c r="O2046" s="1" t="n">
        <f aca="false">YEAR(B2046)</f>
        <v>2027</v>
      </c>
      <c r="P2046" s="1" t="n">
        <f aca="false">MONTH(B2046)</f>
        <v>8</v>
      </c>
      <c r="Q2046" s="1" t="str">
        <f aca="false">TEXT(B2046,"mmm")</f>
        <v>Aug</v>
      </c>
      <c r="R2046" s="1" t="str">
        <f aca="false">"Q"&amp;ROUNDUP(MONTH(B2046)/3,0)</f>
        <v>Q3</v>
      </c>
    </row>
    <row r="2047" customFormat="false" ht="15" hidden="false" customHeight="true" outlineLevel="0" collapsed="false">
      <c r="A2047" s="1" t="n">
        <v>12046</v>
      </c>
      <c r="B2047" s="14" t="n">
        <v>46607</v>
      </c>
      <c r="C2047" s="1" t="n">
        <v>1545</v>
      </c>
      <c r="D2047" s="1" t="s">
        <v>34</v>
      </c>
      <c r="E2047" s="1" t="s">
        <v>28</v>
      </c>
      <c r="F2047" s="1" t="n">
        <v>6</v>
      </c>
      <c r="G2047" s="15" t="n">
        <v>528.36</v>
      </c>
      <c r="H2047" s="16" t="n">
        <v>0.24</v>
      </c>
      <c r="I2047" s="1" t="s">
        <v>33</v>
      </c>
      <c r="J2047" s="1" t="n">
        <v>3</v>
      </c>
      <c r="K2047" s="1" t="n">
        <v>4.4</v>
      </c>
      <c r="L2047" s="15" t="n">
        <v>2409.32</v>
      </c>
      <c r="M2047" s="15" t="n">
        <f aca="false">F2047*G2047</f>
        <v>3170.16</v>
      </c>
      <c r="N2047" s="15" t="n">
        <f aca="false">M2047-L2047</f>
        <v>760.84</v>
      </c>
      <c r="O2047" s="1" t="n">
        <f aca="false">YEAR(B2047)</f>
        <v>2027</v>
      </c>
      <c r="P2047" s="1" t="n">
        <f aca="false">MONTH(B2047)</f>
        <v>8</v>
      </c>
      <c r="Q2047" s="1" t="str">
        <f aca="false">TEXT(B2047,"mmm")</f>
        <v>Aug</v>
      </c>
      <c r="R2047" s="1" t="str">
        <f aca="false">"Q"&amp;ROUNDUP(MONTH(B2047)/3,0)</f>
        <v>Q3</v>
      </c>
    </row>
    <row r="2048" customFormat="false" ht="15" hidden="false" customHeight="true" outlineLevel="0" collapsed="false">
      <c r="A2048" s="1" t="n">
        <v>12047</v>
      </c>
      <c r="B2048" s="14" t="n">
        <v>46608</v>
      </c>
      <c r="C2048" s="1" t="n">
        <v>1413</v>
      </c>
      <c r="D2048" s="1" t="s">
        <v>34</v>
      </c>
      <c r="E2048" s="1" t="s">
        <v>35</v>
      </c>
      <c r="F2048" s="1" t="n">
        <v>5</v>
      </c>
      <c r="G2048" s="15" t="n">
        <v>75.71</v>
      </c>
      <c r="H2048" s="16" t="n">
        <v>0.32</v>
      </c>
      <c r="I2048" s="1" t="s">
        <v>29</v>
      </c>
      <c r="J2048" s="1" t="n">
        <v>8</v>
      </c>
      <c r="K2048" s="1" t="n">
        <v>1.9</v>
      </c>
      <c r="L2048" s="15" t="n">
        <v>257.41</v>
      </c>
      <c r="M2048" s="15" t="n">
        <f aca="false">F2048*G2048</f>
        <v>378.55</v>
      </c>
      <c r="N2048" s="15" t="n">
        <f aca="false">M2048-L2048</f>
        <v>121.14</v>
      </c>
      <c r="O2048" s="1" t="n">
        <f aca="false">YEAR(B2048)</f>
        <v>2027</v>
      </c>
      <c r="P2048" s="1" t="n">
        <f aca="false">MONTH(B2048)</f>
        <v>8</v>
      </c>
      <c r="Q2048" s="1" t="str">
        <f aca="false">TEXT(B2048,"mmm")</f>
        <v>Aug</v>
      </c>
      <c r="R2048" s="1" t="str">
        <f aca="false">"Q"&amp;ROUNDUP(MONTH(B2048)/3,0)</f>
        <v>Q3</v>
      </c>
    </row>
    <row r="2049" customFormat="false" ht="15" hidden="false" customHeight="true" outlineLevel="0" collapsed="false">
      <c r="A2049" s="1" t="n">
        <v>12048</v>
      </c>
      <c r="B2049" s="14" t="n">
        <v>46609</v>
      </c>
      <c r="C2049" s="1" t="n">
        <v>1250</v>
      </c>
      <c r="D2049" s="1" t="s">
        <v>37</v>
      </c>
      <c r="E2049" s="1" t="s">
        <v>35</v>
      </c>
      <c r="F2049" s="1" t="n">
        <v>1</v>
      </c>
      <c r="G2049" s="15" t="n">
        <v>240.14</v>
      </c>
      <c r="H2049" s="16" t="n">
        <v>0.06</v>
      </c>
      <c r="I2049" s="1" t="s">
        <v>31</v>
      </c>
      <c r="J2049" s="1" t="n">
        <v>2</v>
      </c>
      <c r="K2049" s="1" t="n">
        <v>2.4</v>
      </c>
      <c r="L2049" s="15" t="n">
        <v>225.73</v>
      </c>
      <c r="M2049" s="15" t="n">
        <f aca="false">F2049*G2049</f>
        <v>240.14</v>
      </c>
      <c r="N2049" s="15" t="n">
        <f aca="false">M2049-L2049</f>
        <v>14.41</v>
      </c>
      <c r="O2049" s="1" t="n">
        <f aca="false">YEAR(B2049)</f>
        <v>2027</v>
      </c>
      <c r="P2049" s="1" t="n">
        <f aca="false">MONTH(B2049)</f>
        <v>8</v>
      </c>
      <c r="Q2049" s="1" t="str">
        <f aca="false">TEXT(B2049,"mmm")</f>
        <v>Aug</v>
      </c>
      <c r="R2049" s="1" t="str">
        <f aca="false">"Q"&amp;ROUNDUP(MONTH(B2049)/3,0)</f>
        <v>Q3</v>
      </c>
    </row>
    <row r="2050" customFormat="false" ht="15" hidden="false" customHeight="true" outlineLevel="0" collapsed="false">
      <c r="A2050" s="1" t="n">
        <v>12049</v>
      </c>
      <c r="B2050" s="14" t="n">
        <v>46610</v>
      </c>
      <c r="C2050" s="1" t="n">
        <v>1758</v>
      </c>
      <c r="D2050" s="1" t="s">
        <v>27</v>
      </c>
      <c r="E2050" s="1" t="s">
        <v>32</v>
      </c>
      <c r="F2050" s="1" t="n">
        <v>4</v>
      </c>
      <c r="G2050" s="15" t="n">
        <v>469.03</v>
      </c>
      <c r="H2050" s="16" t="n">
        <v>0.03</v>
      </c>
      <c r="I2050" s="1" t="s">
        <v>33</v>
      </c>
      <c r="J2050" s="1" t="n">
        <v>5</v>
      </c>
      <c r="K2050" s="1" t="n">
        <v>2.8</v>
      </c>
      <c r="L2050" s="15" t="n">
        <v>1819.84</v>
      </c>
      <c r="M2050" s="15" t="n">
        <f aca="false">F2050*G2050</f>
        <v>1876.12</v>
      </c>
      <c r="N2050" s="15" t="n">
        <f aca="false">M2050-L2050</f>
        <v>56.28</v>
      </c>
      <c r="O2050" s="1" t="n">
        <f aca="false">YEAR(B2050)</f>
        <v>2027</v>
      </c>
      <c r="P2050" s="1" t="n">
        <f aca="false">MONTH(B2050)</f>
        <v>8</v>
      </c>
      <c r="Q2050" s="1" t="str">
        <f aca="false">TEXT(B2050,"mmm")</f>
        <v>Aug</v>
      </c>
      <c r="R2050" s="1" t="str">
        <f aca="false">"Q"&amp;ROUNDUP(MONTH(B2050)/3,0)</f>
        <v>Q3</v>
      </c>
    </row>
    <row r="2051" customFormat="false" ht="15" hidden="false" customHeight="true" outlineLevel="0" collapsed="false">
      <c r="A2051" s="1" t="n">
        <v>12050</v>
      </c>
      <c r="B2051" s="14" t="n">
        <v>46611</v>
      </c>
      <c r="C2051" s="1" t="n">
        <v>1780</v>
      </c>
      <c r="D2051" s="1" t="s">
        <v>34</v>
      </c>
      <c r="E2051" s="1" t="s">
        <v>36</v>
      </c>
      <c r="F2051" s="1" t="n">
        <v>3</v>
      </c>
      <c r="G2051" s="15" t="n">
        <v>267.52</v>
      </c>
      <c r="H2051" s="16" t="n">
        <v>0.26</v>
      </c>
      <c r="I2051" s="1" t="s">
        <v>31</v>
      </c>
      <c r="J2051" s="1" t="n">
        <v>10</v>
      </c>
      <c r="K2051" s="1" t="n">
        <v>2.2</v>
      </c>
      <c r="L2051" s="15" t="n">
        <v>593.89</v>
      </c>
      <c r="M2051" s="15" t="n">
        <f aca="false">F2051*G2051</f>
        <v>802.56</v>
      </c>
      <c r="N2051" s="15" t="n">
        <f aca="false">M2051-L2051</f>
        <v>208.67</v>
      </c>
      <c r="O2051" s="1" t="n">
        <f aca="false">YEAR(B2051)</f>
        <v>2027</v>
      </c>
      <c r="P2051" s="1" t="n">
        <f aca="false">MONTH(B2051)</f>
        <v>8</v>
      </c>
      <c r="Q2051" s="1" t="str">
        <f aca="false">TEXT(B2051,"mmm")</f>
        <v>Aug</v>
      </c>
      <c r="R2051" s="1" t="str">
        <f aca="false">"Q"&amp;ROUNDUP(MONTH(B2051)/3,0)</f>
        <v>Q3</v>
      </c>
    </row>
    <row r="2052" customFormat="false" ht="15" hidden="false" customHeight="true" outlineLevel="0" collapsed="false">
      <c r="A2052" s="1" t="n">
        <v>12051</v>
      </c>
      <c r="B2052" s="14" t="n">
        <v>46612</v>
      </c>
      <c r="C2052" s="1" t="n">
        <v>1140</v>
      </c>
      <c r="D2052" s="1" t="s">
        <v>27</v>
      </c>
      <c r="E2052" s="1" t="s">
        <v>32</v>
      </c>
      <c r="F2052" s="1" t="n">
        <v>4</v>
      </c>
      <c r="G2052" s="15" t="n">
        <v>209.35</v>
      </c>
      <c r="H2052" s="16" t="n">
        <v>0.1</v>
      </c>
      <c r="I2052" s="1" t="s">
        <v>31</v>
      </c>
      <c r="J2052" s="1" t="n">
        <v>5</v>
      </c>
      <c r="K2052" s="1" t="n">
        <v>4.1</v>
      </c>
      <c r="L2052" s="15" t="n">
        <v>753.66</v>
      </c>
      <c r="M2052" s="15" t="n">
        <f aca="false">F2052*G2052</f>
        <v>837.4</v>
      </c>
      <c r="N2052" s="15" t="n">
        <f aca="false">M2052-L2052</f>
        <v>83.74</v>
      </c>
      <c r="O2052" s="1" t="n">
        <f aca="false">YEAR(B2052)</f>
        <v>2027</v>
      </c>
      <c r="P2052" s="1" t="n">
        <f aca="false">MONTH(B2052)</f>
        <v>8</v>
      </c>
      <c r="Q2052" s="1" t="str">
        <f aca="false">TEXT(B2052,"mmm")</f>
        <v>Aug</v>
      </c>
      <c r="R2052" s="1" t="str">
        <f aca="false">"Q"&amp;ROUNDUP(MONTH(B2052)/3,0)</f>
        <v>Q3</v>
      </c>
    </row>
    <row r="2053" customFormat="false" ht="15" hidden="false" customHeight="true" outlineLevel="0" collapsed="false">
      <c r="A2053" s="1" t="n">
        <v>12052</v>
      </c>
      <c r="B2053" s="14" t="n">
        <v>46613</v>
      </c>
      <c r="C2053" s="1" t="n">
        <v>1273</v>
      </c>
      <c r="D2053" s="1" t="s">
        <v>27</v>
      </c>
      <c r="E2053" s="1" t="s">
        <v>36</v>
      </c>
      <c r="F2053" s="1" t="n">
        <v>3</v>
      </c>
      <c r="G2053" s="15" t="n">
        <v>255.62</v>
      </c>
      <c r="H2053" s="16" t="n">
        <v>0.22</v>
      </c>
      <c r="I2053" s="1" t="s">
        <v>31</v>
      </c>
      <c r="J2053" s="1" t="n">
        <v>1</v>
      </c>
      <c r="K2053" s="1" t="n">
        <v>2.6</v>
      </c>
      <c r="L2053" s="15" t="n">
        <v>598.15</v>
      </c>
      <c r="M2053" s="15" t="n">
        <f aca="false">F2053*G2053</f>
        <v>766.86</v>
      </c>
      <c r="N2053" s="15" t="n">
        <f aca="false">M2053-L2053</f>
        <v>168.71</v>
      </c>
      <c r="O2053" s="1" t="n">
        <f aca="false">YEAR(B2053)</f>
        <v>2027</v>
      </c>
      <c r="P2053" s="1" t="n">
        <f aca="false">MONTH(B2053)</f>
        <v>8</v>
      </c>
      <c r="Q2053" s="1" t="str">
        <f aca="false">TEXT(B2053,"mmm")</f>
        <v>Aug</v>
      </c>
      <c r="R2053" s="1" t="str">
        <f aca="false">"Q"&amp;ROUNDUP(MONTH(B2053)/3,0)</f>
        <v>Q3</v>
      </c>
    </row>
    <row r="2054" customFormat="false" ht="15" hidden="false" customHeight="true" outlineLevel="0" collapsed="false">
      <c r="A2054" s="1" t="n">
        <v>12053</v>
      </c>
      <c r="B2054" s="14" t="n">
        <v>46614</v>
      </c>
      <c r="C2054" s="1" t="n">
        <v>1415</v>
      </c>
      <c r="D2054" s="1" t="s">
        <v>37</v>
      </c>
      <c r="E2054" s="1" t="s">
        <v>32</v>
      </c>
      <c r="F2054" s="1" t="n">
        <v>5</v>
      </c>
      <c r="G2054" s="15" t="n">
        <v>367.66</v>
      </c>
      <c r="H2054" s="16" t="n">
        <v>0.24</v>
      </c>
      <c r="I2054" s="1" t="s">
        <v>31</v>
      </c>
      <c r="J2054" s="1" t="n">
        <v>7</v>
      </c>
      <c r="K2054" s="1" t="n">
        <v>4.5</v>
      </c>
      <c r="L2054" s="15" t="n">
        <v>1397.11</v>
      </c>
      <c r="M2054" s="15" t="n">
        <f aca="false">F2054*G2054</f>
        <v>1838.3</v>
      </c>
      <c r="N2054" s="15" t="n">
        <f aca="false">M2054-L2054</f>
        <v>441.19</v>
      </c>
      <c r="O2054" s="1" t="n">
        <f aca="false">YEAR(B2054)</f>
        <v>2027</v>
      </c>
      <c r="P2054" s="1" t="n">
        <f aca="false">MONTH(B2054)</f>
        <v>8</v>
      </c>
      <c r="Q2054" s="1" t="str">
        <f aca="false">TEXT(B2054,"mmm")</f>
        <v>Aug</v>
      </c>
      <c r="R2054" s="1" t="str">
        <f aca="false">"Q"&amp;ROUNDUP(MONTH(B2054)/3,0)</f>
        <v>Q3</v>
      </c>
    </row>
    <row r="2055" customFormat="false" ht="15" hidden="false" customHeight="true" outlineLevel="0" collapsed="false">
      <c r="A2055" s="1" t="n">
        <v>12054</v>
      </c>
      <c r="B2055" s="14" t="n">
        <v>46615</v>
      </c>
      <c r="C2055" s="1" t="n">
        <v>1607</v>
      </c>
      <c r="D2055" s="1" t="s">
        <v>34</v>
      </c>
      <c r="E2055" s="1" t="s">
        <v>32</v>
      </c>
      <c r="F2055" s="1" t="n">
        <v>5</v>
      </c>
      <c r="G2055" s="15" t="n">
        <v>599.89</v>
      </c>
      <c r="H2055" s="16" t="n">
        <v>0.11</v>
      </c>
      <c r="I2055" s="1" t="s">
        <v>31</v>
      </c>
      <c r="J2055" s="1" t="n">
        <v>4</v>
      </c>
      <c r="K2055" s="1" t="n">
        <v>4.9</v>
      </c>
      <c r="L2055" s="15" t="n">
        <v>2669.51</v>
      </c>
      <c r="M2055" s="15" t="n">
        <f aca="false">F2055*G2055</f>
        <v>2999.45</v>
      </c>
      <c r="N2055" s="15" t="n">
        <f aca="false">M2055-L2055</f>
        <v>329.94</v>
      </c>
      <c r="O2055" s="1" t="n">
        <f aca="false">YEAR(B2055)</f>
        <v>2027</v>
      </c>
      <c r="P2055" s="1" t="n">
        <f aca="false">MONTH(B2055)</f>
        <v>8</v>
      </c>
      <c r="Q2055" s="1" t="str">
        <f aca="false">TEXT(B2055,"mmm")</f>
        <v>Aug</v>
      </c>
      <c r="R2055" s="1" t="str">
        <f aca="false">"Q"&amp;ROUNDUP(MONTH(B2055)/3,0)</f>
        <v>Q3</v>
      </c>
    </row>
    <row r="2056" customFormat="false" ht="15" hidden="false" customHeight="true" outlineLevel="0" collapsed="false">
      <c r="A2056" s="1" t="n">
        <v>12055</v>
      </c>
      <c r="B2056" s="14" t="n">
        <v>46616</v>
      </c>
      <c r="C2056" s="1" t="n">
        <v>1738</v>
      </c>
      <c r="D2056" s="1" t="s">
        <v>37</v>
      </c>
      <c r="E2056" s="1" t="s">
        <v>36</v>
      </c>
      <c r="F2056" s="1" t="n">
        <v>6</v>
      </c>
      <c r="G2056" s="15" t="n">
        <v>303.4</v>
      </c>
      <c r="H2056" s="16" t="n">
        <v>0.29</v>
      </c>
      <c r="I2056" s="1" t="s">
        <v>31</v>
      </c>
      <c r="J2056" s="1" t="n">
        <v>10</v>
      </c>
      <c r="K2056" s="1" t="n">
        <v>4.4</v>
      </c>
      <c r="L2056" s="15" t="n">
        <v>1292.48</v>
      </c>
      <c r="M2056" s="15" t="n">
        <f aca="false">F2056*G2056</f>
        <v>1820.4</v>
      </c>
      <c r="N2056" s="15" t="n">
        <f aca="false">M2056-L2056</f>
        <v>527.92</v>
      </c>
      <c r="O2056" s="1" t="n">
        <f aca="false">YEAR(B2056)</f>
        <v>2027</v>
      </c>
      <c r="P2056" s="1" t="n">
        <f aca="false">MONTH(B2056)</f>
        <v>8</v>
      </c>
      <c r="Q2056" s="1" t="str">
        <f aca="false">TEXT(B2056,"mmm")</f>
        <v>Aug</v>
      </c>
      <c r="R2056" s="1" t="str">
        <f aca="false">"Q"&amp;ROUNDUP(MONTH(B2056)/3,0)</f>
        <v>Q3</v>
      </c>
    </row>
    <row r="2057" customFormat="false" ht="15" hidden="false" customHeight="true" outlineLevel="0" collapsed="false">
      <c r="A2057" s="1" t="n">
        <v>12056</v>
      </c>
      <c r="B2057" s="14" t="n">
        <v>46617</v>
      </c>
      <c r="C2057" s="1" t="n">
        <v>1890</v>
      </c>
      <c r="D2057" s="1" t="s">
        <v>27</v>
      </c>
      <c r="E2057" s="1" t="s">
        <v>36</v>
      </c>
      <c r="F2057" s="1" t="n">
        <v>3</v>
      </c>
      <c r="G2057" s="15" t="n">
        <v>136.97</v>
      </c>
      <c r="H2057" s="16" t="n">
        <v>0.19</v>
      </c>
      <c r="I2057" s="1" t="s">
        <v>29</v>
      </c>
      <c r="J2057" s="1" t="n">
        <v>2</v>
      </c>
      <c r="K2057" s="1" t="n">
        <v>3.1</v>
      </c>
      <c r="L2057" s="15" t="n">
        <v>332.84</v>
      </c>
      <c r="M2057" s="15" t="n">
        <f aca="false">F2057*G2057</f>
        <v>410.91</v>
      </c>
      <c r="N2057" s="15" t="n">
        <f aca="false">M2057-L2057</f>
        <v>78.07</v>
      </c>
      <c r="O2057" s="1" t="n">
        <f aca="false">YEAR(B2057)</f>
        <v>2027</v>
      </c>
      <c r="P2057" s="1" t="n">
        <f aca="false">MONTH(B2057)</f>
        <v>8</v>
      </c>
      <c r="Q2057" s="1" t="str">
        <f aca="false">TEXT(B2057,"mmm")</f>
        <v>Aug</v>
      </c>
      <c r="R2057" s="1" t="str">
        <f aca="false">"Q"&amp;ROUNDUP(MONTH(B2057)/3,0)</f>
        <v>Q3</v>
      </c>
    </row>
    <row r="2058" customFormat="false" ht="15" hidden="false" customHeight="true" outlineLevel="0" collapsed="false">
      <c r="A2058" s="1" t="n">
        <v>12057</v>
      </c>
      <c r="B2058" s="14" t="n">
        <v>46618</v>
      </c>
      <c r="C2058" s="1" t="n">
        <v>1038</v>
      </c>
      <c r="D2058" s="1" t="s">
        <v>37</v>
      </c>
      <c r="E2058" s="1" t="s">
        <v>36</v>
      </c>
      <c r="F2058" s="1" t="n">
        <v>5</v>
      </c>
      <c r="G2058" s="15" t="n">
        <v>110.27</v>
      </c>
      <c r="H2058" s="16" t="n">
        <v>0.3</v>
      </c>
      <c r="I2058" s="1" t="s">
        <v>31</v>
      </c>
      <c r="J2058" s="1" t="n">
        <v>8</v>
      </c>
      <c r="K2058" s="1" t="n">
        <v>3</v>
      </c>
      <c r="L2058" s="15" t="n">
        <v>385.94</v>
      </c>
      <c r="M2058" s="15" t="n">
        <f aca="false">F2058*G2058</f>
        <v>551.35</v>
      </c>
      <c r="N2058" s="15" t="n">
        <f aca="false">M2058-L2058</f>
        <v>165.41</v>
      </c>
      <c r="O2058" s="1" t="n">
        <f aca="false">YEAR(B2058)</f>
        <v>2027</v>
      </c>
      <c r="P2058" s="1" t="n">
        <f aca="false">MONTH(B2058)</f>
        <v>8</v>
      </c>
      <c r="Q2058" s="1" t="str">
        <f aca="false">TEXT(B2058,"mmm")</f>
        <v>Aug</v>
      </c>
      <c r="R2058" s="1" t="str">
        <f aca="false">"Q"&amp;ROUNDUP(MONTH(B2058)/3,0)</f>
        <v>Q3</v>
      </c>
    </row>
    <row r="2059" customFormat="false" ht="15" hidden="false" customHeight="true" outlineLevel="0" collapsed="false">
      <c r="A2059" s="1" t="n">
        <v>12058</v>
      </c>
      <c r="B2059" s="14" t="n">
        <v>46619</v>
      </c>
      <c r="C2059" s="1" t="n">
        <v>1813</v>
      </c>
      <c r="D2059" s="1" t="s">
        <v>34</v>
      </c>
      <c r="E2059" s="1" t="s">
        <v>36</v>
      </c>
      <c r="F2059" s="1" t="n">
        <v>5</v>
      </c>
      <c r="G2059" s="15" t="n">
        <v>39.77</v>
      </c>
      <c r="H2059" s="16" t="n">
        <v>0.27</v>
      </c>
      <c r="I2059" s="1" t="s">
        <v>29</v>
      </c>
      <c r="J2059" s="1" t="n">
        <v>4</v>
      </c>
      <c r="K2059" s="1" t="n">
        <v>1.9</v>
      </c>
      <c r="L2059" s="15" t="n">
        <v>145.16</v>
      </c>
      <c r="M2059" s="15" t="n">
        <f aca="false">F2059*G2059</f>
        <v>198.85</v>
      </c>
      <c r="N2059" s="15" t="n">
        <f aca="false">M2059-L2059</f>
        <v>53.69</v>
      </c>
      <c r="O2059" s="1" t="n">
        <f aca="false">YEAR(B2059)</f>
        <v>2027</v>
      </c>
      <c r="P2059" s="1" t="n">
        <f aca="false">MONTH(B2059)</f>
        <v>8</v>
      </c>
      <c r="Q2059" s="1" t="str">
        <f aca="false">TEXT(B2059,"mmm")</f>
        <v>Aug</v>
      </c>
      <c r="R2059" s="1" t="str">
        <f aca="false">"Q"&amp;ROUNDUP(MONTH(B2059)/3,0)</f>
        <v>Q3</v>
      </c>
    </row>
    <row r="2060" customFormat="false" ht="15" hidden="false" customHeight="true" outlineLevel="0" collapsed="false">
      <c r="A2060" s="1" t="n">
        <v>12059</v>
      </c>
      <c r="B2060" s="14" t="n">
        <v>46620</v>
      </c>
      <c r="C2060" s="1" t="n">
        <v>1028</v>
      </c>
      <c r="D2060" s="1" t="s">
        <v>30</v>
      </c>
      <c r="E2060" s="1" t="s">
        <v>28</v>
      </c>
      <c r="F2060" s="1" t="n">
        <v>3</v>
      </c>
      <c r="G2060" s="15" t="n">
        <v>341.91</v>
      </c>
      <c r="H2060" s="16" t="n">
        <v>0.3</v>
      </c>
      <c r="I2060" s="1" t="s">
        <v>31</v>
      </c>
      <c r="J2060" s="1" t="n">
        <v>1</v>
      </c>
      <c r="K2060" s="1" t="n">
        <v>3.4</v>
      </c>
      <c r="L2060" s="15" t="n">
        <v>718.01</v>
      </c>
      <c r="M2060" s="15" t="n">
        <f aca="false">F2060*G2060</f>
        <v>1025.73</v>
      </c>
      <c r="N2060" s="15" t="n">
        <f aca="false">M2060-L2060</f>
        <v>307.72</v>
      </c>
      <c r="O2060" s="1" t="n">
        <f aca="false">YEAR(B2060)</f>
        <v>2027</v>
      </c>
      <c r="P2060" s="1" t="n">
        <f aca="false">MONTH(B2060)</f>
        <v>8</v>
      </c>
      <c r="Q2060" s="1" t="str">
        <f aca="false">TEXT(B2060,"mmm")</f>
        <v>Aug</v>
      </c>
      <c r="R2060" s="1" t="str">
        <f aca="false">"Q"&amp;ROUNDUP(MONTH(B2060)/3,0)</f>
        <v>Q3</v>
      </c>
    </row>
    <row r="2061" customFormat="false" ht="15" hidden="false" customHeight="true" outlineLevel="0" collapsed="false">
      <c r="A2061" s="1" t="n">
        <v>12060</v>
      </c>
      <c r="B2061" s="14" t="n">
        <v>46621</v>
      </c>
      <c r="C2061" s="1" t="n">
        <v>1957</v>
      </c>
      <c r="D2061" s="1" t="s">
        <v>30</v>
      </c>
      <c r="E2061" s="1" t="s">
        <v>36</v>
      </c>
      <c r="F2061" s="1" t="n">
        <v>6</v>
      </c>
      <c r="G2061" s="15" t="n">
        <v>333.57</v>
      </c>
      <c r="H2061" s="16" t="n">
        <v>0.01</v>
      </c>
      <c r="I2061" s="1" t="s">
        <v>31</v>
      </c>
      <c r="J2061" s="1" t="n">
        <v>8</v>
      </c>
      <c r="K2061" s="1" t="n">
        <v>4.8</v>
      </c>
      <c r="L2061" s="15" t="n">
        <v>1981.41</v>
      </c>
      <c r="M2061" s="15" t="n">
        <f aca="false">F2061*G2061</f>
        <v>2001.42</v>
      </c>
      <c r="N2061" s="15" t="n">
        <f aca="false">M2061-L2061</f>
        <v>20.01</v>
      </c>
      <c r="O2061" s="1" t="n">
        <f aca="false">YEAR(B2061)</f>
        <v>2027</v>
      </c>
      <c r="P2061" s="1" t="n">
        <f aca="false">MONTH(B2061)</f>
        <v>8</v>
      </c>
      <c r="Q2061" s="1" t="str">
        <f aca="false">TEXT(B2061,"mmm")</f>
        <v>Aug</v>
      </c>
      <c r="R2061" s="1" t="str">
        <f aca="false">"Q"&amp;ROUNDUP(MONTH(B2061)/3,0)</f>
        <v>Q3</v>
      </c>
    </row>
    <row r="2062" customFormat="false" ht="15" hidden="false" customHeight="true" outlineLevel="0" collapsed="false">
      <c r="A2062" s="1" t="n">
        <v>12061</v>
      </c>
      <c r="B2062" s="14" t="n">
        <v>46622</v>
      </c>
      <c r="C2062" s="1" t="n">
        <v>1476</v>
      </c>
      <c r="D2062" s="1" t="s">
        <v>30</v>
      </c>
      <c r="E2062" s="1" t="s">
        <v>32</v>
      </c>
      <c r="F2062" s="1" t="n">
        <v>6</v>
      </c>
      <c r="G2062" s="15" t="n">
        <v>135.06</v>
      </c>
      <c r="H2062" s="16" t="n">
        <v>0.09</v>
      </c>
      <c r="I2062" s="1" t="s">
        <v>33</v>
      </c>
      <c r="J2062" s="1" t="n">
        <v>11</v>
      </c>
      <c r="K2062" s="1" t="n">
        <v>1.3</v>
      </c>
      <c r="L2062" s="15" t="n">
        <v>737.43</v>
      </c>
      <c r="M2062" s="15" t="n">
        <f aca="false">F2062*G2062</f>
        <v>810.36</v>
      </c>
      <c r="N2062" s="15" t="n">
        <f aca="false">M2062-L2062</f>
        <v>72.9300000000001</v>
      </c>
      <c r="O2062" s="1" t="n">
        <f aca="false">YEAR(B2062)</f>
        <v>2027</v>
      </c>
      <c r="P2062" s="1" t="n">
        <f aca="false">MONTH(B2062)</f>
        <v>8</v>
      </c>
      <c r="Q2062" s="1" t="str">
        <f aca="false">TEXT(B2062,"mmm")</f>
        <v>Aug</v>
      </c>
      <c r="R2062" s="1" t="str">
        <f aca="false">"Q"&amp;ROUNDUP(MONTH(B2062)/3,0)</f>
        <v>Q3</v>
      </c>
    </row>
    <row r="2063" customFormat="false" ht="15" hidden="false" customHeight="true" outlineLevel="0" collapsed="false">
      <c r="A2063" s="1" t="n">
        <v>12062</v>
      </c>
      <c r="B2063" s="14" t="n">
        <v>46623</v>
      </c>
      <c r="C2063" s="1" t="n">
        <v>1317</v>
      </c>
      <c r="D2063" s="1" t="s">
        <v>34</v>
      </c>
      <c r="E2063" s="1" t="s">
        <v>32</v>
      </c>
      <c r="F2063" s="1" t="n">
        <v>6</v>
      </c>
      <c r="G2063" s="15" t="n">
        <v>421.77</v>
      </c>
      <c r="H2063" s="16" t="n">
        <v>0.03</v>
      </c>
      <c r="I2063" s="1" t="s">
        <v>33</v>
      </c>
      <c r="J2063" s="1" t="n">
        <v>7</v>
      </c>
      <c r="K2063" s="1" t="n">
        <v>4</v>
      </c>
      <c r="L2063" s="15" t="n">
        <v>2454.7</v>
      </c>
      <c r="M2063" s="15" t="n">
        <f aca="false">F2063*G2063</f>
        <v>2530.62</v>
      </c>
      <c r="N2063" s="15" t="n">
        <f aca="false">M2063-L2063</f>
        <v>75.9200000000001</v>
      </c>
      <c r="O2063" s="1" t="n">
        <f aca="false">YEAR(B2063)</f>
        <v>2027</v>
      </c>
      <c r="P2063" s="1" t="n">
        <f aca="false">MONTH(B2063)</f>
        <v>8</v>
      </c>
      <c r="Q2063" s="1" t="str">
        <f aca="false">TEXT(B2063,"mmm")</f>
        <v>Aug</v>
      </c>
      <c r="R2063" s="1" t="str">
        <f aca="false">"Q"&amp;ROUNDUP(MONTH(B2063)/3,0)</f>
        <v>Q3</v>
      </c>
    </row>
    <row r="2064" customFormat="false" ht="15" hidden="false" customHeight="true" outlineLevel="0" collapsed="false">
      <c r="A2064" s="1" t="n">
        <v>12063</v>
      </c>
      <c r="B2064" s="14" t="n">
        <v>46624</v>
      </c>
      <c r="C2064" s="1" t="n">
        <v>1244</v>
      </c>
      <c r="D2064" s="1" t="s">
        <v>34</v>
      </c>
      <c r="E2064" s="1" t="s">
        <v>28</v>
      </c>
      <c r="F2064" s="1" t="n">
        <v>6</v>
      </c>
      <c r="G2064" s="15" t="n">
        <v>448.55</v>
      </c>
      <c r="H2064" s="16" t="n">
        <v>0.15</v>
      </c>
      <c r="I2064" s="1" t="s">
        <v>33</v>
      </c>
      <c r="J2064" s="1" t="n">
        <v>3</v>
      </c>
      <c r="K2064" s="1" t="n">
        <v>4.5</v>
      </c>
      <c r="L2064" s="15" t="n">
        <v>2287.6</v>
      </c>
      <c r="M2064" s="15" t="n">
        <f aca="false">F2064*G2064</f>
        <v>2691.3</v>
      </c>
      <c r="N2064" s="15" t="n">
        <f aca="false">M2064-L2064</f>
        <v>403.7</v>
      </c>
      <c r="O2064" s="1" t="n">
        <f aca="false">YEAR(B2064)</f>
        <v>2027</v>
      </c>
      <c r="P2064" s="1" t="n">
        <f aca="false">MONTH(B2064)</f>
        <v>8</v>
      </c>
      <c r="Q2064" s="1" t="str">
        <f aca="false">TEXT(B2064,"mmm")</f>
        <v>Aug</v>
      </c>
      <c r="R2064" s="1" t="str">
        <f aca="false">"Q"&amp;ROUNDUP(MONTH(B2064)/3,0)</f>
        <v>Q3</v>
      </c>
    </row>
    <row r="2065" customFormat="false" ht="15" hidden="false" customHeight="true" outlineLevel="0" collapsed="false">
      <c r="A2065" s="1" t="n">
        <v>12064</v>
      </c>
      <c r="B2065" s="14" t="n">
        <v>46625</v>
      </c>
      <c r="C2065" s="1" t="n">
        <v>1747</v>
      </c>
      <c r="D2065" s="1" t="s">
        <v>37</v>
      </c>
      <c r="E2065" s="1" t="s">
        <v>36</v>
      </c>
      <c r="F2065" s="1" t="n">
        <v>1</v>
      </c>
      <c r="G2065" s="15" t="n">
        <v>166.57</v>
      </c>
      <c r="H2065" s="16" t="n">
        <v>0.31</v>
      </c>
      <c r="I2065" s="1" t="s">
        <v>33</v>
      </c>
      <c r="J2065" s="1" t="n">
        <v>3</v>
      </c>
      <c r="K2065" s="1" t="n">
        <v>4.9</v>
      </c>
      <c r="L2065" s="15" t="n">
        <v>114.93</v>
      </c>
      <c r="M2065" s="15" t="n">
        <f aca="false">F2065*G2065</f>
        <v>166.57</v>
      </c>
      <c r="N2065" s="15" t="n">
        <f aca="false">M2065-L2065</f>
        <v>51.64</v>
      </c>
      <c r="O2065" s="1" t="n">
        <f aca="false">YEAR(B2065)</f>
        <v>2027</v>
      </c>
      <c r="P2065" s="1" t="n">
        <f aca="false">MONTH(B2065)</f>
        <v>8</v>
      </c>
      <c r="Q2065" s="1" t="str">
        <f aca="false">TEXT(B2065,"mmm")</f>
        <v>Aug</v>
      </c>
      <c r="R2065" s="1" t="str">
        <f aca="false">"Q"&amp;ROUNDUP(MONTH(B2065)/3,0)</f>
        <v>Q3</v>
      </c>
    </row>
    <row r="2066" customFormat="false" ht="15" hidden="false" customHeight="true" outlineLevel="0" collapsed="false">
      <c r="A2066" s="1" t="n">
        <v>12065</v>
      </c>
      <c r="B2066" s="14" t="n">
        <v>46626</v>
      </c>
      <c r="C2066" s="1" t="n">
        <v>1696</v>
      </c>
      <c r="D2066" s="1" t="s">
        <v>27</v>
      </c>
      <c r="E2066" s="1" t="s">
        <v>32</v>
      </c>
      <c r="F2066" s="1" t="n">
        <v>3</v>
      </c>
      <c r="G2066" s="15" t="n">
        <v>216.3</v>
      </c>
      <c r="H2066" s="16" t="n">
        <v>0.16</v>
      </c>
      <c r="I2066" s="1" t="s">
        <v>31</v>
      </c>
      <c r="J2066" s="1" t="n">
        <v>7</v>
      </c>
      <c r="K2066" s="1" t="n">
        <v>2.3</v>
      </c>
      <c r="L2066" s="15" t="n">
        <v>545.08</v>
      </c>
      <c r="M2066" s="15" t="n">
        <f aca="false">F2066*G2066</f>
        <v>648.9</v>
      </c>
      <c r="N2066" s="15" t="n">
        <f aca="false">M2066-L2066</f>
        <v>103.82</v>
      </c>
      <c r="O2066" s="1" t="n">
        <f aca="false">YEAR(B2066)</f>
        <v>2027</v>
      </c>
      <c r="P2066" s="1" t="n">
        <f aca="false">MONTH(B2066)</f>
        <v>8</v>
      </c>
      <c r="Q2066" s="1" t="str">
        <f aca="false">TEXT(B2066,"mmm")</f>
        <v>Aug</v>
      </c>
      <c r="R2066" s="1" t="str">
        <f aca="false">"Q"&amp;ROUNDUP(MONTH(B2066)/3,0)</f>
        <v>Q3</v>
      </c>
    </row>
    <row r="2067" customFormat="false" ht="15" hidden="false" customHeight="true" outlineLevel="0" collapsed="false">
      <c r="A2067" s="1" t="n">
        <v>12066</v>
      </c>
      <c r="B2067" s="14" t="n">
        <v>46627</v>
      </c>
      <c r="C2067" s="1" t="n">
        <v>1271</v>
      </c>
      <c r="D2067" s="1" t="s">
        <v>34</v>
      </c>
      <c r="E2067" s="1" t="s">
        <v>28</v>
      </c>
      <c r="F2067" s="1" t="n">
        <v>7</v>
      </c>
      <c r="G2067" s="15" t="n">
        <v>594.43</v>
      </c>
      <c r="H2067" s="16" t="n">
        <v>0.3</v>
      </c>
      <c r="I2067" s="1" t="s">
        <v>33</v>
      </c>
      <c r="J2067" s="1" t="n">
        <v>2</v>
      </c>
      <c r="K2067" s="1" t="n">
        <v>2.4</v>
      </c>
      <c r="L2067" s="15" t="n">
        <v>2912.71</v>
      </c>
      <c r="M2067" s="15" t="n">
        <f aca="false">F2067*G2067</f>
        <v>4161.01</v>
      </c>
      <c r="N2067" s="15" t="n">
        <f aca="false">M2067-L2067</f>
        <v>1248.3</v>
      </c>
      <c r="O2067" s="1" t="n">
        <f aca="false">YEAR(B2067)</f>
        <v>2027</v>
      </c>
      <c r="P2067" s="1" t="n">
        <f aca="false">MONTH(B2067)</f>
        <v>8</v>
      </c>
      <c r="Q2067" s="1" t="str">
        <f aca="false">TEXT(B2067,"mmm")</f>
        <v>Aug</v>
      </c>
      <c r="R2067" s="1" t="str">
        <f aca="false">"Q"&amp;ROUNDUP(MONTH(B2067)/3,0)</f>
        <v>Q3</v>
      </c>
    </row>
    <row r="2068" customFormat="false" ht="15" hidden="false" customHeight="true" outlineLevel="0" collapsed="false">
      <c r="A2068" s="1" t="n">
        <v>12067</v>
      </c>
      <c r="B2068" s="14" t="n">
        <v>46628</v>
      </c>
      <c r="C2068" s="1" t="n">
        <v>1439</v>
      </c>
      <c r="D2068" s="1" t="s">
        <v>27</v>
      </c>
      <c r="E2068" s="1" t="s">
        <v>32</v>
      </c>
      <c r="F2068" s="1" t="n">
        <v>1</v>
      </c>
      <c r="G2068" s="15" t="n">
        <v>233.94</v>
      </c>
      <c r="H2068" s="16" t="n">
        <v>0.11</v>
      </c>
      <c r="I2068" s="1" t="s">
        <v>33</v>
      </c>
      <c r="J2068" s="1" t="n">
        <v>5</v>
      </c>
      <c r="K2068" s="1" t="n">
        <v>1.9</v>
      </c>
      <c r="L2068" s="15" t="n">
        <v>208.21</v>
      </c>
      <c r="M2068" s="15" t="n">
        <f aca="false">F2068*G2068</f>
        <v>233.94</v>
      </c>
      <c r="N2068" s="15" t="n">
        <f aca="false">M2068-L2068</f>
        <v>25.73</v>
      </c>
      <c r="O2068" s="1" t="n">
        <f aca="false">YEAR(B2068)</f>
        <v>2027</v>
      </c>
      <c r="P2068" s="1" t="n">
        <f aca="false">MONTH(B2068)</f>
        <v>8</v>
      </c>
      <c r="Q2068" s="1" t="str">
        <f aca="false">TEXT(B2068,"mmm")</f>
        <v>Aug</v>
      </c>
      <c r="R2068" s="1" t="str">
        <f aca="false">"Q"&amp;ROUNDUP(MONTH(B2068)/3,0)</f>
        <v>Q3</v>
      </c>
    </row>
    <row r="2069" customFormat="false" ht="15" hidden="false" customHeight="true" outlineLevel="0" collapsed="false">
      <c r="A2069" s="1" t="n">
        <v>12068</v>
      </c>
      <c r="B2069" s="14" t="n">
        <v>46629</v>
      </c>
      <c r="C2069" s="1" t="n">
        <v>1747</v>
      </c>
      <c r="D2069" s="1" t="s">
        <v>34</v>
      </c>
      <c r="E2069" s="1" t="s">
        <v>28</v>
      </c>
      <c r="F2069" s="1" t="n">
        <v>5</v>
      </c>
      <c r="G2069" s="15" t="n">
        <v>460.07</v>
      </c>
      <c r="H2069" s="16" t="n">
        <v>0.12</v>
      </c>
      <c r="I2069" s="1" t="s">
        <v>31</v>
      </c>
      <c r="J2069" s="1" t="n">
        <v>7</v>
      </c>
      <c r="K2069" s="1" t="n">
        <v>4.2</v>
      </c>
      <c r="L2069" s="15" t="n">
        <v>2024.31</v>
      </c>
      <c r="M2069" s="15" t="n">
        <f aca="false">F2069*G2069</f>
        <v>2300.35</v>
      </c>
      <c r="N2069" s="15" t="n">
        <f aca="false">M2069-L2069</f>
        <v>276.04</v>
      </c>
      <c r="O2069" s="1" t="n">
        <f aca="false">YEAR(B2069)</f>
        <v>2027</v>
      </c>
      <c r="P2069" s="1" t="n">
        <f aca="false">MONTH(B2069)</f>
        <v>8</v>
      </c>
      <c r="Q2069" s="1" t="str">
        <f aca="false">TEXT(B2069,"mmm")</f>
        <v>Aug</v>
      </c>
      <c r="R2069" s="1" t="str">
        <f aca="false">"Q"&amp;ROUNDUP(MONTH(B2069)/3,0)</f>
        <v>Q3</v>
      </c>
    </row>
    <row r="2070" customFormat="false" ht="15" hidden="false" customHeight="true" outlineLevel="0" collapsed="false">
      <c r="A2070" s="1" t="n">
        <v>12069</v>
      </c>
      <c r="B2070" s="14" t="n">
        <v>46630</v>
      </c>
      <c r="C2070" s="1" t="n">
        <v>1238</v>
      </c>
      <c r="D2070" s="1" t="s">
        <v>37</v>
      </c>
      <c r="E2070" s="1" t="s">
        <v>28</v>
      </c>
      <c r="F2070" s="1" t="n">
        <v>1</v>
      </c>
      <c r="G2070" s="15" t="n">
        <v>279.84</v>
      </c>
      <c r="H2070" s="16" t="n">
        <v>0.31</v>
      </c>
      <c r="I2070" s="1" t="s">
        <v>29</v>
      </c>
      <c r="J2070" s="1" t="n">
        <v>6</v>
      </c>
      <c r="K2070" s="1" t="n">
        <v>1.6</v>
      </c>
      <c r="L2070" s="15" t="n">
        <v>193.09</v>
      </c>
      <c r="M2070" s="15" t="n">
        <f aca="false">F2070*G2070</f>
        <v>279.84</v>
      </c>
      <c r="N2070" s="15" t="n">
        <f aca="false">M2070-L2070</f>
        <v>86.75</v>
      </c>
      <c r="O2070" s="1" t="n">
        <f aca="false">YEAR(B2070)</f>
        <v>2027</v>
      </c>
      <c r="P2070" s="1" t="n">
        <f aca="false">MONTH(B2070)</f>
        <v>8</v>
      </c>
      <c r="Q2070" s="1" t="str">
        <f aca="false">TEXT(B2070,"mmm")</f>
        <v>Aug</v>
      </c>
      <c r="R2070" s="1" t="str">
        <f aca="false">"Q"&amp;ROUNDUP(MONTH(B2070)/3,0)</f>
        <v>Q3</v>
      </c>
    </row>
    <row r="2071" customFormat="false" ht="15" hidden="false" customHeight="true" outlineLevel="0" collapsed="false">
      <c r="A2071" s="1" t="n">
        <v>12070</v>
      </c>
      <c r="B2071" s="14" t="n">
        <v>46631</v>
      </c>
      <c r="C2071" s="1" t="n">
        <v>1376</v>
      </c>
      <c r="D2071" s="1" t="s">
        <v>37</v>
      </c>
      <c r="E2071" s="1" t="s">
        <v>35</v>
      </c>
      <c r="F2071" s="1" t="n">
        <v>7</v>
      </c>
      <c r="G2071" s="15" t="n">
        <v>479.11</v>
      </c>
      <c r="H2071" s="16" t="n">
        <v>0.15</v>
      </c>
      <c r="I2071" s="1" t="s">
        <v>33</v>
      </c>
      <c r="J2071" s="1" t="n">
        <v>10</v>
      </c>
      <c r="K2071" s="1" t="n">
        <v>2.1</v>
      </c>
      <c r="L2071" s="15" t="n">
        <v>2850.7</v>
      </c>
      <c r="M2071" s="15" t="n">
        <f aca="false">F2071*G2071</f>
        <v>3353.77</v>
      </c>
      <c r="N2071" s="15" t="n">
        <f aca="false">M2071-L2071</f>
        <v>503.07</v>
      </c>
      <c r="O2071" s="1" t="n">
        <f aca="false">YEAR(B2071)</f>
        <v>2027</v>
      </c>
      <c r="P2071" s="1" t="n">
        <f aca="false">MONTH(B2071)</f>
        <v>9</v>
      </c>
      <c r="Q2071" s="1" t="str">
        <f aca="false">TEXT(B2071,"mmm")</f>
        <v>Sep</v>
      </c>
      <c r="R2071" s="1" t="str">
        <f aca="false">"Q"&amp;ROUNDUP(MONTH(B2071)/3,0)</f>
        <v>Q3</v>
      </c>
    </row>
    <row r="2072" customFormat="false" ht="15" hidden="false" customHeight="true" outlineLevel="0" collapsed="false">
      <c r="A2072" s="1" t="n">
        <v>12071</v>
      </c>
      <c r="B2072" s="14" t="n">
        <v>46632</v>
      </c>
      <c r="C2072" s="1" t="n">
        <v>1265</v>
      </c>
      <c r="D2072" s="1" t="s">
        <v>37</v>
      </c>
      <c r="E2072" s="1" t="s">
        <v>35</v>
      </c>
      <c r="F2072" s="1" t="n">
        <v>7</v>
      </c>
      <c r="G2072" s="15" t="n">
        <v>464.88</v>
      </c>
      <c r="H2072" s="16" t="n">
        <v>0.28</v>
      </c>
      <c r="I2072" s="1" t="s">
        <v>31</v>
      </c>
      <c r="J2072" s="1" t="n">
        <v>7</v>
      </c>
      <c r="K2072" s="1" t="n">
        <v>2.2</v>
      </c>
      <c r="L2072" s="15" t="n">
        <v>2343</v>
      </c>
      <c r="M2072" s="15" t="n">
        <f aca="false">F2072*G2072</f>
        <v>3254.16</v>
      </c>
      <c r="N2072" s="15" t="n">
        <f aca="false">M2072-L2072</f>
        <v>911.16</v>
      </c>
      <c r="O2072" s="1" t="n">
        <f aca="false">YEAR(B2072)</f>
        <v>2027</v>
      </c>
      <c r="P2072" s="1" t="n">
        <f aca="false">MONTH(B2072)</f>
        <v>9</v>
      </c>
      <c r="Q2072" s="1" t="str">
        <f aca="false">TEXT(B2072,"mmm")</f>
        <v>Sep</v>
      </c>
      <c r="R2072" s="1" t="str">
        <f aca="false">"Q"&amp;ROUNDUP(MONTH(B2072)/3,0)</f>
        <v>Q3</v>
      </c>
    </row>
    <row r="2073" customFormat="false" ht="15" hidden="false" customHeight="true" outlineLevel="0" collapsed="false">
      <c r="A2073" s="1" t="n">
        <v>12072</v>
      </c>
      <c r="B2073" s="14" t="n">
        <v>46633</v>
      </c>
      <c r="C2073" s="1" t="n">
        <v>1925</v>
      </c>
      <c r="D2073" s="1" t="s">
        <v>27</v>
      </c>
      <c r="E2073" s="1" t="s">
        <v>36</v>
      </c>
      <c r="F2073" s="1" t="n">
        <v>7</v>
      </c>
      <c r="G2073" s="15" t="n">
        <v>405.64</v>
      </c>
      <c r="H2073" s="16" t="n">
        <v>0.08</v>
      </c>
      <c r="I2073" s="1" t="s">
        <v>29</v>
      </c>
      <c r="J2073" s="1" t="n">
        <v>2</v>
      </c>
      <c r="K2073" s="1" t="n">
        <v>2.5</v>
      </c>
      <c r="L2073" s="15" t="n">
        <v>2612.32</v>
      </c>
      <c r="M2073" s="15" t="n">
        <f aca="false">F2073*G2073</f>
        <v>2839.48</v>
      </c>
      <c r="N2073" s="15" t="n">
        <f aca="false">M2073-L2073</f>
        <v>227.16</v>
      </c>
      <c r="O2073" s="1" t="n">
        <f aca="false">YEAR(B2073)</f>
        <v>2027</v>
      </c>
      <c r="P2073" s="1" t="n">
        <f aca="false">MONTH(B2073)</f>
        <v>9</v>
      </c>
      <c r="Q2073" s="1" t="str">
        <f aca="false">TEXT(B2073,"mmm")</f>
        <v>Sep</v>
      </c>
      <c r="R2073" s="1" t="str">
        <f aca="false">"Q"&amp;ROUNDUP(MONTH(B2073)/3,0)</f>
        <v>Q3</v>
      </c>
    </row>
    <row r="2074" customFormat="false" ht="15" hidden="false" customHeight="true" outlineLevel="0" collapsed="false">
      <c r="A2074" s="1" t="n">
        <v>12073</v>
      </c>
      <c r="B2074" s="14" t="n">
        <v>46634</v>
      </c>
      <c r="C2074" s="1" t="n">
        <v>1920</v>
      </c>
      <c r="D2074" s="1" t="s">
        <v>34</v>
      </c>
      <c r="E2074" s="1" t="s">
        <v>35</v>
      </c>
      <c r="F2074" s="1" t="n">
        <v>6</v>
      </c>
      <c r="G2074" s="15" t="n">
        <v>515.05</v>
      </c>
      <c r="H2074" s="16" t="n">
        <v>0.33</v>
      </c>
      <c r="I2074" s="1" t="s">
        <v>29</v>
      </c>
      <c r="J2074" s="1" t="n">
        <v>7</v>
      </c>
      <c r="K2074" s="1" t="n">
        <v>2.7</v>
      </c>
      <c r="L2074" s="15" t="n">
        <v>2070.5</v>
      </c>
      <c r="M2074" s="15" t="n">
        <f aca="false">F2074*G2074</f>
        <v>3090.3</v>
      </c>
      <c r="N2074" s="15" t="n">
        <f aca="false">M2074-L2074</f>
        <v>1019.8</v>
      </c>
      <c r="O2074" s="1" t="n">
        <f aca="false">YEAR(B2074)</f>
        <v>2027</v>
      </c>
      <c r="P2074" s="1" t="n">
        <f aca="false">MONTH(B2074)</f>
        <v>9</v>
      </c>
      <c r="Q2074" s="1" t="str">
        <f aca="false">TEXT(B2074,"mmm")</f>
        <v>Sep</v>
      </c>
      <c r="R2074" s="1" t="str">
        <f aca="false">"Q"&amp;ROUNDUP(MONTH(B2074)/3,0)</f>
        <v>Q3</v>
      </c>
    </row>
    <row r="2075" customFormat="false" ht="15" hidden="false" customHeight="true" outlineLevel="0" collapsed="false">
      <c r="A2075" s="1" t="n">
        <v>12074</v>
      </c>
      <c r="B2075" s="14" t="n">
        <v>46635</v>
      </c>
      <c r="C2075" s="1" t="n">
        <v>1358</v>
      </c>
      <c r="D2075" s="1" t="s">
        <v>27</v>
      </c>
      <c r="E2075" s="1" t="s">
        <v>28</v>
      </c>
      <c r="F2075" s="1" t="n">
        <v>5</v>
      </c>
      <c r="G2075" s="15" t="n">
        <v>564.44</v>
      </c>
      <c r="H2075" s="16" t="n">
        <v>0.2</v>
      </c>
      <c r="I2075" s="1" t="s">
        <v>33</v>
      </c>
      <c r="J2075" s="1" t="n">
        <v>2</v>
      </c>
      <c r="K2075" s="1" t="n">
        <v>3.2</v>
      </c>
      <c r="L2075" s="15" t="n">
        <v>2257.76</v>
      </c>
      <c r="M2075" s="15" t="n">
        <f aca="false">F2075*G2075</f>
        <v>2822.2</v>
      </c>
      <c r="N2075" s="15" t="n">
        <f aca="false">M2075-L2075</f>
        <v>564.44</v>
      </c>
      <c r="O2075" s="1" t="n">
        <f aca="false">YEAR(B2075)</f>
        <v>2027</v>
      </c>
      <c r="P2075" s="1" t="n">
        <f aca="false">MONTH(B2075)</f>
        <v>9</v>
      </c>
      <c r="Q2075" s="1" t="str">
        <f aca="false">TEXT(B2075,"mmm")</f>
        <v>Sep</v>
      </c>
      <c r="R2075" s="1" t="str">
        <f aca="false">"Q"&amp;ROUNDUP(MONTH(B2075)/3,0)</f>
        <v>Q3</v>
      </c>
    </row>
    <row r="2076" customFormat="false" ht="15" hidden="false" customHeight="true" outlineLevel="0" collapsed="false">
      <c r="A2076" s="1" t="n">
        <v>12075</v>
      </c>
      <c r="B2076" s="14" t="n">
        <v>46636</v>
      </c>
      <c r="C2076" s="1" t="n">
        <v>1339</v>
      </c>
      <c r="D2076" s="1" t="s">
        <v>34</v>
      </c>
      <c r="E2076" s="1" t="s">
        <v>32</v>
      </c>
      <c r="F2076" s="1" t="n">
        <v>1</v>
      </c>
      <c r="G2076" s="15" t="n">
        <v>354.29</v>
      </c>
      <c r="H2076" s="16" t="n">
        <v>0.27</v>
      </c>
      <c r="I2076" s="1" t="s">
        <v>31</v>
      </c>
      <c r="J2076" s="1" t="n">
        <v>7</v>
      </c>
      <c r="K2076" s="1" t="n">
        <v>4.8</v>
      </c>
      <c r="L2076" s="15" t="n">
        <v>258.63</v>
      </c>
      <c r="M2076" s="15" t="n">
        <f aca="false">F2076*G2076</f>
        <v>354.29</v>
      </c>
      <c r="N2076" s="15" t="n">
        <f aca="false">M2076-L2076</f>
        <v>95.66</v>
      </c>
      <c r="O2076" s="1" t="n">
        <f aca="false">YEAR(B2076)</f>
        <v>2027</v>
      </c>
      <c r="P2076" s="1" t="n">
        <f aca="false">MONTH(B2076)</f>
        <v>9</v>
      </c>
      <c r="Q2076" s="1" t="str">
        <f aca="false">TEXT(B2076,"mmm")</f>
        <v>Sep</v>
      </c>
      <c r="R2076" s="1" t="str">
        <f aca="false">"Q"&amp;ROUNDUP(MONTH(B2076)/3,0)</f>
        <v>Q3</v>
      </c>
    </row>
    <row r="2077" customFormat="false" ht="15" hidden="false" customHeight="true" outlineLevel="0" collapsed="false">
      <c r="A2077" s="1" t="n">
        <v>12076</v>
      </c>
      <c r="B2077" s="14" t="n">
        <v>46637</v>
      </c>
      <c r="C2077" s="1" t="n">
        <v>1388</v>
      </c>
      <c r="D2077" s="1" t="s">
        <v>37</v>
      </c>
      <c r="E2077" s="1" t="s">
        <v>32</v>
      </c>
      <c r="F2077" s="1" t="n">
        <v>1</v>
      </c>
      <c r="G2077" s="15" t="n">
        <v>153.92</v>
      </c>
      <c r="H2077" s="16" t="n">
        <v>0.03</v>
      </c>
      <c r="I2077" s="1" t="s">
        <v>29</v>
      </c>
      <c r="J2077" s="1" t="n">
        <v>8</v>
      </c>
      <c r="K2077" s="1" t="n">
        <v>2</v>
      </c>
      <c r="L2077" s="15" t="n">
        <v>149.3</v>
      </c>
      <c r="M2077" s="15" t="n">
        <f aca="false">F2077*G2077</f>
        <v>153.92</v>
      </c>
      <c r="N2077" s="15" t="n">
        <f aca="false">M2077-L2077</f>
        <v>4.61999999999998</v>
      </c>
      <c r="O2077" s="1" t="n">
        <f aca="false">YEAR(B2077)</f>
        <v>2027</v>
      </c>
      <c r="P2077" s="1" t="n">
        <f aca="false">MONTH(B2077)</f>
        <v>9</v>
      </c>
      <c r="Q2077" s="1" t="str">
        <f aca="false">TEXT(B2077,"mmm")</f>
        <v>Sep</v>
      </c>
      <c r="R2077" s="1" t="str">
        <f aca="false">"Q"&amp;ROUNDUP(MONTH(B2077)/3,0)</f>
        <v>Q3</v>
      </c>
    </row>
    <row r="2078" customFormat="false" ht="15" hidden="false" customHeight="true" outlineLevel="0" collapsed="false">
      <c r="A2078" s="1" t="n">
        <v>12077</v>
      </c>
      <c r="B2078" s="14" t="n">
        <v>46638</v>
      </c>
      <c r="C2078" s="1" t="n">
        <v>1576</v>
      </c>
      <c r="D2078" s="1" t="s">
        <v>37</v>
      </c>
      <c r="E2078" s="1" t="s">
        <v>36</v>
      </c>
      <c r="F2078" s="1" t="n">
        <v>3</v>
      </c>
      <c r="G2078" s="15" t="n">
        <v>248.2</v>
      </c>
      <c r="H2078" s="16" t="n">
        <v>0.17</v>
      </c>
      <c r="I2078" s="1" t="s">
        <v>31</v>
      </c>
      <c r="J2078" s="1" t="n">
        <v>10</v>
      </c>
      <c r="K2078" s="1" t="n">
        <v>4.1</v>
      </c>
      <c r="L2078" s="15" t="n">
        <v>618.02</v>
      </c>
      <c r="M2078" s="15" t="n">
        <f aca="false">F2078*G2078</f>
        <v>744.6</v>
      </c>
      <c r="N2078" s="15" t="n">
        <f aca="false">M2078-L2078</f>
        <v>126.58</v>
      </c>
      <c r="O2078" s="1" t="n">
        <f aca="false">YEAR(B2078)</f>
        <v>2027</v>
      </c>
      <c r="P2078" s="1" t="n">
        <f aca="false">MONTH(B2078)</f>
        <v>9</v>
      </c>
      <c r="Q2078" s="1" t="str">
        <f aca="false">TEXT(B2078,"mmm")</f>
        <v>Sep</v>
      </c>
      <c r="R2078" s="1" t="str">
        <f aca="false">"Q"&amp;ROUNDUP(MONTH(B2078)/3,0)</f>
        <v>Q3</v>
      </c>
    </row>
    <row r="2079" customFormat="false" ht="15" hidden="false" customHeight="true" outlineLevel="0" collapsed="false">
      <c r="A2079" s="1" t="n">
        <v>12078</v>
      </c>
      <c r="B2079" s="14" t="n">
        <v>46639</v>
      </c>
      <c r="C2079" s="1" t="n">
        <v>1989</v>
      </c>
      <c r="D2079" s="1" t="s">
        <v>37</v>
      </c>
      <c r="E2079" s="1" t="s">
        <v>35</v>
      </c>
      <c r="F2079" s="1" t="n">
        <v>1</v>
      </c>
      <c r="G2079" s="15" t="n">
        <v>458.61</v>
      </c>
      <c r="H2079" s="16" t="n">
        <v>0.32</v>
      </c>
      <c r="I2079" s="1" t="s">
        <v>31</v>
      </c>
      <c r="J2079" s="1" t="n">
        <v>8</v>
      </c>
      <c r="K2079" s="1" t="n">
        <v>3.7</v>
      </c>
      <c r="L2079" s="15" t="n">
        <v>311.85</v>
      </c>
      <c r="M2079" s="15" t="n">
        <f aca="false">F2079*G2079</f>
        <v>458.61</v>
      </c>
      <c r="N2079" s="15" t="n">
        <f aca="false">M2079-L2079</f>
        <v>146.76</v>
      </c>
      <c r="O2079" s="1" t="n">
        <f aca="false">YEAR(B2079)</f>
        <v>2027</v>
      </c>
      <c r="P2079" s="1" t="n">
        <f aca="false">MONTH(B2079)</f>
        <v>9</v>
      </c>
      <c r="Q2079" s="1" t="str">
        <f aca="false">TEXT(B2079,"mmm")</f>
        <v>Sep</v>
      </c>
      <c r="R2079" s="1" t="str">
        <f aca="false">"Q"&amp;ROUNDUP(MONTH(B2079)/3,0)</f>
        <v>Q3</v>
      </c>
    </row>
    <row r="2080" customFormat="false" ht="15" hidden="false" customHeight="true" outlineLevel="0" collapsed="false">
      <c r="A2080" s="1" t="n">
        <v>12079</v>
      </c>
      <c r="B2080" s="14" t="n">
        <v>46640</v>
      </c>
      <c r="C2080" s="1" t="n">
        <v>1688</v>
      </c>
      <c r="D2080" s="1" t="s">
        <v>34</v>
      </c>
      <c r="E2080" s="1" t="s">
        <v>36</v>
      </c>
      <c r="F2080" s="1" t="n">
        <v>5</v>
      </c>
      <c r="G2080" s="15" t="n">
        <v>395.77</v>
      </c>
      <c r="H2080" s="16" t="n">
        <v>0.31</v>
      </c>
      <c r="I2080" s="1" t="s">
        <v>31</v>
      </c>
      <c r="J2080" s="1" t="n">
        <v>5</v>
      </c>
      <c r="K2080" s="1" t="n">
        <v>1.5</v>
      </c>
      <c r="L2080" s="15" t="n">
        <v>1365.41</v>
      </c>
      <c r="M2080" s="15" t="n">
        <f aca="false">F2080*G2080</f>
        <v>1978.85</v>
      </c>
      <c r="N2080" s="15" t="n">
        <f aca="false">M2080-L2080</f>
        <v>613.44</v>
      </c>
      <c r="O2080" s="1" t="n">
        <f aca="false">YEAR(B2080)</f>
        <v>2027</v>
      </c>
      <c r="P2080" s="1" t="n">
        <f aca="false">MONTH(B2080)</f>
        <v>9</v>
      </c>
      <c r="Q2080" s="1" t="str">
        <f aca="false">TEXT(B2080,"mmm")</f>
        <v>Sep</v>
      </c>
      <c r="R2080" s="1" t="str">
        <f aca="false">"Q"&amp;ROUNDUP(MONTH(B2080)/3,0)</f>
        <v>Q3</v>
      </c>
    </row>
    <row r="2081" customFormat="false" ht="15" hidden="false" customHeight="true" outlineLevel="0" collapsed="false">
      <c r="A2081" s="1" t="n">
        <v>12080</v>
      </c>
      <c r="B2081" s="14" t="n">
        <v>46641</v>
      </c>
      <c r="C2081" s="1" t="n">
        <v>1002</v>
      </c>
      <c r="D2081" s="1" t="s">
        <v>27</v>
      </c>
      <c r="E2081" s="1" t="s">
        <v>28</v>
      </c>
      <c r="F2081" s="1" t="n">
        <v>6</v>
      </c>
      <c r="G2081" s="15" t="n">
        <v>119.01</v>
      </c>
      <c r="H2081" s="16" t="n">
        <v>0.02</v>
      </c>
      <c r="I2081" s="1" t="s">
        <v>33</v>
      </c>
      <c r="J2081" s="1" t="n">
        <v>7</v>
      </c>
      <c r="K2081" s="1" t="n">
        <v>4.2</v>
      </c>
      <c r="L2081" s="15" t="n">
        <v>699.78</v>
      </c>
      <c r="M2081" s="15" t="n">
        <f aca="false">F2081*G2081</f>
        <v>714.06</v>
      </c>
      <c r="N2081" s="15" t="n">
        <f aca="false">M2081-L2081</f>
        <v>14.2800000000001</v>
      </c>
      <c r="O2081" s="1" t="n">
        <f aca="false">YEAR(B2081)</f>
        <v>2027</v>
      </c>
      <c r="P2081" s="1" t="n">
        <f aca="false">MONTH(B2081)</f>
        <v>9</v>
      </c>
      <c r="Q2081" s="1" t="str">
        <f aca="false">TEXT(B2081,"mmm")</f>
        <v>Sep</v>
      </c>
      <c r="R2081" s="1" t="str">
        <f aca="false">"Q"&amp;ROUNDUP(MONTH(B2081)/3,0)</f>
        <v>Q3</v>
      </c>
    </row>
    <row r="2082" customFormat="false" ht="15" hidden="false" customHeight="true" outlineLevel="0" collapsed="false">
      <c r="A2082" s="1" t="n">
        <v>12081</v>
      </c>
      <c r="B2082" s="14" t="n">
        <v>46642</v>
      </c>
      <c r="C2082" s="1" t="n">
        <v>1428</v>
      </c>
      <c r="D2082" s="1" t="s">
        <v>34</v>
      </c>
      <c r="E2082" s="1" t="s">
        <v>35</v>
      </c>
      <c r="F2082" s="1" t="n">
        <v>3</v>
      </c>
      <c r="G2082" s="15" t="n">
        <v>44.98</v>
      </c>
      <c r="H2082" s="16" t="n">
        <v>0.11</v>
      </c>
      <c r="I2082" s="1" t="s">
        <v>29</v>
      </c>
      <c r="J2082" s="1" t="n">
        <v>11</v>
      </c>
      <c r="K2082" s="1" t="n">
        <v>1.4</v>
      </c>
      <c r="L2082" s="15" t="n">
        <v>120.1</v>
      </c>
      <c r="M2082" s="15" t="n">
        <f aca="false">F2082*G2082</f>
        <v>134.94</v>
      </c>
      <c r="N2082" s="15" t="n">
        <f aca="false">M2082-L2082</f>
        <v>14.84</v>
      </c>
      <c r="O2082" s="1" t="n">
        <f aca="false">YEAR(B2082)</f>
        <v>2027</v>
      </c>
      <c r="P2082" s="1" t="n">
        <f aca="false">MONTH(B2082)</f>
        <v>9</v>
      </c>
      <c r="Q2082" s="1" t="str">
        <f aca="false">TEXT(B2082,"mmm")</f>
        <v>Sep</v>
      </c>
      <c r="R2082" s="1" t="str">
        <f aca="false">"Q"&amp;ROUNDUP(MONTH(B2082)/3,0)</f>
        <v>Q3</v>
      </c>
    </row>
    <row r="2083" customFormat="false" ht="15" hidden="false" customHeight="true" outlineLevel="0" collapsed="false">
      <c r="A2083" s="1" t="n">
        <v>12082</v>
      </c>
      <c r="B2083" s="14" t="n">
        <v>46643</v>
      </c>
      <c r="C2083" s="1" t="n">
        <v>1141</v>
      </c>
      <c r="D2083" s="1" t="s">
        <v>34</v>
      </c>
      <c r="E2083" s="1" t="s">
        <v>36</v>
      </c>
      <c r="F2083" s="1" t="n">
        <v>1</v>
      </c>
      <c r="G2083" s="15" t="n">
        <v>414.53</v>
      </c>
      <c r="H2083" s="16" t="n">
        <v>0.16</v>
      </c>
      <c r="I2083" s="1" t="s">
        <v>33</v>
      </c>
      <c r="J2083" s="1" t="n">
        <v>8</v>
      </c>
      <c r="K2083" s="1" t="n">
        <v>4</v>
      </c>
      <c r="L2083" s="15" t="n">
        <v>348.21</v>
      </c>
      <c r="M2083" s="15" t="n">
        <f aca="false">F2083*G2083</f>
        <v>414.53</v>
      </c>
      <c r="N2083" s="15" t="n">
        <f aca="false">M2083-L2083</f>
        <v>66.32</v>
      </c>
      <c r="O2083" s="1" t="n">
        <f aca="false">YEAR(B2083)</f>
        <v>2027</v>
      </c>
      <c r="P2083" s="1" t="n">
        <f aca="false">MONTH(B2083)</f>
        <v>9</v>
      </c>
      <c r="Q2083" s="1" t="str">
        <f aca="false">TEXT(B2083,"mmm")</f>
        <v>Sep</v>
      </c>
      <c r="R2083" s="1" t="str">
        <f aca="false">"Q"&amp;ROUNDUP(MONTH(B2083)/3,0)</f>
        <v>Q3</v>
      </c>
    </row>
    <row r="2084" customFormat="false" ht="15" hidden="false" customHeight="true" outlineLevel="0" collapsed="false">
      <c r="A2084" s="1" t="n">
        <v>12083</v>
      </c>
      <c r="B2084" s="14" t="n">
        <v>46644</v>
      </c>
      <c r="C2084" s="1" t="n">
        <v>1375</v>
      </c>
      <c r="D2084" s="1" t="s">
        <v>37</v>
      </c>
      <c r="E2084" s="1" t="s">
        <v>32</v>
      </c>
      <c r="F2084" s="1" t="n">
        <v>3</v>
      </c>
      <c r="G2084" s="15" t="n">
        <v>161.88</v>
      </c>
      <c r="H2084" s="16" t="n">
        <v>0.06</v>
      </c>
      <c r="I2084" s="1" t="s">
        <v>29</v>
      </c>
      <c r="J2084" s="1" t="n">
        <v>4</v>
      </c>
      <c r="K2084" s="1" t="n">
        <v>3.9</v>
      </c>
      <c r="L2084" s="15" t="n">
        <v>456.5</v>
      </c>
      <c r="M2084" s="15" t="n">
        <f aca="false">F2084*G2084</f>
        <v>485.64</v>
      </c>
      <c r="N2084" s="15" t="n">
        <f aca="false">M2084-L2084</f>
        <v>29.14</v>
      </c>
      <c r="O2084" s="1" t="n">
        <f aca="false">YEAR(B2084)</f>
        <v>2027</v>
      </c>
      <c r="P2084" s="1" t="n">
        <f aca="false">MONTH(B2084)</f>
        <v>9</v>
      </c>
      <c r="Q2084" s="1" t="str">
        <f aca="false">TEXT(B2084,"mmm")</f>
        <v>Sep</v>
      </c>
      <c r="R2084" s="1" t="str">
        <f aca="false">"Q"&amp;ROUNDUP(MONTH(B2084)/3,0)</f>
        <v>Q3</v>
      </c>
    </row>
    <row r="2085" customFormat="false" ht="15" hidden="false" customHeight="true" outlineLevel="0" collapsed="false">
      <c r="A2085" s="1" t="n">
        <v>12084</v>
      </c>
      <c r="B2085" s="14" t="n">
        <v>46645</v>
      </c>
      <c r="C2085" s="1" t="n">
        <v>1669</v>
      </c>
      <c r="D2085" s="1" t="s">
        <v>30</v>
      </c>
      <c r="E2085" s="1" t="s">
        <v>32</v>
      </c>
      <c r="F2085" s="1" t="n">
        <v>4</v>
      </c>
      <c r="G2085" s="15" t="n">
        <v>307.31</v>
      </c>
      <c r="H2085" s="16" t="n">
        <v>0.26</v>
      </c>
      <c r="I2085" s="1" t="s">
        <v>31</v>
      </c>
      <c r="J2085" s="1" t="n">
        <v>2</v>
      </c>
      <c r="K2085" s="1" t="n">
        <v>3.8</v>
      </c>
      <c r="L2085" s="15" t="n">
        <v>909.64</v>
      </c>
      <c r="M2085" s="15" t="n">
        <f aca="false">F2085*G2085</f>
        <v>1229.24</v>
      </c>
      <c r="N2085" s="15" t="n">
        <f aca="false">M2085-L2085</f>
        <v>319.6</v>
      </c>
      <c r="O2085" s="1" t="n">
        <f aca="false">YEAR(B2085)</f>
        <v>2027</v>
      </c>
      <c r="P2085" s="1" t="n">
        <f aca="false">MONTH(B2085)</f>
        <v>9</v>
      </c>
      <c r="Q2085" s="1" t="str">
        <f aca="false">TEXT(B2085,"mmm")</f>
        <v>Sep</v>
      </c>
      <c r="R2085" s="1" t="str">
        <f aca="false">"Q"&amp;ROUNDUP(MONTH(B2085)/3,0)</f>
        <v>Q3</v>
      </c>
    </row>
    <row r="2086" customFormat="false" ht="15" hidden="false" customHeight="true" outlineLevel="0" collapsed="false">
      <c r="A2086" s="1" t="n">
        <v>12085</v>
      </c>
      <c r="B2086" s="14" t="n">
        <v>46646</v>
      </c>
      <c r="C2086" s="1" t="n">
        <v>1323</v>
      </c>
      <c r="D2086" s="1" t="s">
        <v>37</v>
      </c>
      <c r="E2086" s="1" t="s">
        <v>36</v>
      </c>
      <c r="F2086" s="1" t="n">
        <v>3</v>
      </c>
      <c r="G2086" s="15" t="n">
        <v>451.85</v>
      </c>
      <c r="H2086" s="16" t="n">
        <v>0.06</v>
      </c>
      <c r="I2086" s="1" t="s">
        <v>31</v>
      </c>
      <c r="J2086" s="1" t="n">
        <v>7</v>
      </c>
      <c r="K2086" s="1" t="n">
        <v>2.1</v>
      </c>
      <c r="L2086" s="15" t="n">
        <v>1274.22</v>
      </c>
      <c r="M2086" s="15" t="n">
        <f aca="false">F2086*G2086</f>
        <v>1355.55</v>
      </c>
      <c r="N2086" s="15" t="n">
        <f aca="false">M2086-L2086</f>
        <v>81.3300000000002</v>
      </c>
      <c r="O2086" s="1" t="n">
        <f aca="false">YEAR(B2086)</f>
        <v>2027</v>
      </c>
      <c r="P2086" s="1" t="n">
        <f aca="false">MONTH(B2086)</f>
        <v>9</v>
      </c>
      <c r="Q2086" s="1" t="str">
        <f aca="false">TEXT(B2086,"mmm")</f>
        <v>Sep</v>
      </c>
      <c r="R2086" s="1" t="str">
        <f aca="false">"Q"&amp;ROUNDUP(MONTH(B2086)/3,0)</f>
        <v>Q3</v>
      </c>
    </row>
    <row r="2087" customFormat="false" ht="15" hidden="false" customHeight="true" outlineLevel="0" collapsed="false">
      <c r="A2087" s="1" t="n">
        <v>12086</v>
      </c>
      <c r="B2087" s="14" t="n">
        <v>46647</v>
      </c>
      <c r="C2087" s="1" t="n">
        <v>1145</v>
      </c>
      <c r="D2087" s="1" t="s">
        <v>30</v>
      </c>
      <c r="E2087" s="1" t="s">
        <v>36</v>
      </c>
      <c r="F2087" s="1" t="n">
        <v>7</v>
      </c>
      <c r="G2087" s="15" t="n">
        <v>344.16</v>
      </c>
      <c r="H2087" s="16" t="n">
        <v>0.12</v>
      </c>
      <c r="I2087" s="1" t="s">
        <v>33</v>
      </c>
      <c r="J2087" s="1" t="n">
        <v>1</v>
      </c>
      <c r="K2087" s="1" t="n">
        <v>3.3</v>
      </c>
      <c r="L2087" s="15" t="n">
        <v>2120.03</v>
      </c>
      <c r="M2087" s="15" t="n">
        <f aca="false">F2087*G2087</f>
        <v>2409.12</v>
      </c>
      <c r="N2087" s="15" t="n">
        <f aca="false">M2087-L2087</f>
        <v>289.09</v>
      </c>
      <c r="O2087" s="1" t="n">
        <f aca="false">YEAR(B2087)</f>
        <v>2027</v>
      </c>
      <c r="P2087" s="1" t="n">
        <f aca="false">MONTH(B2087)</f>
        <v>9</v>
      </c>
      <c r="Q2087" s="1" t="str">
        <f aca="false">TEXT(B2087,"mmm")</f>
        <v>Sep</v>
      </c>
      <c r="R2087" s="1" t="str">
        <f aca="false">"Q"&amp;ROUNDUP(MONTH(B2087)/3,0)</f>
        <v>Q3</v>
      </c>
    </row>
    <row r="2088" customFormat="false" ht="15" hidden="false" customHeight="true" outlineLevel="0" collapsed="false">
      <c r="A2088" s="1" t="n">
        <v>12087</v>
      </c>
      <c r="B2088" s="14" t="n">
        <v>46648</v>
      </c>
      <c r="C2088" s="1" t="n">
        <v>1957</v>
      </c>
      <c r="D2088" s="1" t="s">
        <v>34</v>
      </c>
      <c r="E2088" s="1" t="s">
        <v>36</v>
      </c>
      <c r="F2088" s="1" t="n">
        <v>6</v>
      </c>
      <c r="G2088" s="15" t="n">
        <v>63.73</v>
      </c>
      <c r="H2088" s="16" t="n">
        <v>0.23</v>
      </c>
      <c r="I2088" s="1" t="s">
        <v>29</v>
      </c>
      <c r="J2088" s="1" t="n">
        <v>2</v>
      </c>
      <c r="K2088" s="1" t="n">
        <v>4</v>
      </c>
      <c r="L2088" s="15" t="n">
        <v>294.43</v>
      </c>
      <c r="M2088" s="15" t="n">
        <f aca="false">F2088*G2088</f>
        <v>382.38</v>
      </c>
      <c r="N2088" s="15" t="n">
        <f aca="false">M2088-L2088</f>
        <v>87.95</v>
      </c>
      <c r="O2088" s="1" t="n">
        <f aca="false">YEAR(B2088)</f>
        <v>2027</v>
      </c>
      <c r="P2088" s="1" t="n">
        <f aca="false">MONTH(B2088)</f>
        <v>9</v>
      </c>
      <c r="Q2088" s="1" t="str">
        <f aca="false">TEXT(B2088,"mmm")</f>
        <v>Sep</v>
      </c>
      <c r="R2088" s="1" t="str">
        <f aca="false">"Q"&amp;ROUNDUP(MONTH(B2088)/3,0)</f>
        <v>Q3</v>
      </c>
    </row>
    <row r="2089" customFormat="false" ht="15" hidden="false" customHeight="true" outlineLevel="0" collapsed="false">
      <c r="A2089" s="1" t="n">
        <v>12088</v>
      </c>
      <c r="B2089" s="14" t="n">
        <v>46649</v>
      </c>
      <c r="C2089" s="1" t="n">
        <v>1292</v>
      </c>
      <c r="D2089" s="1" t="s">
        <v>37</v>
      </c>
      <c r="E2089" s="1" t="s">
        <v>28</v>
      </c>
      <c r="F2089" s="1" t="n">
        <v>7</v>
      </c>
      <c r="G2089" s="15" t="n">
        <v>123.56</v>
      </c>
      <c r="H2089" s="16" t="n">
        <v>0.17</v>
      </c>
      <c r="I2089" s="1" t="s">
        <v>33</v>
      </c>
      <c r="J2089" s="1" t="n">
        <v>10</v>
      </c>
      <c r="K2089" s="1" t="n">
        <v>3.6</v>
      </c>
      <c r="L2089" s="15" t="n">
        <v>717.88</v>
      </c>
      <c r="M2089" s="15" t="n">
        <f aca="false">F2089*G2089</f>
        <v>864.92</v>
      </c>
      <c r="N2089" s="15" t="n">
        <f aca="false">M2089-L2089</f>
        <v>147.04</v>
      </c>
      <c r="O2089" s="1" t="n">
        <f aca="false">YEAR(B2089)</f>
        <v>2027</v>
      </c>
      <c r="P2089" s="1" t="n">
        <f aca="false">MONTH(B2089)</f>
        <v>9</v>
      </c>
      <c r="Q2089" s="1" t="str">
        <f aca="false">TEXT(B2089,"mmm")</f>
        <v>Sep</v>
      </c>
      <c r="R2089" s="1" t="str">
        <f aca="false">"Q"&amp;ROUNDUP(MONTH(B2089)/3,0)</f>
        <v>Q3</v>
      </c>
    </row>
    <row r="2090" customFormat="false" ht="15" hidden="false" customHeight="true" outlineLevel="0" collapsed="false">
      <c r="A2090" s="1" t="n">
        <v>12089</v>
      </c>
      <c r="B2090" s="14" t="n">
        <v>46650</v>
      </c>
      <c r="C2090" s="1" t="n">
        <v>1664</v>
      </c>
      <c r="D2090" s="1" t="s">
        <v>30</v>
      </c>
      <c r="E2090" s="1" t="s">
        <v>28</v>
      </c>
      <c r="F2090" s="1" t="n">
        <v>4</v>
      </c>
      <c r="G2090" s="15" t="n">
        <v>143.31</v>
      </c>
      <c r="H2090" s="16" t="n">
        <v>0.26</v>
      </c>
      <c r="I2090" s="1" t="s">
        <v>31</v>
      </c>
      <c r="J2090" s="1" t="n">
        <v>7</v>
      </c>
      <c r="K2090" s="1" t="n">
        <v>4.2</v>
      </c>
      <c r="L2090" s="15" t="n">
        <v>424.2</v>
      </c>
      <c r="M2090" s="15" t="n">
        <f aca="false">F2090*G2090</f>
        <v>573.24</v>
      </c>
      <c r="N2090" s="15" t="n">
        <f aca="false">M2090-L2090</f>
        <v>149.04</v>
      </c>
      <c r="O2090" s="1" t="n">
        <f aca="false">YEAR(B2090)</f>
        <v>2027</v>
      </c>
      <c r="P2090" s="1" t="n">
        <f aca="false">MONTH(B2090)</f>
        <v>9</v>
      </c>
      <c r="Q2090" s="1" t="str">
        <f aca="false">TEXT(B2090,"mmm")</f>
        <v>Sep</v>
      </c>
      <c r="R2090" s="1" t="str">
        <f aca="false">"Q"&amp;ROUNDUP(MONTH(B2090)/3,0)</f>
        <v>Q3</v>
      </c>
    </row>
    <row r="2091" customFormat="false" ht="15" hidden="false" customHeight="true" outlineLevel="0" collapsed="false">
      <c r="A2091" s="1" t="n">
        <v>12090</v>
      </c>
      <c r="B2091" s="14" t="n">
        <v>46651</v>
      </c>
      <c r="C2091" s="1" t="n">
        <v>1431</v>
      </c>
      <c r="D2091" s="1" t="s">
        <v>34</v>
      </c>
      <c r="E2091" s="1" t="s">
        <v>32</v>
      </c>
      <c r="F2091" s="1" t="n">
        <v>7</v>
      </c>
      <c r="G2091" s="15" t="n">
        <v>165.85</v>
      </c>
      <c r="H2091" s="16" t="n">
        <v>0.34</v>
      </c>
      <c r="I2091" s="1" t="s">
        <v>31</v>
      </c>
      <c r="J2091" s="1" t="n">
        <v>10</v>
      </c>
      <c r="K2091" s="1" t="n">
        <v>3.8</v>
      </c>
      <c r="L2091" s="15" t="n">
        <v>766.23</v>
      </c>
      <c r="M2091" s="15" t="n">
        <f aca="false">F2091*G2091</f>
        <v>1160.95</v>
      </c>
      <c r="N2091" s="15" t="n">
        <f aca="false">M2091-L2091</f>
        <v>394.72</v>
      </c>
      <c r="O2091" s="1" t="n">
        <f aca="false">YEAR(B2091)</f>
        <v>2027</v>
      </c>
      <c r="P2091" s="1" t="n">
        <f aca="false">MONTH(B2091)</f>
        <v>9</v>
      </c>
      <c r="Q2091" s="1" t="str">
        <f aca="false">TEXT(B2091,"mmm")</f>
        <v>Sep</v>
      </c>
      <c r="R2091" s="1" t="str">
        <f aca="false">"Q"&amp;ROUNDUP(MONTH(B2091)/3,0)</f>
        <v>Q3</v>
      </c>
    </row>
    <row r="2092" customFormat="false" ht="15" hidden="false" customHeight="true" outlineLevel="0" collapsed="false">
      <c r="A2092" s="1" t="n">
        <v>12091</v>
      </c>
      <c r="B2092" s="14" t="n">
        <v>46652</v>
      </c>
      <c r="C2092" s="1" t="n">
        <v>1704</v>
      </c>
      <c r="D2092" s="1" t="s">
        <v>37</v>
      </c>
      <c r="E2092" s="1" t="s">
        <v>28</v>
      </c>
      <c r="F2092" s="1" t="n">
        <v>4</v>
      </c>
      <c r="G2092" s="15" t="n">
        <v>345.76</v>
      </c>
      <c r="H2092" s="16" t="n">
        <v>0.04</v>
      </c>
      <c r="I2092" s="1" t="s">
        <v>31</v>
      </c>
      <c r="J2092" s="1" t="n">
        <v>1</v>
      </c>
      <c r="K2092" s="1" t="n">
        <v>2.1</v>
      </c>
      <c r="L2092" s="15" t="n">
        <v>1327.72</v>
      </c>
      <c r="M2092" s="15" t="n">
        <f aca="false">F2092*G2092</f>
        <v>1383.04</v>
      </c>
      <c r="N2092" s="15" t="n">
        <f aca="false">M2092-L2092</f>
        <v>55.3199999999999</v>
      </c>
      <c r="O2092" s="1" t="n">
        <f aca="false">YEAR(B2092)</f>
        <v>2027</v>
      </c>
      <c r="P2092" s="1" t="n">
        <f aca="false">MONTH(B2092)</f>
        <v>9</v>
      </c>
      <c r="Q2092" s="1" t="str">
        <f aca="false">TEXT(B2092,"mmm")</f>
        <v>Sep</v>
      </c>
      <c r="R2092" s="1" t="str">
        <f aca="false">"Q"&amp;ROUNDUP(MONTH(B2092)/3,0)</f>
        <v>Q3</v>
      </c>
    </row>
    <row r="2093" customFormat="false" ht="15" hidden="false" customHeight="true" outlineLevel="0" collapsed="false">
      <c r="A2093" s="1" t="n">
        <v>12092</v>
      </c>
      <c r="B2093" s="14" t="n">
        <v>46653</v>
      </c>
      <c r="C2093" s="1" t="n">
        <v>1948</v>
      </c>
      <c r="D2093" s="1" t="s">
        <v>30</v>
      </c>
      <c r="E2093" s="1" t="s">
        <v>28</v>
      </c>
      <c r="F2093" s="1" t="n">
        <v>3</v>
      </c>
      <c r="G2093" s="15" t="n">
        <v>309.82</v>
      </c>
      <c r="H2093" s="16" t="n">
        <v>0.25</v>
      </c>
      <c r="I2093" s="1" t="s">
        <v>31</v>
      </c>
      <c r="J2093" s="1" t="n">
        <v>7</v>
      </c>
      <c r="K2093" s="1" t="n">
        <v>1.6</v>
      </c>
      <c r="L2093" s="15" t="n">
        <v>697.1</v>
      </c>
      <c r="M2093" s="15" t="n">
        <f aca="false">F2093*G2093</f>
        <v>929.46</v>
      </c>
      <c r="N2093" s="15" t="n">
        <f aca="false">M2093-L2093</f>
        <v>232.36</v>
      </c>
      <c r="O2093" s="1" t="n">
        <f aca="false">YEAR(B2093)</f>
        <v>2027</v>
      </c>
      <c r="P2093" s="1" t="n">
        <f aca="false">MONTH(B2093)</f>
        <v>9</v>
      </c>
      <c r="Q2093" s="1" t="str">
        <f aca="false">TEXT(B2093,"mmm")</f>
        <v>Sep</v>
      </c>
      <c r="R2093" s="1" t="str">
        <f aca="false">"Q"&amp;ROUNDUP(MONTH(B2093)/3,0)</f>
        <v>Q3</v>
      </c>
    </row>
    <row r="2094" customFormat="false" ht="15" hidden="false" customHeight="true" outlineLevel="0" collapsed="false">
      <c r="A2094" s="1" t="n">
        <v>12093</v>
      </c>
      <c r="B2094" s="14" t="n">
        <v>46654</v>
      </c>
      <c r="C2094" s="1" t="n">
        <v>1974</v>
      </c>
      <c r="D2094" s="1" t="s">
        <v>30</v>
      </c>
      <c r="E2094" s="1" t="s">
        <v>35</v>
      </c>
      <c r="F2094" s="1" t="n">
        <v>5</v>
      </c>
      <c r="G2094" s="15" t="n">
        <v>133.85</v>
      </c>
      <c r="H2094" s="16" t="n">
        <v>0.08</v>
      </c>
      <c r="I2094" s="1" t="s">
        <v>31</v>
      </c>
      <c r="J2094" s="1" t="n">
        <v>5</v>
      </c>
      <c r="K2094" s="1" t="n">
        <v>3.5</v>
      </c>
      <c r="L2094" s="15" t="n">
        <v>615.71</v>
      </c>
      <c r="M2094" s="15" t="n">
        <f aca="false">F2094*G2094</f>
        <v>669.25</v>
      </c>
      <c r="N2094" s="15" t="n">
        <f aca="false">M2094-L2094</f>
        <v>53.54</v>
      </c>
      <c r="O2094" s="1" t="n">
        <f aca="false">YEAR(B2094)</f>
        <v>2027</v>
      </c>
      <c r="P2094" s="1" t="n">
        <f aca="false">MONTH(B2094)</f>
        <v>9</v>
      </c>
      <c r="Q2094" s="1" t="str">
        <f aca="false">TEXT(B2094,"mmm")</f>
        <v>Sep</v>
      </c>
      <c r="R2094" s="1" t="str">
        <f aca="false">"Q"&amp;ROUNDUP(MONTH(B2094)/3,0)</f>
        <v>Q3</v>
      </c>
    </row>
    <row r="2095" customFormat="false" ht="15" hidden="false" customHeight="true" outlineLevel="0" collapsed="false">
      <c r="A2095" s="1" t="n">
        <v>12094</v>
      </c>
      <c r="B2095" s="14" t="n">
        <v>46655</v>
      </c>
      <c r="C2095" s="1" t="n">
        <v>1584</v>
      </c>
      <c r="D2095" s="1" t="s">
        <v>30</v>
      </c>
      <c r="E2095" s="1" t="s">
        <v>28</v>
      </c>
      <c r="F2095" s="1" t="n">
        <v>6</v>
      </c>
      <c r="G2095" s="15" t="n">
        <v>54.52</v>
      </c>
      <c r="H2095" s="16" t="n">
        <v>0.15</v>
      </c>
      <c r="I2095" s="1" t="s">
        <v>29</v>
      </c>
      <c r="J2095" s="1" t="n">
        <v>11</v>
      </c>
      <c r="K2095" s="1" t="n">
        <v>4</v>
      </c>
      <c r="L2095" s="15" t="n">
        <v>278.05</v>
      </c>
      <c r="M2095" s="15" t="n">
        <f aca="false">F2095*G2095</f>
        <v>327.12</v>
      </c>
      <c r="N2095" s="15" t="n">
        <f aca="false">M2095-L2095</f>
        <v>49.07</v>
      </c>
      <c r="O2095" s="1" t="n">
        <f aca="false">YEAR(B2095)</f>
        <v>2027</v>
      </c>
      <c r="P2095" s="1" t="n">
        <f aca="false">MONTH(B2095)</f>
        <v>9</v>
      </c>
      <c r="Q2095" s="1" t="str">
        <f aca="false">TEXT(B2095,"mmm")</f>
        <v>Sep</v>
      </c>
      <c r="R2095" s="1" t="str">
        <f aca="false">"Q"&amp;ROUNDUP(MONTH(B2095)/3,0)</f>
        <v>Q3</v>
      </c>
    </row>
    <row r="2096" customFormat="false" ht="15" hidden="false" customHeight="true" outlineLevel="0" collapsed="false">
      <c r="A2096" s="1" t="n">
        <v>12095</v>
      </c>
      <c r="B2096" s="14" t="n">
        <v>46656</v>
      </c>
      <c r="C2096" s="1" t="n">
        <v>1398</v>
      </c>
      <c r="D2096" s="1" t="s">
        <v>37</v>
      </c>
      <c r="E2096" s="1" t="s">
        <v>35</v>
      </c>
      <c r="F2096" s="1" t="n">
        <v>5</v>
      </c>
      <c r="G2096" s="15" t="n">
        <v>115.29</v>
      </c>
      <c r="H2096" s="16" t="n">
        <v>0.01</v>
      </c>
      <c r="I2096" s="1" t="s">
        <v>33</v>
      </c>
      <c r="J2096" s="1" t="n">
        <v>3</v>
      </c>
      <c r="K2096" s="1" t="n">
        <v>1.6</v>
      </c>
      <c r="L2096" s="15" t="n">
        <v>570.69</v>
      </c>
      <c r="M2096" s="15" t="n">
        <f aca="false">F2096*G2096</f>
        <v>576.45</v>
      </c>
      <c r="N2096" s="15" t="n">
        <f aca="false">M2096-L2096</f>
        <v>5.75999999999999</v>
      </c>
      <c r="O2096" s="1" t="n">
        <f aca="false">YEAR(B2096)</f>
        <v>2027</v>
      </c>
      <c r="P2096" s="1" t="n">
        <f aca="false">MONTH(B2096)</f>
        <v>9</v>
      </c>
      <c r="Q2096" s="1" t="str">
        <f aca="false">TEXT(B2096,"mmm")</f>
        <v>Sep</v>
      </c>
      <c r="R2096" s="1" t="str">
        <f aca="false">"Q"&amp;ROUNDUP(MONTH(B2096)/3,0)</f>
        <v>Q3</v>
      </c>
    </row>
    <row r="2097" customFormat="false" ht="15" hidden="false" customHeight="true" outlineLevel="0" collapsed="false">
      <c r="A2097" s="1" t="n">
        <v>12096</v>
      </c>
      <c r="B2097" s="14" t="n">
        <v>46657</v>
      </c>
      <c r="C2097" s="1" t="n">
        <v>1816</v>
      </c>
      <c r="D2097" s="1" t="s">
        <v>37</v>
      </c>
      <c r="E2097" s="1" t="s">
        <v>28</v>
      </c>
      <c r="F2097" s="1" t="n">
        <v>6</v>
      </c>
      <c r="G2097" s="15" t="n">
        <v>590.86</v>
      </c>
      <c r="H2097" s="16" t="n">
        <v>0.05</v>
      </c>
      <c r="I2097" s="1" t="s">
        <v>33</v>
      </c>
      <c r="J2097" s="1" t="n">
        <v>11</v>
      </c>
      <c r="K2097" s="1" t="n">
        <v>1.7</v>
      </c>
      <c r="L2097" s="15" t="n">
        <v>3367.9</v>
      </c>
      <c r="M2097" s="15" t="n">
        <f aca="false">F2097*G2097</f>
        <v>3545.16</v>
      </c>
      <c r="N2097" s="15" t="n">
        <f aca="false">M2097-L2097</f>
        <v>177.26</v>
      </c>
      <c r="O2097" s="1" t="n">
        <f aca="false">YEAR(B2097)</f>
        <v>2027</v>
      </c>
      <c r="P2097" s="1" t="n">
        <f aca="false">MONTH(B2097)</f>
        <v>9</v>
      </c>
      <c r="Q2097" s="1" t="str">
        <f aca="false">TEXT(B2097,"mmm")</f>
        <v>Sep</v>
      </c>
      <c r="R2097" s="1" t="str">
        <f aca="false">"Q"&amp;ROUNDUP(MONTH(B2097)/3,0)</f>
        <v>Q3</v>
      </c>
    </row>
    <row r="2098" customFormat="false" ht="15" hidden="false" customHeight="true" outlineLevel="0" collapsed="false">
      <c r="A2098" s="1" t="n">
        <v>12097</v>
      </c>
      <c r="B2098" s="14" t="n">
        <v>46658</v>
      </c>
      <c r="C2098" s="1" t="n">
        <v>1888</v>
      </c>
      <c r="D2098" s="1" t="s">
        <v>37</v>
      </c>
      <c r="E2098" s="1" t="s">
        <v>32</v>
      </c>
      <c r="F2098" s="1" t="n">
        <v>6</v>
      </c>
      <c r="G2098" s="15" t="n">
        <v>289.1</v>
      </c>
      <c r="H2098" s="16" t="n">
        <v>0.11</v>
      </c>
      <c r="I2098" s="1" t="s">
        <v>31</v>
      </c>
      <c r="J2098" s="1" t="n">
        <v>2</v>
      </c>
      <c r="K2098" s="1" t="n">
        <v>1</v>
      </c>
      <c r="L2098" s="15" t="n">
        <v>1543.79</v>
      </c>
      <c r="M2098" s="15" t="n">
        <f aca="false">F2098*G2098</f>
        <v>1734.6</v>
      </c>
      <c r="N2098" s="15" t="n">
        <f aca="false">M2098-L2098</f>
        <v>190.81</v>
      </c>
      <c r="O2098" s="1" t="n">
        <f aca="false">YEAR(B2098)</f>
        <v>2027</v>
      </c>
      <c r="P2098" s="1" t="n">
        <f aca="false">MONTH(B2098)</f>
        <v>9</v>
      </c>
      <c r="Q2098" s="1" t="str">
        <f aca="false">TEXT(B2098,"mmm")</f>
        <v>Sep</v>
      </c>
      <c r="R2098" s="1" t="str">
        <f aca="false">"Q"&amp;ROUNDUP(MONTH(B2098)/3,0)</f>
        <v>Q3</v>
      </c>
    </row>
    <row r="2099" customFormat="false" ht="15" hidden="false" customHeight="true" outlineLevel="0" collapsed="false">
      <c r="A2099" s="1" t="n">
        <v>12098</v>
      </c>
      <c r="B2099" s="14" t="n">
        <v>46659</v>
      </c>
      <c r="C2099" s="1" t="n">
        <v>1343</v>
      </c>
      <c r="D2099" s="1" t="s">
        <v>34</v>
      </c>
      <c r="E2099" s="1" t="s">
        <v>36</v>
      </c>
      <c r="F2099" s="1" t="n">
        <v>7</v>
      </c>
      <c r="G2099" s="15" t="n">
        <v>522.4</v>
      </c>
      <c r="H2099" s="16" t="n">
        <v>0.12</v>
      </c>
      <c r="I2099" s="1" t="s">
        <v>31</v>
      </c>
      <c r="J2099" s="1" t="n">
        <v>7</v>
      </c>
      <c r="K2099" s="1" t="n">
        <v>3.1</v>
      </c>
      <c r="L2099" s="15" t="n">
        <v>3217.98</v>
      </c>
      <c r="M2099" s="15" t="n">
        <f aca="false">F2099*G2099</f>
        <v>3656.8</v>
      </c>
      <c r="N2099" s="15" t="n">
        <f aca="false">M2099-L2099</f>
        <v>438.82</v>
      </c>
      <c r="O2099" s="1" t="n">
        <f aca="false">YEAR(B2099)</f>
        <v>2027</v>
      </c>
      <c r="P2099" s="1" t="n">
        <f aca="false">MONTH(B2099)</f>
        <v>9</v>
      </c>
      <c r="Q2099" s="1" t="str">
        <f aca="false">TEXT(B2099,"mmm")</f>
        <v>Sep</v>
      </c>
      <c r="R2099" s="1" t="str">
        <f aca="false">"Q"&amp;ROUNDUP(MONTH(B2099)/3,0)</f>
        <v>Q3</v>
      </c>
    </row>
    <row r="2100" customFormat="false" ht="15" hidden="false" customHeight="true" outlineLevel="0" collapsed="false">
      <c r="A2100" s="1" t="n">
        <v>12099</v>
      </c>
      <c r="B2100" s="14" t="n">
        <v>46660</v>
      </c>
      <c r="C2100" s="1" t="n">
        <v>1963</v>
      </c>
      <c r="D2100" s="1" t="s">
        <v>37</v>
      </c>
      <c r="E2100" s="1" t="s">
        <v>32</v>
      </c>
      <c r="F2100" s="1" t="n">
        <v>7</v>
      </c>
      <c r="G2100" s="15" t="n">
        <v>511.52</v>
      </c>
      <c r="H2100" s="16" t="n">
        <v>0.31</v>
      </c>
      <c r="I2100" s="1" t="s">
        <v>33</v>
      </c>
      <c r="J2100" s="1" t="n">
        <v>9</v>
      </c>
      <c r="K2100" s="1" t="n">
        <v>3.2</v>
      </c>
      <c r="L2100" s="15" t="n">
        <v>2470.64</v>
      </c>
      <c r="M2100" s="15" t="n">
        <f aca="false">F2100*G2100</f>
        <v>3580.64</v>
      </c>
      <c r="N2100" s="15" t="n">
        <f aca="false">M2100-L2100</f>
        <v>1110</v>
      </c>
      <c r="O2100" s="1" t="n">
        <f aca="false">YEAR(B2100)</f>
        <v>2027</v>
      </c>
      <c r="P2100" s="1" t="n">
        <f aca="false">MONTH(B2100)</f>
        <v>9</v>
      </c>
      <c r="Q2100" s="1" t="str">
        <f aca="false">TEXT(B2100,"mmm")</f>
        <v>Sep</v>
      </c>
      <c r="R2100" s="1" t="str">
        <f aca="false">"Q"&amp;ROUNDUP(MONTH(B2100)/3,0)</f>
        <v>Q3</v>
      </c>
    </row>
    <row r="2101" customFormat="false" ht="15" hidden="false" customHeight="true" outlineLevel="0" collapsed="false">
      <c r="A2101" s="1" t="n">
        <v>12100</v>
      </c>
      <c r="B2101" s="14" t="n">
        <v>46661</v>
      </c>
      <c r="C2101" s="1" t="n">
        <v>1139</v>
      </c>
      <c r="D2101" s="1" t="s">
        <v>37</v>
      </c>
      <c r="E2101" s="1" t="s">
        <v>28</v>
      </c>
      <c r="F2101" s="1" t="n">
        <v>5</v>
      </c>
      <c r="G2101" s="15" t="n">
        <v>314.24</v>
      </c>
      <c r="H2101" s="16" t="n">
        <v>0.26</v>
      </c>
      <c r="I2101" s="1" t="s">
        <v>29</v>
      </c>
      <c r="J2101" s="1" t="n">
        <v>9</v>
      </c>
      <c r="K2101" s="1" t="n">
        <v>3</v>
      </c>
      <c r="L2101" s="15" t="n">
        <v>1162.69</v>
      </c>
      <c r="M2101" s="15" t="n">
        <f aca="false">F2101*G2101</f>
        <v>1571.2</v>
      </c>
      <c r="N2101" s="15" t="n">
        <f aca="false">M2101-L2101</f>
        <v>408.51</v>
      </c>
      <c r="O2101" s="1" t="n">
        <f aca="false">YEAR(B2101)</f>
        <v>2027</v>
      </c>
      <c r="P2101" s="1" t="n">
        <f aca="false">MONTH(B2101)</f>
        <v>10</v>
      </c>
      <c r="Q2101" s="1" t="str">
        <f aca="false">TEXT(B2101,"mmm")</f>
        <v>Oct</v>
      </c>
      <c r="R2101" s="1" t="str">
        <f aca="false">"Q"&amp;ROUNDUP(MONTH(B2101)/3,0)</f>
        <v>Q4</v>
      </c>
    </row>
    <row r="2102" customFormat="false" ht="15" hidden="false" customHeight="true" outlineLevel="0" collapsed="false">
      <c r="A2102" s="1" t="n">
        <v>12101</v>
      </c>
      <c r="B2102" s="14" t="n">
        <v>46662</v>
      </c>
      <c r="C2102" s="1" t="n">
        <v>1186</v>
      </c>
      <c r="D2102" s="1" t="s">
        <v>37</v>
      </c>
      <c r="E2102" s="1" t="s">
        <v>36</v>
      </c>
      <c r="F2102" s="1" t="n">
        <v>2</v>
      </c>
      <c r="G2102" s="15" t="n">
        <v>428.41</v>
      </c>
      <c r="H2102" s="16" t="n">
        <v>0.34</v>
      </c>
      <c r="I2102" s="1" t="s">
        <v>33</v>
      </c>
      <c r="J2102" s="1" t="n">
        <v>10</v>
      </c>
      <c r="K2102" s="1" t="n">
        <v>2.3</v>
      </c>
      <c r="L2102" s="15" t="n">
        <v>565.5</v>
      </c>
      <c r="M2102" s="15" t="n">
        <f aca="false">F2102*G2102</f>
        <v>856.82</v>
      </c>
      <c r="N2102" s="15" t="n">
        <f aca="false">M2102-L2102</f>
        <v>291.32</v>
      </c>
      <c r="O2102" s="1" t="n">
        <f aca="false">YEAR(B2102)</f>
        <v>2027</v>
      </c>
      <c r="P2102" s="1" t="n">
        <f aca="false">MONTH(B2102)</f>
        <v>10</v>
      </c>
      <c r="Q2102" s="1" t="str">
        <f aca="false">TEXT(B2102,"mmm")</f>
        <v>Oct</v>
      </c>
      <c r="R2102" s="1" t="str">
        <f aca="false">"Q"&amp;ROUNDUP(MONTH(B2102)/3,0)</f>
        <v>Q4</v>
      </c>
    </row>
    <row r="2103" customFormat="false" ht="15" hidden="false" customHeight="true" outlineLevel="0" collapsed="false">
      <c r="A2103" s="1" t="n">
        <v>12102</v>
      </c>
      <c r="B2103" s="14" t="n">
        <v>46663</v>
      </c>
      <c r="C2103" s="1" t="n">
        <v>1804</v>
      </c>
      <c r="D2103" s="1" t="s">
        <v>30</v>
      </c>
      <c r="E2103" s="1" t="s">
        <v>36</v>
      </c>
      <c r="F2103" s="1" t="n">
        <v>4</v>
      </c>
      <c r="G2103" s="15" t="n">
        <v>127.76</v>
      </c>
      <c r="H2103" s="16" t="n">
        <v>0.21</v>
      </c>
      <c r="I2103" s="1" t="s">
        <v>29</v>
      </c>
      <c r="J2103" s="1" t="n">
        <v>10</v>
      </c>
      <c r="K2103" s="1" t="n">
        <v>2.7</v>
      </c>
      <c r="L2103" s="15" t="n">
        <v>403.72</v>
      </c>
      <c r="M2103" s="15" t="n">
        <f aca="false">F2103*G2103</f>
        <v>511.04</v>
      </c>
      <c r="N2103" s="15" t="n">
        <f aca="false">M2103-L2103</f>
        <v>107.32</v>
      </c>
      <c r="O2103" s="1" t="n">
        <f aca="false">YEAR(B2103)</f>
        <v>2027</v>
      </c>
      <c r="P2103" s="1" t="n">
        <f aca="false">MONTH(B2103)</f>
        <v>10</v>
      </c>
      <c r="Q2103" s="1" t="str">
        <f aca="false">TEXT(B2103,"mmm")</f>
        <v>Oct</v>
      </c>
      <c r="R2103" s="1" t="str">
        <f aca="false">"Q"&amp;ROUNDUP(MONTH(B2103)/3,0)</f>
        <v>Q4</v>
      </c>
    </row>
    <row r="2104" customFormat="false" ht="15" hidden="false" customHeight="true" outlineLevel="0" collapsed="false">
      <c r="A2104" s="1" t="n">
        <v>12103</v>
      </c>
      <c r="B2104" s="14" t="n">
        <v>46664</v>
      </c>
      <c r="C2104" s="1" t="n">
        <v>1060</v>
      </c>
      <c r="D2104" s="1" t="s">
        <v>27</v>
      </c>
      <c r="E2104" s="1" t="s">
        <v>36</v>
      </c>
      <c r="F2104" s="1" t="n">
        <v>7</v>
      </c>
      <c r="G2104" s="15" t="n">
        <v>417.71</v>
      </c>
      <c r="H2104" s="16" t="n">
        <v>0.08</v>
      </c>
      <c r="I2104" s="1" t="s">
        <v>29</v>
      </c>
      <c r="J2104" s="1" t="n">
        <v>8</v>
      </c>
      <c r="K2104" s="1" t="n">
        <v>4.1</v>
      </c>
      <c r="L2104" s="15" t="n">
        <v>2690.05</v>
      </c>
      <c r="M2104" s="15" t="n">
        <f aca="false">F2104*G2104</f>
        <v>2923.97</v>
      </c>
      <c r="N2104" s="15" t="n">
        <f aca="false">M2104-L2104</f>
        <v>233.92</v>
      </c>
      <c r="O2104" s="1" t="n">
        <f aca="false">YEAR(B2104)</f>
        <v>2027</v>
      </c>
      <c r="P2104" s="1" t="n">
        <f aca="false">MONTH(B2104)</f>
        <v>10</v>
      </c>
      <c r="Q2104" s="1" t="str">
        <f aca="false">TEXT(B2104,"mmm")</f>
        <v>Oct</v>
      </c>
      <c r="R2104" s="1" t="str">
        <f aca="false">"Q"&amp;ROUNDUP(MONTH(B2104)/3,0)</f>
        <v>Q4</v>
      </c>
    </row>
    <row r="2105" customFormat="false" ht="15" hidden="false" customHeight="true" outlineLevel="0" collapsed="false">
      <c r="A2105" s="1" t="n">
        <v>12104</v>
      </c>
      <c r="B2105" s="14" t="n">
        <v>46665</v>
      </c>
      <c r="C2105" s="1" t="n">
        <v>1996</v>
      </c>
      <c r="D2105" s="1" t="s">
        <v>37</v>
      </c>
      <c r="E2105" s="1" t="s">
        <v>35</v>
      </c>
      <c r="F2105" s="1" t="n">
        <v>7</v>
      </c>
      <c r="G2105" s="15" t="n">
        <v>174.34</v>
      </c>
      <c r="H2105" s="16" t="n">
        <v>0.11</v>
      </c>
      <c r="I2105" s="1" t="s">
        <v>31</v>
      </c>
      <c r="J2105" s="1" t="n">
        <v>2</v>
      </c>
      <c r="K2105" s="1" t="n">
        <v>1.7</v>
      </c>
      <c r="L2105" s="15" t="n">
        <v>1086.14</v>
      </c>
      <c r="M2105" s="15" t="n">
        <f aca="false">F2105*G2105</f>
        <v>1220.38</v>
      </c>
      <c r="N2105" s="15" t="n">
        <f aca="false">M2105-L2105</f>
        <v>134.24</v>
      </c>
      <c r="O2105" s="1" t="n">
        <f aca="false">YEAR(B2105)</f>
        <v>2027</v>
      </c>
      <c r="P2105" s="1" t="n">
        <f aca="false">MONTH(B2105)</f>
        <v>10</v>
      </c>
      <c r="Q2105" s="1" t="str">
        <f aca="false">TEXT(B2105,"mmm")</f>
        <v>Oct</v>
      </c>
      <c r="R2105" s="1" t="str">
        <f aca="false">"Q"&amp;ROUNDUP(MONTH(B2105)/3,0)</f>
        <v>Q4</v>
      </c>
    </row>
    <row r="2106" customFormat="false" ht="15" hidden="false" customHeight="true" outlineLevel="0" collapsed="false">
      <c r="A2106" s="1" t="n">
        <v>12105</v>
      </c>
      <c r="B2106" s="14" t="n">
        <v>46666</v>
      </c>
      <c r="C2106" s="1" t="n">
        <v>1938</v>
      </c>
      <c r="D2106" s="1" t="s">
        <v>34</v>
      </c>
      <c r="E2106" s="1" t="s">
        <v>32</v>
      </c>
      <c r="F2106" s="1" t="n">
        <v>7</v>
      </c>
      <c r="G2106" s="15" t="n">
        <v>501.76</v>
      </c>
      <c r="H2106" s="16" t="n">
        <v>0.11</v>
      </c>
      <c r="I2106" s="1" t="s">
        <v>31</v>
      </c>
      <c r="J2106" s="1" t="n">
        <v>1</v>
      </c>
      <c r="K2106" s="1" t="n">
        <v>1.8</v>
      </c>
      <c r="L2106" s="15" t="n">
        <v>3125.96</v>
      </c>
      <c r="M2106" s="15" t="n">
        <f aca="false">F2106*G2106</f>
        <v>3512.32</v>
      </c>
      <c r="N2106" s="15" t="n">
        <f aca="false">M2106-L2106</f>
        <v>386.36</v>
      </c>
      <c r="O2106" s="1" t="n">
        <f aca="false">YEAR(B2106)</f>
        <v>2027</v>
      </c>
      <c r="P2106" s="1" t="n">
        <f aca="false">MONTH(B2106)</f>
        <v>10</v>
      </c>
      <c r="Q2106" s="1" t="str">
        <f aca="false">TEXT(B2106,"mmm")</f>
        <v>Oct</v>
      </c>
      <c r="R2106" s="1" t="str">
        <f aca="false">"Q"&amp;ROUNDUP(MONTH(B2106)/3,0)</f>
        <v>Q4</v>
      </c>
    </row>
    <row r="2107" customFormat="false" ht="15" hidden="false" customHeight="true" outlineLevel="0" collapsed="false">
      <c r="A2107" s="1" t="n">
        <v>12106</v>
      </c>
      <c r="B2107" s="14" t="n">
        <v>46667</v>
      </c>
      <c r="C2107" s="1" t="n">
        <v>1379</v>
      </c>
      <c r="D2107" s="1" t="s">
        <v>30</v>
      </c>
      <c r="E2107" s="1" t="s">
        <v>35</v>
      </c>
      <c r="F2107" s="1" t="n">
        <v>3</v>
      </c>
      <c r="G2107" s="15" t="n">
        <v>63.98</v>
      </c>
      <c r="H2107" s="16" t="n">
        <v>0.11</v>
      </c>
      <c r="I2107" s="1" t="s">
        <v>33</v>
      </c>
      <c r="J2107" s="1" t="n">
        <v>8</v>
      </c>
      <c r="K2107" s="1" t="n">
        <v>3.7</v>
      </c>
      <c r="L2107" s="15" t="n">
        <v>170.83</v>
      </c>
      <c r="M2107" s="15" t="n">
        <f aca="false">F2107*G2107</f>
        <v>191.94</v>
      </c>
      <c r="N2107" s="15" t="n">
        <f aca="false">M2107-L2107</f>
        <v>21.11</v>
      </c>
      <c r="O2107" s="1" t="n">
        <f aca="false">YEAR(B2107)</f>
        <v>2027</v>
      </c>
      <c r="P2107" s="1" t="n">
        <f aca="false">MONTH(B2107)</f>
        <v>10</v>
      </c>
      <c r="Q2107" s="1" t="str">
        <f aca="false">TEXT(B2107,"mmm")</f>
        <v>Oct</v>
      </c>
      <c r="R2107" s="1" t="str">
        <f aca="false">"Q"&amp;ROUNDUP(MONTH(B2107)/3,0)</f>
        <v>Q4</v>
      </c>
    </row>
    <row r="2108" customFormat="false" ht="15" hidden="false" customHeight="true" outlineLevel="0" collapsed="false">
      <c r="A2108" s="1" t="n">
        <v>12107</v>
      </c>
      <c r="B2108" s="14" t="n">
        <v>46668</v>
      </c>
      <c r="C2108" s="1" t="n">
        <v>1709</v>
      </c>
      <c r="D2108" s="1" t="s">
        <v>27</v>
      </c>
      <c r="E2108" s="1" t="s">
        <v>36</v>
      </c>
      <c r="F2108" s="1" t="n">
        <v>5</v>
      </c>
      <c r="G2108" s="15" t="n">
        <v>467.29</v>
      </c>
      <c r="H2108" s="16" t="n">
        <v>0.24</v>
      </c>
      <c r="I2108" s="1" t="s">
        <v>31</v>
      </c>
      <c r="J2108" s="1" t="n">
        <v>2</v>
      </c>
      <c r="K2108" s="1" t="n">
        <v>4.5</v>
      </c>
      <c r="L2108" s="15" t="n">
        <v>1775.7</v>
      </c>
      <c r="M2108" s="15" t="n">
        <f aca="false">F2108*G2108</f>
        <v>2336.45</v>
      </c>
      <c r="N2108" s="15" t="n">
        <f aca="false">M2108-L2108</f>
        <v>560.75</v>
      </c>
      <c r="O2108" s="1" t="n">
        <f aca="false">YEAR(B2108)</f>
        <v>2027</v>
      </c>
      <c r="P2108" s="1" t="n">
        <f aca="false">MONTH(B2108)</f>
        <v>10</v>
      </c>
      <c r="Q2108" s="1" t="str">
        <f aca="false">TEXT(B2108,"mmm")</f>
        <v>Oct</v>
      </c>
      <c r="R2108" s="1" t="str">
        <f aca="false">"Q"&amp;ROUNDUP(MONTH(B2108)/3,0)</f>
        <v>Q4</v>
      </c>
    </row>
    <row r="2109" customFormat="false" ht="15" hidden="false" customHeight="true" outlineLevel="0" collapsed="false">
      <c r="A2109" s="1" t="n">
        <v>12108</v>
      </c>
      <c r="B2109" s="14" t="n">
        <v>46669</v>
      </c>
      <c r="C2109" s="1" t="n">
        <v>1806</v>
      </c>
      <c r="D2109" s="1" t="s">
        <v>34</v>
      </c>
      <c r="E2109" s="1" t="s">
        <v>32</v>
      </c>
      <c r="F2109" s="1" t="n">
        <v>5</v>
      </c>
      <c r="G2109" s="15" t="n">
        <v>73.46</v>
      </c>
      <c r="H2109" s="16" t="n">
        <v>0.19</v>
      </c>
      <c r="I2109" s="1" t="s">
        <v>31</v>
      </c>
      <c r="J2109" s="1" t="n">
        <v>4</v>
      </c>
      <c r="K2109" s="1" t="n">
        <v>2.4</v>
      </c>
      <c r="L2109" s="15" t="n">
        <v>297.51</v>
      </c>
      <c r="M2109" s="15" t="n">
        <f aca="false">F2109*G2109</f>
        <v>367.3</v>
      </c>
      <c r="N2109" s="15" t="n">
        <f aca="false">M2109-L2109</f>
        <v>69.79</v>
      </c>
      <c r="O2109" s="1" t="n">
        <f aca="false">YEAR(B2109)</f>
        <v>2027</v>
      </c>
      <c r="P2109" s="1" t="n">
        <f aca="false">MONTH(B2109)</f>
        <v>10</v>
      </c>
      <c r="Q2109" s="1" t="str">
        <f aca="false">TEXT(B2109,"mmm")</f>
        <v>Oct</v>
      </c>
      <c r="R2109" s="1" t="str">
        <f aca="false">"Q"&amp;ROUNDUP(MONTH(B2109)/3,0)</f>
        <v>Q4</v>
      </c>
    </row>
    <row r="2110" customFormat="false" ht="15" hidden="false" customHeight="true" outlineLevel="0" collapsed="false">
      <c r="A2110" s="1" t="n">
        <v>12109</v>
      </c>
      <c r="B2110" s="14" t="n">
        <v>46670</v>
      </c>
      <c r="C2110" s="1" t="n">
        <v>1439</v>
      </c>
      <c r="D2110" s="1" t="s">
        <v>27</v>
      </c>
      <c r="E2110" s="1" t="s">
        <v>32</v>
      </c>
      <c r="F2110" s="1" t="n">
        <v>7</v>
      </c>
      <c r="G2110" s="15" t="n">
        <v>530.5</v>
      </c>
      <c r="H2110" s="16" t="n">
        <v>0.13</v>
      </c>
      <c r="I2110" s="1" t="s">
        <v>31</v>
      </c>
      <c r="J2110" s="1" t="n">
        <v>4</v>
      </c>
      <c r="K2110" s="1" t="n">
        <v>4.7</v>
      </c>
      <c r="L2110" s="15" t="n">
        <v>3230.74</v>
      </c>
      <c r="M2110" s="15" t="n">
        <f aca="false">F2110*G2110</f>
        <v>3713.5</v>
      </c>
      <c r="N2110" s="15" t="n">
        <f aca="false">M2110-L2110</f>
        <v>482.76</v>
      </c>
      <c r="O2110" s="1" t="n">
        <f aca="false">YEAR(B2110)</f>
        <v>2027</v>
      </c>
      <c r="P2110" s="1" t="n">
        <f aca="false">MONTH(B2110)</f>
        <v>10</v>
      </c>
      <c r="Q2110" s="1" t="str">
        <f aca="false">TEXT(B2110,"mmm")</f>
        <v>Oct</v>
      </c>
      <c r="R2110" s="1" t="str">
        <f aca="false">"Q"&amp;ROUNDUP(MONTH(B2110)/3,0)</f>
        <v>Q4</v>
      </c>
    </row>
    <row r="2111" customFormat="false" ht="15" hidden="false" customHeight="true" outlineLevel="0" collapsed="false">
      <c r="A2111" s="1" t="n">
        <v>12110</v>
      </c>
      <c r="B2111" s="14" t="n">
        <v>46671</v>
      </c>
      <c r="C2111" s="1" t="n">
        <v>1318</v>
      </c>
      <c r="D2111" s="1" t="s">
        <v>37</v>
      </c>
      <c r="E2111" s="1" t="s">
        <v>28</v>
      </c>
      <c r="F2111" s="1" t="n">
        <v>3</v>
      </c>
      <c r="G2111" s="15" t="n">
        <v>192.96</v>
      </c>
      <c r="H2111" s="16" t="n">
        <v>0.05</v>
      </c>
      <c r="I2111" s="1" t="s">
        <v>31</v>
      </c>
      <c r="J2111" s="1" t="n">
        <v>2</v>
      </c>
      <c r="K2111" s="1" t="n">
        <v>1.2</v>
      </c>
      <c r="L2111" s="15" t="n">
        <v>549.94</v>
      </c>
      <c r="M2111" s="15" t="n">
        <f aca="false">F2111*G2111</f>
        <v>578.88</v>
      </c>
      <c r="N2111" s="15" t="n">
        <f aca="false">M2111-L2111</f>
        <v>28.9399999999999</v>
      </c>
      <c r="O2111" s="1" t="n">
        <f aca="false">YEAR(B2111)</f>
        <v>2027</v>
      </c>
      <c r="P2111" s="1" t="n">
        <f aca="false">MONTH(B2111)</f>
        <v>10</v>
      </c>
      <c r="Q2111" s="1" t="str">
        <f aca="false">TEXT(B2111,"mmm")</f>
        <v>Oct</v>
      </c>
      <c r="R2111" s="1" t="str">
        <f aca="false">"Q"&amp;ROUNDUP(MONTH(B2111)/3,0)</f>
        <v>Q4</v>
      </c>
    </row>
    <row r="2112" customFormat="false" ht="15" hidden="false" customHeight="true" outlineLevel="0" collapsed="false">
      <c r="A2112" s="1" t="n">
        <v>12111</v>
      </c>
      <c r="B2112" s="14" t="n">
        <v>46672</v>
      </c>
      <c r="C2112" s="1" t="n">
        <v>1301</v>
      </c>
      <c r="D2112" s="1" t="s">
        <v>30</v>
      </c>
      <c r="E2112" s="1" t="s">
        <v>35</v>
      </c>
      <c r="F2112" s="1" t="n">
        <v>7</v>
      </c>
      <c r="G2112" s="15" t="n">
        <v>397.82</v>
      </c>
      <c r="H2112" s="16" t="n">
        <v>0.01</v>
      </c>
      <c r="I2112" s="1" t="s">
        <v>29</v>
      </c>
      <c r="J2112" s="1" t="n">
        <v>4</v>
      </c>
      <c r="K2112" s="1" t="n">
        <v>1.5</v>
      </c>
      <c r="L2112" s="15" t="n">
        <v>2756.89</v>
      </c>
      <c r="M2112" s="15" t="n">
        <f aca="false">F2112*G2112</f>
        <v>2784.74</v>
      </c>
      <c r="N2112" s="15" t="n">
        <f aca="false">M2112-L2112</f>
        <v>27.8499999999999</v>
      </c>
      <c r="O2112" s="1" t="n">
        <f aca="false">YEAR(B2112)</f>
        <v>2027</v>
      </c>
      <c r="P2112" s="1" t="n">
        <f aca="false">MONTH(B2112)</f>
        <v>10</v>
      </c>
      <c r="Q2112" s="1" t="str">
        <f aca="false">TEXT(B2112,"mmm")</f>
        <v>Oct</v>
      </c>
      <c r="R2112" s="1" t="str">
        <f aca="false">"Q"&amp;ROUNDUP(MONTH(B2112)/3,0)</f>
        <v>Q4</v>
      </c>
    </row>
    <row r="2113" customFormat="false" ht="15" hidden="false" customHeight="true" outlineLevel="0" collapsed="false">
      <c r="A2113" s="1" t="n">
        <v>12112</v>
      </c>
      <c r="B2113" s="14" t="n">
        <v>46673</v>
      </c>
      <c r="C2113" s="1" t="n">
        <v>1343</v>
      </c>
      <c r="D2113" s="1" t="s">
        <v>34</v>
      </c>
      <c r="E2113" s="1" t="s">
        <v>35</v>
      </c>
      <c r="F2113" s="1" t="n">
        <v>4</v>
      </c>
      <c r="G2113" s="15" t="n">
        <v>300.19</v>
      </c>
      <c r="H2113" s="16" t="n">
        <v>0.08</v>
      </c>
      <c r="I2113" s="1" t="s">
        <v>31</v>
      </c>
      <c r="J2113" s="1" t="n">
        <v>7</v>
      </c>
      <c r="K2113" s="1" t="n">
        <v>2.8</v>
      </c>
      <c r="L2113" s="15" t="n">
        <v>1104.7</v>
      </c>
      <c r="M2113" s="15" t="n">
        <f aca="false">F2113*G2113</f>
        <v>1200.76</v>
      </c>
      <c r="N2113" s="15" t="n">
        <f aca="false">M2113-L2113</f>
        <v>96.06</v>
      </c>
      <c r="O2113" s="1" t="n">
        <f aca="false">YEAR(B2113)</f>
        <v>2027</v>
      </c>
      <c r="P2113" s="1" t="n">
        <f aca="false">MONTH(B2113)</f>
        <v>10</v>
      </c>
      <c r="Q2113" s="1" t="str">
        <f aca="false">TEXT(B2113,"mmm")</f>
        <v>Oct</v>
      </c>
      <c r="R2113" s="1" t="str">
        <f aca="false">"Q"&amp;ROUNDUP(MONTH(B2113)/3,0)</f>
        <v>Q4</v>
      </c>
    </row>
    <row r="2114" customFormat="false" ht="15" hidden="false" customHeight="true" outlineLevel="0" collapsed="false">
      <c r="A2114" s="1" t="n">
        <v>12113</v>
      </c>
      <c r="B2114" s="14" t="n">
        <v>46674</v>
      </c>
      <c r="C2114" s="1" t="n">
        <v>1010</v>
      </c>
      <c r="D2114" s="1" t="s">
        <v>34</v>
      </c>
      <c r="E2114" s="1" t="s">
        <v>28</v>
      </c>
      <c r="F2114" s="1" t="n">
        <v>3</v>
      </c>
      <c r="G2114" s="15" t="n">
        <v>229.29</v>
      </c>
      <c r="H2114" s="16" t="n">
        <v>0.04</v>
      </c>
      <c r="I2114" s="1" t="s">
        <v>31</v>
      </c>
      <c r="J2114" s="1" t="n">
        <v>6</v>
      </c>
      <c r="K2114" s="1" t="n">
        <v>3.9</v>
      </c>
      <c r="L2114" s="15" t="n">
        <v>660.36</v>
      </c>
      <c r="M2114" s="15" t="n">
        <f aca="false">F2114*G2114</f>
        <v>687.87</v>
      </c>
      <c r="N2114" s="15" t="n">
        <f aca="false">M2114-L2114</f>
        <v>27.51</v>
      </c>
      <c r="O2114" s="1" t="n">
        <f aca="false">YEAR(B2114)</f>
        <v>2027</v>
      </c>
      <c r="P2114" s="1" t="n">
        <f aca="false">MONTH(B2114)</f>
        <v>10</v>
      </c>
      <c r="Q2114" s="1" t="str">
        <f aca="false">TEXT(B2114,"mmm")</f>
        <v>Oct</v>
      </c>
      <c r="R2114" s="1" t="str">
        <f aca="false">"Q"&amp;ROUNDUP(MONTH(B2114)/3,0)</f>
        <v>Q4</v>
      </c>
    </row>
    <row r="2115" customFormat="false" ht="15" hidden="false" customHeight="true" outlineLevel="0" collapsed="false">
      <c r="A2115" s="1" t="n">
        <v>12114</v>
      </c>
      <c r="B2115" s="14" t="n">
        <v>46675</v>
      </c>
      <c r="C2115" s="1" t="n">
        <v>1061</v>
      </c>
      <c r="D2115" s="1" t="s">
        <v>27</v>
      </c>
      <c r="E2115" s="1" t="s">
        <v>35</v>
      </c>
      <c r="F2115" s="1" t="n">
        <v>7</v>
      </c>
      <c r="G2115" s="15" t="n">
        <v>392.58</v>
      </c>
      <c r="H2115" s="16" t="n">
        <v>0.27</v>
      </c>
      <c r="I2115" s="1" t="s">
        <v>33</v>
      </c>
      <c r="J2115" s="1" t="n">
        <v>10</v>
      </c>
      <c r="K2115" s="1" t="n">
        <v>2.5</v>
      </c>
      <c r="L2115" s="15" t="n">
        <v>2006.08</v>
      </c>
      <c r="M2115" s="15" t="n">
        <f aca="false">F2115*G2115</f>
        <v>2748.06</v>
      </c>
      <c r="N2115" s="15" t="n">
        <f aca="false">M2115-L2115</f>
        <v>741.98</v>
      </c>
      <c r="O2115" s="1" t="n">
        <f aca="false">YEAR(B2115)</f>
        <v>2027</v>
      </c>
      <c r="P2115" s="1" t="n">
        <f aca="false">MONTH(B2115)</f>
        <v>10</v>
      </c>
      <c r="Q2115" s="1" t="str">
        <f aca="false">TEXT(B2115,"mmm")</f>
        <v>Oct</v>
      </c>
      <c r="R2115" s="1" t="str">
        <f aca="false">"Q"&amp;ROUNDUP(MONTH(B2115)/3,0)</f>
        <v>Q4</v>
      </c>
    </row>
    <row r="2116" customFormat="false" ht="15" hidden="false" customHeight="true" outlineLevel="0" collapsed="false">
      <c r="A2116" s="1" t="n">
        <v>12115</v>
      </c>
      <c r="B2116" s="14" t="n">
        <v>46676</v>
      </c>
      <c r="C2116" s="1" t="n">
        <v>1844</v>
      </c>
      <c r="D2116" s="1" t="s">
        <v>34</v>
      </c>
      <c r="E2116" s="1" t="s">
        <v>36</v>
      </c>
      <c r="F2116" s="1" t="n">
        <v>6</v>
      </c>
      <c r="G2116" s="15" t="n">
        <v>569.3</v>
      </c>
      <c r="H2116" s="16" t="n">
        <v>0.04</v>
      </c>
      <c r="I2116" s="1" t="s">
        <v>33</v>
      </c>
      <c r="J2116" s="1" t="n">
        <v>6</v>
      </c>
      <c r="K2116" s="1" t="n">
        <v>3.2</v>
      </c>
      <c r="L2116" s="15" t="n">
        <v>3279.17</v>
      </c>
      <c r="M2116" s="15" t="n">
        <f aca="false">F2116*G2116</f>
        <v>3415.8</v>
      </c>
      <c r="N2116" s="15" t="n">
        <f aca="false">M2116-L2116</f>
        <v>136.63</v>
      </c>
      <c r="O2116" s="1" t="n">
        <f aca="false">YEAR(B2116)</f>
        <v>2027</v>
      </c>
      <c r="P2116" s="1" t="n">
        <f aca="false">MONTH(B2116)</f>
        <v>10</v>
      </c>
      <c r="Q2116" s="1" t="str">
        <f aca="false">TEXT(B2116,"mmm")</f>
        <v>Oct</v>
      </c>
      <c r="R2116" s="1" t="str">
        <f aca="false">"Q"&amp;ROUNDUP(MONTH(B2116)/3,0)</f>
        <v>Q4</v>
      </c>
    </row>
    <row r="2117" customFormat="false" ht="15" hidden="false" customHeight="true" outlineLevel="0" collapsed="false">
      <c r="A2117" s="1" t="n">
        <v>12116</v>
      </c>
      <c r="B2117" s="14" t="n">
        <v>46677</v>
      </c>
      <c r="C2117" s="1" t="n">
        <v>1225</v>
      </c>
      <c r="D2117" s="1" t="s">
        <v>37</v>
      </c>
      <c r="E2117" s="1" t="s">
        <v>36</v>
      </c>
      <c r="F2117" s="1" t="n">
        <v>2</v>
      </c>
      <c r="G2117" s="15" t="n">
        <v>39.14</v>
      </c>
      <c r="H2117" s="16" t="n">
        <v>0.25</v>
      </c>
      <c r="I2117" s="1" t="s">
        <v>33</v>
      </c>
      <c r="J2117" s="1" t="n">
        <v>4</v>
      </c>
      <c r="K2117" s="1" t="n">
        <v>1.1</v>
      </c>
      <c r="L2117" s="15" t="n">
        <v>58.71</v>
      </c>
      <c r="M2117" s="15" t="n">
        <f aca="false">F2117*G2117</f>
        <v>78.28</v>
      </c>
      <c r="N2117" s="15" t="n">
        <f aca="false">M2117-L2117</f>
        <v>19.57</v>
      </c>
      <c r="O2117" s="1" t="n">
        <f aca="false">YEAR(B2117)</f>
        <v>2027</v>
      </c>
      <c r="P2117" s="1" t="n">
        <f aca="false">MONTH(B2117)</f>
        <v>10</v>
      </c>
      <c r="Q2117" s="1" t="str">
        <f aca="false">TEXT(B2117,"mmm")</f>
        <v>Oct</v>
      </c>
      <c r="R2117" s="1" t="str">
        <f aca="false">"Q"&amp;ROUNDUP(MONTH(B2117)/3,0)</f>
        <v>Q4</v>
      </c>
    </row>
    <row r="2118" customFormat="false" ht="15" hidden="false" customHeight="true" outlineLevel="0" collapsed="false">
      <c r="A2118" s="1" t="n">
        <v>12117</v>
      </c>
      <c r="B2118" s="14" t="n">
        <v>46678</v>
      </c>
      <c r="C2118" s="1" t="n">
        <v>1152</v>
      </c>
      <c r="D2118" s="1" t="s">
        <v>30</v>
      </c>
      <c r="E2118" s="1" t="s">
        <v>35</v>
      </c>
      <c r="F2118" s="1" t="n">
        <v>6</v>
      </c>
      <c r="G2118" s="15" t="n">
        <v>552.53</v>
      </c>
      <c r="H2118" s="16" t="n">
        <v>0.13</v>
      </c>
      <c r="I2118" s="1" t="s">
        <v>29</v>
      </c>
      <c r="J2118" s="1" t="n">
        <v>2</v>
      </c>
      <c r="K2118" s="1" t="n">
        <v>2.8</v>
      </c>
      <c r="L2118" s="15" t="n">
        <v>2884.21</v>
      </c>
      <c r="M2118" s="15" t="n">
        <f aca="false">F2118*G2118</f>
        <v>3315.18</v>
      </c>
      <c r="N2118" s="15" t="n">
        <f aca="false">M2118-L2118</f>
        <v>430.97</v>
      </c>
      <c r="O2118" s="1" t="n">
        <f aca="false">YEAR(B2118)</f>
        <v>2027</v>
      </c>
      <c r="P2118" s="1" t="n">
        <f aca="false">MONTH(B2118)</f>
        <v>10</v>
      </c>
      <c r="Q2118" s="1" t="str">
        <f aca="false">TEXT(B2118,"mmm")</f>
        <v>Oct</v>
      </c>
      <c r="R2118" s="1" t="str">
        <f aca="false">"Q"&amp;ROUNDUP(MONTH(B2118)/3,0)</f>
        <v>Q4</v>
      </c>
    </row>
    <row r="2119" customFormat="false" ht="15" hidden="false" customHeight="true" outlineLevel="0" collapsed="false">
      <c r="A2119" s="1" t="n">
        <v>12118</v>
      </c>
      <c r="B2119" s="14" t="n">
        <v>46679</v>
      </c>
      <c r="C2119" s="1" t="n">
        <v>1710</v>
      </c>
      <c r="D2119" s="1" t="s">
        <v>34</v>
      </c>
      <c r="E2119" s="1" t="s">
        <v>28</v>
      </c>
      <c r="F2119" s="1" t="n">
        <v>2</v>
      </c>
      <c r="G2119" s="15" t="n">
        <v>371.31</v>
      </c>
      <c r="H2119" s="16" t="n">
        <v>0.03</v>
      </c>
      <c r="I2119" s="1" t="s">
        <v>33</v>
      </c>
      <c r="J2119" s="1" t="n">
        <v>5</v>
      </c>
      <c r="K2119" s="1" t="n">
        <v>2</v>
      </c>
      <c r="L2119" s="15" t="n">
        <v>720.34</v>
      </c>
      <c r="M2119" s="15" t="n">
        <f aca="false">F2119*G2119</f>
        <v>742.62</v>
      </c>
      <c r="N2119" s="15" t="n">
        <f aca="false">M2119-L2119</f>
        <v>22.28</v>
      </c>
      <c r="O2119" s="1" t="n">
        <f aca="false">YEAR(B2119)</f>
        <v>2027</v>
      </c>
      <c r="P2119" s="1" t="n">
        <f aca="false">MONTH(B2119)</f>
        <v>10</v>
      </c>
      <c r="Q2119" s="1" t="str">
        <f aca="false">TEXT(B2119,"mmm")</f>
        <v>Oct</v>
      </c>
      <c r="R2119" s="1" t="str">
        <f aca="false">"Q"&amp;ROUNDUP(MONTH(B2119)/3,0)</f>
        <v>Q4</v>
      </c>
    </row>
    <row r="2120" customFormat="false" ht="15" hidden="false" customHeight="true" outlineLevel="0" collapsed="false">
      <c r="A2120" s="1" t="n">
        <v>12119</v>
      </c>
      <c r="B2120" s="14" t="n">
        <v>46680</v>
      </c>
      <c r="C2120" s="1" t="n">
        <v>1563</v>
      </c>
      <c r="D2120" s="1" t="s">
        <v>34</v>
      </c>
      <c r="E2120" s="1" t="s">
        <v>32</v>
      </c>
      <c r="F2120" s="1" t="n">
        <v>3</v>
      </c>
      <c r="G2120" s="15" t="n">
        <v>487.28</v>
      </c>
      <c r="H2120" s="16" t="n">
        <v>0.28</v>
      </c>
      <c r="I2120" s="1" t="s">
        <v>33</v>
      </c>
      <c r="J2120" s="1" t="n">
        <v>11</v>
      </c>
      <c r="K2120" s="1" t="n">
        <v>3.1</v>
      </c>
      <c r="L2120" s="15" t="n">
        <v>1052.52</v>
      </c>
      <c r="M2120" s="15" t="n">
        <f aca="false">F2120*G2120</f>
        <v>1461.84</v>
      </c>
      <c r="N2120" s="15" t="n">
        <f aca="false">M2120-L2120</f>
        <v>409.32</v>
      </c>
      <c r="O2120" s="1" t="n">
        <f aca="false">YEAR(B2120)</f>
        <v>2027</v>
      </c>
      <c r="P2120" s="1" t="n">
        <f aca="false">MONTH(B2120)</f>
        <v>10</v>
      </c>
      <c r="Q2120" s="1" t="str">
        <f aca="false">TEXT(B2120,"mmm")</f>
        <v>Oct</v>
      </c>
      <c r="R2120" s="1" t="str">
        <f aca="false">"Q"&amp;ROUNDUP(MONTH(B2120)/3,0)</f>
        <v>Q4</v>
      </c>
    </row>
    <row r="2121" customFormat="false" ht="15" hidden="false" customHeight="true" outlineLevel="0" collapsed="false">
      <c r="A2121" s="1" t="n">
        <v>12120</v>
      </c>
      <c r="B2121" s="14" t="n">
        <v>46681</v>
      </c>
      <c r="C2121" s="1" t="n">
        <v>1771</v>
      </c>
      <c r="D2121" s="1" t="s">
        <v>30</v>
      </c>
      <c r="E2121" s="1" t="s">
        <v>35</v>
      </c>
      <c r="F2121" s="1" t="n">
        <v>6</v>
      </c>
      <c r="G2121" s="15" t="n">
        <v>239.57</v>
      </c>
      <c r="H2121" s="16" t="n">
        <v>0.2</v>
      </c>
      <c r="I2121" s="1" t="s">
        <v>31</v>
      </c>
      <c r="J2121" s="1" t="n">
        <v>3</v>
      </c>
      <c r="K2121" s="1" t="n">
        <v>3.1</v>
      </c>
      <c r="L2121" s="15" t="n">
        <v>1149.94</v>
      </c>
      <c r="M2121" s="15" t="n">
        <f aca="false">F2121*G2121</f>
        <v>1437.42</v>
      </c>
      <c r="N2121" s="15" t="n">
        <f aca="false">M2121-L2121</f>
        <v>287.48</v>
      </c>
      <c r="O2121" s="1" t="n">
        <f aca="false">YEAR(B2121)</f>
        <v>2027</v>
      </c>
      <c r="P2121" s="1" t="n">
        <f aca="false">MONTH(B2121)</f>
        <v>10</v>
      </c>
      <c r="Q2121" s="1" t="str">
        <f aca="false">TEXT(B2121,"mmm")</f>
        <v>Oct</v>
      </c>
      <c r="R2121" s="1" t="str">
        <f aca="false">"Q"&amp;ROUNDUP(MONTH(B2121)/3,0)</f>
        <v>Q4</v>
      </c>
    </row>
    <row r="2122" customFormat="false" ht="15" hidden="false" customHeight="true" outlineLevel="0" collapsed="false">
      <c r="A2122" s="1" t="n">
        <v>12121</v>
      </c>
      <c r="B2122" s="14" t="n">
        <v>46682</v>
      </c>
      <c r="C2122" s="1" t="n">
        <v>1570</v>
      </c>
      <c r="D2122" s="1" t="s">
        <v>27</v>
      </c>
      <c r="E2122" s="1" t="s">
        <v>32</v>
      </c>
      <c r="F2122" s="1" t="n">
        <v>4</v>
      </c>
      <c r="G2122" s="15" t="n">
        <v>291.03</v>
      </c>
      <c r="H2122" s="16" t="n">
        <v>0.08</v>
      </c>
      <c r="I2122" s="1" t="s">
        <v>33</v>
      </c>
      <c r="J2122" s="1" t="n">
        <v>3</v>
      </c>
      <c r="K2122" s="1" t="n">
        <v>4</v>
      </c>
      <c r="L2122" s="15" t="n">
        <v>1070.99</v>
      </c>
      <c r="M2122" s="15" t="n">
        <f aca="false">F2122*G2122</f>
        <v>1164.12</v>
      </c>
      <c r="N2122" s="15" t="n">
        <f aca="false">M2122-L2122</f>
        <v>93.1299999999999</v>
      </c>
      <c r="O2122" s="1" t="n">
        <f aca="false">YEAR(B2122)</f>
        <v>2027</v>
      </c>
      <c r="P2122" s="1" t="n">
        <f aca="false">MONTH(B2122)</f>
        <v>10</v>
      </c>
      <c r="Q2122" s="1" t="str">
        <f aca="false">TEXT(B2122,"mmm")</f>
        <v>Oct</v>
      </c>
      <c r="R2122" s="1" t="str">
        <f aca="false">"Q"&amp;ROUNDUP(MONTH(B2122)/3,0)</f>
        <v>Q4</v>
      </c>
    </row>
    <row r="2123" customFormat="false" ht="15" hidden="false" customHeight="true" outlineLevel="0" collapsed="false">
      <c r="A2123" s="1" t="n">
        <v>12122</v>
      </c>
      <c r="B2123" s="14" t="n">
        <v>46683</v>
      </c>
      <c r="C2123" s="1" t="n">
        <v>1583</v>
      </c>
      <c r="D2123" s="1" t="s">
        <v>30</v>
      </c>
      <c r="E2123" s="1" t="s">
        <v>28</v>
      </c>
      <c r="F2123" s="1" t="n">
        <v>6</v>
      </c>
      <c r="G2123" s="15" t="n">
        <v>523.28</v>
      </c>
      <c r="H2123" s="16" t="n">
        <v>0.31</v>
      </c>
      <c r="I2123" s="1" t="s">
        <v>33</v>
      </c>
      <c r="J2123" s="1" t="n">
        <v>4</v>
      </c>
      <c r="K2123" s="1" t="n">
        <v>3.2</v>
      </c>
      <c r="L2123" s="15" t="n">
        <v>2166.38</v>
      </c>
      <c r="M2123" s="15" t="n">
        <f aca="false">F2123*G2123</f>
        <v>3139.68</v>
      </c>
      <c r="N2123" s="15" t="n">
        <f aca="false">M2123-L2123</f>
        <v>973.3</v>
      </c>
      <c r="O2123" s="1" t="n">
        <f aca="false">YEAR(B2123)</f>
        <v>2027</v>
      </c>
      <c r="P2123" s="1" t="n">
        <f aca="false">MONTH(B2123)</f>
        <v>10</v>
      </c>
      <c r="Q2123" s="1" t="str">
        <f aca="false">TEXT(B2123,"mmm")</f>
        <v>Oct</v>
      </c>
      <c r="R2123" s="1" t="str">
        <f aca="false">"Q"&amp;ROUNDUP(MONTH(B2123)/3,0)</f>
        <v>Q4</v>
      </c>
    </row>
    <row r="2124" customFormat="false" ht="15" hidden="false" customHeight="true" outlineLevel="0" collapsed="false">
      <c r="A2124" s="1" t="n">
        <v>12123</v>
      </c>
      <c r="B2124" s="14" t="n">
        <v>46684</v>
      </c>
      <c r="C2124" s="1" t="n">
        <v>1659</v>
      </c>
      <c r="D2124" s="1" t="s">
        <v>30</v>
      </c>
      <c r="E2124" s="1" t="s">
        <v>32</v>
      </c>
      <c r="F2124" s="1" t="n">
        <v>5</v>
      </c>
      <c r="G2124" s="15" t="n">
        <v>257.69</v>
      </c>
      <c r="H2124" s="16" t="n">
        <v>0.02</v>
      </c>
      <c r="I2124" s="1" t="s">
        <v>29</v>
      </c>
      <c r="J2124" s="1" t="n">
        <v>11</v>
      </c>
      <c r="K2124" s="1" t="n">
        <v>3.5</v>
      </c>
      <c r="L2124" s="15" t="n">
        <v>1262.68</v>
      </c>
      <c r="M2124" s="15" t="n">
        <f aca="false">F2124*G2124</f>
        <v>1288.45</v>
      </c>
      <c r="N2124" s="15" t="n">
        <f aca="false">M2124-L2124</f>
        <v>25.77</v>
      </c>
      <c r="O2124" s="1" t="n">
        <f aca="false">YEAR(B2124)</f>
        <v>2027</v>
      </c>
      <c r="P2124" s="1" t="n">
        <f aca="false">MONTH(B2124)</f>
        <v>10</v>
      </c>
      <c r="Q2124" s="1" t="str">
        <f aca="false">TEXT(B2124,"mmm")</f>
        <v>Oct</v>
      </c>
      <c r="R2124" s="1" t="str">
        <f aca="false">"Q"&amp;ROUNDUP(MONTH(B2124)/3,0)</f>
        <v>Q4</v>
      </c>
    </row>
    <row r="2125" customFormat="false" ht="15" hidden="false" customHeight="true" outlineLevel="0" collapsed="false">
      <c r="A2125" s="1" t="n">
        <v>12124</v>
      </c>
      <c r="B2125" s="14" t="n">
        <v>46685</v>
      </c>
      <c r="C2125" s="1" t="n">
        <v>1860</v>
      </c>
      <c r="D2125" s="1" t="s">
        <v>34</v>
      </c>
      <c r="E2125" s="1" t="s">
        <v>28</v>
      </c>
      <c r="F2125" s="1" t="n">
        <v>2</v>
      </c>
      <c r="G2125" s="15" t="n">
        <v>327.78</v>
      </c>
      <c r="H2125" s="16" t="n">
        <v>0.07</v>
      </c>
      <c r="I2125" s="1" t="s">
        <v>29</v>
      </c>
      <c r="J2125" s="1" t="n">
        <v>11</v>
      </c>
      <c r="K2125" s="1" t="n">
        <v>3.1</v>
      </c>
      <c r="L2125" s="15" t="n">
        <v>609.67</v>
      </c>
      <c r="M2125" s="15" t="n">
        <f aca="false">F2125*G2125</f>
        <v>655.56</v>
      </c>
      <c r="N2125" s="15" t="n">
        <f aca="false">M2125-L2125</f>
        <v>45.89</v>
      </c>
      <c r="O2125" s="1" t="n">
        <f aca="false">YEAR(B2125)</f>
        <v>2027</v>
      </c>
      <c r="P2125" s="1" t="n">
        <f aca="false">MONTH(B2125)</f>
        <v>10</v>
      </c>
      <c r="Q2125" s="1" t="str">
        <f aca="false">TEXT(B2125,"mmm")</f>
        <v>Oct</v>
      </c>
      <c r="R2125" s="1" t="str">
        <f aca="false">"Q"&amp;ROUNDUP(MONTH(B2125)/3,0)</f>
        <v>Q4</v>
      </c>
    </row>
    <row r="2126" customFormat="false" ht="15" hidden="false" customHeight="true" outlineLevel="0" collapsed="false">
      <c r="A2126" s="1" t="n">
        <v>12125</v>
      </c>
      <c r="B2126" s="14" t="n">
        <v>46686</v>
      </c>
      <c r="C2126" s="1" t="n">
        <v>1574</v>
      </c>
      <c r="D2126" s="1" t="s">
        <v>30</v>
      </c>
      <c r="E2126" s="1" t="s">
        <v>28</v>
      </c>
      <c r="F2126" s="1" t="n">
        <v>2</v>
      </c>
      <c r="G2126" s="15" t="n">
        <v>26.81</v>
      </c>
      <c r="H2126" s="16" t="n">
        <v>0.26</v>
      </c>
      <c r="I2126" s="1" t="s">
        <v>33</v>
      </c>
      <c r="J2126" s="1" t="n">
        <v>5</v>
      </c>
      <c r="K2126" s="1" t="n">
        <v>5</v>
      </c>
      <c r="L2126" s="15" t="n">
        <v>39.68</v>
      </c>
      <c r="M2126" s="15" t="n">
        <f aca="false">F2126*G2126</f>
        <v>53.62</v>
      </c>
      <c r="N2126" s="15" t="n">
        <f aca="false">M2126-L2126</f>
        <v>13.94</v>
      </c>
      <c r="O2126" s="1" t="n">
        <f aca="false">YEAR(B2126)</f>
        <v>2027</v>
      </c>
      <c r="P2126" s="1" t="n">
        <f aca="false">MONTH(B2126)</f>
        <v>10</v>
      </c>
      <c r="Q2126" s="1" t="str">
        <f aca="false">TEXT(B2126,"mmm")</f>
        <v>Oct</v>
      </c>
      <c r="R2126" s="1" t="str">
        <f aca="false">"Q"&amp;ROUNDUP(MONTH(B2126)/3,0)</f>
        <v>Q4</v>
      </c>
    </row>
    <row r="2127" customFormat="false" ht="15" hidden="false" customHeight="true" outlineLevel="0" collapsed="false">
      <c r="A2127" s="1" t="n">
        <v>12126</v>
      </c>
      <c r="B2127" s="14" t="n">
        <v>46687</v>
      </c>
      <c r="C2127" s="1" t="n">
        <v>1309</v>
      </c>
      <c r="D2127" s="1" t="s">
        <v>30</v>
      </c>
      <c r="E2127" s="1" t="s">
        <v>36</v>
      </c>
      <c r="F2127" s="1" t="n">
        <v>7</v>
      </c>
      <c r="G2127" s="15" t="n">
        <v>107.78</v>
      </c>
      <c r="H2127" s="16" t="n">
        <v>0.25</v>
      </c>
      <c r="I2127" s="1" t="s">
        <v>33</v>
      </c>
      <c r="J2127" s="1" t="n">
        <v>11</v>
      </c>
      <c r="K2127" s="1" t="n">
        <v>4.2</v>
      </c>
      <c r="L2127" s="15" t="n">
        <v>565.84</v>
      </c>
      <c r="M2127" s="15" t="n">
        <f aca="false">F2127*G2127</f>
        <v>754.46</v>
      </c>
      <c r="N2127" s="15" t="n">
        <f aca="false">M2127-L2127</f>
        <v>188.62</v>
      </c>
      <c r="O2127" s="1" t="n">
        <f aca="false">YEAR(B2127)</f>
        <v>2027</v>
      </c>
      <c r="P2127" s="1" t="n">
        <f aca="false">MONTH(B2127)</f>
        <v>10</v>
      </c>
      <c r="Q2127" s="1" t="str">
        <f aca="false">TEXT(B2127,"mmm")</f>
        <v>Oct</v>
      </c>
      <c r="R2127" s="1" t="str">
        <f aca="false">"Q"&amp;ROUNDUP(MONTH(B2127)/3,0)</f>
        <v>Q4</v>
      </c>
    </row>
    <row r="2128" customFormat="false" ht="15" hidden="false" customHeight="true" outlineLevel="0" collapsed="false">
      <c r="A2128" s="1" t="n">
        <v>12127</v>
      </c>
      <c r="B2128" s="14" t="n">
        <v>46688</v>
      </c>
      <c r="C2128" s="1" t="n">
        <v>1884</v>
      </c>
      <c r="D2128" s="1" t="s">
        <v>27</v>
      </c>
      <c r="E2128" s="1" t="s">
        <v>36</v>
      </c>
      <c r="F2128" s="1" t="n">
        <v>4</v>
      </c>
      <c r="G2128" s="15" t="n">
        <v>390.39</v>
      </c>
      <c r="H2128" s="16" t="n">
        <v>0.1</v>
      </c>
      <c r="I2128" s="1" t="s">
        <v>31</v>
      </c>
      <c r="J2128" s="1" t="n">
        <v>2</v>
      </c>
      <c r="K2128" s="1" t="n">
        <v>4</v>
      </c>
      <c r="L2128" s="15" t="n">
        <v>1405.4</v>
      </c>
      <c r="M2128" s="15" t="n">
        <f aca="false">F2128*G2128</f>
        <v>1561.56</v>
      </c>
      <c r="N2128" s="15" t="n">
        <f aca="false">M2128-L2128</f>
        <v>156.16</v>
      </c>
      <c r="O2128" s="1" t="n">
        <f aca="false">YEAR(B2128)</f>
        <v>2027</v>
      </c>
      <c r="P2128" s="1" t="n">
        <f aca="false">MONTH(B2128)</f>
        <v>10</v>
      </c>
      <c r="Q2128" s="1" t="str">
        <f aca="false">TEXT(B2128,"mmm")</f>
        <v>Oct</v>
      </c>
      <c r="R2128" s="1" t="str">
        <f aca="false">"Q"&amp;ROUNDUP(MONTH(B2128)/3,0)</f>
        <v>Q4</v>
      </c>
    </row>
    <row r="2129" customFormat="false" ht="15" hidden="false" customHeight="true" outlineLevel="0" collapsed="false">
      <c r="A2129" s="1" t="n">
        <v>12128</v>
      </c>
      <c r="B2129" s="14" t="n">
        <v>46689</v>
      </c>
      <c r="C2129" s="1" t="n">
        <v>1242</v>
      </c>
      <c r="D2129" s="1" t="s">
        <v>30</v>
      </c>
      <c r="E2129" s="1" t="s">
        <v>28</v>
      </c>
      <c r="F2129" s="1" t="n">
        <v>2</v>
      </c>
      <c r="G2129" s="15" t="n">
        <v>434.43</v>
      </c>
      <c r="H2129" s="16" t="n">
        <v>0.02</v>
      </c>
      <c r="I2129" s="1" t="s">
        <v>31</v>
      </c>
      <c r="J2129" s="1" t="n">
        <v>6</v>
      </c>
      <c r="K2129" s="1" t="n">
        <v>3.5</v>
      </c>
      <c r="L2129" s="15" t="n">
        <v>851.48</v>
      </c>
      <c r="M2129" s="15" t="n">
        <f aca="false">F2129*G2129</f>
        <v>868.86</v>
      </c>
      <c r="N2129" s="15" t="n">
        <f aca="false">M2129-L2129</f>
        <v>17.38</v>
      </c>
      <c r="O2129" s="1" t="n">
        <f aca="false">YEAR(B2129)</f>
        <v>2027</v>
      </c>
      <c r="P2129" s="1" t="n">
        <f aca="false">MONTH(B2129)</f>
        <v>10</v>
      </c>
      <c r="Q2129" s="1" t="str">
        <f aca="false">TEXT(B2129,"mmm")</f>
        <v>Oct</v>
      </c>
      <c r="R2129" s="1" t="str">
        <f aca="false">"Q"&amp;ROUNDUP(MONTH(B2129)/3,0)</f>
        <v>Q4</v>
      </c>
    </row>
    <row r="2130" customFormat="false" ht="15" hidden="false" customHeight="true" outlineLevel="0" collapsed="false">
      <c r="A2130" s="1" t="n">
        <v>12129</v>
      </c>
      <c r="B2130" s="14" t="n">
        <v>46690</v>
      </c>
      <c r="C2130" s="1" t="n">
        <v>1492</v>
      </c>
      <c r="D2130" s="1" t="s">
        <v>30</v>
      </c>
      <c r="E2130" s="1" t="s">
        <v>35</v>
      </c>
      <c r="F2130" s="1" t="n">
        <v>2</v>
      </c>
      <c r="G2130" s="15" t="n">
        <v>355.82</v>
      </c>
      <c r="H2130" s="16" t="n">
        <v>0.3</v>
      </c>
      <c r="I2130" s="1" t="s">
        <v>31</v>
      </c>
      <c r="J2130" s="1" t="n">
        <v>6</v>
      </c>
      <c r="K2130" s="1" t="n">
        <v>3.1</v>
      </c>
      <c r="L2130" s="15" t="n">
        <v>498.15</v>
      </c>
      <c r="M2130" s="15" t="n">
        <f aca="false">F2130*G2130</f>
        <v>711.64</v>
      </c>
      <c r="N2130" s="15" t="n">
        <f aca="false">M2130-L2130</f>
        <v>213.49</v>
      </c>
      <c r="O2130" s="1" t="n">
        <f aca="false">YEAR(B2130)</f>
        <v>2027</v>
      </c>
      <c r="P2130" s="1" t="n">
        <f aca="false">MONTH(B2130)</f>
        <v>10</v>
      </c>
      <c r="Q2130" s="1" t="str">
        <f aca="false">TEXT(B2130,"mmm")</f>
        <v>Oct</v>
      </c>
      <c r="R2130" s="1" t="str">
        <f aca="false">"Q"&amp;ROUNDUP(MONTH(B2130)/3,0)</f>
        <v>Q4</v>
      </c>
    </row>
    <row r="2131" customFormat="false" ht="15" hidden="false" customHeight="true" outlineLevel="0" collapsed="false">
      <c r="A2131" s="1" t="n">
        <v>12130</v>
      </c>
      <c r="B2131" s="14" t="n">
        <v>46691</v>
      </c>
      <c r="C2131" s="1" t="n">
        <v>1365</v>
      </c>
      <c r="D2131" s="1" t="s">
        <v>34</v>
      </c>
      <c r="E2131" s="1" t="s">
        <v>36</v>
      </c>
      <c r="F2131" s="1" t="n">
        <v>7</v>
      </c>
      <c r="G2131" s="15" t="n">
        <v>98.84</v>
      </c>
      <c r="H2131" s="16" t="n">
        <v>0.11</v>
      </c>
      <c r="I2131" s="1" t="s">
        <v>31</v>
      </c>
      <c r="J2131" s="1" t="n">
        <v>8</v>
      </c>
      <c r="K2131" s="1" t="n">
        <v>2.4</v>
      </c>
      <c r="L2131" s="15" t="n">
        <v>615.77</v>
      </c>
      <c r="M2131" s="15" t="n">
        <f aca="false">F2131*G2131</f>
        <v>691.88</v>
      </c>
      <c r="N2131" s="15" t="n">
        <f aca="false">M2131-L2131</f>
        <v>76.11</v>
      </c>
      <c r="O2131" s="1" t="n">
        <f aca="false">YEAR(B2131)</f>
        <v>2027</v>
      </c>
      <c r="P2131" s="1" t="n">
        <f aca="false">MONTH(B2131)</f>
        <v>10</v>
      </c>
      <c r="Q2131" s="1" t="str">
        <f aca="false">TEXT(B2131,"mmm")</f>
        <v>Oct</v>
      </c>
      <c r="R2131" s="1" t="str">
        <f aca="false">"Q"&amp;ROUNDUP(MONTH(B2131)/3,0)</f>
        <v>Q4</v>
      </c>
    </row>
    <row r="2132" customFormat="false" ht="15" hidden="false" customHeight="true" outlineLevel="0" collapsed="false">
      <c r="A2132" s="1" t="n">
        <v>12131</v>
      </c>
      <c r="B2132" s="14" t="n">
        <v>46692</v>
      </c>
      <c r="C2132" s="1" t="n">
        <v>1329</v>
      </c>
      <c r="D2132" s="1" t="s">
        <v>27</v>
      </c>
      <c r="E2132" s="1" t="s">
        <v>28</v>
      </c>
      <c r="F2132" s="1" t="n">
        <v>4</v>
      </c>
      <c r="G2132" s="15" t="n">
        <v>275.56</v>
      </c>
      <c r="H2132" s="16" t="n">
        <v>0.07</v>
      </c>
      <c r="I2132" s="1" t="s">
        <v>31</v>
      </c>
      <c r="J2132" s="1" t="n">
        <v>2</v>
      </c>
      <c r="K2132" s="1" t="n">
        <v>4.1</v>
      </c>
      <c r="L2132" s="15" t="n">
        <v>1025.08</v>
      </c>
      <c r="M2132" s="15" t="n">
        <f aca="false">F2132*G2132</f>
        <v>1102.24</v>
      </c>
      <c r="N2132" s="15" t="n">
        <f aca="false">M2132-L2132</f>
        <v>77.1600000000001</v>
      </c>
      <c r="O2132" s="1" t="n">
        <f aca="false">YEAR(B2132)</f>
        <v>2027</v>
      </c>
      <c r="P2132" s="1" t="n">
        <f aca="false">MONTH(B2132)</f>
        <v>11</v>
      </c>
      <c r="Q2132" s="1" t="str">
        <f aca="false">TEXT(B2132,"mmm")</f>
        <v>Nov</v>
      </c>
      <c r="R2132" s="1" t="str">
        <f aca="false">"Q"&amp;ROUNDUP(MONTH(B2132)/3,0)</f>
        <v>Q4</v>
      </c>
    </row>
    <row r="2133" customFormat="false" ht="15" hidden="false" customHeight="true" outlineLevel="0" collapsed="false">
      <c r="A2133" s="1" t="n">
        <v>12132</v>
      </c>
      <c r="B2133" s="14" t="n">
        <v>46693</v>
      </c>
      <c r="C2133" s="1" t="n">
        <v>1106</v>
      </c>
      <c r="D2133" s="1" t="s">
        <v>34</v>
      </c>
      <c r="E2133" s="1" t="s">
        <v>32</v>
      </c>
      <c r="F2133" s="1" t="n">
        <v>6</v>
      </c>
      <c r="G2133" s="15" t="n">
        <v>222.73</v>
      </c>
      <c r="H2133" s="16" t="n">
        <v>0.18</v>
      </c>
      <c r="I2133" s="1" t="s">
        <v>31</v>
      </c>
      <c r="J2133" s="1" t="n">
        <v>8</v>
      </c>
      <c r="K2133" s="1" t="n">
        <v>1.8</v>
      </c>
      <c r="L2133" s="15" t="n">
        <v>1095.83</v>
      </c>
      <c r="M2133" s="15" t="n">
        <f aca="false">F2133*G2133</f>
        <v>1336.38</v>
      </c>
      <c r="N2133" s="15" t="n">
        <f aca="false">M2133-L2133</f>
        <v>240.55</v>
      </c>
      <c r="O2133" s="1" t="n">
        <f aca="false">YEAR(B2133)</f>
        <v>2027</v>
      </c>
      <c r="P2133" s="1" t="n">
        <f aca="false">MONTH(B2133)</f>
        <v>11</v>
      </c>
      <c r="Q2133" s="1" t="str">
        <f aca="false">TEXT(B2133,"mmm")</f>
        <v>Nov</v>
      </c>
      <c r="R2133" s="1" t="str">
        <f aca="false">"Q"&amp;ROUNDUP(MONTH(B2133)/3,0)</f>
        <v>Q4</v>
      </c>
    </row>
    <row r="2134" customFormat="false" ht="15" hidden="false" customHeight="true" outlineLevel="0" collapsed="false">
      <c r="A2134" s="1" t="n">
        <v>12133</v>
      </c>
      <c r="B2134" s="14" t="n">
        <v>46694</v>
      </c>
      <c r="C2134" s="1" t="n">
        <v>1225</v>
      </c>
      <c r="D2134" s="1" t="s">
        <v>34</v>
      </c>
      <c r="E2134" s="1" t="s">
        <v>32</v>
      </c>
      <c r="F2134" s="1" t="n">
        <v>3</v>
      </c>
      <c r="G2134" s="15" t="n">
        <v>304.96</v>
      </c>
      <c r="H2134" s="16" t="n">
        <v>0.32</v>
      </c>
      <c r="I2134" s="1" t="s">
        <v>33</v>
      </c>
      <c r="J2134" s="1" t="n">
        <v>8</v>
      </c>
      <c r="K2134" s="1" t="n">
        <v>1.1</v>
      </c>
      <c r="L2134" s="15" t="n">
        <v>622.12</v>
      </c>
      <c r="M2134" s="15" t="n">
        <f aca="false">F2134*G2134</f>
        <v>914.88</v>
      </c>
      <c r="N2134" s="15" t="n">
        <f aca="false">M2134-L2134</f>
        <v>292.76</v>
      </c>
      <c r="O2134" s="1" t="n">
        <f aca="false">YEAR(B2134)</f>
        <v>2027</v>
      </c>
      <c r="P2134" s="1" t="n">
        <f aca="false">MONTH(B2134)</f>
        <v>11</v>
      </c>
      <c r="Q2134" s="1" t="str">
        <f aca="false">TEXT(B2134,"mmm")</f>
        <v>Nov</v>
      </c>
      <c r="R2134" s="1" t="str">
        <f aca="false">"Q"&amp;ROUNDUP(MONTH(B2134)/3,0)</f>
        <v>Q4</v>
      </c>
    </row>
    <row r="2135" customFormat="false" ht="15" hidden="false" customHeight="true" outlineLevel="0" collapsed="false">
      <c r="A2135" s="1" t="n">
        <v>12134</v>
      </c>
      <c r="B2135" s="14" t="n">
        <v>46695</v>
      </c>
      <c r="C2135" s="1" t="n">
        <v>1824</v>
      </c>
      <c r="D2135" s="1" t="s">
        <v>37</v>
      </c>
      <c r="E2135" s="1" t="s">
        <v>35</v>
      </c>
      <c r="F2135" s="1" t="n">
        <v>6</v>
      </c>
      <c r="G2135" s="15" t="n">
        <v>524.14</v>
      </c>
      <c r="H2135" s="16" t="n">
        <v>0.02</v>
      </c>
      <c r="I2135" s="1" t="s">
        <v>33</v>
      </c>
      <c r="J2135" s="1" t="n">
        <v>4</v>
      </c>
      <c r="K2135" s="1" t="n">
        <v>3.8</v>
      </c>
      <c r="L2135" s="15" t="n">
        <v>3081.94</v>
      </c>
      <c r="M2135" s="15" t="n">
        <f aca="false">F2135*G2135</f>
        <v>3144.84</v>
      </c>
      <c r="N2135" s="15" t="n">
        <f aca="false">M2135-L2135</f>
        <v>62.9000000000001</v>
      </c>
      <c r="O2135" s="1" t="n">
        <f aca="false">YEAR(B2135)</f>
        <v>2027</v>
      </c>
      <c r="P2135" s="1" t="n">
        <f aca="false">MONTH(B2135)</f>
        <v>11</v>
      </c>
      <c r="Q2135" s="1" t="str">
        <f aca="false">TEXT(B2135,"mmm")</f>
        <v>Nov</v>
      </c>
      <c r="R2135" s="1" t="str">
        <f aca="false">"Q"&amp;ROUNDUP(MONTH(B2135)/3,0)</f>
        <v>Q4</v>
      </c>
    </row>
    <row r="2136" customFormat="false" ht="15" hidden="false" customHeight="true" outlineLevel="0" collapsed="false">
      <c r="A2136" s="1" t="n">
        <v>12135</v>
      </c>
      <c r="B2136" s="14" t="n">
        <v>46696</v>
      </c>
      <c r="C2136" s="1" t="n">
        <v>1217</v>
      </c>
      <c r="D2136" s="1" t="s">
        <v>30</v>
      </c>
      <c r="E2136" s="1" t="s">
        <v>32</v>
      </c>
      <c r="F2136" s="1" t="n">
        <v>5</v>
      </c>
      <c r="G2136" s="15" t="n">
        <v>468.88</v>
      </c>
      <c r="H2136" s="16" t="n">
        <v>0.27</v>
      </c>
      <c r="I2136" s="1" t="s">
        <v>33</v>
      </c>
      <c r="J2136" s="1" t="n">
        <v>7</v>
      </c>
      <c r="K2136" s="1" t="n">
        <v>1.6</v>
      </c>
      <c r="L2136" s="15" t="n">
        <v>1711.41</v>
      </c>
      <c r="M2136" s="15" t="n">
        <f aca="false">F2136*G2136</f>
        <v>2344.4</v>
      </c>
      <c r="N2136" s="15" t="n">
        <f aca="false">M2136-L2136</f>
        <v>632.99</v>
      </c>
      <c r="O2136" s="1" t="n">
        <f aca="false">YEAR(B2136)</f>
        <v>2027</v>
      </c>
      <c r="P2136" s="1" t="n">
        <f aca="false">MONTH(B2136)</f>
        <v>11</v>
      </c>
      <c r="Q2136" s="1" t="str">
        <f aca="false">TEXT(B2136,"mmm")</f>
        <v>Nov</v>
      </c>
      <c r="R2136" s="1" t="str">
        <f aca="false">"Q"&amp;ROUNDUP(MONTH(B2136)/3,0)</f>
        <v>Q4</v>
      </c>
    </row>
    <row r="2137" customFormat="false" ht="15" hidden="false" customHeight="true" outlineLevel="0" collapsed="false">
      <c r="A2137" s="1" t="n">
        <v>12136</v>
      </c>
      <c r="B2137" s="14" t="n">
        <v>46697</v>
      </c>
      <c r="C2137" s="1" t="n">
        <v>1936</v>
      </c>
      <c r="D2137" s="1" t="s">
        <v>30</v>
      </c>
      <c r="E2137" s="1" t="s">
        <v>32</v>
      </c>
      <c r="F2137" s="1" t="n">
        <v>5</v>
      </c>
      <c r="G2137" s="15" t="n">
        <v>64.13</v>
      </c>
      <c r="H2137" s="16" t="n">
        <v>0.2</v>
      </c>
      <c r="I2137" s="1" t="s">
        <v>33</v>
      </c>
      <c r="J2137" s="1" t="n">
        <v>7</v>
      </c>
      <c r="K2137" s="1" t="n">
        <v>4.6</v>
      </c>
      <c r="L2137" s="15" t="n">
        <v>256.52</v>
      </c>
      <c r="M2137" s="15" t="n">
        <f aca="false">F2137*G2137</f>
        <v>320.65</v>
      </c>
      <c r="N2137" s="15" t="n">
        <f aca="false">M2137-L2137</f>
        <v>64.13</v>
      </c>
      <c r="O2137" s="1" t="n">
        <f aca="false">YEAR(B2137)</f>
        <v>2027</v>
      </c>
      <c r="P2137" s="1" t="n">
        <f aca="false">MONTH(B2137)</f>
        <v>11</v>
      </c>
      <c r="Q2137" s="1" t="str">
        <f aca="false">TEXT(B2137,"mmm")</f>
        <v>Nov</v>
      </c>
      <c r="R2137" s="1" t="str">
        <f aca="false">"Q"&amp;ROUNDUP(MONTH(B2137)/3,0)</f>
        <v>Q4</v>
      </c>
    </row>
    <row r="2138" customFormat="false" ht="15" hidden="false" customHeight="true" outlineLevel="0" collapsed="false">
      <c r="A2138" s="1" t="n">
        <v>12137</v>
      </c>
      <c r="B2138" s="14" t="n">
        <v>46698</v>
      </c>
      <c r="C2138" s="1" t="n">
        <v>1752</v>
      </c>
      <c r="D2138" s="1" t="s">
        <v>30</v>
      </c>
      <c r="E2138" s="1" t="s">
        <v>28</v>
      </c>
      <c r="F2138" s="1" t="n">
        <v>2</v>
      </c>
      <c r="G2138" s="15" t="n">
        <v>535.83</v>
      </c>
      <c r="H2138" s="16" t="n">
        <v>0.15</v>
      </c>
      <c r="I2138" s="1" t="s">
        <v>31</v>
      </c>
      <c r="J2138" s="1" t="n">
        <v>1</v>
      </c>
      <c r="K2138" s="1" t="n">
        <v>4.1</v>
      </c>
      <c r="L2138" s="15" t="n">
        <v>910.91</v>
      </c>
      <c r="M2138" s="15" t="n">
        <f aca="false">F2138*G2138</f>
        <v>1071.66</v>
      </c>
      <c r="N2138" s="15" t="n">
        <f aca="false">M2138-L2138</f>
        <v>160.75</v>
      </c>
      <c r="O2138" s="1" t="n">
        <f aca="false">YEAR(B2138)</f>
        <v>2027</v>
      </c>
      <c r="P2138" s="1" t="n">
        <f aca="false">MONTH(B2138)</f>
        <v>11</v>
      </c>
      <c r="Q2138" s="1" t="str">
        <f aca="false">TEXT(B2138,"mmm")</f>
        <v>Nov</v>
      </c>
      <c r="R2138" s="1" t="str">
        <f aca="false">"Q"&amp;ROUNDUP(MONTH(B2138)/3,0)</f>
        <v>Q4</v>
      </c>
    </row>
    <row r="2139" customFormat="false" ht="15" hidden="false" customHeight="true" outlineLevel="0" collapsed="false">
      <c r="A2139" s="1" t="n">
        <v>12138</v>
      </c>
      <c r="B2139" s="14" t="n">
        <v>46699</v>
      </c>
      <c r="C2139" s="1" t="n">
        <v>1505</v>
      </c>
      <c r="D2139" s="1" t="s">
        <v>37</v>
      </c>
      <c r="E2139" s="1" t="s">
        <v>32</v>
      </c>
      <c r="F2139" s="1" t="n">
        <v>5</v>
      </c>
      <c r="G2139" s="15" t="n">
        <v>290.98</v>
      </c>
      <c r="H2139" s="16" t="n">
        <v>0.26</v>
      </c>
      <c r="I2139" s="1" t="s">
        <v>29</v>
      </c>
      <c r="J2139" s="1" t="n">
        <v>1</v>
      </c>
      <c r="K2139" s="1" t="n">
        <v>3.4</v>
      </c>
      <c r="L2139" s="15" t="n">
        <v>1076.63</v>
      </c>
      <c r="M2139" s="15" t="n">
        <f aca="false">F2139*G2139</f>
        <v>1454.9</v>
      </c>
      <c r="N2139" s="15" t="n">
        <f aca="false">M2139-L2139</f>
        <v>378.27</v>
      </c>
      <c r="O2139" s="1" t="n">
        <f aca="false">YEAR(B2139)</f>
        <v>2027</v>
      </c>
      <c r="P2139" s="1" t="n">
        <f aca="false">MONTH(B2139)</f>
        <v>11</v>
      </c>
      <c r="Q2139" s="1" t="str">
        <f aca="false">TEXT(B2139,"mmm")</f>
        <v>Nov</v>
      </c>
      <c r="R2139" s="1" t="str">
        <f aca="false">"Q"&amp;ROUNDUP(MONTH(B2139)/3,0)</f>
        <v>Q4</v>
      </c>
    </row>
    <row r="2140" customFormat="false" ht="15" hidden="false" customHeight="true" outlineLevel="0" collapsed="false">
      <c r="A2140" s="1" t="n">
        <v>12139</v>
      </c>
      <c r="B2140" s="14" t="n">
        <v>46700</v>
      </c>
      <c r="C2140" s="1" t="n">
        <v>1258</v>
      </c>
      <c r="D2140" s="1" t="s">
        <v>34</v>
      </c>
      <c r="E2140" s="1" t="s">
        <v>32</v>
      </c>
      <c r="F2140" s="1" t="n">
        <v>3</v>
      </c>
      <c r="G2140" s="15" t="n">
        <v>450.16</v>
      </c>
      <c r="H2140" s="16" t="n">
        <v>0.34</v>
      </c>
      <c r="I2140" s="1" t="s">
        <v>31</v>
      </c>
      <c r="J2140" s="1" t="n">
        <v>8</v>
      </c>
      <c r="K2140" s="1" t="n">
        <v>2.3</v>
      </c>
      <c r="L2140" s="15" t="n">
        <v>891.32</v>
      </c>
      <c r="M2140" s="15" t="n">
        <f aca="false">F2140*G2140</f>
        <v>1350.48</v>
      </c>
      <c r="N2140" s="15" t="n">
        <f aca="false">M2140-L2140</f>
        <v>459.16</v>
      </c>
      <c r="O2140" s="1" t="n">
        <f aca="false">YEAR(B2140)</f>
        <v>2027</v>
      </c>
      <c r="P2140" s="1" t="n">
        <f aca="false">MONTH(B2140)</f>
        <v>11</v>
      </c>
      <c r="Q2140" s="1" t="str">
        <f aca="false">TEXT(B2140,"mmm")</f>
        <v>Nov</v>
      </c>
      <c r="R2140" s="1" t="str">
        <f aca="false">"Q"&amp;ROUNDUP(MONTH(B2140)/3,0)</f>
        <v>Q4</v>
      </c>
    </row>
    <row r="2141" customFormat="false" ht="15" hidden="false" customHeight="true" outlineLevel="0" collapsed="false">
      <c r="A2141" s="1" t="n">
        <v>12140</v>
      </c>
      <c r="B2141" s="14" t="n">
        <v>46701</v>
      </c>
      <c r="C2141" s="1" t="n">
        <v>1887</v>
      </c>
      <c r="D2141" s="1" t="s">
        <v>37</v>
      </c>
      <c r="E2141" s="1" t="s">
        <v>32</v>
      </c>
      <c r="F2141" s="1" t="n">
        <v>2</v>
      </c>
      <c r="G2141" s="15" t="n">
        <v>96.92</v>
      </c>
      <c r="H2141" s="16" t="n">
        <v>0.08</v>
      </c>
      <c r="I2141" s="1" t="s">
        <v>29</v>
      </c>
      <c r="J2141" s="1" t="n">
        <v>11</v>
      </c>
      <c r="K2141" s="1" t="n">
        <v>3.6</v>
      </c>
      <c r="L2141" s="15" t="n">
        <v>178.33</v>
      </c>
      <c r="M2141" s="15" t="n">
        <f aca="false">F2141*G2141</f>
        <v>193.84</v>
      </c>
      <c r="N2141" s="15" t="n">
        <f aca="false">M2141-L2141</f>
        <v>15.51</v>
      </c>
      <c r="O2141" s="1" t="n">
        <f aca="false">YEAR(B2141)</f>
        <v>2027</v>
      </c>
      <c r="P2141" s="1" t="n">
        <f aca="false">MONTH(B2141)</f>
        <v>11</v>
      </c>
      <c r="Q2141" s="1" t="str">
        <f aca="false">TEXT(B2141,"mmm")</f>
        <v>Nov</v>
      </c>
      <c r="R2141" s="1" t="str">
        <f aca="false">"Q"&amp;ROUNDUP(MONTH(B2141)/3,0)</f>
        <v>Q4</v>
      </c>
    </row>
    <row r="2142" customFormat="false" ht="15" hidden="false" customHeight="true" outlineLevel="0" collapsed="false">
      <c r="A2142" s="1" t="n">
        <v>12141</v>
      </c>
      <c r="B2142" s="14" t="n">
        <v>46702</v>
      </c>
      <c r="C2142" s="1" t="n">
        <v>1773</v>
      </c>
      <c r="D2142" s="1" t="s">
        <v>30</v>
      </c>
      <c r="E2142" s="1" t="s">
        <v>32</v>
      </c>
      <c r="F2142" s="1" t="n">
        <v>7</v>
      </c>
      <c r="G2142" s="15" t="n">
        <v>407.37</v>
      </c>
      <c r="H2142" s="16" t="n">
        <v>0.05</v>
      </c>
      <c r="I2142" s="1" t="s">
        <v>31</v>
      </c>
      <c r="J2142" s="1" t="n">
        <v>1</v>
      </c>
      <c r="K2142" s="1" t="n">
        <v>2.9</v>
      </c>
      <c r="L2142" s="15" t="n">
        <v>2709.01</v>
      </c>
      <c r="M2142" s="15" t="n">
        <f aca="false">F2142*G2142</f>
        <v>2851.59</v>
      </c>
      <c r="N2142" s="15" t="n">
        <f aca="false">M2142-L2142</f>
        <v>142.58</v>
      </c>
      <c r="O2142" s="1" t="n">
        <f aca="false">YEAR(B2142)</f>
        <v>2027</v>
      </c>
      <c r="P2142" s="1" t="n">
        <f aca="false">MONTH(B2142)</f>
        <v>11</v>
      </c>
      <c r="Q2142" s="1" t="str">
        <f aca="false">TEXT(B2142,"mmm")</f>
        <v>Nov</v>
      </c>
      <c r="R2142" s="1" t="str">
        <f aca="false">"Q"&amp;ROUNDUP(MONTH(B2142)/3,0)</f>
        <v>Q4</v>
      </c>
    </row>
    <row r="2143" customFormat="false" ht="15" hidden="false" customHeight="true" outlineLevel="0" collapsed="false">
      <c r="A2143" s="1" t="n">
        <v>12142</v>
      </c>
      <c r="B2143" s="14" t="n">
        <v>46703</v>
      </c>
      <c r="C2143" s="1" t="n">
        <v>1516</v>
      </c>
      <c r="D2143" s="1" t="s">
        <v>30</v>
      </c>
      <c r="E2143" s="1" t="s">
        <v>28</v>
      </c>
      <c r="F2143" s="1" t="n">
        <v>5</v>
      </c>
      <c r="G2143" s="15" t="n">
        <v>153.25</v>
      </c>
      <c r="H2143" s="16" t="n">
        <v>0.32</v>
      </c>
      <c r="I2143" s="1" t="s">
        <v>33</v>
      </c>
      <c r="J2143" s="1" t="n">
        <v>3</v>
      </c>
      <c r="K2143" s="1" t="n">
        <v>2.2</v>
      </c>
      <c r="L2143" s="15" t="n">
        <v>521.05</v>
      </c>
      <c r="M2143" s="15" t="n">
        <f aca="false">F2143*G2143</f>
        <v>766.25</v>
      </c>
      <c r="N2143" s="15" t="n">
        <f aca="false">M2143-L2143</f>
        <v>245.2</v>
      </c>
      <c r="O2143" s="1" t="n">
        <f aca="false">YEAR(B2143)</f>
        <v>2027</v>
      </c>
      <c r="P2143" s="1" t="n">
        <f aca="false">MONTH(B2143)</f>
        <v>11</v>
      </c>
      <c r="Q2143" s="1" t="str">
        <f aca="false">TEXT(B2143,"mmm")</f>
        <v>Nov</v>
      </c>
      <c r="R2143" s="1" t="str">
        <f aca="false">"Q"&amp;ROUNDUP(MONTH(B2143)/3,0)</f>
        <v>Q4</v>
      </c>
    </row>
    <row r="2144" customFormat="false" ht="15" hidden="false" customHeight="true" outlineLevel="0" collapsed="false">
      <c r="A2144" s="1" t="n">
        <v>12143</v>
      </c>
      <c r="B2144" s="14" t="n">
        <v>46704</v>
      </c>
      <c r="C2144" s="1" t="n">
        <v>1772</v>
      </c>
      <c r="D2144" s="1" t="s">
        <v>30</v>
      </c>
      <c r="E2144" s="1" t="s">
        <v>32</v>
      </c>
      <c r="F2144" s="1" t="n">
        <v>7</v>
      </c>
      <c r="G2144" s="15" t="n">
        <v>271.45</v>
      </c>
      <c r="H2144" s="16" t="n">
        <v>0.23</v>
      </c>
      <c r="I2144" s="1" t="s">
        <v>31</v>
      </c>
      <c r="J2144" s="1" t="n">
        <v>6</v>
      </c>
      <c r="K2144" s="1" t="n">
        <v>4.8</v>
      </c>
      <c r="L2144" s="15" t="n">
        <v>1463.12</v>
      </c>
      <c r="M2144" s="15" t="n">
        <f aca="false">F2144*G2144</f>
        <v>1900.15</v>
      </c>
      <c r="N2144" s="15" t="n">
        <f aca="false">M2144-L2144</f>
        <v>437.03</v>
      </c>
      <c r="O2144" s="1" t="n">
        <f aca="false">YEAR(B2144)</f>
        <v>2027</v>
      </c>
      <c r="P2144" s="1" t="n">
        <f aca="false">MONTH(B2144)</f>
        <v>11</v>
      </c>
      <c r="Q2144" s="1" t="str">
        <f aca="false">TEXT(B2144,"mmm")</f>
        <v>Nov</v>
      </c>
      <c r="R2144" s="1" t="str">
        <f aca="false">"Q"&amp;ROUNDUP(MONTH(B2144)/3,0)</f>
        <v>Q4</v>
      </c>
    </row>
    <row r="2145" customFormat="false" ht="15" hidden="false" customHeight="true" outlineLevel="0" collapsed="false">
      <c r="A2145" s="1" t="n">
        <v>12144</v>
      </c>
      <c r="B2145" s="14" t="n">
        <v>46705</v>
      </c>
      <c r="C2145" s="1" t="n">
        <v>1053</v>
      </c>
      <c r="D2145" s="1" t="s">
        <v>34</v>
      </c>
      <c r="E2145" s="1" t="s">
        <v>35</v>
      </c>
      <c r="F2145" s="1" t="n">
        <v>1</v>
      </c>
      <c r="G2145" s="15" t="n">
        <v>24.86</v>
      </c>
      <c r="H2145" s="16" t="n">
        <v>0.15</v>
      </c>
      <c r="I2145" s="1" t="s">
        <v>31</v>
      </c>
      <c r="J2145" s="1" t="n">
        <v>8</v>
      </c>
      <c r="K2145" s="1" t="n">
        <v>1.6</v>
      </c>
      <c r="L2145" s="15" t="n">
        <v>21.13</v>
      </c>
      <c r="M2145" s="15" t="n">
        <f aca="false">F2145*G2145</f>
        <v>24.86</v>
      </c>
      <c r="N2145" s="15" t="n">
        <f aca="false">M2145-L2145</f>
        <v>3.73</v>
      </c>
      <c r="O2145" s="1" t="n">
        <f aca="false">YEAR(B2145)</f>
        <v>2027</v>
      </c>
      <c r="P2145" s="1" t="n">
        <f aca="false">MONTH(B2145)</f>
        <v>11</v>
      </c>
      <c r="Q2145" s="1" t="str">
        <f aca="false">TEXT(B2145,"mmm")</f>
        <v>Nov</v>
      </c>
      <c r="R2145" s="1" t="str">
        <f aca="false">"Q"&amp;ROUNDUP(MONTH(B2145)/3,0)</f>
        <v>Q4</v>
      </c>
    </row>
    <row r="2146" customFormat="false" ht="15" hidden="false" customHeight="true" outlineLevel="0" collapsed="false">
      <c r="A2146" s="1" t="n">
        <v>12145</v>
      </c>
      <c r="B2146" s="14" t="n">
        <v>46706</v>
      </c>
      <c r="C2146" s="1" t="n">
        <v>1046</v>
      </c>
      <c r="D2146" s="1" t="s">
        <v>37</v>
      </c>
      <c r="E2146" s="1" t="s">
        <v>36</v>
      </c>
      <c r="F2146" s="1" t="n">
        <v>1</v>
      </c>
      <c r="G2146" s="15" t="n">
        <v>103.69</v>
      </c>
      <c r="H2146" s="16" t="n">
        <v>0.2</v>
      </c>
      <c r="I2146" s="1" t="s">
        <v>31</v>
      </c>
      <c r="J2146" s="1" t="n">
        <v>5</v>
      </c>
      <c r="K2146" s="1" t="n">
        <v>4</v>
      </c>
      <c r="L2146" s="15" t="n">
        <v>82.95</v>
      </c>
      <c r="M2146" s="15" t="n">
        <f aca="false">F2146*G2146</f>
        <v>103.69</v>
      </c>
      <c r="N2146" s="15" t="n">
        <f aca="false">M2146-L2146</f>
        <v>20.74</v>
      </c>
      <c r="O2146" s="1" t="n">
        <f aca="false">YEAR(B2146)</f>
        <v>2027</v>
      </c>
      <c r="P2146" s="1" t="n">
        <f aca="false">MONTH(B2146)</f>
        <v>11</v>
      </c>
      <c r="Q2146" s="1" t="str">
        <f aca="false">TEXT(B2146,"mmm")</f>
        <v>Nov</v>
      </c>
      <c r="R2146" s="1" t="str">
        <f aca="false">"Q"&amp;ROUNDUP(MONTH(B2146)/3,0)</f>
        <v>Q4</v>
      </c>
    </row>
    <row r="2147" customFormat="false" ht="15" hidden="false" customHeight="true" outlineLevel="0" collapsed="false">
      <c r="A2147" s="1" t="n">
        <v>12146</v>
      </c>
      <c r="B2147" s="14" t="n">
        <v>46707</v>
      </c>
      <c r="C2147" s="1" t="n">
        <v>1726</v>
      </c>
      <c r="D2147" s="1" t="s">
        <v>30</v>
      </c>
      <c r="E2147" s="1" t="s">
        <v>35</v>
      </c>
      <c r="F2147" s="1" t="n">
        <v>1</v>
      </c>
      <c r="G2147" s="15" t="n">
        <v>68.87</v>
      </c>
      <c r="H2147" s="16" t="n">
        <v>0.26</v>
      </c>
      <c r="I2147" s="1" t="s">
        <v>33</v>
      </c>
      <c r="J2147" s="1" t="n">
        <v>5</v>
      </c>
      <c r="K2147" s="1" t="n">
        <v>4.2</v>
      </c>
      <c r="L2147" s="15" t="n">
        <v>50.96</v>
      </c>
      <c r="M2147" s="15" t="n">
        <f aca="false">F2147*G2147</f>
        <v>68.87</v>
      </c>
      <c r="N2147" s="15" t="n">
        <f aca="false">M2147-L2147</f>
        <v>17.91</v>
      </c>
      <c r="O2147" s="1" t="n">
        <f aca="false">YEAR(B2147)</f>
        <v>2027</v>
      </c>
      <c r="P2147" s="1" t="n">
        <f aca="false">MONTH(B2147)</f>
        <v>11</v>
      </c>
      <c r="Q2147" s="1" t="str">
        <f aca="false">TEXT(B2147,"mmm")</f>
        <v>Nov</v>
      </c>
      <c r="R2147" s="1" t="str">
        <f aca="false">"Q"&amp;ROUNDUP(MONTH(B2147)/3,0)</f>
        <v>Q4</v>
      </c>
    </row>
    <row r="2148" customFormat="false" ht="15" hidden="false" customHeight="true" outlineLevel="0" collapsed="false">
      <c r="A2148" s="1" t="n">
        <v>12147</v>
      </c>
      <c r="B2148" s="14" t="n">
        <v>46708</v>
      </c>
      <c r="C2148" s="1" t="n">
        <v>1688</v>
      </c>
      <c r="D2148" s="1" t="s">
        <v>34</v>
      </c>
      <c r="E2148" s="1" t="s">
        <v>36</v>
      </c>
      <c r="F2148" s="1" t="n">
        <v>7</v>
      </c>
      <c r="G2148" s="15" t="n">
        <v>155.25</v>
      </c>
      <c r="H2148" s="16" t="n">
        <v>0.27</v>
      </c>
      <c r="I2148" s="1" t="s">
        <v>31</v>
      </c>
      <c r="J2148" s="1" t="n">
        <v>4</v>
      </c>
      <c r="K2148" s="1" t="n">
        <v>4.8</v>
      </c>
      <c r="L2148" s="15" t="n">
        <v>793.33</v>
      </c>
      <c r="M2148" s="15" t="n">
        <f aca="false">F2148*G2148</f>
        <v>1086.75</v>
      </c>
      <c r="N2148" s="15" t="n">
        <f aca="false">M2148-L2148</f>
        <v>293.42</v>
      </c>
      <c r="O2148" s="1" t="n">
        <f aca="false">YEAR(B2148)</f>
        <v>2027</v>
      </c>
      <c r="P2148" s="1" t="n">
        <f aca="false">MONTH(B2148)</f>
        <v>11</v>
      </c>
      <c r="Q2148" s="1" t="str">
        <f aca="false">TEXT(B2148,"mmm")</f>
        <v>Nov</v>
      </c>
      <c r="R2148" s="1" t="str">
        <f aca="false">"Q"&amp;ROUNDUP(MONTH(B2148)/3,0)</f>
        <v>Q4</v>
      </c>
    </row>
    <row r="2149" customFormat="false" ht="15" hidden="false" customHeight="true" outlineLevel="0" collapsed="false">
      <c r="A2149" s="1" t="n">
        <v>12148</v>
      </c>
      <c r="B2149" s="14" t="n">
        <v>46709</v>
      </c>
      <c r="C2149" s="1" t="n">
        <v>1520</v>
      </c>
      <c r="D2149" s="1" t="s">
        <v>30</v>
      </c>
      <c r="E2149" s="1" t="s">
        <v>35</v>
      </c>
      <c r="F2149" s="1" t="n">
        <v>1</v>
      </c>
      <c r="G2149" s="15" t="n">
        <v>73.51</v>
      </c>
      <c r="H2149" s="16" t="n">
        <v>0.32</v>
      </c>
      <c r="I2149" s="1" t="s">
        <v>33</v>
      </c>
      <c r="J2149" s="1" t="n">
        <v>4</v>
      </c>
      <c r="K2149" s="1" t="n">
        <v>3.2</v>
      </c>
      <c r="L2149" s="15" t="n">
        <v>49.99</v>
      </c>
      <c r="M2149" s="15" t="n">
        <f aca="false">F2149*G2149</f>
        <v>73.51</v>
      </c>
      <c r="N2149" s="15" t="n">
        <f aca="false">M2149-L2149</f>
        <v>23.52</v>
      </c>
      <c r="O2149" s="1" t="n">
        <f aca="false">YEAR(B2149)</f>
        <v>2027</v>
      </c>
      <c r="P2149" s="1" t="n">
        <f aca="false">MONTH(B2149)</f>
        <v>11</v>
      </c>
      <c r="Q2149" s="1" t="str">
        <f aca="false">TEXT(B2149,"mmm")</f>
        <v>Nov</v>
      </c>
      <c r="R2149" s="1" t="str">
        <f aca="false">"Q"&amp;ROUNDUP(MONTH(B2149)/3,0)</f>
        <v>Q4</v>
      </c>
    </row>
    <row r="2150" customFormat="false" ht="15" hidden="false" customHeight="true" outlineLevel="0" collapsed="false">
      <c r="A2150" s="1" t="n">
        <v>12149</v>
      </c>
      <c r="B2150" s="14" t="n">
        <v>46710</v>
      </c>
      <c r="C2150" s="1" t="n">
        <v>1098</v>
      </c>
      <c r="D2150" s="1" t="s">
        <v>27</v>
      </c>
      <c r="E2150" s="1" t="s">
        <v>36</v>
      </c>
      <c r="F2150" s="1" t="n">
        <v>6</v>
      </c>
      <c r="G2150" s="15" t="n">
        <v>419.77</v>
      </c>
      <c r="H2150" s="16" t="n">
        <v>0.15</v>
      </c>
      <c r="I2150" s="1" t="s">
        <v>31</v>
      </c>
      <c r="J2150" s="1" t="n">
        <v>7</v>
      </c>
      <c r="K2150" s="1" t="n">
        <v>3.1</v>
      </c>
      <c r="L2150" s="15" t="n">
        <v>2140.83</v>
      </c>
      <c r="M2150" s="15" t="n">
        <f aca="false">F2150*G2150</f>
        <v>2518.62</v>
      </c>
      <c r="N2150" s="15" t="n">
        <f aca="false">M2150-L2150</f>
        <v>377.79</v>
      </c>
      <c r="O2150" s="1" t="n">
        <f aca="false">YEAR(B2150)</f>
        <v>2027</v>
      </c>
      <c r="P2150" s="1" t="n">
        <f aca="false">MONTH(B2150)</f>
        <v>11</v>
      </c>
      <c r="Q2150" s="1" t="str">
        <f aca="false">TEXT(B2150,"mmm")</f>
        <v>Nov</v>
      </c>
      <c r="R2150" s="1" t="str">
        <f aca="false">"Q"&amp;ROUNDUP(MONTH(B2150)/3,0)</f>
        <v>Q4</v>
      </c>
    </row>
    <row r="2151" customFormat="false" ht="15" hidden="false" customHeight="true" outlineLevel="0" collapsed="false">
      <c r="A2151" s="1" t="n">
        <v>12150</v>
      </c>
      <c r="B2151" s="14" t="n">
        <v>46711</v>
      </c>
      <c r="C2151" s="1" t="n">
        <v>1019</v>
      </c>
      <c r="D2151" s="1" t="s">
        <v>30</v>
      </c>
      <c r="E2151" s="1" t="s">
        <v>36</v>
      </c>
      <c r="F2151" s="1" t="n">
        <v>1</v>
      </c>
      <c r="G2151" s="15" t="n">
        <v>31.99</v>
      </c>
      <c r="H2151" s="16" t="n">
        <v>0.1</v>
      </c>
      <c r="I2151" s="1" t="s">
        <v>31</v>
      </c>
      <c r="J2151" s="1" t="n">
        <v>6</v>
      </c>
      <c r="K2151" s="1" t="n">
        <v>4.7</v>
      </c>
      <c r="L2151" s="15" t="n">
        <v>28.79</v>
      </c>
      <c r="M2151" s="15" t="n">
        <f aca="false">F2151*G2151</f>
        <v>31.99</v>
      </c>
      <c r="N2151" s="15" t="n">
        <f aca="false">M2151-L2151</f>
        <v>3.2</v>
      </c>
      <c r="O2151" s="1" t="n">
        <f aca="false">YEAR(B2151)</f>
        <v>2027</v>
      </c>
      <c r="P2151" s="1" t="n">
        <f aca="false">MONTH(B2151)</f>
        <v>11</v>
      </c>
      <c r="Q2151" s="1" t="str">
        <f aca="false">TEXT(B2151,"mmm")</f>
        <v>Nov</v>
      </c>
      <c r="R2151" s="1" t="str">
        <f aca="false">"Q"&amp;ROUNDUP(MONTH(B2151)/3,0)</f>
        <v>Q4</v>
      </c>
    </row>
    <row r="2152" customFormat="false" ht="15" hidden="false" customHeight="true" outlineLevel="0" collapsed="false">
      <c r="A2152" s="1" t="n">
        <v>12151</v>
      </c>
      <c r="B2152" s="14" t="n">
        <v>46712</v>
      </c>
      <c r="C2152" s="1" t="n">
        <v>1889</v>
      </c>
      <c r="D2152" s="1" t="s">
        <v>27</v>
      </c>
      <c r="E2152" s="1" t="s">
        <v>36</v>
      </c>
      <c r="F2152" s="1" t="n">
        <v>2</v>
      </c>
      <c r="G2152" s="15" t="n">
        <v>376.38</v>
      </c>
      <c r="H2152" s="16" t="n">
        <v>0.22</v>
      </c>
      <c r="I2152" s="1" t="s">
        <v>29</v>
      </c>
      <c r="J2152" s="1" t="n">
        <v>8</v>
      </c>
      <c r="K2152" s="1" t="n">
        <v>4.2</v>
      </c>
      <c r="L2152" s="15" t="n">
        <v>587.15</v>
      </c>
      <c r="M2152" s="15" t="n">
        <f aca="false">F2152*G2152</f>
        <v>752.76</v>
      </c>
      <c r="N2152" s="15" t="n">
        <f aca="false">M2152-L2152</f>
        <v>165.61</v>
      </c>
      <c r="O2152" s="1" t="n">
        <f aca="false">YEAR(B2152)</f>
        <v>2027</v>
      </c>
      <c r="P2152" s="1" t="n">
        <f aca="false">MONTH(B2152)</f>
        <v>11</v>
      </c>
      <c r="Q2152" s="1" t="str">
        <f aca="false">TEXT(B2152,"mmm")</f>
        <v>Nov</v>
      </c>
      <c r="R2152" s="1" t="str">
        <f aca="false">"Q"&amp;ROUNDUP(MONTH(B2152)/3,0)</f>
        <v>Q4</v>
      </c>
    </row>
    <row r="2153" customFormat="false" ht="15" hidden="false" customHeight="true" outlineLevel="0" collapsed="false">
      <c r="A2153" s="1" t="n">
        <v>12152</v>
      </c>
      <c r="B2153" s="14" t="n">
        <v>46713</v>
      </c>
      <c r="C2153" s="1" t="n">
        <v>1752</v>
      </c>
      <c r="D2153" s="1" t="s">
        <v>34</v>
      </c>
      <c r="E2153" s="1" t="s">
        <v>36</v>
      </c>
      <c r="F2153" s="1" t="n">
        <v>4</v>
      </c>
      <c r="G2153" s="15" t="n">
        <v>97.31</v>
      </c>
      <c r="H2153" s="16" t="n">
        <v>0.15</v>
      </c>
      <c r="I2153" s="1" t="s">
        <v>29</v>
      </c>
      <c r="J2153" s="1" t="n">
        <v>11</v>
      </c>
      <c r="K2153" s="1" t="n">
        <v>4.1</v>
      </c>
      <c r="L2153" s="15" t="n">
        <v>330.85</v>
      </c>
      <c r="M2153" s="15" t="n">
        <f aca="false">F2153*G2153</f>
        <v>389.24</v>
      </c>
      <c r="N2153" s="15" t="n">
        <f aca="false">M2153-L2153</f>
        <v>58.39</v>
      </c>
      <c r="O2153" s="1" t="n">
        <f aca="false">YEAR(B2153)</f>
        <v>2027</v>
      </c>
      <c r="P2153" s="1" t="n">
        <f aca="false">MONTH(B2153)</f>
        <v>11</v>
      </c>
      <c r="Q2153" s="1" t="str">
        <f aca="false">TEXT(B2153,"mmm")</f>
        <v>Nov</v>
      </c>
      <c r="R2153" s="1" t="str">
        <f aca="false">"Q"&amp;ROUNDUP(MONTH(B2153)/3,0)</f>
        <v>Q4</v>
      </c>
    </row>
    <row r="2154" customFormat="false" ht="15" hidden="false" customHeight="true" outlineLevel="0" collapsed="false">
      <c r="A2154" s="1" t="n">
        <v>12153</v>
      </c>
      <c r="B2154" s="14" t="n">
        <v>46714</v>
      </c>
      <c r="C2154" s="1" t="n">
        <v>1572</v>
      </c>
      <c r="D2154" s="1" t="s">
        <v>34</v>
      </c>
      <c r="E2154" s="1" t="s">
        <v>28</v>
      </c>
      <c r="F2154" s="1" t="n">
        <v>6</v>
      </c>
      <c r="G2154" s="15" t="n">
        <v>567.92</v>
      </c>
      <c r="H2154" s="16" t="n">
        <v>0.21</v>
      </c>
      <c r="I2154" s="1" t="s">
        <v>33</v>
      </c>
      <c r="J2154" s="1" t="n">
        <v>6</v>
      </c>
      <c r="K2154" s="1" t="n">
        <v>4.2</v>
      </c>
      <c r="L2154" s="15" t="n">
        <v>2691.94</v>
      </c>
      <c r="M2154" s="15" t="n">
        <f aca="false">F2154*G2154</f>
        <v>3407.52</v>
      </c>
      <c r="N2154" s="15" t="n">
        <f aca="false">M2154-L2154</f>
        <v>715.58</v>
      </c>
      <c r="O2154" s="1" t="n">
        <f aca="false">YEAR(B2154)</f>
        <v>2027</v>
      </c>
      <c r="P2154" s="1" t="n">
        <f aca="false">MONTH(B2154)</f>
        <v>11</v>
      </c>
      <c r="Q2154" s="1" t="str">
        <f aca="false">TEXT(B2154,"mmm")</f>
        <v>Nov</v>
      </c>
      <c r="R2154" s="1" t="str">
        <f aca="false">"Q"&amp;ROUNDUP(MONTH(B2154)/3,0)</f>
        <v>Q4</v>
      </c>
    </row>
    <row r="2155" customFormat="false" ht="15" hidden="false" customHeight="true" outlineLevel="0" collapsed="false">
      <c r="A2155" s="1" t="n">
        <v>12154</v>
      </c>
      <c r="B2155" s="14" t="n">
        <v>46715</v>
      </c>
      <c r="C2155" s="1" t="n">
        <v>1890</v>
      </c>
      <c r="D2155" s="1" t="s">
        <v>34</v>
      </c>
      <c r="E2155" s="1" t="s">
        <v>35</v>
      </c>
      <c r="F2155" s="1" t="n">
        <v>4</v>
      </c>
      <c r="G2155" s="15" t="n">
        <v>560.86</v>
      </c>
      <c r="H2155" s="16" t="n">
        <v>0.15</v>
      </c>
      <c r="I2155" s="1" t="s">
        <v>31</v>
      </c>
      <c r="J2155" s="1" t="n">
        <v>11</v>
      </c>
      <c r="K2155" s="1" t="n">
        <v>3</v>
      </c>
      <c r="L2155" s="15" t="n">
        <v>1906.92</v>
      </c>
      <c r="M2155" s="15" t="n">
        <f aca="false">F2155*G2155</f>
        <v>2243.44</v>
      </c>
      <c r="N2155" s="15" t="n">
        <f aca="false">M2155-L2155</f>
        <v>336.52</v>
      </c>
      <c r="O2155" s="1" t="n">
        <f aca="false">YEAR(B2155)</f>
        <v>2027</v>
      </c>
      <c r="P2155" s="1" t="n">
        <f aca="false">MONTH(B2155)</f>
        <v>11</v>
      </c>
      <c r="Q2155" s="1" t="str">
        <f aca="false">TEXT(B2155,"mmm")</f>
        <v>Nov</v>
      </c>
      <c r="R2155" s="1" t="str">
        <f aca="false">"Q"&amp;ROUNDUP(MONTH(B2155)/3,0)</f>
        <v>Q4</v>
      </c>
    </row>
    <row r="2156" customFormat="false" ht="15" hidden="false" customHeight="true" outlineLevel="0" collapsed="false">
      <c r="A2156" s="1" t="n">
        <v>12155</v>
      </c>
      <c r="B2156" s="14" t="n">
        <v>46716</v>
      </c>
      <c r="C2156" s="1" t="n">
        <v>1489</v>
      </c>
      <c r="D2156" s="1" t="s">
        <v>30</v>
      </c>
      <c r="E2156" s="1" t="s">
        <v>36</v>
      </c>
      <c r="F2156" s="1" t="n">
        <v>2</v>
      </c>
      <c r="G2156" s="15" t="n">
        <v>146.92</v>
      </c>
      <c r="H2156" s="16" t="n">
        <v>0.05</v>
      </c>
      <c r="I2156" s="1" t="s">
        <v>31</v>
      </c>
      <c r="J2156" s="1" t="n">
        <v>10</v>
      </c>
      <c r="K2156" s="1" t="n">
        <v>1.2</v>
      </c>
      <c r="L2156" s="15" t="n">
        <v>279.15</v>
      </c>
      <c r="M2156" s="15" t="n">
        <f aca="false">F2156*G2156</f>
        <v>293.84</v>
      </c>
      <c r="N2156" s="15" t="n">
        <f aca="false">M2156-L2156</f>
        <v>14.69</v>
      </c>
      <c r="O2156" s="1" t="n">
        <f aca="false">YEAR(B2156)</f>
        <v>2027</v>
      </c>
      <c r="P2156" s="1" t="n">
        <f aca="false">MONTH(B2156)</f>
        <v>11</v>
      </c>
      <c r="Q2156" s="1" t="str">
        <f aca="false">TEXT(B2156,"mmm")</f>
        <v>Nov</v>
      </c>
      <c r="R2156" s="1" t="str">
        <f aca="false">"Q"&amp;ROUNDUP(MONTH(B2156)/3,0)</f>
        <v>Q4</v>
      </c>
    </row>
    <row r="2157" customFormat="false" ht="15" hidden="false" customHeight="true" outlineLevel="0" collapsed="false">
      <c r="A2157" s="1" t="n">
        <v>12156</v>
      </c>
      <c r="B2157" s="14" t="n">
        <v>46717</v>
      </c>
      <c r="C2157" s="1" t="n">
        <v>1418</v>
      </c>
      <c r="D2157" s="1" t="s">
        <v>34</v>
      </c>
      <c r="E2157" s="1" t="s">
        <v>35</v>
      </c>
      <c r="F2157" s="1" t="n">
        <v>2</v>
      </c>
      <c r="G2157" s="15" t="n">
        <v>374.44</v>
      </c>
      <c r="H2157" s="16" t="n">
        <v>0.16</v>
      </c>
      <c r="I2157" s="1" t="s">
        <v>29</v>
      </c>
      <c r="J2157" s="1" t="n">
        <v>7</v>
      </c>
      <c r="K2157" s="1" t="n">
        <v>1.8</v>
      </c>
      <c r="L2157" s="15" t="n">
        <v>629.06</v>
      </c>
      <c r="M2157" s="15" t="n">
        <f aca="false">F2157*G2157</f>
        <v>748.88</v>
      </c>
      <c r="N2157" s="15" t="n">
        <f aca="false">M2157-L2157</f>
        <v>119.82</v>
      </c>
      <c r="O2157" s="1" t="n">
        <f aca="false">YEAR(B2157)</f>
        <v>2027</v>
      </c>
      <c r="P2157" s="1" t="n">
        <f aca="false">MONTH(B2157)</f>
        <v>11</v>
      </c>
      <c r="Q2157" s="1" t="str">
        <f aca="false">TEXT(B2157,"mmm")</f>
        <v>Nov</v>
      </c>
      <c r="R2157" s="1" t="str">
        <f aca="false">"Q"&amp;ROUNDUP(MONTH(B2157)/3,0)</f>
        <v>Q4</v>
      </c>
    </row>
    <row r="2158" customFormat="false" ht="15" hidden="false" customHeight="true" outlineLevel="0" collapsed="false">
      <c r="A2158" s="1" t="n">
        <v>12157</v>
      </c>
      <c r="B2158" s="14" t="n">
        <v>46718</v>
      </c>
      <c r="C2158" s="1" t="n">
        <v>1689</v>
      </c>
      <c r="D2158" s="1" t="s">
        <v>34</v>
      </c>
      <c r="E2158" s="1" t="s">
        <v>32</v>
      </c>
      <c r="F2158" s="1" t="n">
        <v>3</v>
      </c>
      <c r="G2158" s="15" t="n">
        <v>31.38</v>
      </c>
      <c r="H2158" s="16" t="n">
        <v>0.24</v>
      </c>
      <c r="I2158" s="1" t="s">
        <v>31</v>
      </c>
      <c r="J2158" s="1" t="n">
        <v>10</v>
      </c>
      <c r="K2158" s="1" t="n">
        <v>3.6</v>
      </c>
      <c r="L2158" s="15" t="n">
        <v>71.55</v>
      </c>
      <c r="M2158" s="15" t="n">
        <f aca="false">F2158*G2158</f>
        <v>94.14</v>
      </c>
      <c r="N2158" s="15" t="n">
        <f aca="false">M2158-L2158</f>
        <v>22.59</v>
      </c>
      <c r="O2158" s="1" t="n">
        <f aca="false">YEAR(B2158)</f>
        <v>2027</v>
      </c>
      <c r="P2158" s="1" t="n">
        <f aca="false">MONTH(B2158)</f>
        <v>11</v>
      </c>
      <c r="Q2158" s="1" t="str">
        <f aca="false">TEXT(B2158,"mmm")</f>
        <v>Nov</v>
      </c>
      <c r="R2158" s="1" t="str">
        <f aca="false">"Q"&amp;ROUNDUP(MONTH(B2158)/3,0)</f>
        <v>Q4</v>
      </c>
    </row>
    <row r="2159" customFormat="false" ht="15" hidden="false" customHeight="true" outlineLevel="0" collapsed="false">
      <c r="A2159" s="1" t="n">
        <v>12158</v>
      </c>
      <c r="B2159" s="14" t="n">
        <v>46719</v>
      </c>
      <c r="C2159" s="1" t="n">
        <v>1849</v>
      </c>
      <c r="D2159" s="1" t="s">
        <v>27</v>
      </c>
      <c r="E2159" s="1" t="s">
        <v>36</v>
      </c>
      <c r="F2159" s="1" t="n">
        <v>6</v>
      </c>
      <c r="G2159" s="15" t="n">
        <v>560.1</v>
      </c>
      <c r="H2159" s="16" t="n">
        <v>0.28</v>
      </c>
      <c r="I2159" s="1" t="s">
        <v>29</v>
      </c>
      <c r="J2159" s="1" t="n">
        <v>10</v>
      </c>
      <c r="K2159" s="1" t="n">
        <v>2.6</v>
      </c>
      <c r="L2159" s="15" t="n">
        <v>2419.63</v>
      </c>
      <c r="M2159" s="15" t="n">
        <f aca="false">F2159*G2159</f>
        <v>3360.6</v>
      </c>
      <c r="N2159" s="15" t="n">
        <f aca="false">M2159-L2159</f>
        <v>940.97</v>
      </c>
      <c r="O2159" s="1" t="n">
        <f aca="false">YEAR(B2159)</f>
        <v>2027</v>
      </c>
      <c r="P2159" s="1" t="n">
        <f aca="false">MONTH(B2159)</f>
        <v>11</v>
      </c>
      <c r="Q2159" s="1" t="str">
        <f aca="false">TEXT(B2159,"mmm")</f>
        <v>Nov</v>
      </c>
      <c r="R2159" s="1" t="str">
        <f aca="false">"Q"&amp;ROUNDUP(MONTH(B2159)/3,0)</f>
        <v>Q4</v>
      </c>
    </row>
    <row r="2160" customFormat="false" ht="15" hidden="false" customHeight="true" outlineLevel="0" collapsed="false">
      <c r="A2160" s="1" t="n">
        <v>12159</v>
      </c>
      <c r="B2160" s="14" t="n">
        <v>46720</v>
      </c>
      <c r="C2160" s="1" t="n">
        <v>1061</v>
      </c>
      <c r="D2160" s="1" t="s">
        <v>37</v>
      </c>
      <c r="E2160" s="1" t="s">
        <v>35</v>
      </c>
      <c r="F2160" s="1" t="n">
        <v>4</v>
      </c>
      <c r="G2160" s="15" t="n">
        <v>320.95</v>
      </c>
      <c r="H2160" s="16" t="n">
        <v>0.17</v>
      </c>
      <c r="I2160" s="1" t="s">
        <v>31</v>
      </c>
      <c r="J2160" s="1" t="n">
        <v>5</v>
      </c>
      <c r="K2160" s="1" t="n">
        <v>3.4</v>
      </c>
      <c r="L2160" s="15" t="n">
        <v>1065.55</v>
      </c>
      <c r="M2160" s="15" t="n">
        <f aca="false">F2160*G2160</f>
        <v>1283.8</v>
      </c>
      <c r="N2160" s="15" t="n">
        <f aca="false">M2160-L2160</f>
        <v>218.25</v>
      </c>
      <c r="O2160" s="1" t="n">
        <f aca="false">YEAR(B2160)</f>
        <v>2027</v>
      </c>
      <c r="P2160" s="1" t="n">
        <f aca="false">MONTH(B2160)</f>
        <v>11</v>
      </c>
      <c r="Q2160" s="1" t="str">
        <f aca="false">TEXT(B2160,"mmm")</f>
        <v>Nov</v>
      </c>
      <c r="R2160" s="1" t="str">
        <f aca="false">"Q"&amp;ROUNDUP(MONTH(B2160)/3,0)</f>
        <v>Q4</v>
      </c>
    </row>
    <row r="2161" customFormat="false" ht="15" hidden="false" customHeight="true" outlineLevel="0" collapsed="false">
      <c r="A2161" s="1" t="n">
        <v>12160</v>
      </c>
      <c r="B2161" s="14" t="n">
        <v>46721</v>
      </c>
      <c r="C2161" s="1" t="n">
        <v>1144</v>
      </c>
      <c r="D2161" s="1" t="s">
        <v>37</v>
      </c>
      <c r="E2161" s="1" t="s">
        <v>28</v>
      </c>
      <c r="F2161" s="1" t="n">
        <v>1</v>
      </c>
      <c r="G2161" s="15" t="n">
        <v>40.29</v>
      </c>
      <c r="H2161" s="16" t="n">
        <v>0.06</v>
      </c>
      <c r="I2161" s="1" t="s">
        <v>29</v>
      </c>
      <c r="J2161" s="1" t="n">
        <v>6</v>
      </c>
      <c r="K2161" s="1" t="n">
        <v>3.2</v>
      </c>
      <c r="L2161" s="15" t="n">
        <v>37.87</v>
      </c>
      <c r="M2161" s="15" t="n">
        <f aca="false">F2161*G2161</f>
        <v>40.29</v>
      </c>
      <c r="N2161" s="15" t="n">
        <f aca="false">M2161-L2161</f>
        <v>2.42</v>
      </c>
      <c r="O2161" s="1" t="n">
        <f aca="false">YEAR(B2161)</f>
        <v>2027</v>
      </c>
      <c r="P2161" s="1" t="n">
        <f aca="false">MONTH(B2161)</f>
        <v>11</v>
      </c>
      <c r="Q2161" s="1" t="str">
        <f aca="false">TEXT(B2161,"mmm")</f>
        <v>Nov</v>
      </c>
      <c r="R2161" s="1" t="str">
        <f aca="false">"Q"&amp;ROUNDUP(MONTH(B2161)/3,0)</f>
        <v>Q4</v>
      </c>
    </row>
    <row r="2162" customFormat="false" ht="15" hidden="false" customHeight="true" outlineLevel="0" collapsed="false">
      <c r="A2162" s="1" t="n">
        <v>12161</v>
      </c>
      <c r="B2162" s="14" t="n">
        <v>46722</v>
      </c>
      <c r="C2162" s="1" t="n">
        <v>1215</v>
      </c>
      <c r="D2162" s="1" t="s">
        <v>34</v>
      </c>
      <c r="E2162" s="1" t="s">
        <v>35</v>
      </c>
      <c r="F2162" s="1" t="n">
        <v>2</v>
      </c>
      <c r="G2162" s="15" t="n">
        <v>215.36</v>
      </c>
      <c r="H2162" s="16" t="n">
        <v>0.15</v>
      </c>
      <c r="I2162" s="1" t="s">
        <v>31</v>
      </c>
      <c r="J2162" s="1" t="n">
        <v>1</v>
      </c>
      <c r="K2162" s="1" t="n">
        <v>2.8</v>
      </c>
      <c r="L2162" s="15" t="n">
        <v>366.11</v>
      </c>
      <c r="M2162" s="15" t="n">
        <f aca="false">F2162*G2162</f>
        <v>430.72</v>
      </c>
      <c r="N2162" s="15" t="n">
        <f aca="false">M2162-L2162</f>
        <v>64.61</v>
      </c>
      <c r="O2162" s="1" t="n">
        <f aca="false">YEAR(B2162)</f>
        <v>2027</v>
      </c>
      <c r="P2162" s="1" t="n">
        <f aca="false">MONTH(B2162)</f>
        <v>12</v>
      </c>
      <c r="Q2162" s="1" t="str">
        <f aca="false">TEXT(B2162,"mmm")</f>
        <v>Dec</v>
      </c>
      <c r="R2162" s="1" t="str">
        <f aca="false">"Q"&amp;ROUNDUP(MONTH(B2162)/3,0)</f>
        <v>Q4</v>
      </c>
    </row>
    <row r="2163" customFormat="false" ht="15" hidden="false" customHeight="true" outlineLevel="0" collapsed="false">
      <c r="A2163" s="1" t="n">
        <v>12162</v>
      </c>
      <c r="B2163" s="14" t="n">
        <v>46723</v>
      </c>
      <c r="C2163" s="1" t="n">
        <v>1002</v>
      </c>
      <c r="D2163" s="1" t="s">
        <v>34</v>
      </c>
      <c r="E2163" s="1" t="s">
        <v>36</v>
      </c>
      <c r="F2163" s="1" t="n">
        <v>1</v>
      </c>
      <c r="G2163" s="15" t="n">
        <v>59.96</v>
      </c>
      <c r="H2163" s="16" t="n">
        <v>0.28</v>
      </c>
      <c r="I2163" s="1" t="s">
        <v>31</v>
      </c>
      <c r="J2163" s="1" t="n">
        <v>3</v>
      </c>
      <c r="K2163" s="1" t="n">
        <v>1.9</v>
      </c>
      <c r="L2163" s="15" t="n">
        <v>43.17</v>
      </c>
      <c r="M2163" s="15" t="n">
        <f aca="false">F2163*G2163</f>
        <v>59.96</v>
      </c>
      <c r="N2163" s="15" t="n">
        <f aca="false">M2163-L2163</f>
        <v>16.79</v>
      </c>
      <c r="O2163" s="1" t="n">
        <f aca="false">YEAR(B2163)</f>
        <v>2027</v>
      </c>
      <c r="P2163" s="1" t="n">
        <f aca="false">MONTH(B2163)</f>
        <v>12</v>
      </c>
      <c r="Q2163" s="1" t="str">
        <f aca="false">TEXT(B2163,"mmm")</f>
        <v>Dec</v>
      </c>
      <c r="R2163" s="1" t="str">
        <f aca="false">"Q"&amp;ROUNDUP(MONTH(B2163)/3,0)</f>
        <v>Q4</v>
      </c>
    </row>
    <row r="2164" customFormat="false" ht="15" hidden="false" customHeight="true" outlineLevel="0" collapsed="false">
      <c r="A2164" s="1" t="n">
        <v>12163</v>
      </c>
      <c r="B2164" s="14" t="n">
        <v>46724</v>
      </c>
      <c r="C2164" s="1" t="n">
        <v>1159</v>
      </c>
      <c r="D2164" s="1" t="s">
        <v>34</v>
      </c>
      <c r="E2164" s="1" t="s">
        <v>32</v>
      </c>
      <c r="F2164" s="1" t="n">
        <v>4</v>
      </c>
      <c r="G2164" s="15" t="n">
        <v>244.87</v>
      </c>
      <c r="H2164" s="16" t="n">
        <v>0.14</v>
      </c>
      <c r="I2164" s="1" t="s">
        <v>33</v>
      </c>
      <c r="J2164" s="1" t="n">
        <v>8</v>
      </c>
      <c r="K2164" s="1" t="n">
        <v>3.9</v>
      </c>
      <c r="L2164" s="15" t="n">
        <v>842.35</v>
      </c>
      <c r="M2164" s="15" t="n">
        <f aca="false">F2164*G2164</f>
        <v>979.48</v>
      </c>
      <c r="N2164" s="15" t="n">
        <f aca="false">M2164-L2164</f>
        <v>137.13</v>
      </c>
      <c r="O2164" s="1" t="n">
        <f aca="false">YEAR(B2164)</f>
        <v>2027</v>
      </c>
      <c r="P2164" s="1" t="n">
        <f aca="false">MONTH(B2164)</f>
        <v>12</v>
      </c>
      <c r="Q2164" s="1" t="str">
        <f aca="false">TEXT(B2164,"mmm")</f>
        <v>Dec</v>
      </c>
      <c r="R2164" s="1" t="str">
        <f aca="false">"Q"&amp;ROUNDUP(MONTH(B2164)/3,0)</f>
        <v>Q4</v>
      </c>
    </row>
    <row r="2165" customFormat="false" ht="15" hidden="false" customHeight="true" outlineLevel="0" collapsed="false">
      <c r="A2165" s="1" t="n">
        <v>12164</v>
      </c>
      <c r="B2165" s="14" t="n">
        <v>46725</v>
      </c>
      <c r="C2165" s="1" t="n">
        <v>1738</v>
      </c>
      <c r="D2165" s="1" t="s">
        <v>37</v>
      </c>
      <c r="E2165" s="1" t="s">
        <v>35</v>
      </c>
      <c r="F2165" s="1" t="n">
        <v>7</v>
      </c>
      <c r="G2165" s="15" t="n">
        <v>406.91</v>
      </c>
      <c r="H2165" s="16" t="n">
        <v>0.24</v>
      </c>
      <c r="I2165" s="1" t="s">
        <v>29</v>
      </c>
      <c r="J2165" s="1" t="n">
        <v>3</v>
      </c>
      <c r="K2165" s="1" t="n">
        <v>4.6</v>
      </c>
      <c r="L2165" s="15" t="n">
        <v>2164.76</v>
      </c>
      <c r="M2165" s="15" t="n">
        <f aca="false">F2165*G2165</f>
        <v>2848.37</v>
      </c>
      <c r="N2165" s="15" t="n">
        <f aca="false">M2165-L2165</f>
        <v>683.61</v>
      </c>
      <c r="O2165" s="1" t="n">
        <f aca="false">YEAR(B2165)</f>
        <v>2027</v>
      </c>
      <c r="P2165" s="1" t="n">
        <f aca="false">MONTH(B2165)</f>
        <v>12</v>
      </c>
      <c r="Q2165" s="1" t="str">
        <f aca="false">TEXT(B2165,"mmm")</f>
        <v>Dec</v>
      </c>
      <c r="R2165" s="1" t="str">
        <f aca="false">"Q"&amp;ROUNDUP(MONTH(B2165)/3,0)</f>
        <v>Q4</v>
      </c>
    </row>
    <row r="2166" customFormat="false" ht="15" hidden="false" customHeight="true" outlineLevel="0" collapsed="false">
      <c r="A2166" s="1" t="n">
        <v>12165</v>
      </c>
      <c r="B2166" s="14" t="n">
        <v>46726</v>
      </c>
      <c r="C2166" s="1" t="n">
        <v>1997</v>
      </c>
      <c r="D2166" s="1" t="s">
        <v>27</v>
      </c>
      <c r="E2166" s="1" t="s">
        <v>32</v>
      </c>
      <c r="F2166" s="1" t="n">
        <v>6</v>
      </c>
      <c r="G2166" s="15" t="n">
        <v>289.89</v>
      </c>
      <c r="H2166" s="16" t="n">
        <v>0.18</v>
      </c>
      <c r="I2166" s="1" t="s">
        <v>29</v>
      </c>
      <c r="J2166" s="1" t="n">
        <v>1</v>
      </c>
      <c r="K2166" s="1" t="n">
        <v>4.1</v>
      </c>
      <c r="L2166" s="15" t="n">
        <v>1426.26</v>
      </c>
      <c r="M2166" s="15" t="n">
        <f aca="false">F2166*G2166</f>
        <v>1739.34</v>
      </c>
      <c r="N2166" s="15" t="n">
        <f aca="false">M2166-L2166</f>
        <v>313.08</v>
      </c>
      <c r="O2166" s="1" t="n">
        <f aca="false">YEAR(B2166)</f>
        <v>2027</v>
      </c>
      <c r="P2166" s="1" t="n">
        <f aca="false">MONTH(B2166)</f>
        <v>12</v>
      </c>
      <c r="Q2166" s="1" t="str">
        <f aca="false">TEXT(B2166,"mmm")</f>
        <v>Dec</v>
      </c>
      <c r="R2166" s="1" t="str">
        <f aca="false">"Q"&amp;ROUNDUP(MONTH(B2166)/3,0)</f>
        <v>Q4</v>
      </c>
    </row>
    <row r="2167" customFormat="false" ht="15" hidden="false" customHeight="true" outlineLevel="0" collapsed="false">
      <c r="A2167" s="1" t="n">
        <v>12166</v>
      </c>
      <c r="B2167" s="14" t="n">
        <v>46727</v>
      </c>
      <c r="C2167" s="1" t="n">
        <v>1780</v>
      </c>
      <c r="D2167" s="1" t="s">
        <v>30</v>
      </c>
      <c r="E2167" s="1" t="s">
        <v>28</v>
      </c>
      <c r="F2167" s="1" t="n">
        <v>5</v>
      </c>
      <c r="G2167" s="15" t="n">
        <v>239.48</v>
      </c>
      <c r="H2167" s="16" t="n">
        <v>0.08</v>
      </c>
      <c r="I2167" s="1" t="s">
        <v>33</v>
      </c>
      <c r="J2167" s="1" t="n">
        <v>3</v>
      </c>
      <c r="K2167" s="1" t="n">
        <v>1.5</v>
      </c>
      <c r="L2167" s="15" t="n">
        <v>1101.61</v>
      </c>
      <c r="M2167" s="15" t="n">
        <f aca="false">F2167*G2167</f>
        <v>1197.4</v>
      </c>
      <c r="N2167" s="15" t="n">
        <f aca="false">M2167-L2167</f>
        <v>95.79</v>
      </c>
      <c r="O2167" s="1" t="n">
        <f aca="false">YEAR(B2167)</f>
        <v>2027</v>
      </c>
      <c r="P2167" s="1" t="n">
        <f aca="false">MONTH(B2167)</f>
        <v>12</v>
      </c>
      <c r="Q2167" s="1" t="str">
        <f aca="false">TEXT(B2167,"mmm")</f>
        <v>Dec</v>
      </c>
      <c r="R2167" s="1" t="str">
        <f aca="false">"Q"&amp;ROUNDUP(MONTH(B2167)/3,0)</f>
        <v>Q4</v>
      </c>
    </row>
    <row r="2168" customFormat="false" ht="15" hidden="false" customHeight="true" outlineLevel="0" collapsed="false">
      <c r="A2168" s="1" t="n">
        <v>12167</v>
      </c>
      <c r="B2168" s="14" t="n">
        <v>46728</v>
      </c>
      <c r="C2168" s="1" t="n">
        <v>1119</v>
      </c>
      <c r="D2168" s="1" t="s">
        <v>34</v>
      </c>
      <c r="E2168" s="1" t="s">
        <v>35</v>
      </c>
      <c r="F2168" s="1" t="n">
        <v>7</v>
      </c>
      <c r="G2168" s="15" t="n">
        <v>84.71</v>
      </c>
      <c r="H2168" s="16" t="n">
        <v>0.28</v>
      </c>
      <c r="I2168" s="1" t="s">
        <v>33</v>
      </c>
      <c r="J2168" s="1" t="n">
        <v>4</v>
      </c>
      <c r="K2168" s="1" t="n">
        <v>3.2</v>
      </c>
      <c r="L2168" s="15" t="n">
        <v>426.94</v>
      </c>
      <c r="M2168" s="15" t="n">
        <f aca="false">F2168*G2168</f>
        <v>592.97</v>
      </c>
      <c r="N2168" s="15" t="n">
        <f aca="false">M2168-L2168</f>
        <v>166.03</v>
      </c>
      <c r="O2168" s="1" t="n">
        <f aca="false">YEAR(B2168)</f>
        <v>2027</v>
      </c>
      <c r="P2168" s="1" t="n">
        <f aca="false">MONTH(B2168)</f>
        <v>12</v>
      </c>
      <c r="Q2168" s="1" t="str">
        <f aca="false">TEXT(B2168,"mmm")</f>
        <v>Dec</v>
      </c>
      <c r="R2168" s="1" t="str">
        <f aca="false">"Q"&amp;ROUNDUP(MONTH(B2168)/3,0)</f>
        <v>Q4</v>
      </c>
    </row>
    <row r="2169" customFormat="false" ht="15" hidden="false" customHeight="true" outlineLevel="0" collapsed="false">
      <c r="A2169" s="1" t="n">
        <v>12168</v>
      </c>
      <c r="B2169" s="14" t="n">
        <v>46729</v>
      </c>
      <c r="C2169" s="1" t="n">
        <v>1892</v>
      </c>
      <c r="D2169" s="1" t="s">
        <v>30</v>
      </c>
      <c r="E2169" s="1" t="s">
        <v>35</v>
      </c>
      <c r="F2169" s="1" t="n">
        <v>7</v>
      </c>
      <c r="G2169" s="15" t="n">
        <v>158.29</v>
      </c>
      <c r="H2169" s="16" t="n">
        <v>0.03</v>
      </c>
      <c r="I2169" s="1" t="s">
        <v>33</v>
      </c>
      <c r="J2169" s="1" t="n">
        <v>8</v>
      </c>
      <c r="K2169" s="1" t="n">
        <v>4.3</v>
      </c>
      <c r="L2169" s="15" t="n">
        <v>1074.79</v>
      </c>
      <c r="M2169" s="15" t="n">
        <f aca="false">F2169*G2169</f>
        <v>1108.03</v>
      </c>
      <c r="N2169" s="15" t="n">
        <f aca="false">M2169-L2169</f>
        <v>33.24</v>
      </c>
      <c r="O2169" s="1" t="n">
        <f aca="false">YEAR(B2169)</f>
        <v>2027</v>
      </c>
      <c r="P2169" s="1" t="n">
        <f aca="false">MONTH(B2169)</f>
        <v>12</v>
      </c>
      <c r="Q2169" s="1" t="str">
        <f aca="false">TEXT(B2169,"mmm")</f>
        <v>Dec</v>
      </c>
      <c r="R2169" s="1" t="str">
        <f aca="false">"Q"&amp;ROUNDUP(MONTH(B2169)/3,0)</f>
        <v>Q4</v>
      </c>
    </row>
    <row r="2170" customFormat="false" ht="15" hidden="false" customHeight="true" outlineLevel="0" collapsed="false">
      <c r="A2170" s="1" t="n">
        <v>12169</v>
      </c>
      <c r="B2170" s="14" t="n">
        <v>46730</v>
      </c>
      <c r="C2170" s="1" t="n">
        <v>1088</v>
      </c>
      <c r="D2170" s="1" t="s">
        <v>34</v>
      </c>
      <c r="E2170" s="1" t="s">
        <v>28</v>
      </c>
      <c r="F2170" s="1" t="n">
        <v>5</v>
      </c>
      <c r="G2170" s="15" t="n">
        <v>73.58</v>
      </c>
      <c r="H2170" s="16" t="n">
        <v>0.18</v>
      </c>
      <c r="I2170" s="1" t="s">
        <v>33</v>
      </c>
      <c r="J2170" s="1" t="n">
        <v>9</v>
      </c>
      <c r="K2170" s="1" t="n">
        <v>3.4</v>
      </c>
      <c r="L2170" s="15" t="n">
        <v>301.68</v>
      </c>
      <c r="M2170" s="15" t="n">
        <f aca="false">F2170*G2170</f>
        <v>367.9</v>
      </c>
      <c r="N2170" s="15" t="n">
        <f aca="false">M2170-L2170</f>
        <v>66.22</v>
      </c>
      <c r="O2170" s="1" t="n">
        <f aca="false">YEAR(B2170)</f>
        <v>2027</v>
      </c>
      <c r="P2170" s="1" t="n">
        <f aca="false">MONTH(B2170)</f>
        <v>12</v>
      </c>
      <c r="Q2170" s="1" t="str">
        <f aca="false">TEXT(B2170,"mmm")</f>
        <v>Dec</v>
      </c>
      <c r="R2170" s="1" t="str">
        <f aca="false">"Q"&amp;ROUNDUP(MONTH(B2170)/3,0)</f>
        <v>Q4</v>
      </c>
    </row>
    <row r="2171" customFormat="false" ht="15" hidden="false" customHeight="true" outlineLevel="0" collapsed="false">
      <c r="A2171" s="1" t="n">
        <v>12170</v>
      </c>
      <c r="B2171" s="14" t="n">
        <v>46731</v>
      </c>
      <c r="C2171" s="1" t="n">
        <v>1328</v>
      </c>
      <c r="D2171" s="1" t="s">
        <v>30</v>
      </c>
      <c r="E2171" s="1" t="s">
        <v>28</v>
      </c>
      <c r="F2171" s="1" t="n">
        <v>2</v>
      </c>
      <c r="G2171" s="15" t="n">
        <v>487.39</v>
      </c>
      <c r="H2171" s="16" t="n">
        <v>0.07</v>
      </c>
      <c r="I2171" s="1" t="s">
        <v>29</v>
      </c>
      <c r="J2171" s="1" t="n">
        <v>4</v>
      </c>
      <c r="K2171" s="1" t="n">
        <v>2.8</v>
      </c>
      <c r="L2171" s="15" t="n">
        <v>906.55</v>
      </c>
      <c r="M2171" s="15" t="n">
        <f aca="false">F2171*G2171</f>
        <v>974.78</v>
      </c>
      <c r="N2171" s="15" t="n">
        <f aca="false">M2171-L2171</f>
        <v>68.23</v>
      </c>
      <c r="O2171" s="1" t="n">
        <f aca="false">YEAR(B2171)</f>
        <v>2027</v>
      </c>
      <c r="P2171" s="1" t="n">
        <f aca="false">MONTH(B2171)</f>
        <v>12</v>
      </c>
      <c r="Q2171" s="1" t="str">
        <f aca="false">TEXT(B2171,"mmm")</f>
        <v>Dec</v>
      </c>
      <c r="R2171" s="1" t="str">
        <f aca="false">"Q"&amp;ROUNDUP(MONTH(B2171)/3,0)</f>
        <v>Q4</v>
      </c>
    </row>
    <row r="2172" customFormat="false" ht="15" hidden="false" customHeight="true" outlineLevel="0" collapsed="false">
      <c r="A2172" s="1" t="n">
        <v>12171</v>
      </c>
      <c r="B2172" s="14" t="n">
        <v>46732</v>
      </c>
      <c r="C2172" s="1" t="n">
        <v>1579</v>
      </c>
      <c r="D2172" s="1" t="s">
        <v>30</v>
      </c>
      <c r="E2172" s="1" t="s">
        <v>28</v>
      </c>
      <c r="F2172" s="1" t="n">
        <v>3</v>
      </c>
      <c r="G2172" s="15" t="n">
        <v>94.12</v>
      </c>
      <c r="H2172" s="16" t="n">
        <v>0.02</v>
      </c>
      <c r="I2172" s="1" t="s">
        <v>33</v>
      </c>
      <c r="J2172" s="1" t="n">
        <v>7</v>
      </c>
      <c r="K2172" s="1" t="n">
        <v>2.1</v>
      </c>
      <c r="L2172" s="15" t="n">
        <v>276.71</v>
      </c>
      <c r="M2172" s="15" t="n">
        <f aca="false">F2172*G2172</f>
        <v>282.36</v>
      </c>
      <c r="N2172" s="15" t="n">
        <f aca="false">M2172-L2172</f>
        <v>5.65000000000003</v>
      </c>
      <c r="O2172" s="1" t="n">
        <f aca="false">YEAR(B2172)</f>
        <v>2027</v>
      </c>
      <c r="P2172" s="1" t="n">
        <f aca="false">MONTH(B2172)</f>
        <v>12</v>
      </c>
      <c r="Q2172" s="1" t="str">
        <f aca="false">TEXT(B2172,"mmm")</f>
        <v>Dec</v>
      </c>
      <c r="R2172" s="1" t="str">
        <f aca="false">"Q"&amp;ROUNDUP(MONTH(B2172)/3,0)</f>
        <v>Q4</v>
      </c>
    </row>
    <row r="2173" customFormat="false" ht="15" hidden="false" customHeight="true" outlineLevel="0" collapsed="false">
      <c r="A2173" s="1" t="n">
        <v>12172</v>
      </c>
      <c r="B2173" s="14" t="n">
        <v>46733</v>
      </c>
      <c r="C2173" s="1" t="n">
        <v>1909</v>
      </c>
      <c r="D2173" s="1" t="s">
        <v>37</v>
      </c>
      <c r="E2173" s="1" t="s">
        <v>36</v>
      </c>
      <c r="F2173" s="1" t="n">
        <v>1</v>
      </c>
      <c r="G2173" s="15" t="n">
        <v>363.29</v>
      </c>
      <c r="H2173" s="16" t="n">
        <v>0.18</v>
      </c>
      <c r="I2173" s="1" t="s">
        <v>33</v>
      </c>
      <c r="J2173" s="1" t="n">
        <v>1</v>
      </c>
      <c r="K2173" s="1" t="n">
        <v>2.3</v>
      </c>
      <c r="L2173" s="15" t="n">
        <v>297.9</v>
      </c>
      <c r="M2173" s="15" t="n">
        <f aca="false">F2173*G2173</f>
        <v>363.29</v>
      </c>
      <c r="N2173" s="15" t="n">
        <f aca="false">M2173-L2173</f>
        <v>65.39</v>
      </c>
      <c r="O2173" s="1" t="n">
        <f aca="false">YEAR(B2173)</f>
        <v>2027</v>
      </c>
      <c r="P2173" s="1" t="n">
        <f aca="false">MONTH(B2173)</f>
        <v>12</v>
      </c>
      <c r="Q2173" s="1" t="str">
        <f aca="false">TEXT(B2173,"mmm")</f>
        <v>Dec</v>
      </c>
      <c r="R2173" s="1" t="str">
        <f aca="false">"Q"&amp;ROUNDUP(MONTH(B2173)/3,0)</f>
        <v>Q4</v>
      </c>
    </row>
    <row r="2174" customFormat="false" ht="15" hidden="false" customHeight="true" outlineLevel="0" collapsed="false">
      <c r="A2174" s="1" t="n">
        <v>12173</v>
      </c>
      <c r="B2174" s="14" t="n">
        <v>46734</v>
      </c>
      <c r="C2174" s="1" t="n">
        <v>1356</v>
      </c>
      <c r="D2174" s="1" t="s">
        <v>34</v>
      </c>
      <c r="E2174" s="1" t="s">
        <v>36</v>
      </c>
      <c r="F2174" s="1" t="n">
        <v>2</v>
      </c>
      <c r="G2174" s="15" t="n">
        <v>215.5</v>
      </c>
      <c r="H2174" s="16" t="n">
        <v>0.17</v>
      </c>
      <c r="I2174" s="1" t="s">
        <v>33</v>
      </c>
      <c r="J2174" s="1" t="n">
        <v>9</v>
      </c>
      <c r="K2174" s="1" t="n">
        <v>2</v>
      </c>
      <c r="L2174" s="15" t="n">
        <v>357.73</v>
      </c>
      <c r="M2174" s="15" t="n">
        <f aca="false">F2174*G2174</f>
        <v>431</v>
      </c>
      <c r="N2174" s="15" t="n">
        <f aca="false">M2174-L2174</f>
        <v>73.27</v>
      </c>
      <c r="O2174" s="1" t="n">
        <f aca="false">YEAR(B2174)</f>
        <v>2027</v>
      </c>
      <c r="P2174" s="1" t="n">
        <f aca="false">MONTH(B2174)</f>
        <v>12</v>
      </c>
      <c r="Q2174" s="1" t="str">
        <f aca="false">TEXT(B2174,"mmm")</f>
        <v>Dec</v>
      </c>
      <c r="R2174" s="1" t="str">
        <f aca="false">"Q"&amp;ROUNDUP(MONTH(B2174)/3,0)</f>
        <v>Q4</v>
      </c>
    </row>
    <row r="2175" customFormat="false" ht="15" hidden="false" customHeight="true" outlineLevel="0" collapsed="false">
      <c r="A2175" s="1" t="n">
        <v>12174</v>
      </c>
      <c r="B2175" s="14" t="n">
        <v>46735</v>
      </c>
      <c r="C2175" s="1" t="n">
        <v>1609</v>
      </c>
      <c r="D2175" s="1" t="s">
        <v>34</v>
      </c>
      <c r="E2175" s="1" t="s">
        <v>35</v>
      </c>
      <c r="F2175" s="1" t="n">
        <v>3</v>
      </c>
      <c r="G2175" s="15" t="n">
        <v>147.2</v>
      </c>
      <c r="H2175" s="16" t="n">
        <v>0.25</v>
      </c>
      <c r="I2175" s="1" t="s">
        <v>33</v>
      </c>
      <c r="J2175" s="1" t="n">
        <v>11</v>
      </c>
      <c r="K2175" s="1" t="n">
        <v>1.8</v>
      </c>
      <c r="L2175" s="15" t="n">
        <v>331.2</v>
      </c>
      <c r="M2175" s="15" t="n">
        <f aca="false">F2175*G2175</f>
        <v>441.6</v>
      </c>
      <c r="N2175" s="15" t="n">
        <f aca="false">M2175-L2175</f>
        <v>110.4</v>
      </c>
      <c r="O2175" s="1" t="n">
        <f aca="false">YEAR(B2175)</f>
        <v>2027</v>
      </c>
      <c r="P2175" s="1" t="n">
        <f aca="false">MONTH(B2175)</f>
        <v>12</v>
      </c>
      <c r="Q2175" s="1" t="str">
        <f aca="false">TEXT(B2175,"mmm")</f>
        <v>Dec</v>
      </c>
      <c r="R2175" s="1" t="str">
        <f aca="false">"Q"&amp;ROUNDUP(MONTH(B2175)/3,0)</f>
        <v>Q4</v>
      </c>
    </row>
    <row r="2176" customFormat="false" ht="15" hidden="false" customHeight="true" outlineLevel="0" collapsed="false">
      <c r="A2176" s="1" t="n">
        <v>12175</v>
      </c>
      <c r="B2176" s="14" t="n">
        <v>46736</v>
      </c>
      <c r="C2176" s="1" t="n">
        <v>1266</v>
      </c>
      <c r="D2176" s="1" t="s">
        <v>27</v>
      </c>
      <c r="E2176" s="1" t="s">
        <v>35</v>
      </c>
      <c r="F2176" s="1" t="n">
        <v>1</v>
      </c>
      <c r="G2176" s="15" t="n">
        <v>389.09</v>
      </c>
      <c r="H2176" s="16" t="n">
        <v>0.26</v>
      </c>
      <c r="I2176" s="1" t="s">
        <v>29</v>
      </c>
      <c r="J2176" s="1" t="n">
        <v>4</v>
      </c>
      <c r="K2176" s="1" t="n">
        <v>3.4</v>
      </c>
      <c r="L2176" s="15" t="n">
        <v>287.93</v>
      </c>
      <c r="M2176" s="15" t="n">
        <f aca="false">F2176*G2176</f>
        <v>389.09</v>
      </c>
      <c r="N2176" s="15" t="n">
        <f aca="false">M2176-L2176</f>
        <v>101.16</v>
      </c>
      <c r="O2176" s="1" t="n">
        <f aca="false">YEAR(B2176)</f>
        <v>2027</v>
      </c>
      <c r="P2176" s="1" t="n">
        <f aca="false">MONTH(B2176)</f>
        <v>12</v>
      </c>
      <c r="Q2176" s="1" t="str">
        <f aca="false">TEXT(B2176,"mmm")</f>
        <v>Dec</v>
      </c>
      <c r="R2176" s="1" t="str">
        <f aca="false">"Q"&amp;ROUNDUP(MONTH(B2176)/3,0)</f>
        <v>Q4</v>
      </c>
    </row>
    <row r="2177" customFormat="false" ht="15" hidden="false" customHeight="true" outlineLevel="0" collapsed="false">
      <c r="A2177" s="1" t="n">
        <v>12176</v>
      </c>
      <c r="B2177" s="14" t="n">
        <v>46737</v>
      </c>
      <c r="C2177" s="1" t="n">
        <v>1616</v>
      </c>
      <c r="D2177" s="1" t="s">
        <v>34</v>
      </c>
      <c r="E2177" s="1" t="s">
        <v>35</v>
      </c>
      <c r="F2177" s="1" t="n">
        <v>4</v>
      </c>
      <c r="G2177" s="15" t="n">
        <v>282.35</v>
      </c>
      <c r="H2177" s="16" t="n">
        <v>0.25</v>
      </c>
      <c r="I2177" s="1" t="s">
        <v>31</v>
      </c>
      <c r="J2177" s="1" t="n">
        <v>9</v>
      </c>
      <c r="K2177" s="1" t="n">
        <v>3</v>
      </c>
      <c r="L2177" s="15" t="n">
        <v>847.05</v>
      </c>
      <c r="M2177" s="15" t="n">
        <f aca="false">F2177*G2177</f>
        <v>1129.4</v>
      </c>
      <c r="N2177" s="15" t="n">
        <f aca="false">M2177-L2177</f>
        <v>282.35</v>
      </c>
      <c r="O2177" s="1" t="n">
        <f aca="false">YEAR(B2177)</f>
        <v>2027</v>
      </c>
      <c r="P2177" s="1" t="n">
        <f aca="false">MONTH(B2177)</f>
        <v>12</v>
      </c>
      <c r="Q2177" s="1" t="str">
        <f aca="false">TEXT(B2177,"mmm")</f>
        <v>Dec</v>
      </c>
      <c r="R2177" s="1" t="str">
        <f aca="false">"Q"&amp;ROUNDUP(MONTH(B2177)/3,0)</f>
        <v>Q4</v>
      </c>
    </row>
    <row r="2178" customFormat="false" ht="15" hidden="false" customHeight="true" outlineLevel="0" collapsed="false">
      <c r="A2178" s="1" t="n">
        <v>12177</v>
      </c>
      <c r="B2178" s="14" t="n">
        <v>46738</v>
      </c>
      <c r="C2178" s="1" t="n">
        <v>1951</v>
      </c>
      <c r="D2178" s="1" t="s">
        <v>34</v>
      </c>
      <c r="E2178" s="1" t="s">
        <v>32</v>
      </c>
      <c r="F2178" s="1" t="n">
        <v>7</v>
      </c>
      <c r="G2178" s="15" t="n">
        <v>249.09</v>
      </c>
      <c r="H2178" s="16" t="n">
        <v>0.14</v>
      </c>
      <c r="I2178" s="1" t="s">
        <v>31</v>
      </c>
      <c r="J2178" s="1" t="n">
        <v>3</v>
      </c>
      <c r="K2178" s="1" t="n">
        <v>3.9</v>
      </c>
      <c r="L2178" s="15" t="n">
        <v>1499.52</v>
      </c>
      <c r="M2178" s="15" t="n">
        <f aca="false">F2178*G2178</f>
        <v>1743.63</v>
      </c>
      <c r="N2178" s="15" t="n">
        <f aca="false">M2178-L2178</f>
        <v>244.11</v>
      </c>
      <c r="O2178" s="1" t="n">
        <f aca="false">YEAR(B2178)</f>
        <v>2027</v>
      </c>
      <c r="P2178" s="1" t="n">
        <f aca="false">MONTH(B2178)</f>
        <v>12</v>
      </c>
      <c r="Q2178" s="1" t="str">
        <f aca="false">TEXT(B2178,"mmm")</f>
        <v>Dec</v>
      </c>
      <c r="R2178" s="1" t="str">
        <f aca="false">"Q"&amp;ROUNDUP(MONTH(B2178)/3,0)</f>
        <v>Q4</v>
      </c>
    </row>
    <row r="2179" customFormat="false" ht="15" hidden="false" customHeight="true" outlineLevel="0" collapsed="false">
      <c r="A2179" s="1" t="n">
        <v>12178</v>
      </c>
      <c r="B2179" s="14" t="n">
        <v>46739</v>
      </c>
      <c r="C2179" s="1" t="n">
        <v>1322</v>
      </c>
      <c r="D2179" s="1" t="s">
        <v>34</v>
      </c>
      <c r="E2179" s="1" t="s">
        <v>28</v>
      </c>
      <c r="F2179" s="1" t="n">
        <v>7</v>
      </c>
      <c r="G2179" s="15" t="n">
        <v>361.82</v>
      </c>
      <c r="H2179" s="16" t="n">
        <v>0.22</v>
      </c>
      <c r="I2179" s="1" t="s">
        <v>33</v>
      </c>
      <c r="J2179" s="1" t="n">
        <v>11</v>
      </c>
      <c r="K2179" s="1" t="n">
        <v>2.2</v>
      </c>
      <c r="L2179" s="15" t="n">
        <v>1975.54</v>
      </c>
      <c r="M2179" s="15" t="n">
        <f aca="false">F2179*G2179</f>
        <v>2532.74</v>
      </c>
      <c r="N2179" s="15" t="n">
        <f aca="false">M2179-L2179</f>
        <v>557.2</v>
      </c>
      <c r="O2179" s="1" t="n">
        <f aca="false">YEAR(B2179)</f>
        <v>2027</v>
      </c>
      <c r="P2179" s="1" t="n">
        <f aca="false">MONTH(B2179)</f>
        <v>12</v>
      </c>
      <c r="Q2179" s="1" t="str">
        <f aca="false">TEXT(B2179,"mmm")</f>
        <v>Dec</v>
      </c>
      <c r="R2179" s="1" t="str">
        <f aca="false">"Q"&amp;ROUNDUP(MONTH(B2179)/3,0)</f>
        <v>Q4</v>
      </c>
    </row>
    <row r="2180" customFormat="false" ht="15" hidden="false" customHeight="true" outlineLevel="0" collapsed="false">
      <c r="A2180" s="1" t="n">
        <v>12179</v>
      </c>
      <c r="B2180" s="14" t="n">
        <v>46740</v>
      </c>
      <c r="C2180" s="1" t="n">
        <v>1634</v>
      </c>
      <c r="D2180" s="1" t="s">
        <v>34</v>
      </c>
      <c r="E2180" s="1" t="s">
        <v>35</v>
      </c>
      <c r="F2180" s="1" t="n">
        <v>5</v>
      </c>
      <c r="G2180" s="15" t="n">
        <v>302.39</v>
      </c>
      <c r="H2180" s="16" t="n">
        <v>0.2</v>
      </c>
      <c r="I2180" s="1" t="s">
        <v>31</v>
      </c>
      <c r="J2180" s="1" t="n">
        <v>5</v>
      </c>
      <c r="K2180" s="1" t="n">
        <v>2.8</v>
      </c>
      <c r="L2180" s="15" t="n">
        <v>1209.56</v>
      </c>
      <c r="M2180" s="15" t="n">
        <f aca="false">F2180*G2180</f>
        <v>1511.95</v>
      </c>
      <c r="N2180" s="15" t="n">
        <f aca="false">M2180-L2180</f>
        <v>302.39</v>
      </c>
      <c r="O2180" s="1" t="n">
        <f aca="false">YEAR(B2180)</f>
        <v>2027</v>
      </c>
      <c r="P2180" s="1" t="n">
        <f aca="false">MONTH(B2180)</f>
        <v>12</v>
      </c>
      <c r="Q2180" s="1" t="str">
        <f aca="false">TEXT(B2180,"mmm")</f>
        <v>Dec</v>
      </c>
      <c r="R2180" s="1" t="str">
        <f aca="false">"Q"&amp;ROUNDUP(MONTH(B2180)/3,0)</f>
        <v>Q4</v>
      </c>
    </row>
    <row r="2181" customFormat="false" ht="15" hidden="false" customHeight="true" outlineLevel="0" collapsed="false">
      <c r="A2181" s="1" t="n">
        <v>12180</v>
      </c>
      <c r="B2181" s="14" t="n">
        <v>46741</v>
      </c>
      <c r="C2181" s="1" t="n">
        <v>1987</v>
      </c>
      <c r="D2181" s="1" t="s">
        <v>30</v>
      </c>
      <c r="E2181" s="1" t="s">
        <v>28</v>
      </c>
      <c r="F2181" s="1" t="n">
        <v>3</v>
      </c>
      <c r="G2181" s="15" t="n">
        <v>192.54</v>
      </c>
      <c r="H2181" s="16" t="n">
        <v>0.15</v>
      </c>
      <c r="I2181" s="1" t="s">
        <v>33</v>
      </c>
      <c r="J2181" s="1" t="n">
        <v>1</v>
      </c>
      <c r="K2181" s="1" t="n">
        <v>3.7</v>
      </c>
      <c r="L2181" s="15" t="n">
        <v>490.98</v>
      </c>
      <c r="M2181" s="15" t="n">
        <f aca="false">F2181*G2181</f>
        <v>577.62</v>
      </c>
      <c r="N2181" s="15" t="n">
        <f aca="false">M2181-L2181</f>
        <v>86.64</v>
      </c>
      <c r="O2181" s="1" t="n">
        <f aca="false">YEAR(B2181)</f>
        <v>2027</v>
      </c>
      <c r="P2181" s="1" t="n">
        <f aca="false">MONTH(B2181)</f>
        <v>12</v>
      </c>
      <c r="Q2181" s="1" t="str">
        <f aca="false">TEXT(B2181,"mmm")</f>
        <v>Dec</v>
      </c>
      <c r="R2181" s="1" t="str">
        <f aca="false">"Q"&amp;ROUNDUP(MONTH(B2181)/3,0)</f>
        <v>Q4</v>
      </c>
    </row>
    <row r="2182" customFormat="false" ht="15" hidden="false" customHeight="true" outlineLevel="0" collapsed="false">
      <c r="A2182" s="1" t="n">
        <v>12181</v>
      </c>
      <c r="B2182" s="14" t="n">
        <v>46742</v>
      </c>
      <c r="C2182" s="1" t="n">
        <v>1540</v>
      </c>
      <c r="D2182" s="1" t="s">
        <v>37</v>
      </c>
      <c r="E2182" s="1" t="s">
        <v>36</v>
      </c>
      <c r="F2182" s="1" t="n">
        <v>1</v>
      </c>
      <c r="G2182" s="15" t="n">
        <v>342.05</v>
      </c>
      <c r="H2182" s="16" t="n">
        <v>0.21</v>
      </c>
      <c r="I2182" s="1" t="s">
        <v>29</v>
      </c>
      <c r="J2182" s="1" t="n">
        <v>11</v>
      </c>
      <c r="K2182" s="1" t="n">
        <v>4.9</v>
      </c>
      <c r="L2182" s="15" t="n">
        <v>270.22</v>
      </c>
      <c r="M2182" s="15" t="n">
        <f aca="false">F2182*G2182</f>
        <v>342.05</v>
      </c>
      <c r="N2182" s="15" t="n">
        <f aca="false">M2182-L2182</f>
        <v>71.83</v>
      </c>
      <c r="O2182" s="1" t="n">
        <f aca="false">YEAR(B2182)</f>
        <v>2027</v>
      </c>
      <c r="P2182" s="1" t="n">
        <f aca="false">MONTH(B2182)</f>
        <v>12</v>
      </c>
      <c r="Q2182" s="1" t="str">
        <f aca="false">TEXT(B2182,"mmm")</f>
        <v>Dec</v>
      </c>
      <c r="R2182" s="1" t="str">
        <f aca="false">"Q"&amp;ROUNDUP(MONTH(B2182)/3,0)</f>
        <v>Q4</v>
      </c>
    </row>
    <row r="2183" customFormat="false" ht="15" hidden="false" customHeight="true" outlineLevel="0" collapsed="false">
      <c r="A2183" s="1" t="n">
        <v>12182</v>
      </c>
      <c r="B2183" s="14" t="n">
        <v>46743</v>
      </c>
      <c r="C2183" s="1" t="n">
        <v>1648</v>
      </c>
      <c r="D2183" s="1" t="s">
        <v>34</v>
      </c>
      <c r="E2183" s="1" t="s">
        <v>28</v>
      </c>
      <c r="F2183" s="1" t="n">
        <v>2</v>
      </c>
      <c r="G2183" s="15" t="n">
        <v>406.66</v>
      </c>
      <c r="H2183" s="16" t="n">
        <v>0.33</v>
      </c>
      <c r="I2183" s="1" t="s">
        <v>33</v>
      </c>
      <c r="J2183" s="1" t="n">
        <v>3</v>
      </c>
      <c r="K2183" s="1" t="n">
        <v>2.4</v>
      </c>
      <c r="L2183" s="15" t="n">
        <v>544.92</v>
      </c>
      <c r="M2183" s="15" t="n">
        <f aca="false">F2183*G2183</f>
        <v>813.32</v>
      </c>
      <c r="N2183" s="15" t="n">
        <f aca="false">M2183-L2183</f>
        <v>268.4</v>
      </c>
      <c r="O2183" s="1" t="n">
        <f aca="false">YEAR(B2183)</f>
        <v>2027</v>
      </c>
      <c r="P2183" s="1" t="n">
        <f aca="false">MONTH(B2183)</f>
        <v>12</v>
      </c>
      <c r="Q2183" s="1" t="str">
        <f aca="false">TEXT(B2183,"mmm")</f>
        <v>Dec</v>
      </c>
      <c r="R2183" s="1" t="str">
        <f aca="false">"Q"&amp;ROUNDUP(MONTH(B2183)/3,0)</f>
        <v>Q4</v>
      </c>
    </row>
    <row r="2184" customFormat="false" ht="15" hidden="false" customHeight="true" outlineLevel="0" collapsed="false">
      <c r="A2184" s="1" t="n">
        <v>12183</v>
      </c>
      <c r="B2184" s="14" t="n">
        <v>46744</v>
      </c>
      <c r="C2184" s="1" t="n">
        <v>1194</v>
      </c>
      <c r="D2184" s="1" t="s">
        <v>30</v>
      </c>
      <c r="E2184" s="1" t="s">
        <v>32</v>
      </c>
      <c r="F2184" s="1" t="n">
        <v>1</v>
      </c>
      <c r="G2184" s="15" t="n">
        <v>30.62</v>
      </c>
      <c r="H2184" s="16" t="n">
        <v>0.07</v>
      </c>
      <c r="I2184" s="1" t="s">
        <v>29</v>
      </c>
      <c r="J2184" s="1" t="n">
        <v>5</v>
      </c>
      <c r="K2184" s="1" t="n">
        <v>2.2</v>
      </c>
      <c r="L2184" s="15" t="n">
        <v>28.48</v>
      </c>
      <c r="M2184" s="15" t="n">
        <f aca="false">F2184*G2184</f>
        <v>30.62</v>
      </c>
      <c r="N2184" s="15" t="n">
        <f aca="false">M2184-L2184</f>
        <v>2.14</v>
      </c>
      <c r="O2184" s="1" t="n">
        <f aca="false">YEAR(B2184)</f>
        <v>2027</v>
      </c>
      <c r="P2184" s="1" t="n">
        <f aca="false">MONTH(B2184)</f>
        <v>12</v>
      </c>
      <c r="Q2184" s="1" t="str">
        <f aca="false">TEXT(B2184,"mmm")</f>
        <v>Dec</v>
      </c>
      <c r="R2184" s="1" t="str">
        <f aca="false">"Q"&amp;ROUNDUP(MONTH(B2184)/3,0)</f>
        <v>Q4</v>
      </c>
    </row>
    <row r="2185" customFormat="false" ht="15" hidden="false" customHeight="true" outlineLevel="0" collapsed="false">
      <c r="A2185" s="1" t="n">
        <v>12184</v>
      </c>
      <c r="B2185" s="14" t="n">
        <v>46745</v>
      </c>
      <c r="C2185" s="1" t="n">
        <v>1920</v>
      </c>
      <c r="D2185" s="1" t="s">
        <v>37</v>
      </c>
      <c r="E2185" s="1" t="s">
        <v>32</v>
      </c>
      <c r="F2185" s="1" t="n">
        <v>2</v>
      </c>
      <c r="G2185" s="15" t="n">
        <v>287.53</v>
      </c>
      <c r="H2185" s="16" t="n">
        <v>0.32</v>
      </c>
      <c r="I2185" s="1" t="s">
        <v>31</v>
      </c>
      <c r="J2185" s="1" t="n">
        <v>6</v>
      </c>
      <c r="K2185" s="1" t="n">
        <v>2.8</v>
      </c>
      <c r="L2185" s="15" t="n">
        <v>391.04</v>
      </c>
      <c r="M2185" s="15" t="n">
        <f aca="false">F2185*G2185</f>
        <v>575.06</v>
      </c>
      <c r="N2185" s="15" t="n">
        <f aca="false">M2185-L2185</f>
        <v>184.02</v>
      </c>
      <c r="O2185" s="1" t="n">
        <f aca="false">YEAR(B2185)</f>
        <v>2027</v>
      </c>
      <c r="P2185" s="1" t="n">
        <f aca="false">MONTH(B2185)</f>
        <v>12</v>
      </c>
      <c r="Q2185" s="1" t="str">
        <f aca="false">TEXT(B2185,"mmm")</f>
        <v>Dec</v>
      </c>
      <c r="R2185" s="1" t="str">
        <f aca="false">"Q"&amp;ROUNDUP(MONTH(B2185)/3,0)</f>
        <v>Q4</v>
      </c>
    </row>
    <row r="2186" customFormat="false" ht="15" hidden="false" customHeight="true" outlineLevel="0" collapsed="false">
      <c r="A2186" s="1" t="n">
        <v>12185</v>
      </c>
      <c r="B2186" s="14" t="n">
        <v>46746</v>
      </c>
      <c r="C2186" s="1" t="n">
        <v>1737</v>
      </c>
      <c r="D2186" s="1" t="s">
        <v>30</v>
      </c>
      <c r="E2186" s="1" t="s">
        <v>28</v>
      </c>
      <c r="F2186" s="1" t="n">
        <v>7</v>
      </c>
      <c r="G2186" s="15" t="n">
        <v>48.74</v>
      </c>
      <c r="H2186" s="16" t="n">
        <v>0.02</v>
      </c>
      <c r="I2186" s="1" t="s">
        <v>29</v>
      </c>
      <c r="J2186" s="1" t="n">
        <v>8</v>
      </c>
      <c r="K2186" s="1" t="n">
        <v>3.9</v>
      </c>
      <c r="L2186" s="15" t="n">
        <v>334.36</v>
      </c>
      <c r="M2186" s="15" t="n">
        <f aca="false">F2186*G2186</f>
        <v>341.18</v>
      </c>
      <c r="N2186" s="15" t="n">
        <f aca="false">M2186-L2186</f>
        <v>6.81999999999999</v>
      </c>
      <c r="O2186" s="1" t="n">
        <f aca="false">YEAR(B2186)</f>
        <v>2027</v>
      </c>
      <c r="P2186" s="1" t="n">
        <f aca="false">MONTH(B2186)</f>
        <v>12</v>
      </c>
      <c r="Q2186" s="1" t="str">
        <f aca="false">TEXT(B2186,"mmm")</f>
        <v>Dec</v>
      </c>
      <c r="R2186" s="1" t="str">
        <f aca="false">"Q"&amp;ROUNDUP(MONTH(B2186)/3,0)</f>
        <v>Q4</v>
      </c>
    </row>
    <row r="2187" customFormat="false" ht="15" hidden="false" customHeight="true" outlineLevel="0" collapsed="false">
      <c r="A2187" s="1" t="n">
        <v>12186</v>
      </c>
      <c r="B2187" s="14" t="n">
        <v>46747</v>
      </c>
      <c r="C2187" s="1" t="n">
        <v>1331</v>
      </c>
      <c r="D2187" s="1" t="s">
        <v>27</v>
      </c>
      <c r="E2187" s="1" t="s">
        <v>32</v>
      </c>
      <c r="F2187" s="1" t="n">
        <v>5</v>
      </c>
      <c r="G2187" s="15" t="n">
        <v>124.05</v>
      </c>
      <c r="H2187" s="16" t="n">
        <v>0.11</v>
      </c>
      <c r="I2187" s="1" t="s">
        <v>33</v>
      </c>
      <c r="J2187" s="1" t="n">
        <v>1</v>
      </c>
      <c r="K2187" s="1" t="n">
        <v>4.8</v>
      </c>
      <c r="L2187" s="15" t="n">
        <v>552.02</v>
      </c>
      <c r="M2187" s="15" t="n">
        <f aca="false">F2187*G2187</f>
        <v>620.25</v>
      </c>
      <c r="N2187" s="15" t="n">
        <f aca="false">M2187-L2187</f>
        <v>68.23</v>
      </c>
      <c r="O2187" s="1" t="n">
        <f aca="false">YEAR(B2187)</f>
        <v>2027</v>
      </c>
      <c r="P2187" s="1" t="n">
        <f aca="false">MONTH(B2187)</f>
        <v>12</v>
      </c>
      <c r="Q2187" s="1" t="str">
        <f aca="false">TEXT(B2187,"mmm")</f>
        <v>Dec</v>
      </c>
      <c r="R2187" s="1" t="str">
        <f aca="false">"Q"&amp;ROUNDUP(MONTH(B2187)/3,0)</f>
        <v>Q4</v>
      </c>
    </row>
    <row r="2188" customFormat="false" ht="15" hidden="false" customHeight="true" outlineLevel="0" collapsed="false">
      <c r="A2188" s="1" t="n">
        <v>12187</v>
      </c>
      <c r="B2188" s="14" t="n">
        <v>46748</v>
      </c>
      <c r="C2188" s="1" t="n">
        <v>1169</v>
      </c>
      <c r="D2188" s="1" t="s">
        <v>27</v>
      </c>
      <c r="E2188" s="1" t="s">
        <v>32</v>
      </c>
      <c r="F2188" s="1" t="n">
        <v>5</v>
      </c>
      <c r="G2188" s="15" t="n">
        <v>342.9</v>
      </c>
      <c r="H2188" s="16" t="n">
        <v>0.1</v>
      </c>
      <c r="I2188" s="1" t="s">
        <v>31</v>
      </c>
      <c r="J2188" s="1" t="n">
        <v>3</v>
      </c>
      <c r="K2188" s="1" t="n">
        <v>3.1</v>
      </c>
      <c r="L2188" s="15" t="n">
        <v>1543.05</v>
      </c>
      <c r="M2188" s="15" t="n">
        <f aca="false">F2188*G2188</f>
        <v>1714.5</v>
      </c>
      <c r="N2188" s="15" t="n">
        <f aca="false">M2188-L2188</f>
        <v>171.45</v>
      </c>
      <c r="O2188" s="1" t="n">
        <f aca="false">YEAR(B2188)</f>
        <v>2027</v>
      </c>
      <c r="P2188" s="1" t="n">
        <f aca="false">MONTH(B2188)</f>
        <v>12</v>
      </c>
      <c r="Q2188" s="1" t="str">
        <f aca="false">TEXT(B2188,"mmm")</f>
        <v>Dec</v>
      </c>
      <c r="R2188" s="1" t="str">
        <f aca="false">"Q"&amp;ROUNDUP(MONTH(B2188)/3,0)</f>
        <v>Q4</v>
      </c>
    </row>
    <row r="2189" customFormat="false" ht="15" hidden="false" customHeight="true" outlineLevel="0" collapsed="false">
      <c r="A2189" s="1" t="n">
        <v>12188</v>
      </c>
      <c r="B2189" s="14" t="n">
        <v>46749</v>
      </c>
      <c r="C2189" s="1" t="n">
        <v>1520</v>
      </c>
      <c r="D2189" s="1" t="s">
        <v>34</v>
      </c>
      <c r="E2189" s="1" t="s">
        <v>36</v>
      </c>
      <c r="F2189" s="1" t="n">
        <v>1</v>
      </c>
      <c r="G2189" s="15" t="n">
        <v>521.72</v>
      </c>
      <c r="H2189" s="16" t="n">
        <v>0.22</v>
      </c>
      <c r="I2189" s="1" t="s">
        <v>33</v>
      </c>
      <c r="J2189" s="1" t="n">
        <v>1</v>
      </c>
      <c r="K2189" s="1" t="n">
        <v>4.2</v>
      </c>
      <c r="L2189" s="15" t="n">
        <v>406.94</v>
      </c>
      <c r="M2189" s="15" t="n">
        <f aca="false">F2189*G2189</f>
        <v>521.72</v>
      </c>
      <c r="N2189" s="15" t="n">
        <f aca="false">M2189-L2189</f>
        <v>114.78</v>
      </c>
      <c r="O2189" s="1" t="n">
        <f aca="false">YEAR(B2189)</f>
        <v>2027</v>
      </c>
      <c r="P2189" s="1" t="n">
        <f aca="false">MONTH(B2189)</f>
        <v>12</v>
      </c>
      <c r="Q2189" s="1" t="str">
        <f aca="false">TEXT(B2189,"mmm")</f>
        <v>Dec</v>
      </c>
      <c r="R2189" s="1" t="str">
        <f aca="false">"Q"&amp;ROUNDUP(MONTH(B2189)/3,0)</f>
        <v>Q4</v>
      </c>
    </row>
    <row r="2190" customFormat="false" ht="15" hidden="false" customHeight="true" outlineLevel="0" collapsed="false">
      <c r="A2190" s="1" t="n">
        <v>12189</v>
      </c>
      <c r="B2190" s="14" t="n">
        <v>46750</v>
      </c>
      <c r="C2190" s="1" t="n">
        <v>1462</v>
      </c>
      <c r="D2190" s="1" t="s">
        <v>37</v>
      </c>
      <c r="E2190" s="1" t="s">
        <v>35</v>
      </c>
      <c r="F2190" s="1" t="n">
        <v>1</v>
      </c>
      <c r="G2190" s="15" t="n">
        <v>531.44</v>
      </c>
      <c r="H2190" s="16" t="n">
        <v>0.05</v>
      </c>
      <c r="I2190" s="1" t="s">
        <v>29</v>
      </c>
      <c r="J2190" s="1" t="n">
        <v>5</v>
      </c>
      <c r="K2190" s="1" t="n">
        <v>2.9</v>
      </c>
      <c r="L2190" s="15" t="n">
        <v>504.87</v>
      </c>
      <c r="M2190" s="15" t="n">
        <f aca="false">F2190*G2190</f>
        <v>531.44</v>
      </c>
      <c r="N2190" s="15" t="n">
        <f aca="false">M2190-L2190</f>
        <v>26.5700000000001</v>
      </c>
      <c r="O2190" s="1" t="n">
        <f aca="false">YEAR(B2190)</f>
        <v>2027</v>
      </c>
      <c r="P2190" s="1" t="n">
        <f aca="false">MONTH(B2190)</f>
        <v>12</v>
      </c>
      <c r="Q2190" s="1" t="str">
        <f aca="false">TEXT(B2190,"mmm")</f>
        <v>Dec</v>
      </c>
      <c r="R2190" s="1" t="str">
        <f aca="false">"Q"&amp;ROUNDUP(MONTH(B2190)/3,0)</f>
        <v>Q4</v>
      </c>
    </row>
    <row r="2191" customFormat="false" ht="15" hidden="false" customHeight="true" outlineLevel="0" collapsed="false">
      <c r="A2191" s="1" t="n">
        <v>12190</v>
      </c>
      <c r="B2191" s="14" t="n">
        <v>46751</v>
      </c>
      <c r="C2191" s="1" t="n">
        <v>1039</v>
      </c>
      <c r="D2191" s="1" t="s">
        <v>30</v>
      </c>
      <c r="E2191" s="1" t="s">
        <v>32</v>
      </c>
      <c r="F2191" s="1" t="n">
        <v>2</v>
      </c>
      <c r="G2191" s="15" t="n">
        <v>55.92</v>
      </c>
      <c r="H2191" s="16" t="n">
        <v>0.31</v>
      </c>
      <c r="I2191" s="1" t="s">
        <v>31</v>
      </c>
      <c r="J2191" s="1" t="n">
        <v>8</v>
      </c>
      <c r="K2191" s="1" t="n">
        <v>1.2</v>
      </c>
      <c r="L2191" s="15" t="n">
        <v>77.17</v>
      </c>
      <c r="M2191" s="15" t="n">
        <f aca="false">F2191*G2191</f>
        <v>111.84</v>
      </c>
      <c r="N2191" s="15" t="n">
        <f aca="false">M2191-L2191</f>
        <v>34.67</v>
      </c>
      <c r="O2191" s="1" t="n">
        <f aca="false">YEAR(B2191)</f>
        <v>2027</v>
      </c>
      <c r="P2191" s="1" t="n">
        <f aca="false">MONTH(B2191)</f>
        <v>12</v>
      </c>
      <c r="Q2191" s="1" t="str">
        <f aca="false">TEXT(B2191,"mmm")</f>
        <v>Dec</v>
      </c>
      <c r="R2191" s="1" t="str">
        <f aca="false">"Q"&amp;ROUNDUP(MONTH(B2191)/3,0)</f>
        <v>Q4</v>
      </c>
    </row>
    <row r="2192" customFormat="false" ht="15" hidden="false" customHeight="true" outlineLevel="0" collapsed="false">
      <c r="A2192" s="1" t="n">
        <v>12191</v>
      </c>
      <c r="B2192" s="14" t="n">
        <v>46752</v>
      </c>
      <c r="C2192" s="1" t="n">
        <v>1536</v>
      </c>
      <c r="D2192" s="1" t="s">
        <v>27</v>
      </c>
      <c r="E2192" s="1" t="s">
        <v>35</v>
      </c>
      <c r="F2192" s="1" t="n">
        <v>2</v>
      </c>
      <c r="G2192" s="15" t="n">
        <v>260.18</v>
      </c>
      <c r="H2192" s="16" t="n">
        <v>0.29</v>
      </c>
      <c r="I2192" s="1" t="s">
        <v>33</v>
      </c>
      <c r="J2192" s="1" t="n">
        <v>4</v>
      </c>
      <c r="K2192" s="1" t="n">
        <v>4.6</v>
      </c>
      <c r="L2192" s="15" t="n">
        <v>369.46</v>
      </c>
      <c r="M2192" s="15" t="n">
        <f aca="false">F2192*G2192</f>
        <v>520.36</v>
      </c>
      <c r="N2192" s="15" t="n">
        <f aca="false">M2192-L2192</f>
        <v>150.9</v>
      </c>
      <c r="O2192" s="1" t="n">
        <f aca="false">YEAR(B2192)</f>
        <v>2027</v>
      </c>
      <c r="P2192" s="1" t="n">
        <f aca="false">MONTH(B2192)</f>
        <v>12</v>
      </c>
      <c r="Q2192" s="1" t="str">
        <f aca="false">TEXT(B2192,"mmm")</f>
        <v>Dec</v>
      </c>
      <c r="R2192" s="1" t="str">
        <f aca="false">"Q"&amp;ROUNDUP(MONTH(B2192)/3,0)</f>
        <v>Q4</v>
      </c>
    </row>
    <row r="2193" customFormat="false" ht="15" hidden="false" customHeight="true" outlineLevel="0" collapsed="false">
      <c r="A2193" s="1" t="n">
        <v>12192</v>
      </c>
      <c r="B2193" s="14" t="n">
        <v>46753</v>
      </c>
      <c r="C2193" s="1" t="n">
        <v>1260</v>
      </c>
      <c r="D2193" s="1" t="s">
        <v>30</v>
      </c>
      <c r="E2193" s="1" t="s">
        <v>28</v>
      </c>
      <c r="F2193" s="1" t="n">
        <v>3</v>
      </c>
      <c r="G2193" s="15" t="n">
        <v>356.06</v>
      </c>
      <c r="H2193" s="16" t="n">
        <v>0.23</v>
      </c>
      <c r="I2193" s="1" t="s">
        <v>29</v>
      </c>
      <c r="J2193" s="1" t="n">
        <v>11</v>
      </c>
      <c r="K2193" s="1" t="n">
        <v>2.2</v>
      </c>
      <c r="L2193" s="15" t="n">
        <v>822.5</v>
      </c>
      <c r="M2193" s="15" t="n">
        <f aca="false">F2193*G2193</f>
        <v>1068.18</v>
      </c>
      <c r="N2193" s="15" t="n">
        <f aca="false">M2193-L2193</f>
        <v>245.68</v>
      </c>
      <c r="O2193" s="1" t="n">
        <f aca="false">YEAR(B2193)</f>
        <v>2028</v>
      </c>
      <c r="P2193" s="1" t="n">
        <f aca="false">MONTH(B2193)</f>
        <v>1</v>
      </c>
      <c r="Q2193" s="1" t="str">
        <f aca="false">TEXT(B2193,"mmm")</f>
        <v>Jan</v>
      </c>
      <c r="R2193" s="1" t="str">
        <f aca="false">"Q"&amp;ROUNDUP(MONTH(B2193)/3,0)</f>
        <v>Q1</v>
      </c>
    </row>
    <row r="2194" customFormat="false" ht="15" hidden="false" customHeight="true" outlineLevel="0" collapsed="false">
      <c r="A2194" s="1" t="n">
        <v>12193</v>
      </c>
      <c r="B2194" s="14" t="n">
        <v>46754</v>
      </c>
      <c r="C2194" s="1" t="n">
        <v>1394</v>
      </c>
      <c r="D2194" s="1" t="s">
        <v>27</v>
      </c>
      <c r="E2194" s="1" t="s">
        <v>28</v>
      </c>
      <c r="F2194" s="1" t="n">
        <v>7</v>
      </c>
      <c r="G2194" s="15" t="n">
        <v>101.04</v>
      </c>
      <c r="H2194" s="16" t="n">
        <v>0.16</v>
      </c>
      <c r="I2194" s="1" t="s">
        <v>31</v>
      </c>
      <c r="J2194" s="1" t="n">
        <v>9</v>
      </c>
      <c r="K2194" s="1" t="n">
        <v>1.6</v>
      </c>
      <c r="L2194" s="15" t="n">
        <v>594.12</v>
      </c>
      <c r="M2194" s="15" t="n">
        <f aca="false">F2194*G2194</f>
        <v>707.28</v>
      </c>
      <c r="N2194" s="15" t="n">
        <f aca="false">M2194-L2194</f>
        <v>113.16</v>
      </c>
      <c r="O2194" s="1" t="n">
        <f aca="false">YEAR(B2194)</f>
        <v>2028</v>
      </c>
      <c r="P2194" s="1" t="n">
        <f aca="false">MONTH(B2194)</f>
        <v>1</v>
      </c>
      <c r="Q2194" s="1" t="str">
        <f aca="false">TEXT(B2194,"mmm")</f>
        <v>Jan</v>
      </c>
      <c r="R2194" s="1" t="str">
        <f aca="false">"Q"&amp;ROUNDUP(MONTH(B2194)/3,0)</f>
        <v>Q1</v>
      </c>
    </row>
    <row r="2195" customFormat="false" ht="15" hidden="false" customHeight="true" outlineLevel="0" collapsed="false">
      <c r="A2195" s="1" t="n">
        <v>12194</v>
      </c>
      <c r="B2195" s="14" t="n">
        <v>46755</v>
      </c>
      <c r="C2195" s="1" t="n">
        <v>1954</v>
      </c>
      <c r="D2195" s="1" t="s">
        <v>37</v>
      </c>
      <c r="E2195" s="1" t="s">
        <v>32</v>
      </c>
      <c r="F2195" s="1" t="n">
        <v>3</v>
      </c>
      <c r="G2195" s="15" t="n">
        <v>462.78</v>
      </c>
      <c r="H2195" s="16" t="n">
        <v>0.33</v>
      </c>
      <c r="I2195" s="1" t="s">
        <v>33</v>
      </c>
      <c r="J2195" s="1" t="n">
        <v>6</v>
      </c>
      <c r="K2195" s="1" t="n">
        <v>5</v>
      </c>
      <c r="L2195" s="15" t="n">
        <v>930.19</v>
      </c>
      <c r="M2195" s="15" t="n">
        <f aca="false">F2195*G2195</f>
        <v>1388.34</v>
      </c>
      <c r="N2195" s="15" t="n">
        <f aca="false">M2195-L2195</f>
        <v>458.15</v>
      </c>
      <c r="O2195" s="1" t="n">
        <f aca="false">YEAR(B2195)</f>
        <v>2028</v>
      </c>
      <c r="P2195" s="1" t="n">
        <f aca="false">MONTH(B2195)</f>
        <v>1</v>
      </c>
      <c r="Q2195" s="1" t="str">
        <f aca="false">TEXT(B2195,"mmm")</f>
        <v>Jan</v>
      </c>
      <c r="R2195" s="1" t="str">
        <f aca="false">"Q"&amp;ROUNDUP(MONTH(B2195)/3,0)</f>
        <v>Q1</v>
      </c>
    </row>
    <row r="2196" customFormat="false" ht="15" hidden="false" customHeight="true" outlineLevel="0" collapsed="false">
      <c r="A2196" s="1" t="n">
        <v>12195</v>
      </c>
      <c r="B2196" s="14" t="n">
        <v>46756</v>
      </c>
      <c r="C2196" s="1" t="n">
        <v>1225</v>
      </c>
      <c r="D2196" s="1" t="s">
        <v>34</v>
      </c>
      <c r="E2196" s="1" t="s">
        <v>28</v>
      </c>
      <c r="F2196" s="1" t="n">
        <v>3</v>
      </c>
      <c r="G2196" s="15" t="n">
        <v>450.38</v>
      </c>
      <c r="H2196" s="16" t="n">
        <v>0.29</v>
      </c>
      <c r="I2196" s="1" t="s">
        <v>33</v>
      </c>
      <c r="J2196" s="1" t="n">
        <v>6</v>
      </c>
      <c r="K2196" s="1" t="n">
        <v>2.4</v>
      </c>
      <c r="L2196" s="15" t="n">
        <v>959.31</v>
      </c>
      <c r="M2196" s="15" t="n">
        <f aca="false">F2196*G2196</f>
        <v>1351.14</v>
      </c>
      <c r="N2196" s="15" t="n">
        <f aca="false">M2196-L2196</f>
        <v>391.83</v>
      </c>
      <c r="O2196" s="1" t="n">
        <f aca="false">YEAR(B2196)</f>
        <v>2028</v>
      </c>
      <c r="P2196" s="1" t="n">
        <f aca="false">MONTH(B2196)</f>
        <v>1</v>
      </c>
      <c r="Q2196" s="1" t="str">
        <f aca="false">TEXT(B2196,"mmm")</f>
        <v>Jan</v>
      </c>
      <c r="R2196" s="1" t="str">
        <f aca="false">"Q"&amp;ROUNDUP(MONTH(B2196)/3,0)</f>
        <v>Q1</v>
      </c>
    </row>
    <row r="2197" customFormat="false" ht="15" hidden="false" customHeight="true" outlineLevel="0" collapsed="false">
      <c r="A2197" s="1" t="n">
        <v>12196</v>
      </c>
      <c r="B2197" s="14" t="n">
        <v>46757</v>
      </c>
      <c r="C2197" s="1" t="n">
        <v>1983</v>
      </c>
      <c r="D2197" s="1" t="s">
        <v>30</v>
      </c>
      <c r="E2197" s="1" t="s">
        <v>36</v>
      </c>
      <c r="F2197" s="1" t="n">
        <v>1</v>
      </c>
      <c r="G2197" s="15" t="n">
        <v>543.45</v>
      </c>
      <c r="H2197" s="16" t="n">
        <v>0.17</v>
      </c>
      <c r="I2197" s="1" t="s">
        <v>31</v>
      </c>
      <c r="J2197" s="1" t="n">
        <v>11</v>
      </c>
      <c r="K2197" s="1" t="n">
        <v>1.5</v>
      </c>
      <c r="L2197" s="15" t="n">
        <v>451.06</v>
      </c>
      <c r="M2197" s="15" t="n">
        <f aca="false">F2197*G2197</f>
        <v>543.45</v>
      </c>
      <c r="N2197" s="15" t="n">
        <f aca="false">M2197-L2197</f>
        <v>92.39</v>
      </c>
      <c r="O2197" s="1" t="n">
        <f aca="false">YEAR(B2197)</f>
        <v>2028</v>
      </c>
      <c r="P2197" s="1" t="n">
        <f aca="false">MONTH(B2197)</f>
        <v>1</v>
      </c>
      <c r="Q2197" s="1" t="str">
        <f aca="false">TEXT(B2197,"mmm")</f>
        <v>Jan</v>
      </c>
      <c r="R2197" s="1" t="str">
        <f aca="false">"Q"&amp;ROUNDUP(MONTH(B2197)/3,0)</f>
        <v>Q1</v>
      </c>
    </row>
    <row r="2198" customFormat="false" ht="15" hidden="false" customHeight="true" outlineLevel="0" collapsed="false">
      <c r="A2198" s="1" t="n">
        <v>12197</v>
      </c>
      <c r="B2198" s="14" t="n">
        <v>46758</v>
      </c>
      <c r="C2198" s="1" t="n">
        <v>1123</v>
      </c>
      <c r="D2198" s="1" t="s">
        <v>27</v>
      </c>
      <c r="E2198" s="1" t="s">
        <v>32</v>
      </c>
      <c r="F2198" s="1" t="n">
        <v>6</v>
      </c>
      <c r="G2198" s="15" t="n">
        <v>19.96</v>
      </c>
      <c r="H2198" s="16" t="n">
        <v>0.25</v>
      </c>
      <c r="I2198" s="1" t="s">
        <v>33</v>
      </c>
      <c r="J2198" s="1" t="n">
        <v>5</v>
      </c>
      <c r="K2198" s="1" t="n">
        <v>2.2</v>
      </c>
      <c r="L2198" s="15" t="n">
        <v>89.82</v>
      </c>
      <c r="M2198" s="15" t="n">
        <f aca="false">F2198*G2198</f>
        <v>119.76</v>
      </c>
      <c r="N2198" s="15" t="n">
        <f aca="false">M2198-L2198</f>
        <v>29.94</v>
      </c>
      <c r="O2198" s="1" t="n">
        <f aca="false">YEAR(B2198)</f>
        <v>2028</v>
      </c>
      <c r="P2198" s="1" t="n">
        <f aca="false">MONTH(B2198)</f>
        <v>1</v>
      </c>
      <c r="Q2198" s="1" t="str">
        <f aca="false">TEXT(B2198,"mmm")</f>
        <v>Jan</v>
      </c>
      <c r="R2198" s="1" t="str">
        <f aca="false">"Q"&amp;ROUNDUP(MONTH(B2198)/3,0)</f>
        <v>Q1</v>
      </c>
    </row>
    <row r="2199" customFormat="false" ht="15" hidden="false" customHeight="true" outlineLevel="0" collapsed="false">
      <c r="A2199" s="1" t="n">
        <v>12198</v>
      </c>
      <c r="B2199" s="14" t="n">
        <v>46759</v>
      </c>
      <c r="C2199" s="1" t="n">
        <v>1974</v>
      </c>
      <c r="D2199" s="1" t="s">
        <v>27</v>
      </c>
      <c r="E2199" s="1" t="s">
        <v>32</v>
      </c>
      <c r="F2199" s="1" t="n">
        <v>6</v>
      </c>
      <c r="G2199" s="15" t="n">
        <v>141.76</v>
      </c>
      <c r="H2199" s="16" t="n">
        <v>0.2</v>
      </c>
      <c r="I2199" s="1" t="s">
        <v>31</v>
      </c>
      <c r="J2199" s="1" t="n">
        <v>10</v>
      </c>
      <c r="K2199" s="1" t="n">
        <v>3.1</v>
      </c>
      <c r="L2199" s="15" t="n">
        <v>680.45</v>
      </c>
      <c r="M2199" s="15" t="n">
        <f aca="false">F2199*G2199</f>
        <v>850.56</v>
      </c>
      <c r="N2199" s="15" t="n">
        <f aca="false">M2199-L2199</f>
        <v>170.11</v>
      </c>
      <c r="O2199" s="1" t="n">
        <f aca="false">YEAR(B2199)</f>
        <v>2028</v>
      </c>
      <c r="P2199" s="1" t="n">
        <f aca="false">MONTH(B2199)</f>
        <v>1</v>
      </c>
      <c r="Q2199" s="1" t="str">
        <f aca="false">TEXT(B2199,"mmm")</f>
        <v>Jan</v>
      </c>
      <c r="R2199" s="1" t="str">
        <f aca="false">"Q"&amp;ROUNDUP(MONTH(B2199)/3,0)</f>
        <v>Q1</v>
      </c>
    </row>
    <row r="2200" customFormat="false" ht="15" hidden="false" customHeight="true" outlineLevel="0" collapsed="false">
      <c r="A2200" s="1" t="n">
        <v>12199</v>
      </c>
      <c r="B2200" s="14" t="n">
        <v>46760</v>
      </c>
      <c r="C2200" s="1" t="n">
        <v>1037</v>
      </c>
      <c r="D2200" s="1" t="s">
        <v>34</v>
      </c>
      <c r="E2200" s="1" t="s">
        <v>32</v>
      </c>
      <c r="F2200" s="1" t="n">
        <v>6</v>
      </c>
      <c r="G2200" s="15" t="n">
        <v>498.9</v>
      </c>
      <c r="H2200" s="16" t="n">
        <v>0.21</v>
      </c>
      <c r="I2200" s="1" t="s">
        <v>33</v>
      </c>
      <c r="J2200" s="1" t="n">
        <v>5</v>
      </c>
      <c r="K2200" s="1" t="n">
        <v>1.4</v>
      </c>
      <c r="L2200" s="15" t="n">
        <v>2364.79</v>
      </c>
      <c r="M2200" s="15" t="n">
        <f aca="false">F2200*G2200</f>
        <v>2993.4</v>
      </c>
      <c r="N2200" s="15" t="n">
        <f aca="false">M2200-L2200</f>
        <v>628.61</v>
      </c>
      <c r="O2200" s="1" t="n">
        <f aca="false">YEAR(B2200)</f>
        <v>2028</v>
      </c>
      <c r="P2200" s="1" t="n">
        <f aca="false">MONTH(B2200)</f>
        <v>1</v>
      </c>
      <c r="Q2200" s="1" t="str">
        <f aca="false">TEXT(B2200,"mmm")</f>
        <v>Jan</v>
      </c>
      <c r="R2200" s="1" t="str">
        <f aca="false">"Q"&amp;ROUNDUP(MONTH(B2200)/3,0)</f>
        <v>Q1</v>
      </c>
    </row>
    <row r="2201" customFormat="false" ht="15" hidden="false" customHeight="true" outlineLevel="0" collapsed="false">
      <c r="A2201" s="1" t="n">
        <v>12200</v>
      </c>
      <c r="B2201" s="14" t="n">
        <v>46761</v>
      </c>
      <c r="C2201" s="1" t="n">
        <v>1327</v>
      </c>
      <c r="D2201" s="1" t="s">
        <v>37</v>
      </c>
      <c r="E2201" s="1" t="s">
        <v>28</v>
      </c>
      <c r="F2201" s="1" t="n">
        <v>6</v>
      </c>
      <c r="G2201" s="15" t="n">
        <v>407.29</v>
      </c>
      <c r="H2201" s="16" t="n">
        <v>0.12</v>
      </c>
      <c r="I2201" s="1" t="s">
        <v>31</v>
      </c>
      <c r="J2201" s="1" t="n">
        <v>11</v>
      </c>
      <c r="K2201" s="1" t="n">
        <v>2.4</v>
      </c>
      <c r="L2201" s="15" t="n">
        <v>2150.49</v>
      </c>
      <c r="M2201" s="15" t="n">
        <f aca="false">F2201*G2201</f>
        <v>2443.74</v>
      </c>
      <c r="N2201" s="15" t="n">
        <f aca="false">M2201-L2201</f>
        <v>293.25</v>
      </c>
      <c r="O2201" s="1" t="n">
        <f aca="false">YEAR(B2201)</f>
        <v>2028</v>
      </c>
      <c r="P2201" s="1" t="n">
        <f aca="false">MONTH(B2201)</f>
        <v>1</v>
      </c>
      <c r="Q2201" s="1" t="str">
        <f aca="false">TEXT(B2201,"mmm")</f>
        <v>Jan</v>
      </c>
      <c r="R2201" s="1" t="str">
        <f aca="false">"Q"&amp;ROUNDUP(MONTH(B2201)/3,0)</f>
        <v>Q1</v>
      </c>
    </row>
    <row r="2202" customFormat="false" ht="15" hidden="false" customHeight="true" outlineLevel="0" collapsed="false">
      <c r="A2202" s="1" t="n">
        <v>12201</v>
      </c>
      <c r="B2202" s="14" t="n">
        <v>46762</v>
      </c>
      <c r="C2202" s="1" t="n">
        <v>1250</v>
      </c>
      <c r="D2202" s="1" t="s">
        <v>34</v>
      </c>
      <c r="E2202" s="1" t="s">
        <v>28</v>
      </c>
      <c r="F2202" s="1" t="n">
        <v>3</v>
      </c>
      <c r="G2202" s="15" t="n">
        <v>538.22</v>
      </c>
      <c r="H2202" s="16" t="n">
        <v>0.16</v>
      </c>
      <c r="I2202" s="1" t="s">
        <v>31</v>
      </c>
      <c r="J2202" s="1" t="n">
        <v>7</v>
      </c>
      <c r="K2202" s="1" t="n">
        <v>3.7</v>
      </c>
      <c r="L2202" s="15" t="n">
        <v>1356.31</v>
      </c>
      <c r="M2202" s="15" t="n">
        <f aca="false">F2202*G2202</f>
        <v>1614.66</v>
      </c>
      <c r="N2202" s="15" t="n">
        <f aca="false">M2202-L2202</f>
        <v>258.35</v>
      </c>
      <c r="O2202" s="1" t="n">
        <f aca="false">YEAR(B2202)</f>
        <v>2028</v>
      </c>
      <c r="P2202" s="1" t="n">
        <f aca="false">MONTH(B2202)</f>
        <v>1</v>
      </c>
      <c r="Q2202" s="1" t="str">
        <f aca="false">TEXT(B2202,"mmm")</f>
        <v>Jan</v>
      </c>
      <c r="R2202" s="1" t="str">
        <f aca="false">"Q"&amp;ROUNDUP(MONTH(B2202)/3,0)</f>
        <v>Q1</v>
      </c>
    </row>
    <row r="2203" customFormat="false" ht="15" hidden="false" customHeight="true" outlineLevel="0" collapsed="false">
      <c r="A2203" s="1" t="n">
        <v>12202</v>
      </c>
      <c r="B2203" s="14" t="n">
        <v>46763</v>
      </c>
      <c r="C2203" s="1" t="n">
        <v>1900</v>
      </c>
      <c r="D2203" s="1" t="s">
        <v>34</v>
      </c>
      <c r="E2203" s="1" t="s">
        <v>32</v>
      </c>
      <c r="F2203" s="1" t="n">
        <v>1</v>
      </c>
      <c r="G2203" s="15" t="n">
        <v>48.45</v>
      </c>
      <c r="H2203" s="16" t="n">
        <v>0.03</v>
      </c>
      <c r="I2203" s="1" t="s">
        <v>33</v>
      </c>
      <c r="J2203" s="1" t="n">
        <v>8</v>
      </c>
      <c r="K2203" s="1" t="n">
        <v>4.7</v>
      </c>
      <c r="L2203" s="15" t="n">
        <v>47</v>
      </c>
      <c r="M2203" s="15" t="n">
        <f aca="false">F2203*G2203</f>
        <v>48.45</v>
      </c>
      <c r="N2203" s="15" t="n">
        <f aca="false">M2203-L2203</f>
        <v>1.45</v>
      </c>
      <c r="O2203" s="1" t="n">
        <f aca="false">YEAR(B2203)</f>
        <v>2028</v>
      </c>
      <c r="P2203" s="1" t="n">
        <f aca="false">MONTH(B2203)</f>
        <v>1</v>
      </c>
      <c r="Q2203" s="1" t="str">
        <f aca="false">TEXT(B2203,"mmm")</f>
        <v>Jan</v>
      </c>
      <c r="R2203" s="1" t="str">
        <f aca="false">"Q"&amp;ROUNDUP(MONTH(B2203)/3,0)</f>
        <v>Q1</v>
      </c>
    </row>
    <row r="2204" customFormat="false" ht="15" hidden="false" customHeight="true" outlineLevel="0" collapsed="false">
      <c r="A2204" s="1" t="n">
        <v>12203</v>
      </c>
      <c r="B2204" s="14" t="n">
        <v>46764</v>
      </c>
      <c r="C2204" s="1" t="n">
        <v>1175</v>
      </c>
      <c r="D2204" s="1" t="s">
        <v>30</v>
      </c>
      <c r="E2204" s="1" t="s">
        <v>35</v>
      </c>
      <c r="F2204" s="1" t="n">
        <v>6</v>
      </c>
      <c r="G2204" s="15" t="n">
        <v>364.22</v>
      </c>
      <c r="H2204" s="16" t="n">
        <v>0.13</v>
      </c>
      <c r="I2204" s="1" t="s">
        <v>31</v>
      </c>
      <c r="J2204" s="1" t="n">
        <v>7</v>
      </c>
      <c r="K2204" s="1" t="n">
        <v>2.6</v>
      </c>
      <c r="L2204" s="15" t="n">
        <v>1901.23</v>
      </c>
      <c r="M2204" s="15" t="n">
        <f aca="false">F2204*G2204</f>
        <v>2185.32</v>
      </c>
      <c r="N2204" s="15" t="n">
        <f aca="false">M2204-L2204</f>
        <v>284.09</v>
      </c>
      <c r="O2204" s="1" t="n">
        <f aca="false">YEAR(B2204)</f>
        <v>2028</v>
      </c>
      <c r="P2204" s="1" t="n">
        <f aca="false">MONTH(B2204)</f>
        <v>1</v>
      </c>
      <c r="Q2204" s="1" t="str">
        <f aca="false">TEXT(B2204,"mmm")</f>
        <v>Jan</v>
      </c>
      <c r="R2204" s="1" t="str">
        <f aca="false">"Q"&amp;ROUNDUP(MONTH(B2204)/3,0)</f>
        <v>Q1</v>
      </c>
    </row>
    <row r="2205" customFormat="false" ht="15" hidden="false" customHeight="true" outlineLevel="0" collapsed="false">
      <c r="A2205" s="1" t="n">
        <v>12204</v>
      </c>
      <c r="B2205" s="14" t="n">
        <v>46765</v>
      </c>
      <c r="C2205" s="1" t="n">
        <v>1601</v>
      </c>
      <c r="D2205" s="1" t="s">
        <v>34</v>
      </c>
      <c r="E2205" s="1" t="s">
        <v>28</v>
      </c>
      <c r="F2205" s="1" t="n">
        <v>5</v>
      </c>
      <c r="G2205" s="15" t="n">
        <v>347.89</v>
      </c>
      <c r="H2205" s="16" t="n">
        <v>0.24</v>
      </c>
      <c r="I2205" s="1" t="s">
        <v>31</v>
      </c>
      <c r="J2205" s="1" t="n">
        <v>1</v>
      </c>
      <c r="K2205" s="1" t="n">
        <v>3.3</v>
      </c>
      <c r="L2205" s="15" t="n">
        <v>1321.98</v>
      </c>
      <c r="M2205" s="15" t="n">
        <f aca="false">F2205*G2205</f>
        <v>1739.45</v>
      </c>
      <c r="N2205" s="15" t="n">
        <f aca="false">M2205-L2205</f>
        <v>417.47</v>
      </c>
      <c r="O2205" s="1" t="n">
        <f aca="false">YEAR(B2205)</f>
        <v>2028</v>
      </c>
      <c r="P2205" s="1" t="n">
        <f aca="false">MONTH(B2205)</f>
        <v>1</v>
      </c>
      <c r="Q2205" s="1" t="str">
        <f aca="false">TEXT(B2205,"mmm")</f>
        <v>Jan</v>
      </c>
      <c r="R2205" s="1" t="str">
        <f aca="false">"Q"&amp;ROUNDUP(MONTH(B2205)/3,0)</f>
        <v>Q1</v>
      </c>
    </row>
    <row r="2206" customFormat="false" ht="15" hidden="false" customHeight="true" outlineLevel="0" collapsed="false">
      <c r="A2206" s="1" t="n">
        <v>12205</v>
      </c>
      <c r="B2206" s="14" t="n">
        <v>46766</v>
      </c>
      <c r="C2206" s="1" t="n">
        <v>1913</v>
      </c>
      <c r="D2206" s="1" t="s">
        <v>37</v>
      </c>
      <c r="E2206" s="1" t="s">
        <v>28</v>
      </c>
      <c r="F2206" s="1" t="n">
        <v>4</v>
      </c>
      <c r="G2206" s="15" t="n">
        <v>35.87</v>
      </c>
      <c r="H2206" s="16" t="n">
        <v>0.33</v>
      </c>
      <c r="I2206" s="1" t="s">
        <v>29</v>
      </c>
      <c r="J2206" s="1" t="n">
        <v>1</v>
      </c>
      <c r="K2206" s="1" t="n">
        <v>3.5</v>
      </c>
      <c r="L2206" s="15" t="n">
        <v>96.13</v>
      </c>
      <c r="M2206" s="15" t="n">
        <f aca="false">F2206*G2206</f>
        <v>143.48</v>
      </c>
      <c r="N2206" s="15" t="n">
        <f aca="false">M2206-L2206</f>
        <v>47.35</v>
      </c>
      <c r="O2206" s="1" t="n">
        <f aca="false">YEAR(B2206)</f>
        <v>2028</v>
      </c>
      <c r="P2206" s="1" t="n">
        <f aca="false">MONTH(B2206)</f>
        <v>1</v>
      </c>
      <c r="Q2206" s="1" t="str">
        <f aca="false">TEXT(B2206,"mmm")</f>
        <v>Jan</v>
      </c>
      <c r="R2206" s="1" t="str">
        <f aca="false">"Q"&amp;ROUNDUP(MONTH(B2206)/3,0)</f>
        <v>Q1</v>
      </c>
    </row>
    <row r="2207" customFormat="false" ht="15" hidden="false" customHeight="true" outlineLevel="0" collapsed="false">
      <c r="A2207" s="1" t="n">
        <v>12206</v>
      </c>
      <c r="B2207" s="14" t="n">
        <v>46767</v>
      </c>
      <c r="C2207" s="1" t="n">
        <v>1453</v>
      </c>
      <c r="D2207" s="1" t="s">
        <v>34</v>
      </c>
      <c r="E2207" s="1" t="s">
        <v>32</v>
      </c>
      <c r="F2207" s="1" t="n">
        <v>5</v>
      </c>
      <c r="G2207" s="15" t="n">
        <v>315.41</v>
      </c>
      <c r="H2207" s="16" t="n">
        <v>0.34</v>
      </c>
      <c r="I2207" s="1" t="s">
        <v>29</v>
      </c>
      <c r="J2207" s="1" t="n">
        <v>10</v>
      </c>
      <c r="K2207" s="1" t="n">
        <v>1.3</v>
      </c>
      <c r="L2207" s="15" t="n">
        <v>1040.85</v>
      </c>
      <c r="M2207" s="15" t="n">
        <f aca="false">F2207*G2207</f>
        <v>1577.05</v>
      </c>
      <c r="N2207" s="15" t="n">
        <f aca="false">M2207-L2207</f>
        <v>536.2</v>
      </c>
      <c r="O2207" s="1" t="n">
        <f aca="false">YEAR(B2207)</f>
        <v>2028</v>
      </c>
      <c r="P2207" s="1" t="n">
        <f aca="false">MONTH(B2207)</f>
        <v>1</v>
      </c>
      <c r="Q2207" s="1" t="str">
        <f aca="false">TEXT(B2207,"mmm")</f>
        <v>Jan</v>
      </c>
      <c r="R2207" s="1" t="str">
        <f aca="false">"Q"&amp;ROUNDUP(MONTH(B2207)/3,0)</f>
        <v>Q1</v>
      </c>
    </row>
    <row r="2208" customFormat="false" ht="15" hidden="false" customHeight="true" outlineLevel="0" collapsed="false">
      <c r="A2208" s="1" t="n">
        <v>12207</v>
      </c>
      <c r="B2208" s="14" t="n">
        <v>46768</v>
      </c>
      <c r="C2208" s="1" t="n">
        <v>1036</v>
      </c>
      <c r="D2208" s="1" t="s">
        <v>37</v>
      </c>
      <c r="E2208" s="1" t="s">
        <v>35</v>
      </c>
      <c r="F2208" s="1" t="n">
        <v>1</v>
      </c>
      <c r="G2208" s="15" t="n">
        <v>371.57</v>
      </c>
      <c r="H2208" s="16" t="n">
        <v>0.19</v>
      </c>
      <c r="I2208" s="1" t="s">
        <v>29</v>
      </c>
      <c r="J2208" s="1" t="n">
        <v>6</v>
      </c>
      <c r="K2208" s="1" t="n">
        <v>2.4</v>
      </c>
      <c r="L2208" s="15" t="n">
        <v>300.97</v>
      </c>
      <c r="M2208" s="15" t="n">
        <f aca="false">F2208*G2208</f>
        <v>371.57</v>
      </c>
      <c r="N2208" s="15" t="n">
        <f aca="false">M2208-L2208</f>
        <v>70.6</v>
      </c>
      <c r="O2208" s="1" t="n">
        <f aca="false">YEAR(B2208)</f>
        <v>2028</v>
      </c>
      <c r="P2208" s="1" t="n">
        <f aca="false">MONTH(B2208)</f>
        <v>1</v>
      </c>
      <c r="Q2208" s="1" t="str">
        <f aca="false">TEXT(B2208,"mmm")</f>
        <v>Jan</v>
      </c>
      <c r="R2208" s="1" t="str">
        <f aca="false">"Q"&amp;ROUNDUP(MONTH(B2208)/3,0)</f>
        <v>Q1</v>
      </c>
    </row>
    <row r="2209" customFormat="false" ht="15" hidden="false" customHeight="true" outlineLevel="0" collapsed="false">
      <c r="A2209" s="1" t="n">
        <v>12208</v>
      </c>
      <c r="B2209" s="14" t="n">
        <v>46769</v>
      </c>
      <c r="C2209" s="1" t="n">
        <v>1315</v>
      </c>
      <c r="D2209" s="1" t="s">
        <v>34</v>
      </c>
      <c r="E2209" s="1" t="s">
        <v>32</v>
      </c>
      <c r="F2209" s="1" t="n">
        <v>1</v>
      </c>
      <c r="G2209" s="15" t="n">
        <v>126.91</v>
      </c>
      <c r="H2209" s="16" t="n">
        <v>0.21</v>
      </c>
      <c r="I2209" s="1" t="s">
        <v>33</v>
      </c>
      <c r="J2209" s="1" t="n">
        <v>3</v>
      </c>
      <c r="K2209" s="1" t="n">
        <v>3.7</v>
      </c>
      <c r="L2209" s="15" t="n">
        <v>100.26</v>
      </c>
      <c r="M2209" s="15" t="n">
        <f aca="false">F2209*G2209</f>
        <v>126.91</v>
      </c>
      <c r="N2209" s="15" t="n">
        <f aca="false">M2209-L2209</f>
        <v>26.65</v>
      </c>
      <c r="O2209" s="1" t="n">
        <f aca="false">YEAR(B2209)</f>
        <v>2028</v>
      </c>
      <c r="P2209" s="1" t="n">
        <f aca="false">MONTH(B2209)</f>
        <v>1</v>
      </c>
      <c r="Q2209" s="1" t="str">
        <f aca="false">TEXT(B2209,"mmm")</f>
        <v>Jan</v>
      </c>
      <c r="R2209" s="1" t="str">
        <f aca="false">"Q"&amp;ROUNDUP(MONTH(B2209)/3,0)</f>
        <v>Q1</v>
      </c>
    </row>
    <row r="2210" customFormat="false" ht="15" hidden="false" customHeight="true" outlineLevel="0" collapsed="false">
      <c r="A2210" s="1" t="n">
        <v>12209</v>
      </c>
      <c r="B2210" s="14" t="n">
        <v>46770</v>
      </c>
      <c r="C2210" s="1" t="n">
        <v>1687</v>
      </c>
      <c r="D2210" s="1" t="s">
        <v>34</v>
      </c>
      <c r="E2210" s="1" t="s">
        <v>28</v>
      </c>
      <c r="F2210" s="1" t="n">
        <v>4</v>
      </c>
      <c r="G2210" s="15" t="n">
        <v>174.9</v>
      </c>
      <c r="H2210" s="16" t="n">
        <v>0.07</v>
      </c>
      <c r="I2210" s="1" t="s">
        <v>29</v>
      </c>
      <c r="J2210" s="1" t="n">
        <v>9</v>
      </c>
      <c r="K2210" s="1" t="n">
        <v>3.9</v>
      </c>
      <c r="L2210" s="15" t="n">
        <v>650.63</v>
      </c>
      <c r="M2210" s="15" t="n">
        <f aca="false">F2210*G2210</f>
        <v>699.6</v>
      </c>
      <c r="N2210" s="15" t="n">
        <f aca="false">M2210-L2210</f>
        <v>48.97</v>
      </c>
      <c r="O2210" s="1" t="n">
        <f aca="false">YEAR(B2210)</f>
        <v>2028</v>
      </c>
      <c r="P2210" s="1" t="n">
        <f aca="false">MONTH(B2210)</f>
        <v>1</v>
      </c>
      <c r="Q2210" s="1" t="str">
        <f aca="false">TEXT(B2210,"mmm")</f>
        <v>Jan</v>
      </c>
      <c r="R2210" s="1" t="str">
        <f aca="false">"Q"&amp;ROUNDUP(MONTH(B2210)/3,0)</f>
        <v>Q1</v>
      </c>
    </row>
    <row r="2211" customFormat="false" ht="15" hidden="false" customHeight="true" outlineLevel="0" collapsed="false">
      <c r="A2211" s="1" t="n">
        <v>12210</v>
      </c>
      <c r="B2211" s="14" t="n">
        <v>46771</v>
      </c>
      <c r="C2211" s="1" t="n">
        <v>1972</v>
      </c>
      <c r="D2211" s="1" t="s">
        <v>34</v>
      </c>
      <c r="E2211" s="1" t="s">
        <v>32</v>
      </c>
      <c r="F2211" s="1" t="n">
        <v>2</v>
      </c>
      <c r="G2211" s="15" t="n">
        <v>389.6</v>
      </c>
      <c r="H2211" s="16" t="n">
        <v>0.24</v>
      </c>
      <c r="I2211" s="1" t="s">
        <v>29</v>
      </c>
      <c r="J2211" s="1" t="n">
        <v>11</v>
      </c>
      <c r="K2211" s="1" t="n">
        <v>2.4</v>
      </c>
      <c r="L2211" s="15" t="n">
        <v>592.19</v>
      </c>
      <c r="M2211" s="15" t="n">
        <f aca="false">F2211*G2211</f>
        <v>779.2</v>
      </c>
      <c r="N2211" s="15" t="n">
        <f aca="false">M2211-L2211</f>
        <v>187.01</v>
      </c>
      <c r="O2211" s="1" t="n">
        <f aca="false">YEAR(B2211)</f>
        <v>2028</v>
      </c>
      <c r="P2211" s="1" t="n">
        <f aca="false">MONTH(B2211)</f>
        <v>1</v>
      </c>
      <c r="Q2211" s="1" t="str">
        <f aca="false">TEXT(B2211,"mmm")</f>
        <v>Jan</v>
      </c>
      <c r="R2211" s="1" t="str">
        <f aca="false">"Q"&amp;ROUNDUP(MONTH(B2211)/3,0)</f>
        <v>Q1</v>
      </c>
    </row>
    <row r="2212" customFormat="false" ht="15" hidden="false" customHeight="true" outlineLevel="0" collapsed="false">
      <c r="A2212" s="1" t="n">
        <v>12211</v>
      </c>
      <c r="B2212" s="14" t="n">
        <v>46772</v>
      </c>
      <c r="C2212" s="1" t="n">
        <v>1795</v>
      </c>
      <c r="D2212" s="1" t="s">
        <v>34</v>
      </c>
      <c r="E2212" s="1" t="s">
        <v>32</v>
      </c>
      <c r="F2212" s="1" t="n">
        <v>2</v>
      </c>
      <c r="G2212" s="15" t="n">
        <v>288.96</v>
      </c>
      <c r="H2212" s="16" t="n">
        <v>0.02</v>
      </c>
      <c r="I2212" s="1" t="s">
        <v>31</v>
      </c>
      <c r="J2212" s="1" t="n">
        <v>7</v>
      </c>
      <c r="K2212" s="1" t="n">
        <v>1</v>
      </c>
      <c r="L2212" s="15" t="n">
        <v>566.36</v>
      </c>
      <c r="M2212" s="15" t="n">
        <f aca="false">F2212*G2212</f>
        <v>577.92</v>
      </c>
      <c r="N2212" s="15" t="n">
        <f aca="false">M2212-L2212</f>
        <v>11.5599999999999</v>
      </c>
      <c r="O2212" s="1" t="n">
        <f aca="false">YEAR(B2212)</f>
        <v>2028</v>
      </c>
      <c r="P2212" s="1" t="n">
        <f aca="false">MONTH(B2212)</f>
        <v>1</v>
      </c>
      <c r="Q2212" s="1" t="str">
        <f aca="false">TEXT(B2212,"mmm")</f>
        <v>Jan</v>
      </c>
      <c r="R2212" s="1" t="str">
        <f aca="false">"Q"&amp;ROUNDUP(MONTH(B2212)/3,0)</f>
        <v>Q1</v>
      </c>
    </row>
    <row r="2213" customFormat="false" ht="15" hidden="false" customHeight="true" outlineLevel="0" collapsed="false">
      <c r="A2213" s="1" t="n">
        <v>12212</v>
      </c>
      <c r="B2213" s="14" t="n">
        <v>46773</v>
      </c>
      <c r="C2213" s="1" t="n">
        <v>1964</v>
      </c>
      <c r="D2213" s="1" t="s">
        <v>34</v>
      </c>
      <c r="E2213" s="1" t="s">
        <v>32</v>
      </c>
      <c r="F2213" s="1" t="n">
        <v>2</v>
      </c>
      <c r="G2213" s="15" t="n">
        <v>516.94</v>
      </c>
      <c r="H2213" s="16" t="n">
        <v>0.1</v>
      </c>
      <c r="I2213" s="1" t="s">
        <v>31</v>
      </c>
      <c r="J2213" s="1" t="n">
        <v>2</v>
      </c>
      <c r="K2213" s="1" t="n">
        <v>1</v>
      </c>
      <c r="L2213" s="15" t="n">
        <v>930.49</v>
      </c>
      <c r="M2213" s="15" t="n">
        <f aca="false">F2213*G2213</f>
        <v>1033.88</v>
      </c>
      <c r="N2213" s="15" t="n">
        <f aca="false">M2213-L2213</f>
        <v>103.39</v>
      </c>
      <c r="O2213" s="1" t="n">
        <f aca="false">YEAR(B2213)</f>
        <v>2028</v>
      </c>
      <c r="P2213" s="1" t="n">
        <f aca="false">MONTH(B2213)</f>
        <v>1</v>
      </c>
      <c r="Q2213" s="1" t="str">
        <f aca="false">TEXT(B2213,"mmm")</f>
        <v>Jan</v>
      </c>
      <c r="R2213" s="1" t="str">
        <f aca="false">"Q"&amp;ROUNDUP(MONTH(B2213)/3,0)</f>
        <v>Q1</v>
      </c>
    </row>
    <row r="2214" customFormat="false" ht="15" hidden="false" customHeight="true" outlineLevel="0" collapsed="false">
      <c r="A2214" s="1" t="n">
        <v>12213</v>
      </c>
      <c r="B2214" s="14" t="n">
        <v>46774</v>
      </c>
      <c r="C2214" s="1" t="n">
        <v>1972</v>
      </c>
      <c r="D2214" s="1" t="s">
        <v>34</v>
      </c>
      <c r="E2214" s="1" t="s">
        <v>35</v>
      </c>
      <c r="F2214" s="1" t="n">
        <v>3</v>
      </c>
      <c r="G2214" s="15" t="n">
        <v>215.29</v>
      </c>
      <c r="H2214" s="16" t="n">
        <v>0.23</v>
      </c>
      <c r="I2214" s="1" t="s">
        <v>31</v>
      </c>
      <c r="J2214" s="1" t="n">
        <v>3</v>
      </c>
      <c r="K2214" s="1" t="n">
        <v>3.2</v>
      </c>
      <c r="L2214" s="15" t="n">
        <v>497.32</v>
      </c>
      <c r="M2214" s="15" t="n">
        <f aca="false">F2214*G2214</f>
        <v>645.87</v>
      </c>
      <c r="N2214" s="15" t="n">
        <f aca="false">M2214-L2214</f>
        <v>148.55</v>
      </c>
      <c r="O2214" s="1" t="n">
        <f aca="false">YEAR(B2214)</f>
        <v>2028</v>
      </c>
      <c r="P2214" s="1" t="n">
        <f aca="false">MONTH(B2214)</f>
        <v>1</v>
      </c>
      <c r="Q2214" s="1" t="str">
        <f aca="false">TEXT(B2214,"mmm")</f>
        <v>Jan</v>
      </c>
      <c r="R2214" s="1" t="str">
        <f aca="false">"Q"&amp;ROUNDUP(MONTH(B2214)/3,0)</f>
        <v>Q1</v>
      </c>
    </row>
    <row r="2215" customFormat="false" ht="15" hidden="false" customHeight="true" outlineLevel="0" collapsed="false">
      <c r="A2215" s="1" t="n">
        <v>12214</v>
      </c>
      <c r="B2215" s="14" t="n">
        <v>46775</v>
      </c>
      <c r="C2215" s="1" t="n">
        <v>1592</v>
      </c>
      <c r="D2215" s="1" t="s">
        <v>30</v>
      </c>
      <c r="E2215" s="1" t="s">
        <v>32</v>
      </c>
      <c r="F2215" s="1" t="n">
        <v>2</v>
      </c>
      <c r="G2215" s="15" t="n">
        <v>171</v>
      </c>
      <c r="H2215" s="16" t="n">
        <v>0.11</v>
      </c>
      <c r="I2215" s="1" t="s">
        <v>33</v>
      </c>
      <c r="J2215" s="1" t="n">
        <v>8</v>
      </c>
      <c r="K2215" s="1" t="n">
        <v>3.2</v>
      </c>
      <c r="L2215" s="15" t="n">
        <v>304.38</v>
      </c>
      <c r="M2215" s="15" t="n">
        <f aca="false">F2215*G2215</f>
        <v>342</v>
      </c>
      <c r="N2215" s="15" t="n">
        <f aca="false">M2215-L2215</f>
        <v>37.62</v>
      </c>
      <c r="O2215" s="1" t="n">
        <f aca="false">YEAR(B2215)</f>
        <v>2028</v>
      </c>
      <c r="P2215" s="1" t="n">
        <f aca="false">MONTH(B2215)</f>
        <v>1</v>
      </c>
      <c r="Q2215" s="1" t="str">
        <f aca="false">TEXT(B2215,"mmm")</f>
        <v>Jan</v>
      </c>
      <c r="R2215" s="1" t="str">
        <f aca="false">"Q"&amp;ROUNDUP(MONTH(B2215)/3,0)</f>
        <v>Q1</v>
      </c>
    </row>
    <row r="2216" customFormat="false" ht="15" hidden="false" customHeight="true" outlineLevel="0" collapsed="false">
      <c r="A2216" s="1" t="n">
        <v>12215</v>
      </c>
      <c r="B2216" s="14" t="n">
        <v>46776</v>
      </c>
      <c r="C2216" s="1" t="n">
        <v>1113</v>
      </c>
      <c r="D2216" s="1" t="s">
        <v>34</v>
      </c>
      <c r="E2216" s="1" t="s">
        <v>28</v>
      </c>
      <c r="F2216" s="1" t="n">
        <v>7</v>
      </c>
      <c r="G2216" s="15" t="n">
        <v>591.15</v>
      </c>
      <c r="H2216" s="16" t="n">
        <v>0.02</v>
      </c>
      <c r="I2216" s="1" t="s">
        <v>29</v>
      </c>
      <c r="J2216" s="1" t="n">
        <v>1</v>
      </c>
      <c r="K2216" s="1" t="n">
        <v>3.2</v>
      </c>
      <c r="L2216" s="15" t="n">
        <v>4055.29</v>
      </c>
      <c r="M2216" s="15" t="n">
        <f aca="false">F2216*G2216</f>
        <v>4138.05</v>
      </c>
      <c r="N2216" s="15" t="n">
        <f aca="false">M2216-L2216</f>
        <v>82.7600000000002</v>
      </c>
      <c r="O2216" s="1" t="n">
        <f aca="false">YEAR(B2216)</f>
        <v>2028</v>
      </c>
      <c r="P2216" s="1" t="n">
        <f aca="false">MONTH(B2216)</f>
        <v>1</v>
      </c>
      <c r="Q2216" s="1" t="str">
        <f aca="false">TEXT(B2216,"mmm")</f>
        <v>Jan</v>
      </c>
      <c r="R2216" s="1" t="str">
        <f aca="false">"Q"&amp;ROUNDUP(MONTH(B2216)/3,0)</f>
        <v>Q1</v>
      </c>
    </row>
    <row r="2217" customFormat="false" ht="15" hidden="false" customHeight="true" outlineLevel="0" collapsed="false">
      <c r="A2217" s="1" t="n">
        <v>12216</v>
      </c>
      <c r="B2217" s="14" t="n">
        <v>46777</v>
      </c>
      <c r="C2217" s="1" t="n">
        <v>1039</v>
      </c>
      <c r="D2217" s="1" t="s">
        <v>30</v>
      </c>
      <c r="E2217" s="1" t="s">
        <v>32</v>
      </c>
      <c r="F2217" s="1" t="n">
        <v>3</v>
      </c>
      <c r="G2217" s="15" t="n">
        <v>548.01</v>
      </c>
      <c r="H2217" s="16" t="n">
        <v>0.29</v>
      </c>
      <c r="I2217" s="1" t="s">
        <v>33</v>
      </c>
      <c r="J2217" s="1" t="n">
        <v>5</v>
      </c>
      <c r="K2217" s="1" t="n">
        <v>3.9</v>
      </c>
      <c r="L2217" s="15" t="n">
        <v>1167.26</v>
      </c>
      <c r="M2217" s="15" t="n">
        <f aca="false">F2217*G2217</f>
        <v>1644.03</v>
      </c>
      <c r="N2217" s="15" t="n">
        <f aca="false">M2217-L2217</f>
        <v>476.77</v>
      </c>
      <c r="O2217" s="1" t="n">
        <f aca="false">YEAR(B2217)</f>
        <v>2028</v>
      </c>
      <c r="P2217" s="1" t="n">
        <f aca="false">MONTH(B2217)</f>
        <v>1</v>
      </c>
      <c r="Q2217" s="1" t="str">
        <f aca="false">TEXT(B2217,"mmm")</f>
        <v>Jan</v>
      </c>
      <c r="R2217" s="1" t="str">
        <f aca="false">"Q"&amp;ROUNDUP(MONTH(B2217)/3,0)</f>
        <v>Q1</v>
      </c>
    </row>
    <row r="2218" customFormat="false" ht="15" hidden="false" customHeight="true" outlineLevel="0" collapsed="false">
      <c r="A2218" s="1" t="n">
        <v>12217</v>
      </c>
      <c r="B2218" s="14" t="n">
        <v>46778</v>
      </c>
      <c r="C2218" s="1" t="n">
        <v>1300</v>
      </c>
      <c r="D2218" s="1" t="s">
        <v>30</v>
      </c>
      <c r="E2218" s="1" t="s">
        <v>35</v>
      </c>
      <c r="F2218" s="1" t="n">
        <v>3</v>
      </c>
      <c r="G2218" s="15" t="n">
        <v>31.96</v>
      </c>
      <c r="H2218" s="16" t="n">
        <v>0.11</v>
      </c>
      <c r="I2218" s="1" t="s">
        <v>33</v>
      </c>
      <c r="J2218" s="1" t="n">
        <v>10</v>
      </c>
      <c r="K2218" s="1" t="n">
        <v>4.7</v>
      </c>
      <c r="L2218" s="15" t="n">
        <v>85.33</v>
      </c>
      <c r="M2218" s="15" t="n">
        <f aca="false">F2218*G2218</f>
        <v>95.88</v>
      </c>
      <c r="N2218" s="15" t="n">
        <f aca="false">M2218-L2218</f>
        <v>10.55</v>
      </c>
      <c r="O2218" s="1" t="n">
        <f aca="false">YEAR(B2218)</f>
        <v>2028</v>
      </c>
      <c r="P2218" s="1" t="n">
        <f aca="false">MONTH(B2218)</f>
        <v>1</v>
      </c>
      <c r="Q2218" s="1" t="str">
        <f aca="false">TEXT(B2218,"mmm")</f>
        <v>Jan</v>
      </c>
      <c r="R2218" s="1" t="str">
        <f aca="false">"Q"&amp;ROUNDUP(MONTH(B2218)/3,0)</f>
        <v>Q1</v>
      </c>
    </row>
    <row r="2219" customFormat="false" ht="15" hidden="false" customHeight="true" outlineLevel="0" collapsed="false">
      <c r="A2219" s="1" t="n">
        <v>12218</v>
      </c>
      <c r="B2219" s="14" t="n">
        <v>46779</v>
      </c>
      <c r="C2219" s="1" t="n">
        <v>1223</v>
      </c>
      <c r="D2219" s="1" t="s">
        <v>27</v>
      </c>
      <c r="E2219" s="1" t="s">
        <v>36</v>
      </c>
      <c r="F2219" s="1" t="n">
        <v>2</v>
      </c>
      <c r="G2219" s="15" t="n">
        <v>465.88</v>
      </c>
      <c r="H2219" s="16" t="n">
        <v>0.02</v>
      </c>
      <c r="I2219" s="1" t="s">
        <v>31</v>
      </c>
      <c r="J2219" s="1" t="n">
        <v>1</v>
      </c>
      <c r="K2219" s="1" t="n">
        <v>5</v>
      </c>
      <c r="L2219" s="15" t="n">
        <v>913.12</v>
      </c>
      <c r="M2219" s="15" t="n">
        <f aca="false">F2219*G2219</f>
        <v>931.76</v>
      </c>
      <c r="N2219" s="15" t="n">
        <f aca="false">M2219-L2219</f>
        <v>18.64</v>
      </c>
      <c r="O2219" s="1" t="n">
        <f aca="false">YEAR(B2219)</f>
        <v>2028</v>
      </c>
      <c r="P2219" s="1" t="n">
        <f aca="false">MONTH(B2219)</f>
        <v>1</v>
      </c>
      <c r="Q2219" s="1" t="str">
        <f aca="false">TEXT(B2219,"mmm")</f>
        <v>Jan</v>
      </c>
      <c r="R2219" s="1" t="str">
        <f aca="false">"Q"&amp;ROUNDUP(MONTH(B2219)/3,0)</f>
        <v>Q1</v>
      </c>
    </row>
    <row r="2220" customFormat="false" ht="15" hidden="false" customHeight="true" outlineLevel="0" collapsed="false">
      <c r="A2220" s="1" t="n">
        <v>12219</v>
      </c>
      <c r="B2220" s="14" t="n">
        <v>46780</v>
      </c>
      <c r="C2220" s="1" t="n">
        <v>1317</v>
      </c>
      <c r="D2220" s="1" t="s">
        <v>27</v>
      </c>
      <c r="E2220" s="1" t="s">
        <v>35</v>
      </c>
      <c r="F2220" s="1" t="n">
        <v>2</v>
      </c>
      <c r="G2220" s="15" t="n">
        <v>79.55</v>
      </c>
      <c r="H2220" s="16" t="n">
        <v>0.03</v>
      </c>
      <c r="I2220" s="1" t="s">
        <v>31</v>
      </c>
      <c r="J2220" s="1" t="n">
        <v>9</v>
      </c>
      <c r="K2220" s="1" t="n">
        <v>3.8</v>
      </c>
      <c r="L2220" s="15" t="n">
        <v>154.33</v>
      </c>
      <c r="M2220" s="15" t="n">
        <f aca="false">F2220*G2220</f>
        <v>159.1</v>
      </c>
      <c r="N2220" s="15" t="n">
        <f aca="false">M2220-L2220</f>
        <v>4.76999999999998</v>
      </c>
      <c r="O2220" s="1" t="n">
        <f aca="false">YEAR(B2220)</f>
        <v>2028</v>
      </c>
      <c r="P2220" s="1" t="n">
        <f aca="false">MONTH(B2220)</f>
        <v>1</v>
      </c>
      <c r="Q2220" s="1" t="str">
        <f aca="false">TEXT(B2220,"mmm")</f>
        <v>Jan</v>
      </c>
      <c r="R2220" s="1" t="str">
        <f aca="false">"Q"&amp;ROUNDUP(MONTH(B2220)/3,0)</f>
        <v>Q1</v>
      </c>
    </row>
    <row r="2221" customFormat="false" ht="15" hidden="false" customHeight="true" outlineLevel="0" collapsed="false">
      <c r="A2221" s="1" t="n">
        <v>12220</v>
      </c>
      <c r="B2221" s="14" t="n">
        <v>46781</v>
      </c>
      <c r="C2221" s="1" t="n">
        <v>1348</v>
      </c>
      <c r="D2221" s="1" t="s">
        <v>30</v>
      </c>
      <c r="E2221" s="1" t="s">
        <v>32</v>
      </c>
      <c r="F2221" s="1" t="n">
        <v>4</v>
      </c>
      <c r="G2221" s="15" t="n">
        <v>31.08</v>
      </c>
      <c r="H2221" s="16" t="n">
        <v>0.09</v>
      </c>
      <c r="I2221" s="1" t="s">
        <v>33</v>
      </c>
      <c r="J2221" s="1" t="n">
        <v>7</v>
      </c>
      <c r="K2221" s="1" t="n">
        <v>3.1</v>
      </c>
      <c r="L2221" s="15" t="n">
        <v>113.13</v>
      </c>
      <c r="M2221" s="15" t="n">
        <f aca="false">F2221*G2221</f>
        <v>124.32</v>
      </c>
      <c r="N2221" s="15" t="n">
        <f aca="false">M2221-L2221</f>
        <v>11.19</v>
      </c>
      <c r="O2221" s="1" t="n">
        <f aca="false">YEAR(B2221)</f>
        <v>2028</v>
      </c>
      <c r="P2221" s="1" t="n">
        <f aca="false">MONTH(B2221)</f>
        <v>1</v>
      </c>
      <c r="Q2221" s="1" t="str">
        <f aca="false">TEXT(B2221,"mmm")</f>
        <v>Jan</v>
      </c>
      <c r="R2221" s="1" t="str">
        <f aca="false">"Q"&amp;ROUNDUP(MONTH(B2221)/3,0)</f>
        <v>Q1</v>
      </c>
    </row>
    <row r="2222" customFormat="false" ht="15" hidden="false" customHeight="true" outlineLevel="0" collapsed="false">
      <c r="A2222" s="1" t="n">
        <v>12221</v>
      </c>
      <c r="B2222" s="14" t="n">
        <v>46782</v>
      </c>
      <c r="C2222" s="1" t="n">
        <v>1114</v>
      </c>
      <c r="D2222" s="1" t="s">
        <v>34</v>
      </c>
      <c r="E2222" s="1" t="s">
        <v>36</v>
      </c>
      <c r="F2222" s="1" t="n">
        <v>6</v>
      </c>
      <c r="G2222" s="15" t="n">
        <v>175.11</v>
      </c>
      <c r="H2222" s="16" t="n">
        <v>0.06</v>
      </c>
      <c r="I2222" s="1" t="s">
        <v>29</v>
      </c>
      <c r="J2222" s="1" t="n">
        <v>5</v>
      </c>
      <c r="K2222" s="1" t="n">
        <v>1.6</v>
      </c>
      <c r="L2222" s="15" t="n">
        <v>987.62</v>
      </c>
      <c r="M2222" s="15" t="n">
        <f aca="false">F2222*G2222</f>
        <v>1050.66</v>
      </c>
      <c r="N2222" s="15" t="n">
        <f aca="false">M2222-L2222</f>
        <v>63.0400000000001</v>
      </c>
      <c r="O2222" s="1" t="n">
        <f aca="false">YEAR(B2222)</f>
        <v>2028</v>
      </c>
      <c r="P2222" s="1" t="n">
        <f aca="false">MONTH(B2222)</f>
        <v>1</v>
      </c>
      <c r="Q2222" s="1" t="str">
        <f aca="false">TEXT(B2222,"mmm")</f>
        <v>Jan</v>
      </c>
      <c r="R2222" s="1" t="str">
        <f aca="false">"Q"&amp;ROUNDUP(MONTH(B2222)/3,0)</f>
        <v>Q1</v>
      </c>
    </row>
    <row r="2223" customFormat="false" ht="15" hidden="false" customHeight="true" outlineLevel="0" collapsed="false">
      <c r="A2223" s="1" t="n">
        <v>12222</v>
      </c>
      <c r="B2223" s="14" t="n">
        <v>46783</v>
      </c>
      <c r="C2223" s="1" t="n">
        <v>1697</v>
      </c>
      <c r="D2223" s="1" t="s">
        <v>34</v>
      </c>
      <c r="E2223" s="1" t="s">
        <v>32</v>
      </c>
      <c r="F2223" s="1" t="n">
        <v>4</v>
      </c>
      <c r="G2223" s="15" t="n">
        <v>172.57</v>
      </c>
      <c r="H2223" s="16" t="n">
        <v>0.27</v>
      </c>
      <c r="I2223" s="1" t="s">
        <v>31</v>
      </c>
      <c r="J2223" s="1" t="n">
        <v>6</v>
      </c>
      <c r="K2223" s="1" t="n">
        <v>2.5</v>
      </c>
      <c r="L2223" s="15" t="n">
        <v>503.9</v>
      </c>
      <c r="M2223" s="15" t="n">
        <f aca="false">F2223*G2223</f>
        <v>690.28</v>
      </c>
      <c r="N2223" s="15" t="n">
        <f aca="false">M2223-L2223</f>
        <v>186.38</v>
      </c>
      <c r="O2223" s="1" t="n">
        <f aca="false">YEAR(B2223)</f>
        <v>2028</v>
      </c>
      <c r="P2223" s="1" t="n">
        <f aca="false">MONTH(B2223)</f>
        <v>1</v>
      </c>
      <c r="Q2223" s="1" t="str">
        <f aca="false">TEXT(B2223,"mmm")</f>
        <v>Jan</v>
      </c>
      <c r="R2223" s="1" t="str">
        <f aca="false">"Q"&amp;ROUNDUP(MONTH(B2223)/3,0)</f>
        <v>Q1</v>
      </c>
    </row>
    <row r="2224" customFormat="false" ht="15" hidden="false" customHeight="true" outlineLevel="0" collapsed="false">
      <c r="A2224" s="1" t="n">
        <v>12223</v>
      </c>
      <c r="B2224" s="14" t="n">
        <v>46784</v>
      </c>
      <c r="C2224" s="1" t="n">
        <v>1322</v>
      </c>
      <c r="D2224" s="1" t="s">
        <v>27</v>
      </c>
      <c r="E2224" s="1" t="s">
        <v>35</v>
      </c>
      <c r="F2224" s="1" t="n">
        <v>3</v>
      </c>
      <c r="G2224" s="15" t="n">
        <v>494.3</v>
      </c>
      <c r="H2224" s="16" t="n">
        <v>0.11</v>
      </c>
      <c r="I2224" s="1" t="s">
        <v>29</v>
      </c>
      <c r="J2224" s="1" t="n">
        <v>11</v>
      </c>
      <c r="K2224" s="1" t="n">
        <v>3.3</v>
      </c>
      <c r="L2224" s="15" t="n">
        <v>1319.78</v>
      </c>
      <c r="M2224" s="15" t="n">
        <f aca="false">F2224*G2224</f>
        <v>1482.9</v>
      </c>
      <c r="N2224" s="15" t="n">
        <f aca="false">M2224-L2224</f>
        <v>163.12</v>
      </c>
      <c r="O2224" s="1" t="n">
        <f aca="false">YEAR(B2224)</f>
        <v>2028</v>
      </c>
      <c r="P2224" s="1" t="n">
        <f aca="false">MONTH(B2224)</f>
        <v>2</v>
      </c>
      <c r="Q2224" s="1" t="str">
        <f aca="false">TEXT(B2224,"mmm")</f>
        <v>Feb</v>
      </c>
      <c r="R2224" s="1" t="str">
        <f aca="false">"Q"&amp;ROUNDUP(MONTH(B2224)/3,0)</f>
        <v>Q1</v>
      </c>
    </row>
    <row r="2225" customFormat="false" ht="15" hidden="false" customHeight="true" outlineLevel="0" collapsed="false">
      <c r="A2225" s="1" t="n">
        <v>12224</v>
      </c>
      <c r="B2225" s="14" t="n">
        <v>46785</v>
      </c>
      <c r="C2225" s="1" t="n">
        <v>1567</v>
      </c>
      <c r="D2225" s="1" t="s">
        <v>34</v>
      </c>
      <c r="E2225" s="1" t="s">
        <v>36</v>
      </c>
      <c r="F2225" s="1" t="n">
        <v>4</v>
      </c>
      <c r="G2225" s="15" t="n">
        <v>430.74</v>
      </c>
      <c r="H2225" s="16" t="n">
        <v>0.28</v>
      </c>
      <c r="I2225" s="1" t="s">
        <v>31</v>
      </c>
      <c r="J2225" s="1" t="n">
        <v>3</v>
      </c>
      <c r="K2225" s="1" t="n">
        <v>5</v>
      </c>
      <c r="L2225" s="15" t="n">
        <v>1240.53</v>
      </c>
      <c r="M2225" s="15" t="n">
        <f aca="false">F2225*G2225</f>
        <v>1722.96</v>
      </c>
      <c r="N2225" s="15" t="n">
        <f aca="false">M2225-L2225</f>
        <v>482.43</v>
      </c>
      <c r="O2225" s="1" t="n">
        <f aca="false">YEAR(B2225)</f>
        <v>2028</v>
      </c>
      <c r="P2225" s="1" t="n">
        <f aca="false">MONTH(B2225)</f>
        <v>2</v>
      </c>
      <c r="Q2225" s="1" t="str">
        <f aca="false">TEXT(B2225,"mmm")</f>
        <v>Feb</v>
      </c>
      <c r="R2225" s="1" t="str">
        <f aca="false">"Q"&amp;ROUNDUP(MONTH(B2225)/3,0)</f>
        <v>Q1</v>
      </c>
    </row>
    <row r="2226" customFormat="false" ht="15" hidden="false" customHeight="true" outlineLevel="0" collapsed="false">
      <c r="A2226" s="1" t="n">
        <v>12225</v>
      </c>
      <c r="B2226" s="14" t="n">
        <v>46786</v>
      </c>
      <c r="C2226" s="1" t="n">
        <v>1039</v>
      </c>
      <c r="D2226" s="1" t="s">
        <v>34</v>
      </c>
      <c r="E2226" s="1" t="s">
        <v>36</v>
      </c>
      <c r="F2226" s="1" t="n">
        <v>3</v>
      </c>
      <c r="G2226" s="15" t="n">
        <v>589.24</v>
      </c>
      <c r="H2226" s="16" t="n">
        <v>0.06</v>
      </c>
      <c r="I2226" s="1" t="s">
        <v>33</v>
      </c>
      <c r="J2226" s="1" t="n">
        <v>3</v>
      </c>
      <c r="K2226" s="1" t="n">
        <v>1.5</v>
      </c>
      <c r="L2226" s="15" t="n">
        <v>1661.66</v>
      </c>
      <c r="M2226" s="15" t="n">
        <f aca="false">F2226*G2226</f>
        <v>1767.72</v>
      </c>
      <c r="N2226" s="15" t="n">
        <f aca="false">M2226-L2226</f>
        <v>106.06</v>
      </c>
      <c r="O2226" s="1" t="n">
        <f aca="false">YEAR(B2226)</f>
        <v>2028</v>
      </c>
      <c r="P2226" s="1" t="n">
        <f aca="false">MONTH(B2226)</f>
        <v>2</v>
      </c>
      <c r="Q2226" s="1" t="str">
        <f aca="false">TEXT(B2226,"mmm")</f>
        <v>Feb</v>
      </c>
      <c r="R2226" s="1" t="str">
        <f aca="false">"Q"&amp;ROUNDUP(MONTH(B2226)/3,0)</f>
        <v>Q1</v>
      </c>
    </row>
    <row r="2227" customFormat="false" ht="15" hidden="false" customHeight="true" outlineLevel="0" collapsed="false">
      <c r="A2227" s="1" t="n">
        <v>12226</v>
      </c>
      <c r="B2227" s="14" t="n">
        <v>46787</v>
      </c>
      <c r="C2227" s="1" t="n">
        <v>1865</v>
      </c>
      <c r="D2227" s="1" t="s">
        <v>34</v>
      </c>
      <c r="E2227" s="1" t="s">
        <v>32</v>
      </c>
      <c r="F2227" s="1" t="n">
        <v>1</v>
      </c>
      <c r="G2227" s="15" t="n">
        <v>431.24</v>
      </c>
      <c r="H2227" s="16" t="n">
        <v>0.17</v>
      </c>
      <c r="I2227" s="1" t="s">
        <v>33</v>
      </c>
      <c r="J2227" s="1" t="n">
        <v>7</v>
      </c>
      <c r="K2227" s="1" t="n">
        <v>4.2</v>
      </c>
      <c r="L2227" s="15" t="n">
        <v>357.93</v>
      </c>
      <c r="M2227" s="15" t="n">
        <f aca="false">F2227*G2227</f>
        <v>431.24</v>
      </c>
      <c r="N2227" s="15" t="n">
        <f aca="false">M2227-L2227</f>
        <v>73.31</v>
      </c>
      <c r="O2227" s="1" t="n">
        <f aca="false">YEAR(B2227)</f>
        <v>2028</v>
      </c>
      <c r="P2227" s="1" t="n">
        <f aca="false">MONTH(B2227)</f>
        <v>2</v>
      </c>
      <c r="Q2227" s="1" t="str">
        <f aca="false">TEXT(B2227,"mmm")</f>
        <v>Feb</v>
      </c>
      <c r="R2227" s="1" t="str">
        <f aca="false">"Q"&amp;ROUNDUP(MONTH(B2227)/3,0)</f>
        <v>Q1</v>
      </c>
    </row>
    <row r="2228" customFormat="false" ht="15" hidden="false" customHeight="true" outlineLevel="0" collapsed="false">
      <c r="A2228" s="1" t="n">
        <v>12227</v>
      </c>
      <c r="B2228" s="14" t="n">
        <v>46788</v>
      </c>
      <c r="C2228" s="1" t="n">
        <v>1039</v>
      </c>
      <c r="D2228" s="1" t="s">
        <v>34</v>
      </c>
      <c r="E2228" s="1" t="s">
        <v>32</v>
      </c>
      <c r="F2228" s="1" t="n">
        <v>3</v>
      </c>
      <c r="G2228" s="15" t="n">
        <v>259.68</v>
      </c>
      <c r="H2228" s="16" t="n">
        <v>0.24</v>
      </c>
      <c r="I2228" s="1" t="s">
        <v>29</v>
      </c>
      <c r="J2228" s="1" t="n">
        <v>7</v>
      </c>
      <c r="K2228" s="1" t="n">
        <v>5</v>
      </c>
      <c r="L2228" s="15" t="n">
        <v>592.07</v>
      </c>
      <c r="M2228" s="15" t="n">
        <f aca="false">F2228*G2228</f>
        <v>779.04</v>
      </c>
      <c r="N2228" s="15" t="n">
        <f aca="false">M2228-L2228</f>
        <v>186.97</v>
      </c>
      <c r="O2228" s="1" t="n">
        <f aca="false">YEAR(B2228)</f>
        <v>2028</v>
      </c>
      <c r="P2228" s="1" t="n">
        <f aca="false">MONTH(B2228)</f>
        <v>2</v>
      </c>
      <c r="Q2228" s="1" t="str">
        <f aca="false">TEXT(B2228,"mmm")</f>
        <v>Feb</v>
      </c>
      <c r="R2228" s="1" t="str">
        <f aca="false">"Q"&amp;ROUNDUP(MONTH(B2228)/3,0)</f>
        <v>Q1</v>
      </c>
    </row>
    <row r="2229" customFormat="false" ht="15" hidden="false" customHeight="true" outlineLevel="0" collapsed="false">
      <c r="A2229" s="1" t="n">
        <v>12228</v>
      </c>
      <c r="B2229" s="14" t="n">
        <v>46789</v>
      </c>
      <c r="C2229" s="1" t="n">
        <v>1858</v>
      </c>
      <c r="D2229" s="1" t="s">
        <v>34</v>
      </c>
      <c r="E2229" s="1" t="s">
        <v>35</v>
      </c>
      <c r="F2229" s="1" t="n">
        <v>3</v>
      </c>
      <c r="G2229" s="15" t="n">
        <v>423.87</v>
      </c>
      <c r="H2229" s="16" t="n">
        <v>0.23</v>
      </c>
      <c r="I2229" s="1" t="s">
        <v>31</v>
      </c>
      <c r="J2229" s="1" t="n">
        <v>7</v>
      </c>
      <c r="K2229" s="1" t="n">
        <v>4.2</v>
      </c>
      <c r="L2229" s="15" t="n">
        <v>979.14</v>
      </c>
      <c r="M2229" s="15" t="n">
        <f aca="false">F2229*G2229</f>
        <v>1271.61</v>
      </c>
      <c r="N2229" s="15" t="n">
        <f aca="false">M2229-L2229</f>
        <v>292.47</v>
      </c>
      <c r="O2229" s="1" t="n">
        <f aca="false">YEAR(B2229)</f>
        <v>2028</v>
      </c>
      <c r="P2229" s="1" t="n">
        <f aca="false">MONTH(B2229)</f>
        <v>2</v>
      </c>
      <c r="Q2229" s="1" t="str">
        <f aca="false">TEXT(B2229,"mmm")</f>
        <v>Feb</v>
      </c>
      <c r="R2229" s="1" t="str">
        <f aca="false">"Q"&amp;ROUNDUP(MONTH(B2229)/3,0)</f>
        <v>Q1</v>
      </c>
    </row>
    <row r="2230" customFormat="false" ht="15" hidden="false" customHeight="true" outlineLevel="0" collapsed="false">
      <c r="A2230" s="1" t="n">
        <v>12229</v>
      </c>
      <c r="B2230" s="14" t="n">
        <v>46790</v>
      </c>
      <c r="C2230" s="1" t="n">
        <v>1972</v>
      </c>
      <c r="D2230" s="1" t="s">
        <v>37</v>
      </c>
      <c r="E2230" s="1" t="s">
        <v>32</v>
      </c>
      <c r="F2230" s="1" t="n">
        <v>4</v>
      </c>
      <c r="G2230" s="15" t="n">
        <v>599.68</v>
      </c>
      <c r="H2230" s="16" t="n">
        <v>0.21</v>
      </c>
      <c r="I2230" s="1" t="s">
        <v>31</v>
      </c>
      <c r="J2230" s="1" t="n">
        <v>2</v>
      </c>
      <c r="K2230" s="1" t="n">
        <v>4.1</v>
      </c>
      <c r="L2230" s="15" t="n">
        <v>1894.99</v>
      </c>
      <c r="M2230" s="15" t="n">
        <f aca="false">F2230*G2230</f>
        <v>2398.72</v>
      </c>
      <c r="N2230" s="15" t="n">
        <f aca="false">M2230-L2230</f>
        <v>503.73</v>
      </c>
      <c r="O2230" s="1" t="n">
        <f aca="false">YEAR(B2230)</f>
        <v>2028</v>
      </c>
      <c r="P2230" s="1" t="n">
        <f aca="false">MONTH(B2230)</f>
        <v>2</v>
      </c>
      <c r="Q2230" s="1" t="str">
        <f aca="false">TEXT(B2230,"mmm")</f>
        <v>Feb</v>
      </c>
      <c r="R2230" s="1" t="str">
        <f aca="false">"Q"&amp;ROUNDUP(MONTH(B2230)/3,0)</f>
        <v>Q1</v>
      </c>
    </row>
    <row r="2231" customFormat="false" ht="15" hidden="false" customHeight="true" outlineLevel="0" collapsed="false">
      <c r="A2231" s="1" t="n">
        <v>12230</v>
      </c>
      <c r="B2231" s="14" t="n">
        <v>46791</v>
      </c>
      <c r="C2231" s="1" t="n">
        <v>1748</v>
      </c>
      <c r="D2231" s="1" t="s">
        <v>34</v>
      </c>
      <c r="E2231" s="1" t="s">
        <v>36</v>
      </c>
      <c r="F2231" s="1" t="n">
        <v>6</v>
      </c>
      <c r="G2231" s="15" t="n">
        <v>430.43</v>
      </c>
      <c r="H2231" s="16" t="n">
        <v>0.32</v>
      </c>
      <c r="I2231" s="1" t="s">
        <v>31</v>
      </c>
      <c r="J2231" s="1" t="n">
        <v>2</v>
      </c>
      <c r="K2231" s="1" t="n">
        <v>2</v>
      </c>
      <c r="L2231" s="15" t="n">
        <v>1756.15</v>
      </c>
      <c r="M2231" s="15" t="n">
        <f aca="false">F2231*G2231</f>
        <v>2582.58</v>
      </c>
      <c r="N2231" s="15" t="n">
        <f aca="false">M2231-L2231</f>
        <v>826.43</v>
      </c>
      <c r="O2231" s="1" t="n">
        <f aca="false">YEAR(B2231)</f>
        <v>2028</v>
      </c>
      <c r="P2231" s="1" t="n">
        <f aca="false">MONTH(B2231)</f>
        <v>2</v>
      </c>
      <c r="Q2231" s="1" t="str">
        <f aca="false">TEXT(B2231,"mmm")</f>
        <v>Feb</v>
      </c>
      <c r="R2231" s="1" t="str">
        <f aca="false">"Q"&amp;ROUNDUP(MONTH(B2231)/3,0)</f>
        <v>Q1</v>
      </c>
    </row>
    <row r="2232" customFormat="false" ht="15" hidden="false" customHeight="true" outlineLevel="0" collapsed="false">
      <c r="A2232" s="1" t="n">
        <v>12231</v>
      </c>
      <c r="B2232" s="14" t="n">
        <v>46792</v>
      </c>
      <c r="C2232" s="1" t="n">
        <v>1288</v>
      </c>
      <c r="D2232" s="1" t="s">
        <v>30</v>
      </c>
      <c r="E2232" s="1" t="s">
        <v>28</v>
      </c>
      <c r="F2232" s="1" t="n">
        <v>1</v>
      </c>
      <c r="G2232" s="15" t="n">
        <v>460.58</v>
      </c>
      <c r="H2232" s="16" t="n">
        <v>0.08</v>
      </c>
      <c r="I2232" s="1" t="s">
        <v>29</v>
      </c>
      <c r="J2232" s="1" t="n">
        <v>11</v>
      </c>
      <c r="K2232" s="1" t="n">
        <v>1</v>
      </c>
      <c r="L2232" s="15" t="n">
        <v>423.73</v>
      </c>
      <c r="M2232" s="15" t="n">
        <f aca="false">F2232*G2232</f>
        <v>460.58</v>
      </c>
      <c r="N2232" s="15" t="n">
        <f aca="false">M2232-L2232</f>
        <v>36.85</v>
      </c>
      <c r="O2232" s="1" t="n">
        <f aca="false">YEAR(B2232)</f>
        <v>2028</v>
      </c>
      <c r="P2232" s="1" t="n">
        <f aca="false">MONTH(B2232)</f>
        <v>2</v>
      </c>
      <c r="Q2232" s="1" t="str">
        <f aca="false">TEXT(B2232,"mmm")</f>
        <v>Feb</v>
      </c>
      <c r="R2232" s="1" t="str">
        <f aca="false">"Q"&amp;ROUNDUP(MONTH(B2232)/3,0)</f>
        <v>Q1</v>
      </c>
    </row>
    <row r="2233" customFormat="false" ht="15" hidden="false" customHeight="true" outlineLevel="0" collapsed="false">
      <c r="A2233" s="1" t="n">
        <v>12232</v>
      </c>
      <c r="B2233" s="14" t="n">
        <v>46793</v>
      </c>
      <c r="C2233" s="1" t="n">
        <v>1261</v>
      </c>
      <c r="D2233" s="1" t="s">
        <v>34</v>
      </c>
      <c r="E2233" s="1" t="s">
        <v>28</v>
      </c>
      <c r="F2233" s="1" t="n">
        <v>5</v>
      </c>
      <c r="G2233" s="15" t="n">
        <v>563.94</v>
      </c>
      <c r="H2233" s="16" t="n">
        <v>0.17</v>
      </c>
      <c r="I2233" s="1" t="s">
        <v>31</v>
      </c>
      <c r="J2233" s="1" t="n">
        <v>5</v>
      </c>
      <c r="K2233" s="1" t="n">
        <v>1.9</v>
      </c>
      <c r="L2233" s="15" t="n">
        <v>2340.35</v>
      </c>
      <c r="M2233" s="15" t="n">
        <f aca="false">F2233*G2233</f>
        <v>2819.7</v>
      </c>
      <c r="N2233" s="15" t="n">
        <f aca="false">M2233-L2233</f>
        <v>479.35</v>
      </c>
      <c r="O2233" s="1" t="n">
        <f aca="false">YEAR(B2233)</f>
        <v>2028</v>
      </c>
      <c r="P2233" s="1" t="n">
        <f aca="false">MONTH(B2233)</f>
        <v>2</v>
      </c>
      <c r="Q2233" s="1" t="str">
        <f aca="false">TEXT(B2233,"mmm")</f>
        <v>Feb</v>
      </c>
      <c r="R2233" s="1" t="str">
        <f aca="false">"Q"&amp;ROUNDUP(MONTH(B2233)/3,0)</f>
        <v>Q1</v>
      </c>
    </row>
    <row r="2234" customFormat="false" ht="15" hidden="false" customHeight="true" outlineLevel="0" collapsed="false">
      <c r="A2234" s="1" t="n">
        <v>12233</v>
      </c>
      <c r="B2234" s="14" t="n">
        <v>46794</v>
      </c>
      <c r="C2234" s="1" t="n">
        <v>1215</v>
      </c>
      <c r="D2234" s="1" t="s">
        <v>34</v>
      </c>
      <c r="E2234" s="1" t="s">
        <v>35</v>
      </c>
      <c r="F2234" s="1" t="n">
        <v>5</v>
      </c>
      <c r="G2234" s="15" t="n">
        <v>81.49</v>
      </c>
      <c r="H2234" s="16" t="n">
        <v>0.31</v>
      </c>
      <c r="I2234" s="1" t="s">
        <v>31</v>
      </c>
      <c r="J2234" s="1" t="n">
        <v>4</v>
      </c>
      <c r="K2234" s="1" t="n">
        <v>4.2</v>
      </c>
      <c r="L2234" s="15" t="n">
        <v>281.14</v>
      </c>
      <c r="M2234" s="15" t="n">
        <f aca="false">F2234*G2234</f>
        <v>407.45</v>
      </c>
      <c r="N2234" s="15" t="n">
        <f aca="false">M2234-L2234</f>
        <v>126.31</v>
      </c>
      <c r="O2234" s="1" t="n">
        <f aca="false">YEAR(B2234)</f>
        <v>2028</v>
      </c>
      <c r="P2234" s="1" t="n">
        <f aca="false">MONTH(B2234)</f>
        <v>2</v>
      </c>
      <c r="Q2234" s="1" t="str">
        <f aca="false">TEXT(B2234,"mmm")</f>
        <v>Feb</v>
      </c>
      <c r="R2234" s="1" t="str">
        <f aca="false">"Q"&amp;ROUNDUP(MONTH(B2234)/3,0)</f>
        <v>Q1</v>
      </c>
    </row>
    <row r="2235" customFormat="false" ht="15" hidden="false" customHeight="true" outlineLevel="0" collapsed="false">
      <c r="A2235" s="1" t="n">
        <v>12234</v>
      </c>
      <c r="B2235" s="14" t="n">
        <v>46795</v>
      </c>
      <c r="C2235" s="1" t="n">
        <v>1146</v>
      </c>
      <c r="D2235" s="1" t="s">
        <v>27</v>
      </c>
      <c r="E2235" s="1" t="s">
        <v>32</v>
      </c>
      <c r="F2235" s="1" t="n">
        <v>6</v>
      </c>
      <c r="G2235" s="15" t="n">
        <v>427.3</v>
      </c>
      <c r="H2235" s="16" t="n">
        <v>0.03</v>
      </c>
      <c r="I2235" s="1" t="s">
        <v>33</v>
      </c>
      <c r="J2235" s="1" t="n">
        <v>7</v>
      </c>
      <c r="K2235" s="1" t="n">
        <v>1.4</v>
      </c>
      <c r="L2235" s="15" t="n">
        <v>2486.89</v>
      </c>
      <c r="M2235" s="15" t="n">
        <f aca="false">F2235*G2235</f>
        <v>2563.8</v>
      </c>
      <c r="N2235" s="15" t="n">
        <f aca="false">M2235-L2235</f>
        <v>76.9100000000003</v>
      </c>
      <c r="O2235" s="1" t="n">
        <f aca="false">YEAR(B2235)</f>
        <v>2028</v>
      </c>
      <c r="P2235" s="1" t="n">
        <f aca="false">MONTH(B2235)</f>
        <v>2</v>
      </c>
      <c r="Q2235" s="1" t="str">
        <f aca="false">TEXT(B2235,"mmm")</f>
        <v>Feb</v>
      </c>
      <c r="R2235" s="1" t="str">
        <f aca="false">"Q"&amp;ROUNDUP(MONTH(B2235)/3,0)</f>
        <v>Q1</v>
      </c>
    </row>
    <row r="2236" customFormat="false" ht="15" hidden="false" customHeight="true" outlineLevel="0" collapsed="false">
      <c r="A2236" s="1" t="n">
        <v>12235</v>
      </c>
      <c r="B2236" s="14" t="n">
        <v>46796</v>
      </c>
      <c r="C2236" s="1" t="n">
        <v>1335</v>
      </c>
      <c r="D2236" s="1" t="s">
        <v>34</v>
      </c>
      <c r="E2236" s="1" t="s">
        <v>35</v>
      </c>
      <c r="F2236" s="1" t="n">
        <v>5</v>
      </c>
      <c r="G2236" s="15" t="n">
        <v>512.72</v>
      </c>
      <c r="H2236" s="16" t="n">
        <v>0.02</v>
      </c>
      <c r="I2236" s="1" t="s">
        <v>33</v>
      </c>
      <c r="J2236" s="1" t="n">
        <v>3</v>
      </c>
      <c r="K2236" s="1" t="n">
        <v>2.2</v>
      </c>
      <c r="L2236" s="15" t="n">
        <v>2512.33</v>
      </c>
      <c r="M2236" s="15" t="n">
        <f aca="false">F2236*G2236</f>
        <v>2563.6</v>
      </c>
      <c r="N2236" s="15" t="n">
        <f aca="false">M2236-L2236</f>
        <v>51.2700000000004</v>
      </c>
      <c r="O2236" s="1" t="n">
        <f aca="false">YEAR(B2236)</f>
        <v>2028</v>
      </c>
      <c r="P2236" s="1" t="n">
        <f aca="false">MONTH(B2236)</f>
        <v>2</v>
      </c>
      <c r="Q2236" s="1" t="str">
        <f aca="false">TEXT(B2236,"mmm")</f>
        <v>Feb</v>
      </c>
      <c r="R2236" s="1" t="str">
        <f aca="false">"Q"&amp;ROUNDUP(MONTH(B2236)/3,0)</f>
        <v>Q1</v>
      </c>
    </row>
    <row r="2237" customFormat="false" ht="15" hidden="false" customHeight="true" outlineLevel="0" collapsed="false">
      <c r="A2237" s="1" t="n">
        <v>12236</v>
      </c>
      <c r="B2237" s="14" t="n">
        <v>46797</v>
      </c>
      <c r="C2237" s="1" t="n">
        <v>1167</v>
      </c>
      <c r="D2237" s="1" t="s">
        <v>37</v>
      </c>
      <c r="E2237" s="1" t="s">
        <v>28</v>
      </c>
      <c r="F2237" s="1" t="n">
        <v>1</v>
      </c>
      <c r="G2237" s="15" t="n">
        <v>573.31</v>
      </c>
      <c r="H2237" s="16" t="n">
        <v>0.08</v>
      </c>
      <c r="I2237" s="1" t="s">
        <v>29</v>
      </c>
      <c r="J2237" s="1" t="n">
        <v>5</v>
      </c>
      <c r="K2237" s="1" t="n">
        <v>3.3</v>
      </c>
      <c r="L2237" s="15" t="n">
        <v>527.45</v>
      </c>
      <c r="M2237" s="15" t="n">
        <f aca="false">F2237*G2237</f>
        <v>573.31</v>
      </c>
      <c r="N2237" s="15" t="n">
        <f aca="false">M2237-L2237</f>
        <v>45.8599999999999</v>
      </c>
      <c r="O2237" s="1" t="n">
        <f aca="false">YEAR(B2237)</f>
        <v>2028</v>
      </c>
      <c r="P2237" s="1" t="n">
        <f aca="false">MONTH(B2237)</f>
        <v>2</v>
      </c>
      <c r="Q2237" s="1" t="str">
        <f aca="false">TEXT(B2237,"mmm")</f>
        <v>Feb</v>
      </c>
      <c r="R2237" s="1" t="str">
        <f aca="false">"Q"&amp;ROUNDUP(MONTH(B2237)/3,0)</f>
        <v>Q1</v>
      </c>
    </row>
    <row r="2238" customFormat="false" ht="15" hidden="false" customHeight="true" outlineLevel="0" collapsed="false">
      <c r="A2238" s="1" t="n">
        <v>12237</v>
      </c>
      <c r="B2238" s="14" t="n">
        <v>46798</v>
      </c>
      <c r="C2238" s="1" t="n">
        <v>1091</v>
      </c>
      <c r="D2238" s="1" t="s">
        <v>30</v>
      </c>
      <c r="E2238" s="1" t="s">
        <v>28</v>
      </c>
      <c r="F2238" s="1" t="n">
        <v>2</v>
      </c>
      <c r="G2238" s="15" t="n">
        <v>138.42</v>
      </c>
      <c r="H2238" s="16" t="n">
        <v>0.22</v>
      </c>
      <c r="I2238" s="1" t="s">
        <v>29</v>
      </c>
      <c r="J2238" s="1" t="n">
        <v>2</v>
      </c>
      <c r="K2238" s="1" t="n">
        <v>3.3</v>
      </c>
      <c r="L2238" s="15" t="n">
        <v>215.94</v>
      </c>
      <c r="M2238" s="15" t="n">
        <f aca="false">F2238*G2238</f>
        <v>276.84</v>
      </c>
      <c r="N2238" s="15" t="n">
        <f aca="false">M2238-L2238</f>
        <v>60.9</v>
      </c>
      <c r="O2238" s="1" t="n">
        <f aca="false">YEAR(B2238)</f>
        <v>2028</v>
      </c>
      <c r="P2238" s="1" t="n">
        <f aca="false">MONTH(B2238)</f>
        <v>2</v>
      </c>
      <c r="Q2238" s="1" t="str">
        <f aca="false">TEXT(B2238,"mmm")</f>
        <v>Feb</v>
      </c>
      <c r="R2238" s="1" t="str">
        <f aca="false">"Q"&amp;ROUNDUP(MONTH(B2238)/3,0)</f>
        <v>Q1</v>
      </c>
    </row>
    <row r="2239" customFormat="false" ht="15" hidden="false" customHeight="true" outlineLevel="0" collapsed="false">
      <c r="A2239" s="1" t="n">
        <v>12238</v>
      </c>
      <c r="B2239" s="14" t="n">
        <v>46799</v>
      </c>
      <c r="C2239" s="1" t="n">
        <v>1352</v>
      </c>
      <c r="D2239" s="1" t="s">
        <v>34</v>
      </c>
      <c r="E2239" s="1" t="s">
        <v>32</v>
      </c>
      <c r="F2239" s="1" t="n">
        <v>1</v>
      </c>
      <c r="G2239" s="15" t="n">
        <v>309.8</v>
      </c>
      <c r="H2239" s="16" t="n">
        <v>0.09</v>
      </c>
      <c r="I2239" s="1" t="s">
        <v>33</v>
      </c>
      <c r="J2239" s="1" t="n">
        <v>1</v>
      </c>
      <c r="K2239" s="1" t="n">
        <v>3.2</v>
      </c>
      <c r="L2239" s="15" t="n">
        <v>281.92</v>
      </c>
      <c r="M2239" s="15" t="n">
        <f aca="false">F2239*G2239</f>
        <v>309.8</v>
      </c>
      <c r="N2239" s="15" t="n">
        <f aca="false">M2239-L2239</f>
        <v>27.88</v>
      </c>
      <c r="O2239" s="1" t="n">
        <f aca="false">YEAR(B2239)</f>
        <v>2028</v>
      </c>
      <c r="P2239" s="1" t="n">
        <f aca="false">MONTH(B2239)</f>
        <v>2</v>
      </c>
      <c r="Q2239" s="1" t="str">
        <f aca="false">TEXT(B2239,"mmm")</f>
        <v>Feb</v>
      </c>
      <c r="R2239" s="1" t="str">
        <f aca="false">"Q"&amp;ROUNDUP(MONTH(B2239)/3,0)</f>
        <v>Q1</v>
      </c>
    </row>
    <row r="2240" customFormat="false" ht="15" hidden="false" customHeight="true" outlineLevel="0" collapsed="false">
      <c r="A2240" s="1" t="n">
        <v>12239</v>
      </c>
      <c r="B2240" s="14" t="n">
        <v>46800</v>
      </c>
      <c r="C2240" s="1" t="n">
        <v>1570</v>
      </c>
      <c r="D2240" s="1" t="s">
        <v>27</v>
      </c>
      <c r="E2240" s="1" t="s">
        <v>36</v>
      </c>
      <c r="F2240" s="1" t="n">
        <v>4</v>
      </c>
      <c r="G2240" s="15" t="n">
        <v>413.12</v>
      </c>
      <c r="H2240" s="16" t="n">
        <v>0.07</v>
      </c>
      <c r="I2240" s="1" t="s">
        <v>29</v>
      </c>
      <c r="J2240" s="1" t="n">
        <v>9</v>
      </c>
      <c r="K2240" s="1" t="n">
        <v>4.9</v>
      </c>
      <c r="L2240" s="15" t="n">
        <v>1536.81</v>
      </c>
      <c r="M2240" s="15" t="n">
        <f aca="false">F2240*G2240</f>
        <v>1652.48</v>
      </c>
      <c r="N2240" s="15" t="n">
        <f aca="false">M2240-L2240</f>
        <v>115.67</v>
      </c>
      <c r="O2240" s="1" t="n">
        <f aca="false">YEAR(B2240)</f>
        <v>2028</v>
      </c>
      <c r="P2240" s="1" t="n">
        <f aca="false">MONTH(B2240)</f>
        <v>2</v>
      </c>
      <c r="Q2240" s="1" t="str">
        <f aca="false">TEXT(B2240,"mmm")</f>
        <v>Feb</v>
      </c>
      <c r="R2240" s="1" t="str">
        <f aca="false">"Q"&amp;ROUNDUP(MONTH(B2240)/3,0)</f>
        <v>Q1</v>
      </c>
    </row>
    <row r="2241" customFormat="false" ht="15" hidden="false" customHeight="true" outlineLevel="0" collapsed="false">
      <c r="A2241" s="1" t="n">
        <v>12240</v>
      </c>
      <c r="B2241" s="14" t="n">
        <v>46801</v>
      </c>
      <c r="C2241" s="1" t="n">
        <v>1570</v>
      </c>
      <c r="D2241" s="1" t="s">
        <v>34</v>
      </c>
      <c r="E2241" s="1" t="s">
        <v>32</v>
      </c>
      <c r="F2241" s="1" t="n">
        <v>7</v>
      </c>
      <c r="G2241" s="15" t="n">
        <v>159.77</v>
      </c>
      <c r="H2241" s="16" t="n">
        <v>0.16</v>
      </c>
      <c r="I2241" s="1" t="s">
        <v>33</v>
      </c>
      <c r="J2241" s="1" t="n">
        <v>4</v>
      </c>
      <c r="K2241" s="1" t="n">
        <v>1</v>
      </c>
      <c r="L2241" s="15" t="n">
        <v>939.45</v>
      </c>
      <c r="M2241" s="15" t="n">
        <f aca="false">F2241*G2241</f>
        <v>1118.39</v>
      </c>
      <c r="N2241" s="15" t="n">
        <f aca="false">M2241-L2241</f>
        <v>178.94</v>
      </c>
      <c r="O2241" s="1" t="n">
        <f aca="false">YEAR(B2241)</f>
        <v>2028</v>
      </c>
      <c r="P2241" s="1" t="n">
        <f aca="false">MONTH(B2241)</f>
        <v>2</v>
      </c>
      <c r="Q2241" s="1" t="str">
        <f aca="false">TEXT(B2241,"mmm")</f>
        <v>Feb</v>
      </c>
      <c r="R2241" s="1" t="str">
        <f aca="false">"Q"&amp;ROUNDUP(MONTH(B2241)/3,0)</f>
        <v>Q1</v>
      </c>
    </row>
    <row r="2242" customFormat="false" ht="15" hidden="false" customHeight="true" outlineLevel="0" collapsed="false">
      <c r="A2242" s="1" t="n">
        <v>12241</v>
      </c>
      <c r="B2242" s="14" t="n">
        <v>46802</v>
      </c>
      <c r="C2242" s="1" t="n">
        <v>1815</v>
      </c>
      <c r="D2242" s="1" t="s">
        <v>27</v>
      </c>
      <c r="E2242" s="1" t="s">
        <v>28</v>
      </c>
      <c r="F2242" s="1" t="n">
        <v>3</v>
      </c>
      <c r="G2242" s="15" t="n">
        <v>366.28</v>
      </c>
      <c r="H2242" s="16" t="n">
        <v>0.21</v>
      </c>
      <c r="I2242" s="1" t="s">
        <v>31</v>
      </c>
      <c r="J2242" s="1" t="n">
        <v>8</v>
      </c>
      <c r="K2242" s="1" t="n">
        <v>3</v>
      </c>
      <c r="L2242" s="15" t="n">
        <v>868.08</v>
      </c>
      <c r="M2242" s="15" t="n">
        <f aca="false">F2242*G2242</f>
        <v>1098.84</v>
      </c>
      <c r="N2242" s="15" t="n">
        <f aca="false">M2242-L2242</f>
        <v>230.76</v>
      </c>
      <c r="O2242" s="1" t="n">
        <f aca="false">YEAR(B2242)</f>
        <v>2028</v>
      </c>
      <c r="P2242" s="1" t="n">
        <f aca="false">MONTH(B2242)</f>
        <v>2</v>
      </c>
      <c r="Q2242" s="1" t="str">
        <f aca="false">TEXT(B2242,"mmm")</f>
        <v>Feb</v>
      </c>
      <c r="R2242" s="1" t="str">
        <f aca="false">"Q"&amp;ROUNDUP(MONTH(B2242)/3,0)</f>
        <v>Q1</v>
      </c>
    </row>
    <row r="2243" customFormat="false" ht="15" hidden="false" customHeight="true" outlineLevel="0" collapsed="false">
      <c r="A2243" s="1" t="n">
        <v>12242</v>
      </c>
      <c r="B2243" s="14" t="n">
        <v>46803</v>
      </c>
      <c r="C2243" s="1" t="n">
        <v>1680</v>
      </c>
      <c r="D2243" s="1" t="s">
        <v>34</v>
      </c>
      <c r="E2243" s="1" t="s">
        <v>36</v>
      </c>
      <c r="F2243" s="1" t="n">
        <v>3</v>
      </c>
      <c r="G2243" s="15" t="n">
        <v>165.68</v>
      </c>
      <c r="H2243" s="16" t="n">
        <v>0.09</v>
      </c>
      <c r="I2243" s="1" t="s">
        <v>29</v>
      </c>
      <c r="J2243" s="1" t="n">
        <v>7</v>
      </c>
      <c r="K2243" s="1" t="n">
        <v>3</v>
      </c>
      <c r="L2243" s="15" t="n">
        <v>452.31</v>
      </c>
      <c r="M2243" s="15" t="n">
        <f aca="false">F2243*G2243</f>
        <v>497.04</v>
      </c>
      <c r="N2243" s="15" t="n">
        <f aca="false">M2243-L2243</f>
        <v>44.73</v>
      </c>
      <c r="O2243" s="1" t="n">
        <f aca="false">YEAR(B2243)</f>
        <v>2028</v>
      </c>
      <c r="P2243" s="1" t="n">
        <f aca="false">MONTH(B2243)</f>
        <v>2</v>
      </c>
      <c r="Q2243" s="1" t="str">
        <f aca="false">TEXT(B2243,"mmm")</f>
        <v>Feb</v>
      </c>
      <c r="R2243" s="1" t="str">
        <f aca="false">"Q"&amp;ROUNDUP(MONTH(B2243)/3,0)</f>
        <v>Q1</v>
      </c>
    </row>
    <row r="2244" customFormat="false" ht="15" hidden="false" customHeight="true" outlineLevel="0" collapsed="false">
      <c r="A2244" s="1" t="n">
        <v>12243</v>
      </c>
      <c r="B2244" s="14" t="n">
        <v>46804</v>
      </c>
      <c r="C2244" s="1" t="n">
        <v>1780</v>
      </c>
      <c r="D2244" s="1" t="s">
        <v>27</v>
      </c>
      <c r="E2244" s="1" t="s">
        <v>35</v>
      </c>
      <c r="F2244" s="1" t="n">
        <v>4</v>
      </c>
      <c r="G2244" s="15" t="n">
        <v>210.07</v>
      </c>
      <c r="H2244" s="16" t="n">
        <v>0.11</v>
      </c>
      <c r="I2244" s="1" t="s">
        <v>33</v>
      </c>
      <c r="J2244" s="1" t="n">
        <v>1</v>
      </c>
      <c r="K2244" s="1" t="n">
        <v>2.2</v>
      </c>
      <c r="L2244" s="15" t="n">
        <v>747.85</v>
      </c>
      <c r="M2244" s="15" t="n">
        <f aca="false">F2244*G2244</f>
        <v>840.28</v>
      </c>
      <c r="N2244" s="15" t="n">
        <f aca="false">M2244-L2244</f>
        <v>92.43</v>
      </c>
      <c r="O2244" s="1" t="n">
        <f aca="false">YEAR(B2244)</f>
        <v>2028</v>
      </c>
      <c r="P2244" s="1" t="n">
        <f aca="false">MONTH(B2244)</f>
        <v>2</v>
      </c>
      <c r="Q2244" s="1" t="str">
        <f aca="false">TEXT(B2244,"mmm")</f>
        <v>Feb</v>
      </c>
      <c r="R2244" s="1" t="str">
        <f aca="false">"Q"&amp;ROUNDUP(MONTH(B2244)/3,0)</f>
        <v>Q1</v>
      </c>
    </row>
    <row r="2245" customFormat="false" ht="15" hidden="false" customHeight="true" outlineLevel="0" collapsed="false">
      <c r="A2245" s="1" t="n">
        <v>12244</v>
      </c>
      <c r="B2245" s="14" t="n">
        <v>46805</v>
      </c>
      <c r="C2245" s="1" t="n">
        <v>1362</v>
      </c>
      <c r="D2245" s="1" t="s">
        <v>34</v>
      </c>
      <c r="E2245" s="1" t="s">
        <v>28</v>
      </c>
      <c r="F2245" s="1" t="n">
        <v>4</v>
      </c>
      <c r="G2245" s="15" t="n">
        <v>273.29</v>
      </c>
      <c r="H2245" s="16" t="n">
        <v>0.21</v>
      </c>
      <c r="I2245" s="1" t="s">
        <v>31</v>
      </c>
      <c r="J2245" s="1" t="n">
        <v>10</v>
      </c>
      <c r="K2245" s="1" t="n">
        <v>3.1</v>
      </c>
      <c r="L2245" s="15" t="n">
        <v>863.6</v>
      </c>
      <c r="M2245" s="15" t="n">
        <f aca="false">F2245*G2245</f>
        <v>1093.16</v>
      </c>
      <c r="N2245" s="15" t="n">
        <f aca="false">M2245-L2245</f>
        <v>229.56</v>
      </c>
      <c r="O2245" s="1" t="n">
        <f aca="false">YEAR(B2245)</f>
        <v>2028</v>
      </c>
      <c r="P2245" s="1" t="n">
        <f aca="false">MONTH(B2245)</f>
        <v>2</v>
      </c>
      <c r="Q2245" s="1" t="str">
        <f aca="false">TEXT(B2245,"mmm")</f>
        <v>Feb</v>
      </c>
      <c r="R2245" s="1" t="str">
        <f aca="false">"Q"&amp;ROUNDUP(MONTH(B2245)/3,0)</f>
        <v>Q1</v>
      </c>
    </row>
    <row r="2246" customFormat="false" ht="15" hidden="false" customHeight="true" outlineLevel="0" collapsed="false">
      <c r="A2246" s="1" t="n">
        <v>12245</v>
      </c>
      <c r="B2246" s="14" t="n">
        <v>46806</v>
      </c>
      <c r="C2246" s="1" t="n">
        <v>1556</v>
      </c>
      <c r="D2246" s="1" t="s">
        <v>30</v>
      </c>
      <c r="E2246" s="1" t="s">
        <v>35</v>
      </c>
      <c r="F2246" s="1" t="n">
        <v>7</v>
      </c>
      <c r="G2246" s="15" t="n">
        <v>324.58</v>
      </c>
      <c r="H2246" s="16" t="n">
        <v>0.33</v>
      </c>
      <c r="I2246" s="1" t="s">
        <v>33</v>
      </c>
      <c r="J2246" s="1" t="n">
        <v>11</v>
      </c>
      <c r="K2246" s="1" t="n">
        <v>3.7</v>
      </c>
      <c r="L2246" s="15" t="n">
        <v>1522.28</v>
      </c>
      <c r="M2246" s="15" t="n">
        <f aca="false">F2246*G2246</f>
        <v>2272.06</v>
      </c>
      <c r="N2246" s="15" t="n">
        <f aca="false">M2246-L2246</f>
        <v>749.78</v>
      </c>
      <c r="O2246" s="1" t="n">
        <f aca="false">YEAR(B2246)</f>
        <v>2028</v>
      </c>
      <c r="P2246" s="1" t="n">
        <f aca="false">MONTH(B2246)</f>
        <v>2</v>
      </c>
      <c r="Q2246" s="1" t="str">
        <f aca="false">TEXT(B2246,"mmm")</f>
        <v>Feb</v>
      </c>
      <c r="R2246" s="1" t="str">
        <f aca="false">"Q"&amp;ROUNDUP(MONTH(B2246)/3,0)</f>
        <v>Q1</v>
      </c>
    </row>
    <row r="2247" customFormat="false" ht="15" hidden="false" customHeight="true" outlineLevel="0" collapsed="false">
      <c r="A2247" s="1" t="n">
        <v>12246</v>
      </c>
      <c r="B2247" s="14" t="n">
        <v>46807</v>
      </c>
      <c r="C2247" s="1" t="n">
        <v>1344</v>
      </c>
      <c r="D2247" s="1" t="s">
        <v>37</v>
      </c>
      <c r="E2247" s="1" t="s">
        <v>36</v>
      </c>
      <c r="F2247" s="1" t="n">
        <v>7</v>
      </c>
      <c r="G2247" s="15" t="n">
        <v>277.88</v>
      </c>
      <c r="H2247" s="16" t="n">
        <v>0.24</v>
      </c>
      <c r="I2247" s="1" t="s">
        <v>31</v>
      </c>
      <c r="J2247" s="1" t="n">
        <v>7</v>
      </c>
      <c r="K2247" s="1" t="n">
        <v>3.7</v>
      </c>
      <c r="L2247" s="15" t="n">
        <v>1478.32</v>
      </c>
      <c r="M2247" s="15" t="n">
        <f aca="false">F2247*G2247</f>
        <v>1945.16</v>
      </c>
      <c r="N2247" s="15" t="n">
        <f aca="false">M2247-L2247</f>
        <v>466.84</v>
      </c>
      <c r="O2247" s="1" t="n">
        <f aca="false">YEAR(B2247)</f>
        <v>2028</v>
      </c>
      <c r="P2247" s="1" t="n">
        <f aca="false">MONTH(B2247)</f>
        <v>2</v>
      </c>
      <c r="Q2247" s="1" t="str">
        <f aca="false">TEXT(B2247,"mmm")</f>
        <v>Feb</v>
      </c>
      <c r="R2247" s="1" t="str">
        <f aca="false">"Q"&amp;ROUNDUP(MONTH(B2247)/3,0)</f>
        <v>Q1</v>
      </c>
    </row>
    <row r="2248" customFormat="false" ht="15" hidden="false" customHeight="true" outlineLevel="0" collapsed="false">
      <c r="A2248" s="1" t="n">
        <v>12247</v>
      </c>
      <c r="B2248" s="14" t="n">
        <v>46808</v>
      </c>
      <c r="C2248" s="1" t="n">
        <v>1692</v>
      </c>
      <c r="D2248" s="1" t="s">
        <v>27</v>
      </c>
      <c r="E2248" s="1" t="s">
        <v>35</v>
      </c>
      <c r="F2248" s="1" t="n">
        <v>3</v>
      </c>
      <c r="G2248" s="15" t="n">
        <v>303.52</v>
      </c>
      <c r="H2248" s="16" t="n">
        <v>0.27</v>
      </c>
      <c r="I2248" s="1" t="s">
        <v>31</v>
      </c>
      <c r="J2248" s="1" t="n">
        <v>2</v>
      </c>
      <c r="K2248" s="1" t="n">
        <v>1.4</v>
      </c>
      <c r="L2248" s="15" t="n">
        <v>664.71</v>
      </c>
      <c r="M2248" s="15" t="n">
        <f aca="false">F2248*G2248</f>
        <v>910.56</v>
      </c>
      <c r="N2248" s="15" t="n">
        <f aca="false">M2248-L2248</f>
        <v>245.85</v>
      </c>
      <c r="O2248" s="1" t="n">
        <f aca="false">YEAR(B2248)</f>
        <v>2028</v>
      </c>
      <c r="P2248" s="1" t="n">
        <f aca="false">MONTH(B2248)</f>
        <v>2</v>
      </c>
      <c r="Q2248" s="1" t="str">
        <f aca="false">TEXT(B2248,"mmm")</f>
        <v>Feb</v>
      </c>
      <c r="R2248" s="1" t="str">
        <f aca="false">"Q"&amp;ROUNDUP(MONTH(B2248)/3,0)</f>
        <v>Q1</v>
      </c>
    </row>
    <row r="2249" customFormat="false" ht="15" hidden="false" customHeight="true" outlineLevel="0" collapsed="false">
      <c r="A2249" s="1" t="n">
        <v>12248</v>
      </c>
      <c r="B2249" s="14" t="n">
        <v>46809</v>
      </c>
      <c r="C2249" s="1" t="n">
        <v>1169</v>
      </c>
      <c r="D2249" s="1" t="s">
        <v>27</v>
      </c>
      <c r="E2249" s="1" t="s">
        <v>28</v>
      </c>
      <c r="F2249" s="1" t="n">
        <v>7</v>
      </c>
      <c r="G2249" s="15" t="n">
        <v>189.67</v>
      </c>
      <c r="H2249" s="16" t="n">
        <v>0.13</v>
      </c>
      <c r="I2249" s="1" t="s">
        <v>33</v>
      </c>
      <c r="J2249" s="1" t="n">
        <v>3</v>
      </c>
      <c r="K2249" s="1" t="n">
        <v>4.2</v>
      </c>
      <c r="L2249" s="15" t="n">
        <v>1155.09</v>
      </c>
      <c r="M2249" s="15" t="n">
        <f aca="false">F2249*G2249</f>
        <v>1327.69</v>
      </c>
      <c r="N2249" s="15" t="n">
        <f aca="false">M2249-L2249</f>
        <v>172.6</v>
      </c>
      <c r="O2249" s="1" t="n">
        <f aca="false">YEAR(B2249)</f>
        <v>2028</v>
      </c>
      <c r="P2249" s="1" t="n">
        <f aca="false">MONTH(B2249)</f>
        <v>2</v>
      </c>
      <c r="Q2249" s="1" t="str">
        <f aca="false">TEXT(B2249,"mmm")</f>
        <v>Feb</v>
      </c>
      <c r="R2249" s="1" t="str">
        <f aca="false">"Q"&amp;ROUNDUP(MONTH(B2249)/3,0)</f>
        <v>Q1</v>
      </c>
    </row>
    <row r="2250" customFormat="false" ht="15" hidden="false" customHeight="true" outlineLevel="0" collapsed="false">
      <c r="A2250" s="1" t="n">
        <v>12249</v>
      </c>
      <c r="B2250" s="14" t="n">
        <v>46810</v>
      </c>
      <c r="C2250" s="1" t="n">
        <v>1355</v>
      </c>
      <c r="D2250" s="1" t="s">
        <v>37</v>
      </c>
      <c r="E2250" s="1" t="s">
        <v>32</v>
      </c>
      <c r="F2250" s="1" t="n">
        <v>7</v>
      </c>
      <c r="G2250" s="15" t="n">
        <v>107.99</v>
      </c>
      <c r="H2250" s="16" t="n">
        <v>0.1</v>
      </c>
      <c r="I2250" s="1" t="s">
        <v>29</v>
      </c>
      <c r="J2250" s="1" t="n">
        <v>1</v>
      </c>
      <c r="K2250" s="1" t="n">
        <v>4.7</v>
      </c>
      <c r="L2250" s="15" t="n">
        <v>680.34</v>
      </c>
      <c r="M2250" s="15" t="n">
        <f aca="false">F2250*G2250</f>
        <v>755.93</v>
      </c>
      <c r="N2250" s="15" t="n">
        <f aca="false">M2250-L2250</f>
        <v>75.5899999999999</v>
      </c>
      <c r="O2250" s="1" t="n">
        <f aca="false">YEAR(B2250)</f>
        <v>2028</v>
      </c>
      <c r="P2250" s="1" t="n">
        <f aca="false">MONTH(B2250)</f>
        <v>2</v>
      </c>
      <c r="Q2250" s="1" t="str">
        <f aca="false">TEXT(B2250,"mmm")</f>
        <v>Feb</v>
      </c>
      <c r="R2250" s="1" t="str">
        <f aca="false">"Q"&amp;ROUNDUP(MONTH(B2250)/3,0)</f>
        <v>Q1</v>
      </c>
    </row>
    <row r="2251" customFormat="false" ht="15" hidden="false" customHeight="true" outlineLevel="0" collapsed="false">
      <c r="A2251" s="1" t="n">
        <v>12250</v>
      </c>
      <c r="B2251" s="14" t="n">
        <v>46811</v>
      </c>
      <c r="C2251" s="1" t="n">
        <v>1190</v>
      </c>
      <c r="D2251" s="1" t="s">
        <v>27</v>
      </c>
      <c r="E2251" s="1" t="s">
        <v>35</v>
      </c>
      <c r="F2251" s="1" t="n">
        <v>7</v>
      </c>
      <c r="G2251" s="15" t="n">
        <v>42.7</v>
      </c>
      <c r="H2251" s="16" t="n">
        <v>0.16</v>
      </c>
      <c r="I2251" s="1" t="s">
        <v>33</v>
      </c>
      <c r="J2251" s="1" t="n">
        <v>7</v>
      </c>
      <c r="K2251" s="1" t="n">
        <v>1.5</v>
      </c>
      <c r="L2251" s="15" t="n">
        <v>251.08</v>
      </c>
      <c r="M2251" s="15" t="n">
        <f aca="false">F2251*G2251</f>
        <v>298.9</v>
      </c>
      <c r="N2251" s="15" t="n">
        <f aca="false">M2251-L2251</f>
        <v>47.82</v>
      </c>
      <c r="O2251" s="1" t="n">
        <f aca="false">YEAR(B2251)</f>
        <v>2028</v>
      </c>
      <c r="P2251" s="1" t="n">
        <f aca="false">MONTH(B2251)</f>
        <v>2</v>
      </c>
      <c r="Q2251" s="1" t="str">
        <f aca="false">TEXT(B2251,"mmm")</f>
        <v>Feb</v>
      </c>
      <c r="R2251" s="1" t="str">
        <f aca="false">"Q"&amp;ROUNDUP(MONTH(B2251)/3,0)</f>
        <v>Q1</v>
      </c>
    </row>
    <row r="2252" customFormat="false" ht="15" hidden="false" customHeight="true" outlineLevel="0" collapsed="false">
      <c r="A2252" s="1" t="n">
        <v>12251</v>
      </c>
      <c r="B2252" s="14" t="n">
        <v>46812</v>
      </c>
      <c r="C2252" s="1" t="n">
        <v>1666</v>
      </c>
      <c r="D2252" s="1" t="s">
        <v>34</v>
      </c>
      <c r="E2252" s="1" t="s">
        <v>28</v>
      </c>
      <c r="F2252" s="1" t="n">
        <v>6</v>
      </c>
      <c r="G2252" s="15" t="n">
        <v>129.65</v>
      </c>
      <c r="H2252" s="16" t="n">
        <v>0.28</v>
      </c>
      <c r="I2252" s="1" t="s">
        <v>31</v>
      </c>
      <c r="J2252" s="1" t="n">
        <v>3</v>
      </c>
      <c r="K2252" s="1" t="n">
        <v>2.7</v>
      </c>
      <c r="L2252" s="15" t="n">
        <v>560.09</v>
      </c>
      <c r="M2252" s="15" t="n">
        <f aca="false">F2252*G2252</f>
        <v>777.9</v>
      </c>
      <c r="N2252" s="15" t="n">
        <f aca="false">M2252-L2252</f>
        <v>217.81</v>
      </c>
      <c r="O2252" s="1" t="n">
        <f aca="false">YEAR(B2252)</f>
        <v>2028</v>
      </c>
      <c r="P2252" s="1" t="n">
        <f aca="false">MONTH(B2252)</f>
        <v>2</v>
      </c>
      <c r="Q2252" s="1" t="str">
        <f aca="false">TEXT(B2252,"mmm")</f>
        <v>Feb</v>
      </c>
      <c r="R2252" s="1" t="str">
        <f aca="false">"Q"&amp;ROUNDUP(MONTH(B2252)/3,0)</f>
        <v>Q1</v>
      </c>
    </row>
    <row r="2253" customFormat="false" ht="15" hidden="false" customHeight="true" outlineLevel="0" collapsed="false">
      <c r="A2253" s="1" t="n">
        <v>12252</v>
      </c>
      <c r="B2253" s="14" t="n">
        <v>46813</v>
      </c>
      <c r="C2253" s="1" t="n">
        <v>1421</v>
      </c>
      <c r="D2253" s="1" t="s">
        <v>34</v>
      </c>
      <c r="E2253" s="1" t="s">
        <v>28</v>
      </c>
      <c r="F2253" s="1" t="n">
        <v>2</v>
      </c>
      <c r="G2253" s="15" t="n">
        <v>355.44</v>
      </c>
      <c r="H2253" s="16" t="n">
        <v>0.16</v>
      </c>
      <c r="I2253" s="1" t="s">
        <v>29</v>
      </c>
      <c r="J2253" s="1" t="n">
        <v>6</v>
      </c>
      <c r="K2253" s="1" t="n">
        <v>3</v>
      </c>
      <c r="L2253" s="15" t="n">
        <v>597.14</v>
      </c>
      <c r="M2253" s="15" t="n">
        <f aca="false">F2253*G2253</f>
        <v>710.88</v>
      </c>
      <c r="N2253" s="15" t="n">
        <f aca="false">M2253-L2253</f>
        <v>113.74</v>
      </c>
      <c r="O2253" s="1" t="n">
        <f aca="false">YEAR(B2253)</f>
        <v>2028</v>
      </c>
      <c r="P2253" s="1" t="n">
        <f aca="false">MONTH(B2253)</f>
        <v>3</v>
      </c>
      <c r="Q2253" s="1" t="str">
        <f aca="false">TEXT(B2253,"mmm")</f>
        <v>Mar</v>
      </c>
      <c r="R2253" s="1" t="str">
        <f aca="false">"Q"&amp;ROUNDUP(MONTH(B2253)/3,0)</f>
        <v>Q1</v>
      </c>
    </row>
    <row r="2254" customFormat="false" ht="15" hidden="false" customHeight="true" outlineLevel="0" collapsed="false">
      <c r="A2254" s="1" t="n">
        <v>12253</v>
      </c>
      <c r="B2254" s="14" t="n">
        <v>46814</v>
      </c>
      <c r="C2254" s="1" t="n">
        <v>1699</v>
      </c>
      <c r="D2254" s="1" t="s">
        <v>34</v>
      </c>
      <c r="E2254" s="1" t="s">
        <v>36</v>
      </c>
      <c r="F2254" s="1" t="n">
        <v>7</v>
      </c>
      <c r="G2254" s="15" t="n">
        <v>474.88</v>
      </c>
      <c r="H2254" s="16" t="n">
        <v>0.3</v>
      </c>
      <c r="I2254" s="1" t="s">
        <v>31</v>
      </c>
      <c r="J2254" s="1" t="n">
        <v>7</v>
      </c>
      <c r="K2254" s="1" t="n">
        <v>1.5</v>
      </c>
      <c r="L2254" s="15" t="n">
        <v>2326.91</v>
      </c>
      <c r="M2254" s="15" t="n">
        <f aca="false">F2254*G2254</f>
        <v>3324.16</v>
      </c>
      <c r="N2254" s="15" t="n">
        <f aca="false">M2254-L2254</f>
        <v>997.25</v>
      </c>
      <c r="O2254" s="1" t="n">
        <f aca="false">YEAR(B2254)</f>
        <v>2028</v>
      </c>
      <c r="P2254" s="1" t="n">
        <f aca="false">MONTH(B2254)</f>
        <v>3</v>
      </c>
      <c r="Q2254" s="1" t="str">
        <f aca="false">TEXT(B2254,"mmm")</f>
        <v>Mar</v>
      </c>
      <c r="R2254" s="1" t="str">
        <f aca="false">"Q"&amp;ROUNDUP(MONTH(B2254)/3,0)</f>
        <v>Q1</v>
      </c>
    </row>
    <row r="2255" customFormat="false" ht="15" hidden="false" customHeight="true" outlineLevel="0" collapsed="false">
      <c r="A2255" s="1" t="n">
        <v>12254</v>
      </c>
      <c r="B2255" s="14" t="n">
        <v>46815</v>
      </c>
      <c r="C2255" s="1" t="n">
        <v>1006</v>
      </c>
      <c r="D2255" s="1" t="s">
        <v>30</v>
      </c>
      <c r="E2255" s="1" t="s">
        <v>28</v>
      </c>
      <c r="F2255" s="1" t="n">
        <v>2</v>
      </c>
      <c r="G2255" s="15" t="n">
        <v>114.01</v>
      </c>
      <c r="H2255" s="16" t="n">
        <v>0.35</v>
      </c>
      <c r="I2255" s="1" t="s">
        <v>31</v>
      </c>
      <c r="J2255" s="1" t="n">
        <v>3</v>
      </c>
      <c r="K2255" s="1" t="n">
        <v>3</v>
      </c>
      <c r="L2255" s="15" t="n">
        <v>148.21</v>
      </c>
      <c r="M2255" s="15" t="n">
        <f aca="false">F2255*G2255</f>
        <v>228.02</v>
      </c>
      <c r="N2255" s="15" t="n">
        <f aca="false">M2255-L2255</f>
        <v>79.81</v>
      </c>
      <c r="O2255" s="1" t="n">
        <f aca="false">YEAR(B2255)</f>
        <v>2028</v>
      </c>
      <c r="P2255" s="1" t="n">
        <f aca="false">MONTH(B2255)</f>
        <v>3</v>
      </c>
      <c r="Q2255" s="1" t="str">
        <f aca="false">TEXT(B2255,"mmm")</f>
        <v>Mar</v>
      </c>
      <c r="R2255" s="1" t="str">
        <f aca="false">"Q"&amp;ROUNDUP(MONTH(B2255)/3,0)</f>
        <v>Q1</v>
      </c>
    </row>
    <row r="2256" customFormat="false" ht="15" hidden="false" customHeight="true" outlineLevel="0" collapsed="false">
      <c r="A2256" s="1" t="n">
        <v>12255</v>
      </c>
      <c r="B2256" s="14" t="n">
        <v>46816</v>
      </c>
      <c r="C2256" s="1" t="n">
        <v>1132</v>
      </c>
      <c r="D2256" s="1" t="s">
        <v>30</v>
      </c>
      <c r="E2256" s="1" t="s">
        <v>32</v>
      </c>
      <c r="F2256" s="1" t="n">
        <v>2</v>
      </c>
      <c r="G2256" s="15" t="n">
        <v>78.5</v>
      </c>
      <c r="H2256" s="16" t="n">
        <v>0.03</v>
      </c>
      <c r="I2256" s="1" t="s">
        <v>31</v>
      </c>
      <c r="J2256" s="1" t="n">
        <v>2</v>
      </c>
      <c r="K2256" s="1" t="n">
        <v>1.8</v>
      </c>
      <c r="L2256" s="15" t="n">
        <v>152.29</v>
      </c>
      <c r="M2256" s="15" t="n">
        <f aca="false">F2256*G2256</f>
        <v>157</v>
      </c>
      <c r="N2256" s="15" t="n">
        <f aca="false">M2256-L2256</f>
        <v>4.71000000000001</v>
      </c>
      <c r="O2256" s="1" t="n">
        <f aca="false">YEAR(B2256)</f>
        <v>2028</v>
      </c>
      <c r="P2256" s="1" t="n">
        <f aca="false">MONTH(B2256)</f>
        <v>3</v>
      </c>
      <c r="Q2256" s="1" t="str">
        <f aca="false">TEXT(B2256,"mmm")</f>
        <v>Mar</v>
      </c>
      <c r="R2256" s="1" t="str">
        <f aca="false">"Q"&amp;ROUNDUP(MONTH(B2256)/3,0)</f>
        <v>Q1</v>
      </c>
    </row>
    <row r="2257" customFormat="false" ht="15" hidden="false" customHeight="true" outlineLevel="0" collapsed="false">
      <c r="A2257" s="1" t="n">
        <v>12256</v>
      </c>
      <c r="B2257" s="14" t="n">
        <v>46817</v>
      </c>
      <c r="C2257" s="1" t="n">
        <v>1746</v>
      </c>
      <c r="D2257" s="1" t="s">
        <v>30</v>
      </c>
      <c r="E2257" s="1" t="s">
        <v>32</v>
      </c>
      <c r="F2257" s="1" t="n">
        <v>4</v>
      </c>
      <c r="G2257" s="15" t="n">
        <v>453.33</v>
      </c>
      <c r="H2257" s="16" t="n">
        <v>0.02</v>
      </c>
      <c r="I2257" s="1" t="s">
        <v>31</v>
      </c>
      <c r="J2257" s="1" t="n">
        <v>9</v>
      </c>
      <c r="K2257" s="1" t="n">
        <v>4.7</v>
      </c>
      <c r="L2257" s="15" t="n">
        <v>1777.05</v>
      </c>
      <c r="M2257" s="15" t="n">
        <f aca="false">F2257*G2257</f>
        <v>1813.32</v>
      </c>
      <c r="N2257" s="15" t="n">
        <f aca="false">M2257-L2257</f>
        <v>36.27</v>
      </c>
      <c r="O2257" s="1" t="n">
        <f aca="false">YEAR(B2257)</f>
        <v>2028</v>
      </c>
      <c r="P2257" s="1" t="n">
        <f aca="false">MONTH(B2257)</f>
        <v>3</v>
      </c>
      <c r="Q2257" s="1" t="str">
        <f aca="false">TEXT(B2257,"mmm")</f>
        <v>Mar</v>
      </c>
      <c r="R2257" s="1" t="str">
        <f aca="false">"Q"&amp;ROUNDUP(MONTH(B2257)/3,0)</f>
        <v>Q1</v>
      </c>
    </row>
    <row r="2258" customFormat="false" ht="15" hidden="false" customHeight="true" outlineLevel="0" collapsed="false">
      <c r="A2258" s="1" t="n">
        <v>12257</v>
      </c>
      <c r="B2258" s="14" t="n">
        <v>46818</v>
      </c>
      <c r="C2258" s="1" t="n">
        <v>1556</v>
      </c>
      <c r="D2258" s="1" t="s">
        <v>34</v>
      </c>
      <c r="E2258" s="1" t="s">
        <v>35</v>
      </c>
      <c r="F2258" s="1" t="n">
        <v>7</v>
      </c>
      <c r="G2258" s="15" t="n">
        <v>193.52</v>
      </c>
      <c r="H2258" s="16" t="n">
        <v>0.05</v>
      </c>
      <c r="I2258" s="1" t="s">
        <v>31</v>
      </c>
      <c r="J2258" s="1" t="n">
        <v>9</v>
      </c>
      <c r="K2258" s="1" t="n">
        <v>2.8</v>
      </c>
      <c r="L2258" s="15" t="n">
        <v>1286.91</v>
      </c>
      <c r="M2258" s="15" t="n">
        <f aca="false">F2258*G2258</f>
        <v>1354.64</v>
      </c>
      <c r="N2258" s="15" t="n">
        <f aca="false">M2258-L2258</f>
        <v>67.73</v>
      </c>
      <c r="O2258" s="1" t="n">
        <f aca="false">YEAR(B2258)</f>
        <v>2028</v>
      </c>
      <c r="P2258" s="1" t="n">
        <f aca="false">MONTH(B2258)</f>
        <v>3</v>
      </c>
      <c r="Q2258" s="1" t="str">
        <f aca="false">TEXT(B2258,"mmm")</f>
        <v>Mar</v>
      </c>
      <c r="R2258" s="1" t="str">
        <f aca="false">"Q"&amp;ROUNDUP(MONTH(B2258)/3,0)</f>
        <v>Q1</v>
      </c>
    </row>
    <row r="2259" customFormat="false" ht="15" hidden="false" customHeight="true" outlineLevel="0" collapsed="false">
      <c r="A2259" s="1" t="n">
        <v>12258</v>
      </c>
      <c r="B2259" s="14" t="n">
        <v>46819</v>
      </c>
      <c r="C2259" s="1" t="n">
        <v>1825</v>
      </c>
      <c r="D2259" s="1" t="s">
        <v>37</v>
      </c>
      <c r="E2259" s="1" t="s">
        <v>35</v>
      </c>
      <c r="F2259" s="1" t="n">
        <v>3</v>
      </c>
      <c r="G2259" s="15" t="n">
        <v>571.63</v>
      </c>
      <c r="H2259" s="16" t="n">
        <v>0.13</v>
      </c>
      <c r="I2259" s="1" t="s">
        <v>33</v>
      </c>
      <c r="J2259" s="1" t="n">
        <v>7</v>
      </c>
      <c r="K2259" s="1" t="n">
        <v>5</v>
      </c>
      <c r="L2259" s="15" t="n">
        <v>1491.95</v>
      </c>
      <c r="M2259" s="15" t="n">
        <f aca="false">F2259*G2259</f>
        <v>1714.89</v>
      </c>
      <c r="N2259" s="15" t="n">
        <f aca="false">M2259-L2259</f>
        <v>222.94</v>
      </c>
      <c r="O2259" s="1" t="n">
        <f aca="false">YEAR(B2259)</f>
        <v>2028</v>
      </c>
      <c r="P2259" s="1" t="n">
        <f aca="false">MONTH(B2259)</f>
        <v>3</v>
      </c>
      <c r="Q2259" s="1" t="str">
        <f aca="false">TEXT(B2259,"mmm")</f>
        <v>Mar</v>
      </c>
      <c r="R2259" s="1" t="str">
        <f aca="false">"Q"&amp;ROUNDUP(MONTH(B2259)/3,0)</f>
        <v>Q1</v>
      </c>
    </row>
    <row r="2260" customFormat="false" ht="15" hidden="false" customHeight="true" outlineLevel="0" collapsed="false">
      <c r="A2260" s="1" t="n">
        <v>12259</v>
      </c>
      <c r="B2260" s="14" t="n">
        <v>46820</v>
      </c>
      <c r="C2260" s="1" t="n">
        <v>1760</v>
      </c>
      <c r="D2260" s="1" t="s">
        <v>34</v>
      </c>
      <c r="E2260" s="1" t="s">
        <v>35</v>
      </c>
      <c r="F2260" s="1" t="n">
        <v>6</v>
      </c>
      <c r="G2260" s="15" t="n">
        <v>432.88</v>
      </c>
      <c r="H2260" s="16" t="n">
        <v>0.05</v>
      </c>
      <c r="I2260" s="1" t="s">
        <v>29</v>
      </c>
      <c r="J2260" s="1" t="n">
        <v>5</v>
      </c>
      <c r="K2260" s="1" t="n">
        <v>1.2</v>
      </c>
      <c r="L2260" s="15" t="n">
        <v>2467.42</v>
      </c>
      <c r="M2260" s="15" t="n">
        <f aca="false">F2260*G2260</f>
        <v>2597.28</v>
      </c>
      <c r="N2260" s="15" t="n">
        <f aca="false">M2260-L2260</f>
        <v>129.86</v>
      </c>
      <c r="O2260" s="1" t="n">
        <f aca="false">YEAR(B2260)</f>
        <v>2028</v>
      </c>
      <c r="P2260" s="1" t="n">
        <f aca="false">MONTH(B2260)</f>
        <v>3</v>
      </c>
      <c r="Q2260" s="1" t="str">
        <f aca="false">TEXT(B2260,"mmm")</f>
        <v>Mar</v>
      </c>
      <c r="R2260" s="1" t="str">
        <f aca="false">"Q"&amp;ROUNDUP(MONTH(B2260)/3,0)</f>
        <v>Q1</v>
      </c>
    </row>
    <row r="2261" customFormat="false" ht="15" hidden="false" customHeight="true" outlineLevel="0" collapsed="false">
      <c r="A2261" s="1" t="n">
        <v>12260</v>
      </c>
      <c r="B2261" s="14" t="n">
        <v>46821</v>
      </c>
      <c r="C2261" s="1" t="n">
        <v>1030</v>
      </c>
      <c r="D2261" s="1" t="s">
        <v>34</v>
      </c>
      <c r="E2261" s="1" t="s">
        <v>35</v>
      </c>
      <c r="F2261" s="1" t="n">
        <v>3</v>
      </c>
      <c r="G2261" s="15" t="n">
        <v>206.15</v>
      </c>
      <c r="H2261" s="16" t="n">
        <v>0.3</v>
      </c>
      <c r="I2261" s="1" t="s">
        <v>29</v>
      </c>
      <c r="J2261" s="1" t="n">
        <v>4</v>
      </c>
      <c r="K2261" s="1" t="n">
        <v>1.5</v>
      </c>
      <c r="L2261" s="15" t="n">
        <v>432.92</v>
      </c>
      <c r="M2261" s="15" t="n">
        <f aca="false">F2261*G2261</f>
        <v>618.45</v>
      </c>
      <c r="N2261" s="15" t="n">
        <f aca="false">M2261-L2261</f>
        <v>185.53</v>
      </c>
      <c r="O2261" s="1" t="n">
        <f aca="false">YEAR(B2261)</f>
        <v>2028</v>
      </c>
      <c r="P2261" s="1" t="n">
        <f aca="false">MONTH(B2261)</f>
        <v>3</v>
      </c>
      <c r="Q2261" s="1" t="str">
        <f aca="false">TEXT(B2261,"mmm")</f>
        <v>Mar</v>
      </c>
      <c r="R2261" s="1" t="str">
        <f aca="false">"Q"&amp;ROUNDUP(MONTH(B2261)/3,0)</f>
        <v>Q1</v>
      </c>
    </row>
    <row r="2262" customFormat="false" ht="15" hidden="false" customHeight="true" outlineLevel="0" collapsed="false">
      <c r="A2262" s="1" t="n">
        <v>12261</v>
      </c>
      <c r="B2262" s="14" t="n">
        <v>46822</v>
      </c>
      <c r="C2262" s="1" t="n">
        <v>1534</v>
      </c>
      <c r="D2262" s="1" t="s">
        <v>30</v>
      </c>
      <c r="E2262" s="1" t="s">
        <v>32</v>
      </c>
      <c r="F2262" s="1" t="n">
        <v>7</v>
      </c>
      <c r="G2262" s="15" t="n">
        <v>184.38</v>
      </c>
      <c r="H2262" s="16" t="n">
        <v>0.01</v>
      </c>
      <c r="I2262" s="1" t="s">
        <v>29</v>
      </c>
      <c r="J2262" s="1" t="n">
        <v>4</v>
      </c>
      <c r="K2262" s="1" t="n">
        <v>2.8</v>
      </c>
      <c r="L2262" s="15" t="n">
        <v>1277.75</v>
      </c>
      <c r="M2262" s="15" t="n">
        <f aca="false">F2262*G2262</f>
        <v>1290.66</v>
      </c>
      <c r="N2262" s="15" t="n">
        <f aca="false">M2262-L2262</f>
        <v>12.9099999999999</v>
      </c>
      <c r="O2262" s="1" t="n">
        <f aca="false">YEAR(B2262)</f>
        <v>2028</v>
      </c>
      <c r="P2262" s="1" t="n">
        <f aca="false">MONTH(B2262)</f>
        <v>3</v>
      </c>
      <c r="Q2262" s="1" t="str">
        <f aca="false">TEXT(B2262,"mmm")</f>
        <v>Mar</v>
      </c>
      <c r="R2262" s="1" t="str">
        <f aca="false">"Q"&amp;ROUNDUP(MONTH(B2262)/3,0)</f>
        <v>Q1</v>
      </c>
    </row>
    <row r="2263" customFormat="false" ht="15" hidden="false" customHeight="true" outlineLevel="0" collapsed="false">
      <c r="A2263" s="1" t="n">
        <v>12262</v>
      </c>
      <c r="B2263" s="14" t="n">
        <v>46823</v>
      </c>
      <c r="C2263" s="1" t="n">
        <v>1425</v>
      </c>
      <c r="D2263" s="1" t="s">
        <v>37</v>
      </c>
      <c r="E2263" s="1" t="s">
        <v>36</v>
      </c>
      <c r="F2263" s="1" t="n">
        <v>3</v>
      </c>
      <c r="G2263" s="15" t="n">
        <v>321.36</v>
      </c>
      <c r="H2263" s="16" t="n">
        <v>0.11</v>
      </c>
      <c r="I2263" s="1" t="s">
        <v>33</v>
      </c>
      <c r="J2263" s="1" t="n">
        <v>1</v>
      </c>
      <c r="K2263" s="1" t="n">
        <v>4.5</v>
      </c>
      <c r="L2263" s="15" t="n">
        <v>858.03</v>
      </c>
      <c r="M2263" s="15" t="n">
        <f aca="false">F2263*G2263</f>
        <v>964.08</v>
      </c>
      <c r="N2263" s="15" t="n">
        <f aca="false">M2263-L2263</f>
        <v>106.05</v>
      </c>
      <c r="O2263" s="1" t="n">
        <f aca="false">YEAR(B2263)</f>
        <v>2028</v>
      </c>
      <c r="P2263" s="1" t="n">
        <f aca="false">MONTH(B2263)</f>
        <v>3</v>
      </c>
      <c r="Q2263" s="1" t="str">
        <f aca="false">TEXT(B2263,"mmm")</f>
        <v>Mar</v>
      </c>
      <c r="R2263" s="1" t="str">
        <f aca="false">"Q"&amp;ROUNDUP(MONTH(B2263)/3,0)</f>
        <v>Q1</v>
      </c>
    </row>
    <row r="2264" customFormat="false" ht="15" hidden="false" customHeight="true" outlineLevel="0" collapsed="false">
      <c r="A2264" s="1" t="n">
        <v>12263</v>
      </c>
      <c r="B2264" s="14" t="n">
        <v>46824</v>
      </c>
      <c r="C2264" s="1" t="n">
        <v>1393</v>
      </c>
      <c r="D2264" s="1" t="s">
        <v>37</v>
      </c>
      <c r="E2264" s="1" t="s">
        <v>35</v>
      </c>
      <c r="F2264" s="1" t="n">
        <v>7</v>
      </c>
      <c r="G2264" s="15" t="n">
        <v>61.3</v>
      </c>
      <c r="H2264" s="16" t="n">
        <v>0.06</v>
      </c>
      <c r="I2264" s="1" t="s">
        <v>33</v>
      </c>
      <c r="J2264" s="1" t="n">
        <v>4</v>
      </c>
      <c r="K2264" s="1" t="n">
        <v>3.2</v>
      </c>
      <c r="L2264" s="15" t="n">
        <v>403.35</v>
      </c>
      <c r="M2264" s="15" t="n">
        <f aca="false">F2264*G2264</f>
        <v>429.1</v>
      </c>
      <c r="N2264" s="15" t="n">
        <f aca="false">M2264-L2264</f>
        <v>25.7499999999999</v>
      </c>
      <c r="O2264" s="1" t="n">
        <f aca="false">YEAR(B2264)</f>
        <v>2028</v>
      </c>
      <c r="P2264" s="1" t="n">
        <f aca="false">MONTH(B2264)</f>
        <v>3</v>
      </c>
      <c r="Q2264" s="1" t="str">
        <f aca="false">TEXT(B2264,"mmm")</f>
        <v>Mar</v>
      </c>
      <c r="R2264" s="1" t="str">
        <f aca="false">"Q"&amp;ROUNDUP(MONTH(B2264)/3,0)</f>
        <v>Q1</v>
      </c>
    </row>
    <row r="2265" customFormat="false" ht="15" hidden="false" customHeight="true" outlineLevel="0" collapsed="false">
      <c r="A2265" s="1" t="n">
        <v>12264</v>
      </c>
      <c r="B2265" s="14" t="n">
        <v>46825</v>
      </c>
      <c r="C2265" s="1" t="n">
        <v>1671</v>
      </c>
      <c r="D2265" s="1" t="s">
        <v>30</v>
      </c>
      <c r="E2265" s="1" t="s">
        <v>36</v>
      </c>
      <c r="F2265" s="1" t="n">
        <v>6</v>
      </c>
      <c r="G2265" s="15" t="n">
        <v>83.84</v>
      </c>
      <c r="H2265" s="16" t="n">
        <v>0.33</v>
      </c>
      <c r="I2265" s="1" t="s">
        <v>29</v>
      </c>
      <c r="J2265" s="1" t="n">
        <v>7</v>
      </c>
      <c r="K2265" s="1" t="n">
        <v>3.9</v>
      </c>
      <c r="L2265" s="15" t="n">
        <v>337.04</v>
      </c>
      <c r="M2265" s="15" t="n">
        <f aca="false">F2265*G2265</f>
        <v>503.04</v>
      </c>
      <c r="N2265" s="15" t="n">
        <f aca="false">M2265-L2265</f>
        <v>166</v>
      </c>
      <c r="O2265" s="1" t="n">
        <f aca="false">YEAR(B2265)</f>
        <v>2028</v>
      </c>
      <c r="P2265" s="1" t="n">
        <f aca="false">MONTH(B2265)</f>
        <v>3</v>
      </c>
      <c r="Q2265" s="1" t="str">
        <f aca="false">TEXT(B2265,"mmm")</f>
        <v>Mar</v>
      </c>
      <c r="R2265" s="1" t="str">
        <f aca="false">"Q"&amp;ROUNDUP(MONTH(B2265)/3,0)</f>
        <v>Q1</v>
      </c>
    </row>
    <row r="2266" customFormat="false" ht="15" hidden="false" customHeight="true" outlineLevel="0" collapsed="false">
      <c r="A2266" s="1" t="n">
        <v>12265</v>
      </c>
      <c r="B2266" s="14" t="n">
        <v>46826</v>
      </c>
      <c r="C2266" s="1" t="n">
        <v>1362</v>
      </c>
      <c r="D2266" s="1" t="s">
        <v>34</v>
      </c>
      <c r="E2266" s="1" t="s">
        <v>28</v>
      </c>
      <c r="F2266" s="1" t="n">
        <v>1</v>
      </c>
      <c r="G2266" s="15" t="n">
        <v>117.88</v>
      </c>
      <c r="H2266" s="16" t="n">
        <v>0.23</v>
      </c>
      <c r="I2266" s="1" t="s">
        <v>33</v>
      </c>
      <c r="J2266" s="1" t="n">
        <v>5</v>
      </c>
      <c r="K2266" s="1" t="n">
        <v>2.7</v>
      </c>
      <c r="L2266" s="15" t="n">
        <v>90.77</v>
      </c>
      <c r="M2266" s="15" t="n">
        <f aca="false">F2266*G2266</f>
        <v>117.88</v>
      </c>
      <c r="N2266" s="15" t="n">
        <f aca="false">M2266-L2266</f>
        <v>27.11</v>
      </c>
      <c r="O2266" s="1" t="n">
        <f aca="false">YEAR(B2266)</f>
        <v>2028</v>
      </c>
      <c r="P2266" s="1" t="n">
        <f aca="false">MONTH(B2266)</f>
        <v>3</v>
      </c>
      <c r="Q2266" s="1" t="str">
        <f aca="false">TEXT(B2266,"mmm")</f>
        <v>Mar</v>
      </c>
      <c r="R2266" s="1" t="str">
        <f aca="false">"Q"&amp;ROUNDUP(MONTH(B2266)/3,0)</f>
        <v>Q1</v>
      </c>
    </row>
    <row r="2267" customFormat="false" ht="15" hidden="false" customHeight="true" outlineLevel="0" collapsed="false">
      <c r="A2267" s="1" t="n">
        <v>12266</v>
      </c>
      <c r="B2267" s="14" t="n">
        <v>46827</v>
      </c>
      <c r="C2267" s="1" t="n">
        <v>1436</v>
      </c>
      <c r="D2267" s="1" t="s">
        <v>30</v>
      </c>
      <c r="E2267" s="1" t="s">
        <v>28</v>
      </c>
      <c r="F2267" s="1" t="n">
        <v>6</v>
      </c>
      <c r="G2267" s="15" t="n">
        <v>468.21</v>
      </c>
      <c r="H2267" s="16" t="n">
        <v>0.32</v>
      </c>
      <c r="I2267" s="1" t="s">
        <v>33</v>
      </c>
      <c r="J2267" s="1" t="n">
        <v>9</v>
      </c>
      <c r="K2267" s="1" t="n">
        <v>1.2</v>
      </c>
      <c r="L2267" s="15" t="n">
        <v>1910.3</v>
      </c>
      <c r="M2267" s="15" t="n">
        <f aca="false">F2267*G2267</f>
        <v>2809.26</v>
      </c>
      <c r="N2267" s="15" t="n">
        <f aca="false">M2267-L2267</f>
        <v>898.96</v>
      </c>
      <c r="O2267" s="1" t="n">
        <f aca="false">YEAR(B2267)</f>
        <v>2028</v>
      </c>
      <c r="P2267" s="1" t="n">
        <f aca="false">MONTH(B2267)</f>
        <v>3</v>
      </c>
      <c r="Q2267" s="1" t="str">
        <f aca="false">TEXT(B2267,"mmm")</f>
        <v>Mar</v>
      </c>
      <c r="R2267" s="1" t="str">
        <f aca="false">"Q"&amp;ROUNDUP(MONTH(B2267)/3,0)</f>
        <v>Q1</v>
      </c>
    </row>
    <row r="2268" customFormat="false" ht="15" hidden="false" customHeight="true" outlineLevel="0" collapsed="false">
      <c r="A2268" s="1" t="n">
        <v>12267</v>
      </c>
      <c r="B2268" s="14" t="n">
        <v>46828</v>
      </c>
      <c r="C2268" s="1" t="n">
        <v>1669</v>
      </c>
      <c r="D2268" s="1" t="s">
        <v>34</v>
      </c>
      <c r="E2268" s="1" t="s">
        <v>35</v>
      </c>
      <c r="F2268" s="1" t="n">
        <v>1</v>
      </c>
      <c r="G2268" s="15" t="n">
        <v>315.61</v>
      </c>
      <c r="H2268" s="16" t="n">
        <v>0.34</v>
      </c>
      <c r="I2268" s="1" t="s">
        <v>33</v>
      </c>
      <c r="J2268" s="1" t="n">
        <v>4</v>
      </c>
      <c r="K2268" s="1" t="n">
        <v>3.6</v>
      </c>
      <c r="L2268" s="15" t="n">
        <v>208.3</v>
      </c>
      <c r="M2268" s="15" t="n">
        <f aca="false">F2268*G2268</f>
        <v>315.61</v>
      </c>
      <c r="N2268" s="15" t="n">
        <f aca="false">M2268-L2268</f>
        <v>107.31</v>
      </c>
      <c r="O2268" s="1" t="n">
        <f aca="false">YEAR(B2268)</f>
        <v>2028</v>
      </c>
      <c r="P2268" s="1" t="n">
        <f aca="false">MONTH(B2268)</f>
        <v>3</v>
      </c>
      <c r="Q2268" s="1" t="str">
        <f aca="false">TEXT(B2268,"mmm")</f>
        <v>Mar</v>
      </c>
      <c r="R2268" s="1" t="str">
        <f aca="false">"Q"&amp;ROUNDUP(MONTH(B2268)/3,0)</f>
        <v>Q1</v>
      </c>
    </row>
    <row r="2269" customFormat="false" ht="15" hidden="false" customHeight="true" outlineLevel="0" collapsed="false">
      <c r="A2269" s="1" t="n">
        <v>12268</v>
      </c>
      <c r="B2269" s="14" t="n">
        <v>46829</v>
      </c>
      <c r="C2269" s="1" t="n">
        <v>1550</v>
      </c>
      <c r="D2269" s="1" t="s">
        <v>30</v>
      </c>
      <c r="E2269" s="1" t="s">
        <v>28</v>
      </c>
      <c r="F2269" s="1" t="n">
        <v>5</v>
      </c>
      <c r="G2269" s="15" t="n">
        <v>21.18</v>
      </c>
      <c r="H2269" s="16" t="n">
        <v>0.17</v>
      </c>
      <c r="I2269" s="1" t="s">
        <v>31</v>
      </c>
      <c r="J2269" s="1" t="n">
        <v>11</v>
      </c>
      <c r="K2269" s="1" t="n">
        <v>3.5</v>
      </c>
      <c r="L2269" s="15" t="n">
        <v>87.9</v>
      </c>
      <c r="M2269" s="15" t="n">
        <f aca="false">F2269*G2269</f>
        <v>105.9</v>
      </c>
      <c r="N2269" s="15" t="n">
        <f aca="false">M2269-L2269</f>
        <v>18</v>
      </c>
      <c r="O2269" s="1" t="n">
        <f aca="false">YEAR(B2269)</f>
        <v>2028</v>
      </c>
      <c r="P2269" s="1" t="n">
        <f aca="false">MONTH(B2269)</f>
        <v>3</v>
      </c>
      <c r="Q2269" s="1" t="str">
        <f aca="false">TEXT(B2269,"mmm")</f>
        <v>Mar</v>
      </c>
      <c r="R2269" s="1" t="str">
        <f aca="false">"Q"&amp;ROUNDUP(MONTH(B2269)/3,0)</f>
        <v>Q1</v>
      </c>
    </row>
    <row r="2270" customFormat="false" ht="15" hidden="false" customHeight="true" outlineLevel="0" collapsed="false">
      <c r="A2270" s="1" t="n">
        <v>12269</v>
      </c>
      <c r="B2270" s="14" t="n">
        <v>46830</v>
      </c>
      <c r="C2270" s="1" t="n">
        <v>1926</v>
      </c>
      <c r="D2270" s="1" t="s">
        <v>30</v>
      </c>
      <c r="E2270" s="1" t="s">
        <v>36</v>
      </c>
      <c r="F2270" s="1" t="n">
        <v>1</v>
      </c>
      <c r="G2270" s="15" t="n">
        <v>409.01</v>
      </c>
      <c r="H2270" s="16" t="n">
        <v>0.08</v>
      </c>
      <c r="I2270" s="1" t="s">
        <v>33</v>
      </c>
      <c r="J2270" s="1" t="n">
        <v>3</v>
      </c>
      <c r="K2270" s="1" t="n">
        <v>1.3</v>
      </c>
      <c r="L2270" s="15" t="n">
        <v>376.29</v>
      </c>
      <c r="M2270" s="15" t="n">
        <f aca="false">F2270*G2270</f>
        <v>409.01</v>
      </c>
      <c r="N2270" s="15" t="n">
        <f aca="false">M2270-L2270</f>
        <v>32.72</v>
      </c>
      <c r="O2270" s="1" t="n">
        <f aca="false">YEAR(B2270)</f>
        <v>2028</v>
      </c>
      <c r="P2270" s="1" t="n">
        <f aca="false">MONTH(B2270)</f>
        <v>3</v>
      </c>
      <c r="Q2270" s="1" t="str">
        <f aca="false">TEXT(B2270,"mmm")</f>
        <v>Mar</v>
      </c>
      <c r="R2270" s="1" t="str">
        <f aca="false">"Q"&amp;ROUNDUP(MONTH(B2270)/3,0)</f>
        <v>Q1</v>
      </c>
    </row>
    <row r="2271" customFormat="false" ht="15" hidden="false" customHeight="true" outlineLevel="0" collapsed="false">
      <c r="A2271" s="1" t="n">
        <v>12270</v>
      </c>
      <c r="B2271" s="14" t="n">
        <v>46831</v>
      </c>
      <c r="C2271" s="1" t="n">
        <v>1081</v>
      </c>
      <c r="D2271" s="1" t="s">
        <v>34</v>
      </c>
      <c r="E2271" s="1" t="s">
        <v>36</v>
      </c>
      <c r="F2271" s="1" t="n">
        <v>2</v>
      </c>
      <c r="G2271" s="15" t="n">
        <v>262.86</v>
      </c>
      <c r="H2271" s="16" t="n">
        <v>0.07</v>
      </c>
      <c r="I2271" s="1" t="s">
        <v>33</v>
      </c>
      <c r="J2271" s="1" t="n">
        <v>6</v>
      </c>
      <c r="K2271" s="1" t="n">
        <v>1.7</v>
      </c>
      <c r="L2271" s="15" t="n">
        <v>488.92</v>
      </c>
      <c r="M2271" s="15" t="n">
        <f aca="false">F2271*G2271</f>
        <v>525.72</v>
      </c>
      <c r="N2271" s="15" t="n">
        <f aca="false">M2271-L2271</f>
        <v>36.8</v>
      </c>
      <c r="O2271" s="1" t="n">
        <f aca="false">YEAR(B2271)</f>
        <v>2028</v>
      </c>
      <c r="P2271" s="1" t="n">
        <f aca="false">MONTH(B2271)</f>
        <v>3</v>
      </c>
      <c r="Q2271" s="1" t="str">
        <f aca="false">TEXT(B2271,"mmm")</f>
        <v>Mar</v>
      </c>
      <c r="R2271" s="1" t="str">
        <f aca="false">"Q"&amp;ROUNDUP(MONTH(B2271)/3,0)</f>
        <v>Q1</v>
      </c>
    </row>
    <row r="2272" customFormat="false" ht="15" hidden="false" customHeight="true" outlineLevel="0" collapsed="false">
      <c r="A2272" s="1" t="n">
        <v>12271</v>
      </c>
      <c r="B2272" s="14" t="n">
        <v>46832</v>
      </c>
      <c r="C2272" s="1" t="n">
        <v>1355</v>
      </c>
      <c r="D2272" s="1" t="s">
        <v>34</v>
      </c>
      <c r="E2272" s="1" t="s">
        <v>28</v>
      </c>
      <c r="F2272" s="1" t="n">
        <v>2</v>
      </c>
      <c r="G2272" s="15" t="n">
        <v>313.85</v>
      </c>
      <c r="H2272" s="16" t="n">
        <v>0.08</v>
      </c>
      <c r="I2272" s="1" t="s">
        <v>33</v>
      </c>
      <c r="J2272" s="1" t="n">
        <v>4</v>
      </c>
      <c r="K2272" s="1" t="n">
        <v>2.9</v>
      </c>
      <c r="L2272" s="15" t="n">
        <v>577.48</v>
      </c>
      <c r="M2272" s="15" t="n">
        <f aca="false">F2272*G2272</f>
        <v>627.7</v>
      </c>
      <c r="N2272" s="15" t="n">
        <f aca="false">M2272-L2272</f>
        <v>50.22</v>
      </c>
      <c r="O2272" s="1" t="n">
        <f aca="false">YEAR(B2272)</f>
        <v>2028</v>
      </c>
      <c r="P2272" s="1" t="n">
        <f aca="false">MONTH(B2272)</f>
        <v>3</v>
      </c>
      <c r="Q2272" s="1" t="str">
        <f aca="false">TEXT(B2272,"mmm")</f>
        <v>Mar</v>
      </c>
      <c r="R2272" s="1" t="str">
        <f aca="false">"Q"&amp;ROUNDUP(MONTH(B2272)/3,0)</f>
        <v>Q1</v>
      </c>
    </row>
    <row r="2273" customFormat="false" ht="15" hidden="false" customHeight="true" outlineLevel="0" collapsed="false">
      <c r="A2273" s="1" t="n">
        <v>12272</v>
      </c>
      <c r="B2273" s="14" t="n">
        <v>46833</v>
      </c>
      <c r="C2273" s="1" t="n">
        <v>1257</v>
      </c>
      <c r="D2273" s="1" t="s">
        <v>27</v>
      </c>
      <c r="E2273" s="1" t="s">
        <v>35</v>
      </c>
      <c r="F2273" s="1" t="n">
        <v>6</v>
      </c>
      <c r="G2273" s="15" t="n">
        <v>140.26</v>
      </c>
      <c r="H2273" s="16" t="n">
        <v>0.25</v>
      </c>
      <c r="I2273" s="1" t="s">
        <v>31</v>
      </c>
      <c r="J2273" s="1" t="n">
        <v>11</v>
      </c>
      <c r="K2273" s="1" t="n">
        <v>2.8</v>
      </c>
      <c r="L2273" s="15" t="n">
        <v>631.17</v>
      </c>
      <c r="M2273" s="15" t="n">
        <f aca="false">F2273*G2273</f>
        <v>841.56</v>
      </c>
      <c r="N2273" s="15" t="n">
        <f aca="false">M2273-L2273</f>
        <v>210.39</v>
      </c>
      <c r="O2273" s="1" t="n">
        <f aca="false">YEAR(B2273)</f>
        <v>2028</v>
      </c>
      <c r="P2273" s="1" t="n">
        <f aca="false">MONTH(B2273)</f>
        <v>3</v>
      </c>
      <c r="Q2273" s="1" t="str">
        <f aca="false">TEXT(B2273,"mmm")</f>
        <v>Mar</v>
      </c>
      <c r="R2273" s="1" t="str">
        <f aca="false">"Q"&amp;ROUNDUP(MONTH(B2273)/3,0)</f>
        <v>Q1</v>
      </c>
    </row>
    <row r="2274" customFormat="false" ht="15" hidden="false" customHeight="true" outlineLevel="0" collapsed="false">
      <c r="A2274" s="1" t="n">
        <v>12273</v>
      </c>
      <c r="B2274" s="14" t="n">
        <v>46834</v>
      </c>
      <c r="C2274" s="1" t="n">
        <v>1717</v>
      </c>
      <c r="D2274" s="1" t="s">
        <v>27</v>
      </c>
      <c r="E2274" s="1" t="s">
        <v>36</v>
      </c>
      <c r="F2274" s="1" t="n">
        <v>2</v>
      </c>
      <c r="G2274" s="15" t="n">
        <v>337.79</v>
      </c>
      <c r="H2274" s="16" t="n">
        <v>0.01</v>
      </c>
      <c r="I2274" s="1" t="s">
        <v>33</v>
      </c>
      <c r="J2274" s="1" t="n">
        <v>2</v>
      </c>
      <c r="K2274" s="1" t="n">
        <v>4</v>
      </c>
      <c r="L2274" s="15" t="n">
        <v>668.82</v>
      </c>
      <c r="M2274" s="15" t="n">
        <f aca="false">F2274*G2274</f>
        <v>675.58</v>
      </c>
      <c r="N2274" s="15" t="n">
        <f aca="false">M2274-L2274</f>
        <v>6.75999999999999</v>
      </c>
      <c r="O2274" s="1" t="n">
        <f aca="false">YEAR(B2274)</f>
        <v>2028</v>
      </c>
      <c r="P2274" s="1" t="n">
        <f aca="false">MONTH(B2274)</f>
        <v>3</v>
      </c>
      <c r="Q2274" s="1" t="str">
        <f aca="false">TEXT(B2274,"mmm")</f>
        <v>Mar</v>
      </c>
      <c r="R2274" s="1" t="str">
        <f aca="false">"Q"&amp;ROUNDUP(MONTH(B2274)/3,0)</f>
        <v>Q1</v>
      </c>
    </row>
    <row r="2275" customFormat="false" ht="15" hidden="false" customHeight="true" outlineLevel="0" collapsed="false">
      <c r="A2275" s="1" t="n">
        <v>12274</v>
      </c>
      <c r="B2275" s="14" t="n">
        <v>46835</v>
      </c>
      <c r="C2275" s="1" t="n">
        <v>1588</v>
      </c>
      <c r="D2275" s="1" t="s">
        <v>30</v>
      </c>
      <c r="E2275" s="1" t="s">
        <v>36</v>
      </c>
      <c r="F2275" s="1" t="n">
        <v>2</v>
      </c>
      <c r="G2275" s="15" t="n">
        <v>587.8</v>
      </c>
      <c r="H2275" s="16" t="n">
        <v>0.02</v>
      </c>
      <c r="I2275" s="1" t="s">
        <v>29</v>
      </c>
      <c r="J2275" s="1" t="n">
        <v>5</v>
      </c>
      <c r="K2275" s="1" t="n">
        <v>2.5</v>
      </c>
      <c r="L2275" s="15" t="n">
        <v>1152.09</v>
      </c>
      <c r="M2275" s="15" t="n">
        <f aca="false">F2275*G2275</f>
        <v>1175.6</v>
      </c>
      <c r="N2275" s="15" t="n">
        <f aca="false">M2275-L2275</f>
        <v>23.51</v>
      </c>
      <c r="O2275" s="1" t="n">
        <f aca="false">YEAR(B2275)</f>
        <v>2028</v>
      </c>
      <c r="P2275" s="1" t="n">
        <f aca="false">MONTH(B2275)</f>
        <v>3</v>
      </c>
      <c r="Q2275" s="1" t="str">
        <f aca="false">TEXT(B2275,"mmm")</f>
        <v>Mar</v>
      </c>
      <c r="R2275" s="1" t="str">
        <f aca="false">"Q"&amp;ROUNDUP(MONTH(B2275)/3,0)</f>
        <v>Q1</v>
      </c>
    </row>
    <row r="2276" customFormat="false" ht="15" hidden="false" customHeight="true" outlineLevel="0" collapsed="false">
      <c r="A2276" s="1" t="n">
        <v>12275</v>
      </c>
      <c r="B2276" s="14" t="n">
        <v>46836</v>
      </c>
      <c r="C2276" s="1" t="n">
        <v>1988</v>
      </c>
      <c r="D2276" s="1" t="s">
        <v>34</v>
      </c>
      <c r="E2276" s="1" t="s">
        <v>32</v>
      </c>
      <c r="F2276" s="1" t="n">
        <v>5</v>
      </c>
      <c r="G2276" s="15" t="n">
        <v>57.97</v>
      </c>
      <c r="H2276" s="16" t="n">
        <v>0.21</v>
      </c>
      <c r="I2276" s="1" t="s">
        <v>29</v>
      </c>
      <c r="J2276" s="1" t="n">
        <v>4</v>
      </c>
      <c r="K2276" s="1" t="n">
        <v>3.7</v>
      </c>
      <c r="L2276" s="15" t="n">
        <v>228.98</v>
      </c>
      <c r="M2276" s="15" t="n">
        <f aca="false">F2276*G2276</f>
        <v>289.85</v>
      </c>
      <c r="N2276" s="15" t="n">
        <f aca="false">M2276-L2276</f>
        <v>60.87</v>
      </c>
      <c r="O2276" s="1" t="n">
        <f aca="false">YEAR(B2276)</f>
        <v>2028</v>
      </c>
      <c r="P2276" s="1" t="n">
        <f aca="false">MONTH(B2276)</f>
        <v>3</v>
      </c>
      <c r="Q2276" s="1" t="str">
        <f aca="false">TEXT(B2276,"mmm")</f>
        <v>Mar</v>
      </c>
      <c r="R2276" s="1" t="str">
        <f aca="false">"Q"&amp;ROUNDUP(MONTH(B2276)/3,0)</f>
        <v>Q1</v>
      </c>
    </row>
    <row r="2277" customFormat="false" ht="15" hidden="false" customHeight="true" outlineLevel="0" collapsed="false">
      <c r="A2277" s="1" t="n">
        <v>12276</v>
      </c>
      <c r="B2277" s="14" t="n">
        <v>46837</v>
      </c>
      <c r="C2277" s="1" t="n">
        <v>1523</v>
      </c>
      <c r="D2277" s="1" t="s">
        <v>34</v>
      </c>
      <c r="E2277" s="1" t="s">
        <v>35</v>
      </c>
      <c r="F2277" s="1" t="n">
        <v>2</v>
      </c>
      <c r="G2277" s="15" t="n">
        <v>181.09</v>
      </c>
      <c r="H2277" s="16" t="n">
        <v>0.22</v>
      </c>
      <c r="I2277" s="1" t="s">
        <v>31</v>
      </c>
      <c r="J2277" s="1" t="n">
        <v>5</v>
      </c>
      <c r="K2277" s="1" t="n">
        <v>3.8</v>
      </c>
      <c r="L2277" s="15" t="n">
        <v>282.5</v>
      </c>
      <c r="M2277" s="15" t="n">
        <f aca="false">F2277*G2277</f>
        <v>362.18</v>
      </c>
      <c r="N2277" s="15" t="n">
        <f aca="false">M2277-L2277</f>
        <v>79.68</v>
      </c>
      <c r="O2277" s="1" t="n">
        <f aca="false">YEAR(B2277)</f>
        <v>2028</v>
      </c>
      <c r="P2277" s="1" t="n">
        <f aca="false">MONTH(B2277)</f>
        <v>3</v>
      </c>
      <c r="Q2277" s="1" t="str">
        <f aca="false">TEXT(B2277,"mmm")</f>
        <v>Mar</v>
      </c>
      <c r="R2277" s="1" t="str">
        <f aca="false">"Q"&amp;ROUNDUP(MONTH(B2277)/3,0)</f>
        <v>Q1</v>
      </c>
    </row>
    <row r="2278" customFormat="false" ht="15" hidden="false" customHeight="true" outlineLevel="0" collapsed="false">
      <c r="A2278" s="1" t="n">
        <v>12277</v>
      </c>
      <c r="B2278" s="14" t="n">
        <v>46838</v>
      </c>
      <c r="C2278" s="1" t="n">
        <v>1294</v>
      </c>
      <c r="D2278" s="1" t="s">
        <v>30</v>
      </c>
      <c r="E2278" s="1" t="s">
        <v>32</v>
      </c>
      <c r="F2278" s="1" t="n">
        <v>4</v>
      </c>
      <c r="G2278" s="15" t="n">
        <v>157.15</v>
      </c>
      <c r="H2278" s="16" t="n">
        <v>0.23</v>
      </c>
      <c r="I2278" s="1" t="s">
        <v>31</v>
      </c>
      <c r="J2278" s="1" t="n">
        <v>9</v>
      </c>
      <c r="K2278" s="1" t="n">
        <v>3.6</v>
      </c>
      <c r="L2278" s="15" t="n">
        <v>484.02</v>
      </c>
      <c r="M2278" s="15" t="n">
        <f aca="false">F2278*G2278</f>
        <v>628.6</v>
      </c>
      <c r="N2278" s="15" t="n">
        <f aca="false">M2278-L2278</f>
        <v>144.58</v>
      </c>
      <c r="O2278" s="1" t="n">
        <f aca="false">YEAR(B2278)</f>
        <v>2028</v>
      </c>
      <c r="P2278" s="1" t="n">
        <f aca="false">MONTH(B2278)</f>
        <v>3</v>
      </c>
      <c r="Q2278" s="1" t="str">
        <f aca="false">TEXT(B2278,"mmm")</f>
        <v>Mar</v>
      </c>
      <c r="R2278" s="1" t="str">
        <f aca="false">"Q"&amp;ROUNDUP(MONTH(B2278)/3,0)</f>
        <v>Q1</v>
      </c>
    </row>
    <row r="2279" customFormat="false" ht="15" hidden="false" customHeight="true" outlineLevel="0" collapsed="false">
      <c r="A2279" s="1" t="n">
        <v>12278</v>
      </c>
      <c r="B2279" s="14" t="n">
        <v>46839</v>
      </c>
      <c r="C2279" s="1" t="n">
        <v>1961</v>
      </c>
      <c r="D2279" s="1" t="s">
        <v>27</v>
      </c>
      <c r="E2279" s="1" t="s">
        <v>28</v>
      </c>
      <c r="F2279" s="1" t="n">
        <v>4</v>
      </c>
      <c r="G2279" s="15" t="n">
        <v>160.4</v>
      </c>
      <c r="H2279" s="16" t="n">
        <v>0.13</v>
      </c>
      <c r="I2279" s="1" t="s">
        <v>33</v>
      </c>
      <c r="J2279" s="1" t="n">
        <v>4</v>
      </c>
      <c r="K2279" s="1" t="n">
        <v>3.4</v>
      </c>
      <c r="L2279" s="15" t="n">
        <v>558.19</v>
      </c>
      <c r="M2279" s="15" t="n">
        <f aca="false">F2279*G2279</f>
        <v>641.6</v>
      </c>
      <c r="N2279" s="15" t="n">
        <f aca="false">M2279-L2279</f>
        <v>83.41</v>
      </c>
      <c r="O2279" s="1" t="n">
        <f aca="false">YEAR(B2279)</f>
        <v>2028</v>
      </c>
      <c r="P2279" s="1" t="n">
        <f aca="false">MONTH(B2279)</f>
        <v>3</v>
      </c>
      <c r="Q2279" s="1" t="str">
        <f aca="false">TEXT(B2279,"mmm")</f>
        <v>Mar</v>
      </c>
      <c r="R2279" s="1" t="str">
        <f aca="false">"Q"&amp;ROUNDUP(MONTH(B2279)/3,0)</f>
        <v>Q1</v>
      </c>
    </row>
    <row r="2280" customFormat="false" ht="15" hidden="false" customHeight="true" outlineLevel="0" collapsed="false">
      <c r="A2280" s="1" t="n">
        <v>12279</v>
      </c>
      <c r="B2280" s="14" t="n">
        <v>46840</v>
      </c>
      <c r="C2280" s="1" t="n">
        <v>1223</v>
      </c>
      <c r="D2280" s="1" t="s">
        <v>34</v>
      </c>
      <c r="E2280" s="1" t="s">
        <v>28</v>
      </c>
      <c r="F2280" s="1" t="n">
        <v>4</v>
      </c>
      <c r="G2280" s="15" t="n">
        <v>236.54</v>
      </c>
      <c r="H2280" s="16" t="n">
        <v>0.28</v>
      </c>
      <c r="I2280" s="1" t="s">
        <v>31</v>
      </c>
      <c r="J2280" s="1" t="n">
        <v>6</v>
      </c>
      <c r="K2280" s="1" t="n">
        <v>4.2</v>
      </c>
      <c r="L2280" s="15" t="n">
        <v>681.24</v>
      </c>
      <c r="M2280" s="15" t="n">
        <f aca="false">F2280*G2280</f>
        <v>946.16</v>
      </c>
      <c r="N2280" s="15" t="n">
        <f aca="false">M2280-L2280</f>
        <v>264.92</v>
      </c>
      <c r="O2280" s="1" t="n">
        <f aca="false">YEAR(B2280)</f>
        <v>2028</v>
      </c>
      <c r="P2280" s="1" t="n">
        <f aca="false">MONTH(B2280)</f>
        <v>3</v>
      </c>
      <c r="Q2280" s="1" t="str">
        <f aca="false">TEXT(B2280,"mmm")</f>
        <v>Mar</v>
      </c>
      <c r="R2280" s="1" t="str">
        <f aca="false">"Q"&amp;ROUNDUP(MONTH(B2280)/3,0)</f>
        <v>Q1</v>
      </c>
    </row>
    <row r="2281" customFormat="false" ht="15" hidden="false" customHeight="true" outlineLevel="0" collapsed="false">
      <c r="A2281" s="1" t="n">
        <v>12280</v>
      </c>
      <c r="B2281" s="14" t="n">
        <v>46841</v>
      </c>
      <c r="C2281" s="1" t="n">
        <v>1524</v>
      </c>
      <c r="D2281" s="1" t="s">
        <v>37</v>
      </c>
      <c r="E2281" s="1" t="s">
        <v>32</v>
      </c>
      <c r="F2281" s="1" t="n">
        <v>1</v>
      </c>
      <c r="G2281" s="15" t="n">
        <v>493.59</v>
      </c>
      <c r="H2281" s="16" t="n">
        <v>0.19</v>
      </c>
      <c r="I2281" s="1" t="s">
        <v>31</v>
      </c>
      <c r="J2281" s="1" t="n">
        <v>4</v>
      </c>
      <c r="K2281" s="1" t="n">
        <v>3.6</v>
      </c>
      <c r="L2281" s="15" t="n">
        <v>399.81</v>
      </c>
      <c r="M2281" s="15" t="n">
        <f aca="false">F2281*G2281</f>
        <v>493.59</v>
      </c>
      <c r="N2281" s="15" t="n">
        <f aca="false">M2281-L2281</f>
        <v>93.78</v>
      </c>
      <c r="O2281" s="1" t="n">
        <f aca="false">YEAR(B2281)</f>
        <v>2028</v>
      </c>
      <c r="P2281" s="1" t="n">
        <f aca="false">MONTH(B2281)</f>
        <v>3</v>
      </c>
      <c r="Q2281" s="1" t="str">
        <f aca="false">TEXT(B2281,"mmm")</f>
        <v>Mar</v>
      </c>
      <c r="R2281" s="1" t="str">
        <f aca="false">"Q"&amp;ROUNDUP(MONTH(B2281)/3,0)</f>
        <v>Q1</v>
      </c>
    </row>
    <row r="2282" customFormat="false" ht="15" hidden="false" customHeight="true" outlineLevel="0" collapsed="false">
      <c r="A2282" s="1" t="n">
        <v>12281</v>
      </c>
      <c r="B2282" s="14" t="n">
        <v>46842</v>
      </c>
      <c r="C2282" s="1" t="n">
        <v>1045</v>
      </c>
      <c r="D2282" s="1" t="s">
        <v>34</v>
      </c>
      <c r="E2282" s="1" t="s">
        <v>35</v>
      </c>
      <c r="F2282" s="1" t="n">
        <v>6</v>
      </c>
      <c r="G2282" s="15" t="n">
        <v>549.02</v>
      </c>
      <c r="H2282" s="16" t="n">
        <v>0.04</v>
      </c>
      <c r="I2282" s="1" t="s">
        <v>31</v>
      </c>
      <c r="J2282" s="1" t="n">
        <v>1</v>
      </c>
      <c r="K2282" s="1" t="n">
        <v>4.3</v>
      </c>
      <c r="L2282" s="15" t="n">
        <v>3162.36</v>
      </c>
      <c r="M2282" s="15" t="n">
        <f aca="false">F2282*G2282</f>
        <v>3294.12</v>
      </c>
      <c r="N2282" s="15" t="n">
        <f aca="false">M2282-L2282</f>
        <v>131.76</v>
      </c>
      <c r="O2282" s="1" t="n">
        <f aca="false">YEAR(B2282)</f>
        <v>2028</v>
      </c>
      <c r="P2282" s="1" t="n">
        <f aca="false">MONTH(B2282)</f>
        <v>3</v>
      </c>
      <c r="Q2282" s="1" t="str">
        <f aca="false">TEXT(B2282,"mmm")</f>
        <v>Mar</v>
      </c>
      <c r="R2282" s="1" t="str">
        <f aca="false">"Q"&amp;ROUNDUP(MONTH(B2282)/3,0)</f>
        <v>Q1</v>
      </c>
    </row>
    <row r="2283" customFormat="false" ht="15" hidden="false" customHeight="true" outlineLevel="0" collapsed="false">
      <c r="A2283" s="1" t="n">
        <v>12282</v>
      </c>
      <c r="B2283" s="14" t="n">
        <v>46843</v>
      </c>
      <c r="C2283" s="1" t="n">
        <v>1666</v>
      </c>
      <c r="D2283" s="1" t="s">
        <v>27</v>
      </c>
      <c r="E2283" s="1" t="s">
        <v>36</v>
      </c>
      <c r="F2283" s="1" t="n">
        <v>6</v>
      </c>
      <c r="G2283" s="15" t="n">
        <v>133.3</v>
      </c>
      <c r="H2283" s="16" t="n">
        <v>0.28</v>
      </c>
      <c r="I2283" s="1" t="s">
        <v>29</v>
      </c>
      <c r="J2283" s="1" t="n">
        <v>2</v>
      </c>
      <c r="K2283" s="1" t="n">
        <v>3.5</v>
      </c>
      <c r="L2283" s="15" t="n">
        <v>575.86</v>
      </c>
      <c r="M2283" s="15" t="n">
        <f aca="false">F2283*G2283</f>
        <v>799.8</v>
      </c>
      <c r="N2283" s="15" t="n">
        <f aca="false">M2283-L2283</f>
        <v>223.94</v>
      </c>
      <c r="O2283" s="1" t="n">
        <f aca="false">YEAR(B2283)</f>
        <v>2028</v>
      </c>
      <c r="P2283" s="1" t="n">
        <f aca="false">MONTH(B2283)</f>
        <v>3</v>
      </c>
      <c r="Q2283" s="1" t="str">
        <f aca="false">TEXT(B2283,"mmm")</f>
        <v>Mar</v>
      </c>
      <c r="R2283" s="1" t="str">
        <f aca="false">"Q"&amp;ROUNDUP(MONTH(B2283)/3,0)</f>
        <v>Q1</v>
      </c>
    </row>
    <row r="2284" customFormat="false" ht="15" hidden="false" customHeight="true" outlineLevel="0" collapsed="false">
      <c r="A2284" s="1" t="n">
        <v>12283</v>
      </c>
      <c r="B2284" s="14" t="n">
        <v>46844</v>
      </c>
      <c r="C2284" s="1" t="n">
        <v>1112</v>
      </c>
      <c r="D2284" s="1" t="s">
        <v>30</v>
      </c>
      <c r="E2284" s="1" t="s">
        <v>28</v>
      </c>
      <c r="F2284" s="1" t="n">
        <v>3</v>
      </c>
      <c r="G2284" s="15" t="n">
        <v>332.63</v>
      </c>
      <c r="H2284" s="16" t="n">
        <v>0.33</v>
      </c>
      <c r="I2284" s="1" t="s">
        <v>33</v>
      </c>
      <c r="J2284" s="1" t="n">
        <v>6</v>
      </c>
      <c r="K2284" s="1" t="n">
        <v>1.6</v>
      </c>
      <c r="L2284" s="15" t="n">
        <v>668.59</v>
      </c>
      <c r="M2284" s="15" t="n">
        <f aca="false">F2284*G2284</f>
        <v>997.89</v>
      </c>
      <c r="N2284" s="15" t="n">
        <f aca="false">M2284-L2284</f>
        <v>329.3</v>
      </c>
      <c r="O2284" s="1" t="n">
        <f aca="false">YEAR(B2284)</f>
        <v>2028</v>
      </c>
      <c r="P2284" s="1" t="n">
        <f aca="false">MONTH(B2284)</f>
        <v>4</v>
      </c>
      <c r="Q2284" s="1" t="str">
        <f aca="false">TEXT(B2284,"mmm")</f>
        <v>Apr</v>
      </c>
      <c r="R2284" s="1" t="str">
        <f aca="false">"Q"&amp;ROUNDUP(MONTH(B2284)/3,0)</f>
        <v>Q2</v>
      </c>
    </row>
    <row r="2285" customFormat="false" ht="15" hidden="false" customHeight="true" outlineLevel="0" collapsed="false">
      <c r="A2285" s="1" t="n">
        <v>12284</v>
      </c>
      <c r="B2285" s="14" t="n">
        <v>46845</v>
      </c>
      <c r="C2285" s="1" t="n">
        <v>1232</v>
      </c>
      <c r="D2285" s="1" t="s">
        <v>37</v>
      </c>
      <c r="E2285" s="1" t="s">
        <v>35</v>
      </c>
      <c r="F2285" s="1" t="n">
        <v>5</v>
      </c>
      <c r="G2285" s="15" t="n">
        <v>387.59</v>
      </c>
      <c r="H2285" s="16" t="n">
        <v>0.02</v>
      </c>
      <c r="I2285" s="1" t="s">
        <v>33</v>
      </c>
      <c r="J2285" s="1" t="n">
        <v>8</v>
      </c>
      <c r="K2285" s="1" t="n">
        <v>2.2</v>
      </c>
      <c r="L2285" s="15" t="n">
        <v>1899.19</v>
      </c>
      <c r="M2285" s="15" t="n">
        <f aca="false">F2285*G2285</f>
        <v>1937.95</v>
      </c>
      <c r="N2285" s="15" t="n">
        <f aca="false">M2285-L2285</f>
        <v>38.7599999999998</v>
      </c>
      <c r="O2285" s="1" t="n">
        <f aca="false">YEAR(B2285)</f>
        <v>2028</v>
      </c>
      <c r="P2285" s="1" t="n">
        <f aca="false">MONTH(B2285)</f>
        <v>4</v>
      </c>
      <c r="Q2285" s="1" t="str">
        <f aca="false">TEXT(B2285,"mmm")</f>
        <v>Apr</v>
      </c>
      <c r="R2285" s="1" t="str">
        <f aca="false">"Q"&amp;ROUNDUP(MONTH(B2285)/3,0)</f>
        <v>Q2</v>
      </c>
    </row>
    <row r="2286" customFormat="false" ht="15" hidden="false" customHeight="true" outlineLevel="0" collapsed="false">
      <c r="A2286" s="1" t="n">
        <v>12285</v>
      </c>
      <c r="B2286" s="14" t="n">
        <v>46846</v>
      </c>
      <c r="C2286" s="1" t="n">
        <v>1016</v>
      </c>
      <c r="D2286" s="1" t="s">
        <v>34</v>
      </c>
      <c r="E2286" s="1" t="s">
        <v>35</v>
      </c>
      <c r="F2286" s="1" t="n">
        <v>4</v>
      </c>
      <c r="G2286" s="15" t="n">
        <v>320.27</v>
      </c>
      <c r="H2286" s="16" t="n">
        <v>0.14</v>
      </c>
      <c r="I2286" s="1" t="s">
        <v>33</v>
      </c>
      <c r="J2286" s="1" t="n">
        <v>9</v>
      </c>
      <c r="K2286" s="1" t="n">
        <v>2.3</v>
      </c>
      <c r="L2286" s="15" t="n">
        <v>1101.73</v>
      </c>
      <c r="M2286" s="15" t="n">
        <f aca="false">F2286*G2286</f>
        <v>1281.08</v>
      </c>
      <c r="N2286" s="15" t="n">
        <f aca="false">M2286-L2286</f>
        <v>179.35</v>
      </c>
      <c r="O2286" s="1" t="n">
        <f aca="false">YEAR(B2286)</f>
        <v>2028</v>
      </c>
      <c r="P2286" s="1" t="n">
        <f aca="false">MONTH(B2286)</f>
        <v>4</v>
      </c>
      <c r="Q2286" s="1" t="str">
        <f aca="false">TEXT(B2286,"mmm")</f>
        <v>Apr</v>
      </c>
      <c r="R2286" s="1" t="str">
        <f aca="false">"Q"&amp;ROUNDUP(MONTH(B2286)/3,0)</f>
        <v>Q2</v>
      </c>
    </row>
    <row r="2287" customFormat="false" ht="15" hidden="false" customHeight="true" outlineLevel="0" collapsed="false">
      <c r="A2287" s="1" t="n">
        <v>12286</v>
      </c>
      <c r="B2287" s="14" t="n">
        <v>46847</v>
      </c>
      <c r="C2287" s="1" t="n">
        <v>1359</v>
      </c>
      <c r="D2287" s="1" t="s">
        <v>30</v>
      </c>
      <c r="E2287" s="1" t="s">
        <v>28</v>
      </c>
      <c r="F2287" s="1" t="n">
        <v>4</v>
      </c>
      <c r="G2287" s="15" t="n">
        <v>268.93</v>
      </c>
      <c r="H2287" s="16" t="n">
        <v>0.17</v>
      </c>
      <c r="I2287" s="1" t="s">
        <v>33</v>
      </c>
      <c r="J2287" s="1" t="n">
        <v>4</v>
      </c>
      <c r="K2287" s="1" t="n">
        <v>1.4</v>
      </c>
      <c r="L2287" s="15" t="n">
        <v>892.85</v>
      </c>
      <c r="M2287" s="15" t="n">
        <f aca="false">F2287*G2287</f>
        <v>1075.72</v>
      </c>
      <c r="N2287" s="15" t="n">
        <f aca="false">M2287-L2287</f>
        <v>182.87</v>
      </c>
      <c r="O2287" s="1" t="n">
        <f aca="false">YEAR(B2287)</f>
        <v>2028</v>
      </c>
      <c r="P2287" s="1" t="n">
        <f aca="false">MONTH(B2287)</f>
        <v>4</v>
      </c>
      <c r="Q2287" s="1" t="str">
        <f aca="false">TEXT(B2287,"mmm")</f>
        <v>Apr</v>
      </c>
      <c r="R2287" s="1" t="str">
        <f aca="false">"Q"&amp;ROUNDUP(MONTH(B2287)/3,0)</f>
        <v>Q2</v>
      </c>
    </row>
    <row r="2288" customFormat="false" ht="15" hidden="false" customHeight="true" outlineLevel="0" collapsed="false">
      <c r="A2288" s="1" t="n">
        <v>12287</v>
      </c>
      <c r="B2288" s="14" t="n">
        <v>46848</v>
      </c>
      <c r="C2288" s="1" t="n">
        <v>1222</v>
      </c>
      <c r="D2288" s="1" t="s">
        <v>34</v>
      </c>
      <c r="E2288" s="1" t="s">
        <v>28</v>
      </c>
      <c r="F2288" s="1" t="n">
        <v>2</v>
      </c>
      <c r="G2288" s="15" t="n">
        <v>127.31</v>
      </c>
      <c r="H2288" s="16" t="n">
        <v>0.05</v>
      </c>
      <c r="I2288" s="1" t="s">
        <v>31</v>
      </c>
      <c r="J2288" s="1" t="n">
        <v>6</v>
      </c>
      <c r="K2288" s="1" t="n">
        <v>3.8</v>
      </c>
      <c r="L2288" s="15" t="n">
        <v>241.89</v>
      </c>
      <c r="M2288" s="15" t="n">
        <f aca="false">F2288*G2288</f>
        <v>254.62</v>
      </c>
      <c r="N2288" s="15" t="n">
        <f aca="false">M2288-L2288</f>
        <v>12.73</v>
      </c>
      <c r="O2288" s="1" t="n">
        <f aca="false">YEAR(B2288)</f>
        <v>2028</v>
      </c>
      <c r="P2288" s="1" t="n">
        <f aca="false">MONTH(B2288)</f>
        <v>4</v>
      </c>
      <c r="Q2288" s="1" t="str">
        <f aca="false">TEXT(B2288,"mmm")</f>
        <v>Apr</v>
      </c>
      <c r="R2288" s="1" t="str">
        <f aca="false">"Q"&amp;ROUNDUP(MONTH(B2288)/3,0)</f>
        <v>Q2</v>
      </c>
    </row>
    <row r="2289" customFormat="false" ht="15" hidden="false" customHeight="true" outlineLevel="0" collapsed="false">
      <c r="A2289" s="1" t="n">
        <v>12288</v>
      </c>
      <c r="B2289" s="14" t="n">
        <v>46849</v>
      </c>
      <c r="C2289" s="1" t="n">
        <v>1865</v>
      </c>
      <c r="D2289" s="1" t="s">
        <v>34</v>
      </c>
      <c r="E2289" s="1" t="s">
        <v>35</v>
      </c>
      <c r="F2289" s="1" t="n">
        <v>4</v>
      </c>
      <c r="G2289" s="15" t="n">
        <v>300.61</v>
      </c>
      <c r="H2289" s="16" t="n">
        <v>0.3</v>
      </c>
      <c r="I2289" s="1" t="s">
        <v>33</v>
      </c>
      <c r="J2289" s="1" t="n">
        <v>3</v>
      </c>
      <c r="K2289" s="1" t="n">
        <v>3.4</v>
      </c>
      <c r="L2289" s="15" t="n">
        <v>841.71</v>
      </c>
      <c r="M2289" s="15" t="n">
        <f aca="false">F2289*G2289</f>
        <v>1202.44</v>
      </c>
      <c r="N2289" s="15" t="n">
        <f aca="false">M2289-L2289</f>
        <v>360.73</v>
      </c>
      <c r="O2289" s="1" t="n">
        <f aca="false">YEAR(B2289)</f>
        <v>2028</v>
      </c>
      <c r="P2289" s="1" t="n">
        <f aca="false">MONTH(B2289)</f>
        <v>4</v>
      </c>
      <c r="Q2289" s="1" t="str">
        <f aca="false">TEXT(B2289,"mmm")</f>
        <v>Apr</v>
      </c>
      <c r="R2289" s="1" t="str">
        <f aca="false">"Q"&amp;ROUNDUP(MONTH(B2289)/3,0)</f>
        <v>Q2</v>
      </c>
    </row>
    <row r="2290" customFormat="false" ht="15" hidden="false" customHeight="true" outlineLevel="0" collapsed="false">
      <c r="A2290" s="1" t="n">
        <v>12289</v>
      </c>
      <c r="B2290" s="14" t="n">
        <v>46850</v>
      </c>
      <c r="C2290" s="1" t="n">
        <v>1699</v>
      </c>
      <c r="D2290" s="1" t="s">
        <v>27</v>
      </c>
      <c r="E2290" s="1" t="s">
        <v>36</v>
      </c>
      <c r="F2290" s="1" t="n">
        <v>2</v>
      </c>
      <c r="G2290" s="15" t="n">
        <v>249.71</v>
      </c>
      <c r="H2290" s="16" t="n">
        <v>0.1</v>
      </c>
      <c r="I2290" s="1" t="s">
        <v>31</v>
      </c>
      <c r="J2290" s="1" t="n">
        <v>9</v>
      </c>
      <c r="K2290" s="1" t="n">
        <v>3.4</v>
      </c>
      <c r="L2290" s="15" t="n">
        <v>449.48</v>
      </c>
      <c r="M2290" s="15" t="n">
        <f aca="false">F2290*G2290</f>
        <v>499.42</v>
      </c>
      <c r="N2290" s="15" t="n">
        <f aca="false">M2290-L2290</f>
        <v>49.94</v>
      </c>
      <c r="O2290" s="1" t="n">
        <f aca="false">YEAR(B2290)</f>
        <v>2028</v>
      </c>
      <c r="P2290" s="1" t="n">
        <f aca="false">MONTH(B2290)</f>
        <v>4</v>
      </c>
      <c r="Q2290" s="1" t="str">
        <f aca="false">TEXT(B2290,"mmm")</f>
        <v>Apr</v>
      </c>
      <c r="R2290" s="1" t="str">
        <f aca="false">"Q"&amp;ROUNDUP(MONTH(B2290)/3,0)</f>
        <v>Q2</v>
      </c>
    </row>
    <row r="2291" customFormat="false" ht="15" hidden="false" customHeight="true" outlineLevel="0" collapsed="false">
      <c r="A2291" s="1" t="n">
        <v>12290</v>
      </c>
      <c r="B2291" s="14" t="n">
        <v>46851</v>
      </c>
      <c r="C2291" s="1" t="n">
        <v>1447</v>
      </c>
      <c r="D2291" s="1" t="s">
        <v>27</v>
      </c>
      <c r="E2291" s="1" t="s">
        <v>32</v>
      </c>
      <c r="F2291" s="1" t="n">
        <v>2</v>
      </c>
      <c r="G2291" s="15" t="n">
        <v>480.4</v>
      </c>
      <c r="H2291" s="16" t="n">
        <v>0.27</v>
      </c>
      <c r="I2291" s="1" t="s">
        <v>33</v>
      </c>
      <c r="J2291" s="1" t="n">
        <v>8</v>
      </c>
      <c r="K2291" s="1" t="n">
        <v>2.9</v>
      </c>
      <c r="L2291" s="15" t="n">
        <v>701.38</v>
      </c>
      <c r="M2291" s="15" t="n">
        <f aca="false">F2291*G2291</f>
        <v>960.8</v>
      </c>
      <c r="N2291" s="15" t="n">
        <f aca="false">M2291-L2291</f>
        <v>259.42</v>
      </c>
      <c r="O2291" s="1" t="n">
        <f aca="false">YEAR(B2291)</f>
        <v>2028</v>
      </c>
      <c r="P2291" s="1" t="n">
        <f aca="false">MONTH(B2291)</f>
        <v>4</v>
      </c>
      <c r="Q2291" s="1" t="str">
        <f aca="false">TEXT(B2291,"mmm")</f>
        <v>Apr</v>
      </c>
      <c r="R2291" s="1" t="str">
        <f aca="false">"Q"&amp;ROUNDUP(MONTH(B2291)/3,0)</f>
        <v>Q2</v>
      </c>
    </row>
    <row r="2292" customFormat="false" ht="15" hidden="false" customHeight="true" outlineLevel="0" collapsed="false">
      <c r="A2292" s="1" t="n">
        <v>12291</v>
      </c>
      <c r="B2292" s="14" t="n">
        <v>46852</v>
      </c>
      <c r="C2292" s="1" t="n">
        <v>1855</v>
      </c>
      <c r="D2292" s="1" t="s">
        <v>27</v>
      </c>
      <c r="E2292" s="1" t="s">
        <v>28</v>
      </c>
      <c r="F2292" s="1" t="n">
        <v>3</v>
      </c>
      <c r="G2292" s="15" t="n">
        <v>461.71</v>
      </c>
      <c r="H2292" s="16" t="n">
        <v>0.23</v>
      </c>
      <c r="I2292" s="1" t="s">
        <v>31</v>
      </c>
      <c r="J2292" s="1" t="n">
        <v>1</v>
      </c>
      <c r="K2292" s="1" t="n">
        <v>3.2</v>
      </c>
      <c r="L2292" s="15" t="n">
        <v>1066.55</v>
      </c>
      <c r="M2292" s="15" t="n">
        <f aca="false">F2292*G2292</f>
        <v>1385.13</v>
      </c>
      <c r="N2292" s="15" t="n">
        <f aca="false">M2292-L2292</f>
        <v>318.58</v>
      </c>
      <c r="O2292" s="1" t="n">
        <f aca="false">YEAR(B2292)</f>
        <v>2028</v>
      </c>
      <c r="P2292" s="1" t="n">
        <f aca="false">MONTH(B2292)</f>
        <v>4</v>
      </c>
      <c r="Q2292" s="1" t="str">
        <f aca="false">TEXT(B2292,"mmm")</f>
        <v>Apr</v>
      </c>
      <c r="R2292" s="1" t="str">
        <f aca="false">"Q"&amp;ROUNDUP(MONTH(B2292)/3,0)</f>
        <v>Q2</v>
      </c>
    </row>
    <row r="2293" customFormat="false" ht="15" hidden="false" customHeight="true" outlineLevel="0" collapsed="false">
      <c r="A2293" s="1" t="n">
        <v>12292</v>
      </c>
      <c r="B2293" s="14" t="n">
        <v>46853</v>
      </c>
      <c r="C2293" s="1" t="n">
        <v>1364</v>
      </c>
      <c r="D2293" s="1" t="s">
        <v>30</v>
      </c>
      <c r="E2293" s="1" t="s">
        <v>32</v>
      </c>
      <c r="F2293" s="1" t="n">
        <v>1</v>
      </c>
      <c r="G2293" s="15" t="n">
        <v>93.39</v>
      </c>
      <c r="H2293" s="16" t="n">
        <v>0.21</v>
      </c>
      <c r="I2293" s="1" t="s">
        <v>33</v>
      </c>
      <c r="J2293" s="1" t="n">
        <v>2</v>
      </c>
      <c r="K2293" s="1" t="n">
        <v>1</v>
      </c>
      <c r="L2293" s="15" t="n">
        <v>73.78</v>
      </c>
      <c r="M2293" s="15" t="n">
        <f aca="false">F2293*G2293</f>
        <v>93.39</v>
      </c>
      <c r="N2293" s="15" t="n">
        <f aca="false">M2293-L2293</f>
        <v>19.61</v>
      </c>
      <c r="O2293" s="1" t="n">
        <f aca="false">YEAR(B2293)</f>
        <v>2028</v>
      </c>
      <c r="P2293" s="1" t="n">
        <f aca="false">MONTH(B2293)</f>
        <v>4</v>
      </c>
      <c r="Q2293" s="1" t="str">
        <f aca="false">TEXT(B2293,"mmm")</f>
        <v>Apr</v>
      </c>
      <c r="R2293" s="1" t="str">
        <f aca="false">"Q"&amp;ROUNDUP(MONTH(B2293)/3,0)</f>
        <v>Q2</v>
      </c>
    </row>
    <row r="2294" customFormat="false" ht="15" hidden="false" customHeight="true" outlineLevel="0" collapsed="false">
      <c r="A2294" s="1" t="n">
        <v>12293</v>
      </c>
      <c r="B2294" s="14" t="n">
        <v>46854</v>
      </c>
      <c r="C2294" s="1" t="n">
        <v>1674</v>
      </c>
      <c r="D2294" s="1" t="s">
        <v>37</v>
      </c>
      <c r="E2294" s="1" t="s">
        <v>35</v>
      </c>
      <c r="F2294" s="1" t="n">
        <v>2</v>
      </c>
      <c r="G2294" s="15" t="n">
        <v>66.78</v>
      </c>
      <c r="H2294" s="16" t="n">
        <v>0.07</v>
      </c>
      <c r="I2294" s="1" t="s">
        <v>33</v>
      </c>
      <c r="J2294" s="1" t="n">
        <v>10</v>
      </c>
      <c r="K2294" s="1" t="n">
        <v>1.4</v>
      </c>
      <c r="L2294" s="15" t="n">
        <v>124.21</v>
      </c>
      <c r="M2294" s="15" t="n">
        <f aca="false">F2294*G2294</f>
        <v>133.56</v>
      </c>
      <c r="N2294" s="15" t="n">
        <f aca="false">M2294-L2294</f>
        <v>9.35000000000001</v>
      </c>
      <c r="O2294" s="1" t="n">
        <f aca="false">YEAR(B2294)</f>
        <v>2028</v>
      </c>
      <c r="P2294" s="1" t="n">
        <f aca="false">MONTH(B2294)</f>
        <v>4</v>
      </c>
      <c r="Q2294" s="1" t="str">
        <f aca="false">TEXT(B2294,"mmm")</f>
        <v>Apr</v>
      </c>
      <c r="R2294" s="1" t="str">
        <f aca="false">"Q"&amp;ROUNDUP(MONTH(B2294)/3,0)</f>
        <v>Q2</v>
      </c>
    </row>
    <row r="2295" customFormat="false" ht="15" hidden="false" customHeight="true" outlineLevel="0" collapsed="false">
      <c r="A2295" s="1" t="n">
        <v>12294</v>
      </c>
      <c r="B2295" s="14" t="n">
        <v>46855</v>
      </c>
      <c r="C2295" s="1" t="n">
        <v>1325</v>
      </c>
      <c r="D2295" s="1" t="s">
        <v>34</v>
      </c>
      <c r="E2295" s="1" t="s">
        <v>32</v>
      </c>
      <c r="F2295" s="1" t="n">
        <v>2</v>
      </c>
      <c r="G2295" s="15" t="n">
        <v>546.27</v>
      </c>
      <c r="H2295" s="16" t="n">
        <v>0.08</v>
      </c>
      <c r="I2295" s="1" t="s">
        <v>31</v>
      </c>
      <c r="J2295" s="1" t="n">
        <v>9</v>
      </c>
      <c r="K2295" s="1" t="n">
        <v>3.7</v>
      </c>
      <c r="L2295" s="15" t="n">
        <v>1005.14</v>
      </c>
      <c r="M2295" s="15" t="n">
        <f aca="false">F2295*G2295</f>
        <v>1092.54</v>
      </c>
      <c r="N2295" s="15" t="n">
        <f aca="false">M2295-L2295</f>
        <v>87.4</v>
      </c>
      <c r="O2295" s="1" t="n">
        <f aca="false">YEAR(B2295)</f>
        <v>2028</v>
      </c>
      <c r="P2295" s="1" t="n">
        <f aca="false">MONTH(B2295)</f>
        <v>4</v>
      </c>
      <c r="Q2295" s="1" t="str">
        <f aca="false">TEXT(B2295,"mmm")</f>
        <v>Apr</v>
      </c>
      <c r="R2295" s="1" t="str">
        <f aca="false">"Q"&amp;ROUNDUP(MONTH(B2295)/3,0)</f>
        <v>Q2</v>
      </c>
    </row>
    <row r="2296" customFormat="false" ht="15" hidden="false" customHeight="true" outlineLevel="0" collapsed="false">
      <c r="A2296" s="1" t="n">
        <v>12295</v>
      </c>
      <c r="B2296" s="14" t="n">
        <v>46856</v>
      </c>
      <c r="C2296" s="1" t="n">
        <v>1466</v>
      </c>
      <c r="D2296" s="1" t="s">
        <v>34</v>
      </c>
      <c r="E2296" s="1" t="s">
        <v>36</v>
      </c>
      <c r="F2296" s="1" t="n">
        <v>6</v>
      </c>
      <c r="G2296" s="15" t="n">
        <v>328.27</v>
      </c>
      <c r="H2296" s="16" t="n">
        <v>0.02</v>
      </c>
      <c r="I2296" s="1" t="s">
        <v>31</v>
      </c>
      <c r="J2296" s="1" t="n">
        <v>10</v>
      </c>
      <c r="K2296" s="1" t="n">
        <v>2</v>
      </c>
      <c r="L2296" s="15" t="n">
        <v>1930.23</v>
      </c>
      <c r="M2296" s="15" t="n">
        <f aca="false">F2296*G2296</f>
        <v>1969.62</v>
      </c>
      <c r="N2296" s="15" t="n">
        <f aca="false">M2296-L2296</f>
        <v>39.3899999999999</v>
      </c>
      <c r="O2296" s="1" t="n">
        <f aca="false">YEAR(B2296)</f>
        <v>2028</v>
      </c>
      <c r="P2296" s="1" t="n">
        <f aca="false">MONTH(B2296)</f>
        <v>4</v>
      </c>
      <c r="Q2296" s="1" t="str">
        <f aca="false">TEXT(B2296,"mmm")</f>
        <v>Apr</v>
      </c>
      <c r="R2296" s="1" t="str">
        <f aca="false">"Q"&amp;ROUNDUP(MONTH(B2296)/3,0)</f>
        <v>Q2</v>
      </c>
    </row>
    <row r="2297" customFormat="false" ht="15" hidden="false" customHeight="true" outlineLevel="0" collapsed="false">
      <c r="A2297" s="1" t="n">
        <v>12296</v>
      </c>
      <c r="B2297" s="14" t="n">
        <v>46857</v>
      </c>
      <c r="C2297" s="1" t="n">
        <v>1413</v>
      </c>
      <c r="D2297" s="1" t="s">
        <v>34</v>
      </c>
      <c r="E2297" s="1" t="s">
        <v>35</v>
      </c>
      <c r="F2297" s="1" t="n">
        <v>3</v>
      </c>
      <c r="G2297" s="15" t="n">
        <v>516.81</v>
      </c>
      <c r="H2297" s="16" t="n">
        <v>0.08</v>
      </c>
      <c r="I2297" s="1" t="s">
        <v>31</v>
      </c>
      <c r="J2297" s="1" t="n">
        <v>3</v>
      </c>
      <c r="K2297" s="1" t="n">
        <v>1.4</v>
      </c>
      <c r="L2297" s="15" t="n">
        <v>1426.4</v>
      </c>
      <c r="M2297" s="15" t="n">
        <f aca="false">F2297*G2297</f>
        <v>1550.43</v>
      </c>
      <c r="N2297" s="15" t="n">
        <f aca="false">M2297-L2297</f>
        <v>124.03</v>
      </c>
      <c r="O2297" s="1" t="n">
        <f aca="false">YEAR(B2297)</f>
        <v>2028</v>
      </c>
      <c r="P2297" s="1" t="n">
        <f aca="false">MONTH(B2297)</f>
        <v>4</v>
      </c>
      <c r="Q2297" s="1" t="str">
        <f aca="false">TEXT(B2297,"mmm")</f>
        <v>Apr</v>
      </c>
      <c r="R2297" s="1" t="str">
        <f aca="false">"Q"&amp;ROUNDUP(MONTH(B2297)/3,0)</f>
        <v>Q2</v>
      </c>
    </row>
    <row r="2298" customFormat="false" ht="15" hidden="false" customHeight="true" outlineLevel="0" collapsed="false">
      <c r="A2298" s="1" t="n">
        <v>12297</v>
      </c>
      <c r="B2298" s="14" t="n">
        <v>46858</v>
      </c>
      <c r="C2298" s="1" t="n">
        <v>1454</v>
      </c>
      <c r="D2298" s="1" t="s">
        <v>30</v>
      </c>
      <c r="E2298" s="1" t="s">
        <v>36</v>
      </c>
      <c r="F2298" s="1" t="n">
        <v>2</v>
      </c>
      <c r="G2298" s="15" t="n">
        <v>49.02</v>
      </c>
      <c r="H2298" s="16" t="n">
        <v>0.12</v>
      </c>
      <c r="I2298" s="1" t="s">
        <v>33</v>
      </c>
      <c r="J2298" s="1" t="n">
        <v>3</v>
      </c>
      <c r="K2298" s="1" t="n">
        <v>2.3</v>
      </c>
      <c r="L2298" s="15" t="n">
        <v>86.28</v>
      </c>
      <c r="M2298" s="15" t="n">
        <f aca="false">F2298*G2298</f>
        <v>98.04</v>
      </c>
      <c r="N2298" s="15" t="n">
        <f aca="false">M2298-L2298</f>
        <v>11.76</v>
      </c>
      <c r="O2298" s="1" t="n">
        <f aca="false">YEAR(B2298)</f>
        <v>2028</v>
      </c>
      <c r="P2298" s="1" t="n">
        <f aca="false">MONTH(B2298)</f>
        <v>4</v>
      </c>
      <c r="Q2298" s="1" t="str">
        <f aca="false">TEXT(B2298,"mmm")</f>
        <v>Apr</v>
      </c>
      <c r="R2298" s="1" t="str">
        <f aca="false">"Q"&amp;ROUNDUP(MONTH(B2298)/3,0)</f>
        <v>Q2</v>
      </c>
    </row>
    <row r="2299" customFormat="false" ht="15" hidden="false" customHeight="true" outlineLevel="0" collapsed="false">
      <c r="A2299" s="1" t="n">
        <v>12298</v>
      </c>
      <c r="B2299" s="14" t="n">
        <v>46859</v>
      </c>
      <c r="C2299" s="1" t="n">
        <v>1585</v>
      </c>
      <c r="D2299" s="1" t="s">
        <v>30</v>
      </c>
      <c r="E2299" s="1" t="s">
        <v>35</v>
      </c>
      <c r="F2299" s="1" t="n">
        <v>5</v>
      </c>
      <c r="G2299" s="15" t="n">
        <v>323.01</v>
      </c>
      <c r="H2299" s="16" t="n">
        <v>0.29</v>
      </c>
      <c r="I2299" s="1" t="s">
        <v>31</v>
      </c>
      <c r="J2299" s="1" t="n">
        <v>10</v>
      </c>
      <c r="K2299" s="1" t="n">
        <v>2</v>
      </c>
      <c r="L2299" s="15" t="n">
        <v>1146.69</v>
      </c>
      <c r="M2299" s="15" t="n">
        <f aca="false">F2299*G2299</f>
        <v>1615.05</v>
      </c>
      <c r="N2299" s="15" t="n">
        <f aca="false">M2299-L2299</f>
        <v>468.36</v>
      </c>
      <c r="O2299" s="1" t="n">
        <f aca="false">YEAR(B2299)</f>
        <v>2028</v>
      </c>
      <c r="P2299" s="1" t="n">
        <f aca="false">MONTH(B2299)</f>
        <v>4</v>
      </c>
      <c r="Q2299" s="1" t="str">
        <f aca="false">TEXT(B2299,"mmm")</f>
        <v>Apr</v>
      </c>
      <c r="R2299" s="1" t="str">
        <f aca="false">"Q"&amp;ROUNDUP(MONTH(B2299)/3,0)</f>
        <v>Q2</v>
      </c>
    </row>
    <row r="2300" customFormat="false" ht="15" hidden="false" customHeight="true" outlineLevel="0" collapsed="false">
      <c r="A2300" s="1" t="n">
        <v>12299</v>
      </c>
      <c r="B2300" s="14" t="n">
        <v>46860</v>
      </c>
      <c r="C2300" s="1" t="n">
        <v>1232</v>
      </c>
      <c r="D2300" s="1" t="s">
        <v>34</v>
      </c>
      <c r="E2300" s="1" t="s">
        <v>36</v>
      </c>
      <c r="F2300" s="1" t="n">
        <v>1</v>
      </c>
      <c r="G2300" s="15" t="n">
        <v>330.56</v>
      </c>
      <c r="H2300" s="16" t="n">
        <v>0.13</v>
      </c>
      <c r="I2300" s="1" t="s">
        <v>31</v>
      </c>
      <c r="J2300" s="1" t="n">
        <v>9</v>
      </c>
      <c r="K2300" s="1" t="n">
        <v>1.1</v>
      </c>
      <c r="L2300" s="15" t="n">
        <v>287.59</v>
      </c>
      <c r="M2300" s="15" t="n">
        <f aca="false">F2300*G2300</f>
        <v>330.56</v>
      </c>
      <c r="N2300" s="15" t="n">
        <f aca="false">M2300-L2300</f>
        <v>42.97</v>
      </c>
      <c r="O2300" s="1" t="n">
        <f aca="false">YEAR(B2300)</f>
        <v>2028</v>
      </c>
      <c r="P2300" s="1" t="n">
        <f aca="false">MONTH(B2300)</f>
        <v>4</v>
      </c>
      <c r="Q2300" s="1" t="str">
        <f aca="false">TEXT(B2300,"mmm")</f>
        <v>Apr</v>
      </c>
      <c r="R2300" s="1" t="str">
        <f aca="false">"Q"&amp;ROUNDUP(MONTH(B2300)/3,0)</f>
        <v>Q2</v>
      </c>
    </row>
    <row r="2301" customFormat="false" ht="15" hidden="false" customHeight="true" outlineLevel="0" collapsed="false">
      <c r="A2301" s="1" t="n">
        <v>12300</v>
      </c>
      <c r="B2301" s="14" t="n">
        <v>46861</v>
      </c>
      <c r="C2301" s="1" t="n">
        <v>1223</v>
      </c>
      <c r="D2301" s="1" t="s">
        <v>30</v>
      </c>
      <c r="E2301" s="1" t="s">
        <v>35</v>
      </c>
      <c r="F2301" s="1" t="n">
        <v>5</v>
      </c>
      <c r="G2301" s="15" t="n">
        <v>518.51</v>
      </c>
      <c r="H2301" s="16" t="n">
        <v>0.26</v>
      </c>
      <c r="I2301" s="1" t="s">
        <v>33</v>
      </c>
      <c r="J2301" s="1" t="n">
        <v>3</v>
      </c>
      <c r="K2301" s="1" t="n">
        <v>2.6</v>
      </c>
      <c r="L2301" s="15" t="n">
        <v>1918.49</v>
      </c>
      <c r="M2301" s="15" t="n">
        <f aca="false">F2301*G2301</f>
        <v>2592.55</v>
      </c>
      <c r="N2301" s="15" t="n">
        <f aca="false">M2301-L2301</f>
        <v>674.06</v>
      </c>
      <c r="O2301" s="1" t="n">
        <f aca="false">YEAR(B2301)</f>
        <v>2028</v>
      </c>
      <c r="P2301" s="1" t="n">
        <f aca="false">MONTH(B2301)</f>
        <v>4</v>
      </c>
      <c r="Q2301" s="1" t="str">
        <f aca="false">TEXT(B2301,"mmm")</f>
        <v>Apr</v>
      </c>
      <c r="R2301" s="1" t="str">
        <f aca="false">"Q"&amp;ROUNDUP(MONTH(B2301)/3,0)</f>
        <v>Q2</v>
      </c>
    </row>
    <row r="2302" customFormat="false" ht="15" hidden="false" customHeight="true" outlineLevel="0" collapsed="false">
      <c r="A2302" s="1" t="n">
        <v>12301</v>
      </c>
      <c r="B2302" s="14" t="n">
        <v>46862</v>
      </c>
      <c r="C2302" s="1" t="n">
        <v>1993</v>
      </c>
      <c r="D2302" s="1" t="s">
        <v>37</v>
      </c>
      <c r="E2302" s="1" t="s">
        <v>36</v>
      </c>
      <c r="F2302" s="1" t="n">
        <v>4</v>
      </c>
      <c r="G2302" s="15" t="n">
        <v>72.1</v>
      </c>
      <c r="H2302" s="16" t="n">
        <v>0.15</v>
      </c>
      <c r="I2302" s="1" t="s">
        <v>33</v>
      </c>
      <c r="J2302" s="1" t="n">
        <v>10</v>
      </c>
      <c r="K2302" s="1" t="n">
        <v>1.1</v>
      </c>
      <c r="L2302" s="15" t="n">
        <v>245.14</v>
      </c>
      <c r="M2302" s="15" t="n">
        <f aca="false">F2302*G2302</f>
        <v>288.4</v>
      </c>
      <c r="N2302" s="15" t="n">
        <f aca="false">M2302-L2302</f>
        <v>43.26</v>
      </c>
      <c r="O2302" s="1" t="n">
        <f aca="false">YEAR(B2302)</f>
        <v>2028</v>
      </c>
      <c r="P2302" s="1" t="n">
        <f aca="false">MONTH(B2302)</f>
        <v>4</v>
      </c>
      <c r="Q2302" s="1" t="str">
        <f aca="false">TEXT(B2302,"mmm")</f>
        <v>Apr</v>
      </c>
      <c r="R2302" s="1" t="str">
        <f aca="false">"Q"&amp;ROUNDUP(MONTH(B2302)/3,0)</f>
        <v>Q2</v>
      </c>
    </row>
    <row r="2303" customFormat="false" ht="15" hidden="false" customHeight="true" outlineLevel="0" collapsed="false">
      <c r="A2303" s="1" t="n">
        <v>12302</v>
      </c>
      <c r="B2303" s="14" t="n">
        <v>46863</v>
      </c>
      <c r="C2303" s="1" t="n">
        <v>1830</v>
      </c>
      <c r="D2303" s="1" t="s">
        <v>30</v>
      </c>
      <c r="E2303" s="1" t="s">
        <v>35</v>
      </c>
      <c r="F2303" s="1" t="n">
        <v>1</v>
      </c>
      <c r="G2303" s="15" t="n">
        <v>155.66</v>
      </c>
      <c r="H2303" s="16" t="n">
        <v>0.27</v>
      </c>
      <c r="I2303" s="1" t="s">
        <v>31</v>
      </c>
      <c r="J2303" s="1" t="n">
        <v>11</v>
      </c>
      <c r="K2303" s="1" t="n">
        <v>1</v>
      </c>
      <c r="L2303" s="15" t="n">
        <v>113.63</v>
      </c>
      <c r="M2303" s="15" t="n">
        <f aca="false">F2303*G2303</f>
        <v>155.66</v>
      </c>
      <c r="N2303" s="15" t="n">
        <f aca="false">M2303-L2303</f>
        <v>42.03</v>
      </c>
      <c r="O2303" s="1" t="n">
        <f aca="false">YEAR(B2303)</f>
        <v>2028</v>
      </c>
      <c r="P2303" s="1" t="n">
        <f aca="false">MONTH(B2303)</f>
        <v>4</v>
      </c>
      <c r="Q2303" s="1" t="str">
        <f aca="false">TEXT(B2303,"mmm")</f>
        <v>Apr</v>
      </c>
      <c r="R2303" s="1" t="str">
        <f aca="false">"Q"&amp;ROUNDUP(MONTH(B2303)/3,0)</f>
        <v>Q2</v>
      </c>
    </row>
    <row r="2304" customFormat="false" ht="15" hidden="false" customHeight="true" outlineLevel="0" collapsed="false">
      <c r="A2304" s="1" t="n">
        <v>12303</v>
      </c>
      <c r="B2304" s="14" t="n">
        <v>46864</v>
      </c>
      <c r="C2304" s="1" t="n">
        <v>1411</v>
      </c>
      <c r="D2304" s="1" t="s">
        <v>34</v>
      </c>
      <c r="E2304" s="1" t="s">
        <v>36</v>
      </c>
      <c r="F2304" s="1" t="n">
        <v>4</v>
      </c>
      <c r="G2304" s="15" t="n">
        <v>252.82</v>
      </c>
      <c r="H2304" s="16" t="n">
        <v>0.34</v>
      </c>
      <c r="I2304" s="1" t="s">
        <v>33</v>
      </c>
      <c r="J2304" s="1" t="n">
        <v>5</v>
      </c>
      <c r="K2304" s="1" t="n">
        <v>4.2</v>
      </c>
      <c r="L2304" s="15" t="n">
        <v>667.44</v>
      </c>
      <c r="M2304" s="15" t="n">
        <f aca="false">F2304*G2304</f>
        <v>1011.28</v>
      </c>
      <c r="N2304" s="15" t="n">
        <f aca="false">M2304-L2304</f>
        <v>343.84</v>
      </c>
      <c r="O2304" s="1" t="n">
        <f aca="false">YEAR(B2304)</f>
        <v>2028</v>
      </c>
      <c r="P2304" s="1" t="n">
        <f aca="false">MONTH(B2304)</f>
        <v>4</v>
      </c>
      <c r="Q2304" s="1" t="str">
        <f aca="false">TEXT(B2304,"mmm")</f>
        <v>Apr</v>
      </c>
      <c r="R2304" s="1" t="str">
        <f aca="false">"Q"&amp;ROUNDUP(MONTH(B2304)/3,0)</f>
        <v>Q2</v>
      </c>
    </row>
    <row r="2305" customFormat="false" ht="15" hidden="false" customHeight="true" outlineLevel="0" collapsed="false">
      <c r="A2305" s="1" t="n">
        <v>12304</v>
      </c>
      <c r="B2305" s="14" t="n">
        <v>46865</v>
      </c>
      <c r="C2305" s="1" t="n">
        <v>1571</v>
      </c>
      <c r="D2305" s="1" t="s">
        <v>34</v>
      </c>
      <c r="E2305" s="1" t="s">
        <v>35</v>
      </c>
      <c r="F2305" s="1" t="n">
        <v>6</v>
      </c>
      <c r="G2305" s="15" t="n">
        <v>521.52</v>
      </c>
      <c r="H2305" s="16" t="n">
        <v>0.08</v>
      </c>
      <c r="I2305" s="1" t="s">
        <v>29</v>
      </c>
      <c r="J2305" s="1" t="n">
        <v>6</v>
      </c>
      <c r="K2305" s="1" t="n">
        <v>2.3</v>
      </c>
      <c r="L2305" s="15" t="n">
        <v>2878.79</v>
      </c>
      <c r="M2305" s="15" t="n">
        <f aca="false">F2305*G2305</f>
        <v>3129.12</v>
      </c>
      <c r="N2305" s="15" t="n">
        <f aca="false">M2305-L2305</f>
        <v>250.33</v>
      </c>
      <c r="O2305" s="1" t="n">
        <f aca="false">YEAR(B2305)</f>
        <v>2028</v>
      </c>
      <c r="P2305" s="1" t="n">
        <f aca="false">MONTH(B2305)</f>
        <v>4</v>
      </c>
      <c r="Q2305" s="1" t="str">
        <f aca="false">TEXT(B2305,"mmm")</f>
        <v>Apr</v>
      </c>
      <c r="R2305" s="1" t="str">
        <f aca="false">"Q"&amp;ROUNDUP(MONTH(B2305)/3,0)</f>
        <v>Q2</v>
      </c>
    </row>
    <row r="2306" customFormat="false" ht="15" hidden="false" customHeight="true" outlineLevel="0" collapsed="false">
      <c r="A2306" s="1" t="n">
        <v>12305</v>
      </c>
      <c r="B2306" s="14" t="n">
        <v>46866</v>
      </c>
      <c r="C2306" s="1" t="n">
        <v>1334</v>
      </c>
      <c r="D2306" s="1" t="s">
        <v>34</v>
      </c>
      <c r="E2306" s="1" t="s">
        <v>36</v>
      </c>
      <c r="F2306" s="1" t="n">
        <v>7</v>
      </c>
      <c r="G2306" s="15" t="n">
        <v>564.25</v>
      </c>
      <c r="H2306" s="16" t="n">
        <v>0.3</v>
      </c>
      <c r="I2306" s="1" t="s">
        <v>29</v>
      </c>
      <c r="J2306" s="1" t="n">
        <v>3</v>
      </c>
      <c r="K2306" s="1" t="n">
        <v>3.3</v>
      </c>
      <c r="L2306" s="15" t="n">
        <v>2764.82</v>
      </c>
      <c r="M2306" s="15" t="n">
        <f aca="false">F2306*G2306</f>
        <v>3949.75</v>
      </c>
      <c r="N2306" s="15" t="n">
        <f aca="false">M2306-L2306</f>
        <v>1184.93</v>
      </c>
      <c r="O2306" s="1" t="n">
        <f aca="false">YEAR(B2306)</f>
        <v>2028</v>
      </c>
      <c r="P2306" s="1" t="n">
        <f aca="false">MONTH(B2306)</f>
        <v>4</v>
      </c>
      <c r="Q2306" s="1" t="str">
        <f aca="false">TEXT(B2306,"mmm")</f>
        <v>Apr</v>
      </c>
      <c r="R2306" s="1" t="str">
        <f aca="false">"Q"&amp;ROUNDUP(MONTH(B2306)/3,0)</f>
        <v>Q2</v>
      </c>
    </row>
    <row r="2307" customFormat="false" ht="15" hidden="false" customHeight="true" outlineLevel="0" collapsed="false">
      <c r="A2307" s="1" t="n">
        <v>12306</v>
      </c>
      <c r="B2307" s="14" t="n">
        <v>46867</v>
      </c>
      <c r="C2307" s="1" t="n">
        <v>1221</v>
      </c>
      <c r="D2307" s="1" t="s">
        <v>34</v>
      </c>
      <c r="E2307" s="1" t="s">
        <v>28</v>
      </c>
      <c r="F2307" s="1" t="n">
        <v>7</v>
      </c>
      <c r="G2307" s="15" t="n">
        <v>595.74</v>
      </c>
      <c r="H2307" s="16" t="n">
        <v>0.22</v>
      </c>
      <c r="I2307" s="1" t="s">
        <v>31</v>
      </c>
      <c r="J2307" s="1" t="n">
        <v>10</v>
      </c>
      <c r="K2307" s="1" t="n">
        <v>2.2</v>
      </c>
      <c r="L2307" s="15" t="n">
        <v>3252.74</v>
      </c>
      <c r="M2307" s="15" t="n">
        <f aca="false">F2307*G2307</f>
        <v>4170.18</v>
      </c>
      <c r="N2307" s="15" t="n">
        <f aca="false">M2307-L2307</f>
        <v>917.440000000001</v>
      </c>
      <c r="O2307" s="1" t="n">
        <f aca="false">YEAR(B2307)</f>
        <v>2028</v>
      </c>
      <c r="P2307" s="1" t="n">
        <f aca="false">MONTH(B2307)</f>
        <v>4</v>
      </c>
      <c r="Q2307" s="1" t="str">
        <f aca="false">TEXT(B2307,"mmm")</f>
        <v>Apr</v>
      </c>
      <c r="R2307" s="1" t="str">
        <f aca="false">"Q"&amp;ROUNDUP(MONTH(B2307)/3,0)</f>
        <v>Q2</v>
      </c>
    </row>
    <row r="2308" customFormat="false" ht="15" hidden="false" customHeight="true" outlineLevel="0" collapsed="false">
      <c r="A2308" s="1" t="n">
        <v>12307</v>
      </c>
      <c r="B2308" s="14" t="n">
        <v>46868</v>
      </c>
      <c r="C2308" s="1" t="n">
        <v>1036</v>
      </c>
      <c r="D2308" s="1" t="s">
        <v>30</v>
      </c>
      <c r="E2308" s="1" t="s">
        <v>32</v>
      </c>
      <c r="F2308" s="1" t="n">
        <v>7</v>
      </c>
      <c r="G2308" s="15" t="n">
        <v>576.13</v>
      </c>
      <c r="H2308" s="16" t="n">
        <v>0.29</v>
      </c>
      <c r="I2308" s="1" t="s">
        <v>29</v>
      </c>
      <c r="J2308" s="1" t="n">
        <v>8</v>
      </c>
      <c r="K2308" s="1" t="n">
        <v>4.7</v>
      </c>
      <c r="L2308" s="15" t="n">
        <v>2863.37</v>
      </c>
      <c r="M2308" s="15" t="n">
        <f aca="false">F2308*G2308</f>
        <v>4032.91</v>
      </c>
      <c r="N2308" s="15" t="n">
        <f aca="false">M2308-L2308</f>
        <v>1169.54</v>
      </c>
      <c r="O2308" s="1" t="n">
        <f aca="false">YEAR(B2308)</f>
        <v>2028</v>
      </c>
      <c r="P2308" s="1" t="n">
        <f aca="false">MONTH(B2308)</f>
        <v>4</v>
      </c>
      <c r="Q2308" s="1" t="str">
        <f aca="false">TEXT(B2308,"mmm")</f>
        <v>Apr</v>
      </c>
      <c r="R2308" s="1" t="str">
        <f aca="false">"Q"&amp;ROUNDUP(MONTH(B2308)/3,0)</f>
        <v>Q2</v>
      </c>
    </row>
    <row r="2309" customFormat="false" ht="15" hidden="false" customHeight="true" outlineLevel="0" collapsed="false">
      <c r="A2309" s="1" t="n">
        <v>12308</v>
      </c>
      <c r="B2309" s="14" t="n">
        <v>46869</v>
      </c>
      <c r="C2309" s="1" t="n">
        <v>1988</v>
      </c>
      <c r="D2309" s="1" t="s">
        <v>30</v>
      </c>
      <c r="E2309" s="1" t="s">
        <v>35</v>
      </c>
      <c r="F2309" s="1" t="n">
        <v>2</v>
      </c>
      <c r="G2309" s="15" t="n">
        <v>18.48</v>
      </c>
      <c r="H2309" s="16" t="n">
        <v>0.23</v>
      </c>
      <c r="I2309" s="1" t="s">
        <v>33</v>
      </c>
      <c r="J2309" s="1" t="n">
        <v>2</v>
      </c>
      <c r="K2309" s="1" t="n">
        <v>3.9</v>
      </c>
      <c r="L2309" s="15" t="n">
        <v>28.46</v>
      </c>
      <c r="M2309" s="15" t="n">
        <f aca="false">F2309*G2309</f>
        <v>36.96</v>
      </c>
      <c r="N2309" s="15" t="n">
        <f aca="false">M2309-L2309</f>
        <v>8.5</v>
      </c>
      <c r="O2309" s="1" t="n">
        <f aca="false">YEAR(B2309)</f>
        <v>2028</v>
      </c>
      <c r="P2309" s="1" t="n">
        <f aca="false">MONTH(B2309)</f>
        <v>4</v>
      </c>
      <c r="Q2309" s="1" t="str">
        <f aca="false">TEXT(B2309,"mmm")</f>
        <v>Apr</v>
      </c>
      <c r="R2309" s="1" t="str">
        <f aca="false">"Q"&amp;ROUNDUP(MONTH(B2309)/3,0)</f>
        <v>Q2</v>
      </c>
    </row>
    <row r="2310" customFormat="false" ht="15" hidden="false" customHeight="true" outlineLevel="0" collapsed="false">
      <c r="A2310" s="1" t="n">
        <v>12309</v>
      </c>
      <c r="B2310" s="14" t="n">
        <v>46870</v>
      </c>
      <c r="C2310" s="1" t="n">
        <v>1277</v>
      </c>
      <c r="D2310" s="1" t="s">
        <v>37</v>
      </c>
      <c r="E2310" s="1" t="s">
        <v>36</v>
      </c>
      <c r="F2310" s="1" t="n">
        <v>3</v>
      </c>
      <c r="G2310" s="15" t="n">
        <v>42.91</v>
      </c>
      <c r="H2310" s="16" t="n">
        <v>0.15</v>
      </c>
      <c r="I2310" s="1" t="s">
        <v>29</v>
      </c>
      <c r="J2310" s="1" t="n">
        <v>6</v>
      </c>
      <c r="K2310" s="1" t="n">
        <v>2.5</v>
      </c>
      <c r="L2310" s="15" t="n">
        <v>109.42</v>
      </c>
      <c r="M2310" s="15" t="n">
        <f aca="false">F2310*G2310</f>
        <v>128.73</v>
      </c>
      <c r="N2310" s="15" t="n">
        <f aca="false">M2310-L2310</f>
        <v>19.31</v>
      </c>
      <c r="O2310" s="1" t="n">
        <f aca="false">YEAR(B2310)</f>
        <v>2028</v>
      </c>
      <c r="P2310" s="1" t="n">
        <f aca="false">MONTH(B2310)</f>
        <v>4</v>
      </c>
      <c r="Q2310" s="1" t="str">
        <f aca="false">TEXT(B2310,"mmm")</f>
        <v>Apr</v>
      </c>
      <c r="R2310" s="1" t="str">
        <f aca="false">"Q"&amp;ROUNDUP(MONTH(B2310)/3,0)</f>
        <v>Q2</v>
      </c>
    </row>
    <row r="2311" customFormat="false" ht="15" hidden="false" customHeight="true" outlineLevel="0" collapsed="false">
      <c r="A2311" s="1" t="n">
        <v>12310</v>
      </c>
      <c r="B2311" s="14" t="n">
        <v>46871</v>
      </c>
      <c r="C2311" s="1" t="n">
        <v>1195</v>
      </c>
      <c r="D2311" s="1" t="s">
        <v>30</v>
      </c>
      <c r="E2311" s="1" t="s">
        <v>28</v>
      </c>
      <c r="F2311" s="1" t="n">
        <v>5</v>
      </c>
      <c r="G2311" s="15" t="n">
        <v>101.35</v>
      </c>
      <c r="H2311" s="16" t="n">
        <v>0.08</v>
      </c>
      <c r="I2311" s="1" t="s">
        <v>33</v>
      </c>
      <c r="J2311" s="1" t="n">
        <v>2</v>
      </c>
      <c r="K2311" s="1" t="n">
        <v>1.8</v>
      </c>
      <c r="L2311" s="15" t="n">
        <v>466.21</v>
      </c>
      <c r="M2311" s="15" t="n">
        <f aca="false">F2311*G2311</f>
        <v>506.75</v>
      </c>
      <c r="N2311" s="15" t="n">
        <f aca="false">M2311-L2311</f>
        <v>40.54</v>
      </c>
      <c r="O2311" s="1" t="n">
        <f aca="false">YEAR(B2311)</f>
        <v>2028</v>
      </c>
      <c r="P2311" s="1" t="n">
        <f aca="false">MONTH(B2311)</f>
        <v>4</v>
      </c>
      <c r="Q2311" s="1" t="str">
        <f aca="false">TEXT(B2311,"mmm")</f>
        <v>Apr</v>
      </c>
      <c r="R2311" s="1" t="str">
        <f aca="false">"Q"&amp;ROUNDUP(MONTH(B2311)/3,0)</f>
        <v>Q2</v>
      </c>
    </row>
    <row r="2312" customFormat="false" ht="15" hidden="false" customHeight="true" outlineLevel="0" collapsed="false">
      <c r="A2312" s="1" t="n">
        <v>12311</v>
      </c>
      <c r="B2312" s="14" t="n">
        <v>46872</v>
      </c>
      <c r="C2312" s="1" t="n">
        <v>1915</v>
      </c>
      <c r="D2312" s="1" t="s">
        <v>37</v>
      </c>
      <c r="E2312" s="1" t="s">
        <v>35</v>
      </c>
      <c r="F2312" s="1" t="n">
        <v>4</v>
      </c>
      <c r="G2312" s="15" t="n">
        <v>219.08</v>
      </c>
      <c r="H2312" s="16" t="n">
        <v>0.02</v>
      </c>
      <c r="I2312" s="1" t="s">
        <v>33</v>
      </c>
      <c r="J2312" s="1" t="n">
        <v>9</v>
      </c>
      <c r="K2312" s="1" t="n">
        <v>1.6</v>
      </c>
      <c r="L2312" s="15" t="n">
        <v>858.79</v>
      </c>
      <c r="M2312" s="15" t="n">
        <f aca="false">F2312*G2312</f>
        <v>876.32</v>
      </c>
      <c r="N2312" s="15" t="n">
        <f aca="false">M2312-L2312</f>
        <v>17.5300000000001</v>
      </c>
      <c r="O2312" s="1" t="n">
        <f aca="false">YEAR(B2312)</f>
        <v>2028</v>
      </c>
      <c r="P2312" s="1" t="n">
        <f aca="false">MONTH(B2312)</f>
        <v>4</v>
      </c>
      <c r="Q2312" s="1" t="str">
        <f aca="false">TEXT(B2312,"mmm")</f>
        <v>Apr</v>
      </c>
      <c r="R2312" s="1" t="str">
        <f aca="false">"Q"&amp;ROUNDUP(MONTH(B2312)/3,0)</f>
        <v>Q2</v>
      </c>
    </row>
    <row r="2313" customFormat="false" ht="15" hidden="false" customHeight="true" outlineLevel="0" collapsed="false">
      <c r="A2313" s="1" t="n">
        <v>12312</v>
      </c>
      <c r="B2313" s="14" t="n">
        <v>46873</v>
      </c>
      <c r="C2313" s="1" t="n">
        <v>1863</v>
      </c>
      <c r="D2313" s="1" t="s">
        <v>34</v>
      </c>
      <c r="E2313" s="1" t="s">
        <v>35</v>
      </c>
      <c r="F2313" s="1" t="n">
        <v>2</v>
      </c>
      <c r="G2313" s="15" t="n">
        <v>500.5</v>
      </c>
      <c r="H2313" s="16" t="n">
        <v>0.19</v>
      </c>
      <c r="I2313" s="1" t="s">
        <v>33</v>
      </c>
      <c r="J2313" s="1" t="n">
        <v>6</v>
      </c>
      <c r="K2313" s="1" t="n">
        <v>4</v>
      </c>
      <c r="L2313" s="15" t="n">
        <v>810.81</v>
      </c>
      <c r="M2313" s="15" t="n">
        <f aca="false">F2313*G2313</f>
        <v>1001</v>
      </c>
      <c r="N2313" s="15" t="n">
        <f aca="false">M2313-L2313</f>
        <v>190.19</v>
      </c>
      <c r="O2313" s="1" t="n">
        <f aca="false">YEAR(B2313)</f>
        <v>2028</v>
      </c>
      <c r="P2313" s="1" t="n">
        <f aca="false">MONTH(B2313)</f>
        <v>4</v>
      </c>
      <c r="Q2313" s="1" t="str">
        <f aca="false">TEXT(B2313,"mmm")</f>
        <v>Apr</v>
      </c>
      <c r="R2313" s="1" t="str">
        <f aca="false">"Q"&amp;ROUNDUP(MONTH(B2313)/3,0)</f>
        <v>Q2</v>
      </c>
    </row>
    <row r="2314" customFormat="false" ht="15" hidden="false" customHeight="true" outlineLevel="0" collapsed="false">
      <c r="A2314" s="1" t="n">
        <v>12313</v>
      </c>
      <c r="B2314" s="14" t="n">
        <v>46874</v>
      </c>
      <c r="C2314" s="1" t="n">
        <v>1483</v>
      </c>
      <c r="D2314" s="1" t="s">
        <v>30</v>
      </c>
      <c r="E2314" s="1" t="s">
        <v>35</v>
      </c>
      <c r="F2314" s="1" t="n">
        <v>7</v>
      </c>
      <c r="G2314" s="15" t="n">
        <v>537.2</v>
      </c>
      <c r="H2314" s="16" t="n">
        <v>0.35</v>
      </c>
      <c r="I2314" s="1" t="s">
        <v>33</v>
      </c>
      <c r="J2314" s="1" t="n">
        <v>9</v>
      </c>
      <c r="K2314" s="1" t="n">
        <v>2.8</v>
      </c>
      <c r="L2314" s="15" t="n">
        <v>2444.26</v>
      </c>
      <c r="M2314" s="15" t="n">
        <f aca="false">F2314*G2314</f>
        <v>3760.4</v>
      </c>
      <c r="N2314" s="15" t="n">
        <f aca="false">M2314-L2314</f>
        <v>1316.14</v>
      </c>
      <c r="O2314" s="1" t="n">
        <f aca="false">YEAR(B2314)</f>
        <v>2028</v>
      </c>
      <c r="P2314" s="1" t="n">
        <f aca="false">MONTH(B2314)</f>
        <v>5</v>
      </c>
      <c r="Q2314" s="1" t="str">
        <f aca="false">TEXT(B2314,"mmm")</f>
        <v>May</v>
      </c>
      <c r="R2314" s="1" t="str">
        <f aca="false">"Q"&amp;ROUNDUP(MONTH(B2314)/3,0)</f>
        <v>Q2</v>
      </c>
    </row>
    <row r="2315" customFormat="false" ht="15" hidden="false" customHeight="true" outlineLevel="0" collapsed="false">
      <c r="A2315" s="1" t="n">
        <v>12314</v>
      </c>
      <c r="B2315" s="14" t="n">
        <v>46875</v>
      </c>
      <c r="C2315" s="1" t="n">
        <v>1241</v>
      </c>
      <c r="D2315" s="1" t="s">
        <v>37</v>
      </c>
      <c r="E2315" s="1" t="s">
        <v>32</v>
      </c>
      <c r="F2315" s="1" t="n">
        <v>5</v>
      </c>
      <c r="G2315" s="15" t="n">
        <v>124.3</v>
      </c>
      <c r="H2315" s="16" t="n">
        <v>0.26</v>
      </c>
      <c r="I2315" s="1" t="s">
        <v>33</v>
      </c>
      <c r="J2315" s="1" t="n">
        <v>4</v>
      </c>
      <c r="K2315" s="1" t="n">
        <v>1.9</v>
      </c>
      <c r="L2315" s="15" t="n">
        <v>459.91</v>
      </c>
      <c r="M2315" s="15" t="n">
        <f aca="false">F2315*G2315</f>
        <v>621.5</v>
      </c>
      <c r="N2315" s="15" t="n">
        <f aca="false">M2315-L2315</f>
        <v>161.59</v>
      </c>
      <c r="O2315" s="1" t="n">
        <f aca="false">YEAR(B2315)</f>
        <v>2028</v>
      </c>
      <c r="P2315" s="1" t="n">
        <f aca="false">MONTH(B2315)</f>
        <v>5</v>
      </c>
      <c r="Q2315" s="1" t="str">
        <f aca="false">TEXT(B2315,"mmm")</f>
        <v>May</v>
      </c>
      <c r="R2315" s="1" t="str">
        <f aca="false">"Q"&amp;ROUNDUP(MONTH(B2315)/3,0)</f>
        <v>Q2</v>
      </c>
    </row>
    <row r="2316" customFormat="false" ht="15" hidden="false" customHeight="true" outlineLevel="0" collapsed="false">
      <c r="A2316" s="1" t="n">
        <v>12315</v>
      </c>
      <c r="B2316" s="14" t="n">
        <v>46876</v>
      </c>
      <c r="C2316" s="1" t="n">
        <v>1323</v>
      </c>
      <c r="D2316" s="1" t="s">
        <v>34</v>
      </c>
      <c r="E2316" s="1" t="s">
        <v>36</v>
      </c>
      <c r="F2316" s="1" t="n">
        <v>5</v>
      </c>
      <c r="G2316" s="15" t="n">
        <v>377.5</v>
      </c>
      <c r="H2316" s="16" t="n">
        <v>0.11</v>
      </c>
      <c r="I2316" s="1" t="s">
        <v>31</v>
      </c>
      <c r="J2316" s="1" t="n">
        <v>3</v>
      </c>
      <c r="K2316" s="1" t="n">
        <v>4.7</v>
      </c>
      <c r="L2316" s="15" t="n">
        <v>1679.88</v>
      </c>
      <c r="M2316" s="15" t="n">
        <f aca="false">F2316*G2316</f>
        <v>1887.5</v>
      </c>
      <c r="N2316" s="15" t="n">
        <f aca="false">M2316-L2316</f>
        <v>207.62</v>
      </c>
      <c r="O2316" s="1" t="n">
        <f aca="false">YEAR(B2316)</f>
        <v>2028</v>
      </c>
      <c r="P2316" s="1" t="n">
        <f aca="false">MONTH(B2316)</f>
        <v>5</v>
      </c>
      <c r="Q2316" s="1" t="str">
        <f aca="false">TEXT(B2316,"mmm")</f>
        <v>May</v>
      </c>
      <c r="R2316" s="1" t="str">
        <f aca="false">"Q"&amp;ROUNDUP(MONTH(B2316)/3,0)</f>
        <v>Q2</v>
      </c>
    </row>
    <row r="2317" customFormat="false" ht="15" hidden="false" customHeight="true" outlineLevel="0" collapsed="false">
      <c r="A2317" s="1" t="n">
        <v>12316</v>
      </c>
      <c r="B2317" s="14" t="n">
        <v>46877</v>
      </c>
      <c r="C2317" s="1" t="n">
        <v>1730</v>
      </c>
      <c r="D2317" s="1" t="s">
        <v>34</v>
      </c>
      <c r="E2317" s="1" t="s">
        <v>36</v>
      </c>
      <c r="F2317" s="1" t="n">
        <v>6</v>
      </c>
      <c r="G2317" s="15" t="n">
        <v>551.66</v>
      </c>
      <c r="H2317" s="16" t="n">
        <v>0.29</v>
      </c>
      <c r="I2317" s="1" t="s">
        <v>31</v>
      </c>
      <c r="J2317" s="1" t="n">
        <v>2</v>
      </c>
      <c r="K2317" s="1" t="n">
        <v>2.6</v>
      </c>
      <c r="L2317" s="15" t="n">
        <v>2350.07</v>
      </c>
      <c r="M2317" s="15" t="n">
        <f aca="false">F2317*G2317</f>
        <v>3309.96</v>
      </c>
      <c r="N2317" s="15" t="n">
        <f aca="false">M2317-L2317</f>
        <v>959.89</v>
      </c>
      <c r="O2317" s="1" t="n">
        <f aca="false">YEAR(B2317)</f>
        <v>2028</v>
      </c>
      <c r="P2317" s="1" t="n">
        <f aca="false">MONTH(B2317)</f>
        <v>5</v>
      </c>
      <c r="Q2317" s="1" t="str">
        <f aca="false">TEXT(B2317,"mmm")</f>
        <v>May</v>
      </c>
      <c r="R2317" s="1" t="str">
        <f aca="false">"Q"&amp;ROUNDUP(MONTH(B2317)/3,0)</f>
        <v>Q2</v>
      </c>
    </row>
    <row r="2318" customFormat="false" ht="15" hidden="false" customHeight="true" outlineLevel="0" collapsed="false">
      <c r="A2318" s="1" t="n">
        <v>12317</v>
      </c>
      <c r="B2318" s="14" t="n">
        <v>46878</v>
      </c>
      <c r="C2318" s="1" t="n">
        <v>1191</v>
      </c>
      <c r="D2318" s="1" t="s">
        <v>27</v>
      </c>
      <c r="E2318" s="1" t="s">
        <v>35</v>
      </c>
      <c r="F2318" s="1" t="n">
        <v>6</v>
      </c>
      <c r="G2318" s="15" t="n">
        <v>286.28</v>
      </c>
      <c r="H2318" s="16" t="n">
        <v>0.27</v>
      </c>
      <c r="I2318" s="1" t="s">
        <v>31</v>
      </c>
      <c r="J2318" s="1" t="n">
        <v>8</v>
      </c>
      <c r="K2318" s="1" t="n">
        <v>3.2</v>
      </c>
      <c r="L2318" s="15" t="n">
        <v>1253.91</v>
      </c>
      <c r="M2318" s="15" t="n">
        <f aca="false">F2318*G2318</f>
        <v>1717.68</v>
      </c>
      <c r="N2318" s="15" t="n">
        <f aca="false">M2318-L2318</f>
        <v>463.77</v>
      </c>
      <c r="O2318" s="1" t="n">
        <f aca="false">YEAR(B2318)</f>
        <v>2028</v>
      </c>
      <c r="P2318" s="1" t="n">
        <f aca="false">MONTH(B2318)</f>
        <v>5</v>
      </c>
      <c r="Q2318" s="1" t="str">
        <f aca="false">TEXT(B2318,"mmm")</f>
        <v>May</v>
      </c>
      <c r="R2318" s="1" t="str">
        <f aca="false">"Q"&amp;ROUNDUP(MONTH(B2318)/3,0)</f>
        <v>Q2</v>
      </c>
    </row>
    <row r="2319" customFormat="false" ht="15" hidden="false" customHeight="true" outlineLevel="0" collapsed="false">
      <c r="A2319" s="1" t="n">
        <v>12318</v>
      </c>
      <c r="B2319" s="14" t="n">
        <v>46879</v>
      </c>
      <c r="C2319" s="1" t="n">
        <v>1016</v>
      </c>
      <c r="D2319" s="1" t="s">
        <v>34</v>
      </c>
      <c r="E2319" s="1" t="s">
        <v>35</v>
      </c>
      <c r="F2319" s="1" t="n">
        <v>7</v>
      </c>
      <c r="G2319" s="15" t="n">
        <v>75.57</v>
      </c>
      <c r="H2319" s="16" t="n">
        <v>0.1</v>
      </c>
      <c r="I2319" s="1" t="s">
        <v>29</v>
      </c>
      <c r="J2319" s="1" t="n">
        <v>4</v>
      </c>
      <c r="K2319" s="1" t="n">
        <v>4.4</v>
      </c>
      <c r="L2319" s="15" t="n">
        <v>476.09</v>
      </c>
      <c r="M2319" s="15" t="n">
        <f aca="false">F2319*G2319</f>
        <v>528.99</v>
      </c>
      <c r="N2319" s="15" t="n">
        <f aca="false">M2319-L2319</f>
        <v>52.9</v>
      </c>
      <c r="O2319" s="1" t="n">
        <f aca="false">YEAR(B2319)</f>
        <v>2028</v>
      </c>
      <c r="P2319" s="1" t="n">
        <f aca="false">MONTH(B2319)</f>
        <v>5</v>
      </c>
      <c r="Q2319" s="1" t="str">
        <f aca="false">TEXT(B2319,"mmm")</f>
        <v>May</v>
      </c>
      <c r="R2319" s="1" t="str">
        <f aca="false">"Q"&amp;ROUNDUP(MONTH(B2319)/3,0)</f>
        <v>Q2</v>
      </c>
    </row>
    <row r="2320" customFormat="false" ht="15" hidden="false" customHeight="true" outlineLevel="0" collapsed="false">
      <c r="A2320" s="1" t="n">
        <v>12319</v>
      </c>
      <c r="B2320" s="14" t="n">
        <v>46880</v>
      </c>
      <c r="C2320" s="1" t="n">
        <v>1523</v>
      </c>
      <c r="D2320" s="1" t="s">
        <v>37</v>
      </c>
      <c r="E2320" s="1" t="s">
        <v>35</v>
      </c>
      <c r="F2320" s="1" t="n">
        <v>4</v>
      </c>
      <c r="G2320" s="15" t="n">
        <v>282.82</v>
      </c>
      <c r="H2320" s="16" t="n">
        <v>0.01</v>
      </c>
      <c r="I2320" s="1" t="s">
        <v>33</v>
      </c>
      <c r="J2320" s="1" t="n">
        <v>2</v>
      </c>
      <c r="K2320" s="1" t="n">
        <v>4.3</v>
      </c>
      <c r="L2320" s="15" t="n">
        <v>1119.97</v>
      </c>
      <c r="M2320" s="15" t="n">
        <f aca="false">F2320*G2320</f>
        <v>1131.28</v>
      </c>
      <c r="N2320" s="15" t="n">
        <f aca="false">M2320-L2320</f>
        <v>11.3099999999999</v>
      </c>
      <c r="O2320" s="1" t="n">
        <f aca="false">YEAR(B2320)</f>
        <v>2028</v>
      </c>
      <c r="P2320" s="1" t="n">
        <f aca="false">MONTH(B2320)</f>
        <v>5</v>
      </c>
      <c r="Q2320" s="1" t="str">
        <f aca="false">TEXT(B2320,"mmm")</f>
        <v>May</v>
      </c>
      <c r="R2320" s="1" t="str">
        <f aca="false">"Q"&amp;ROUNDUP(MONTH(B2320)/3,0)</f>
        <v>Q2</v>
      </c>
    </row>
    <row r="2321" customFormat="false" ht="15" hidden="false" customHeight="true" outlineLevel="0" collapsed="false">
      <c r="A2321" s="1" t="n">
        <v>12320</v>
      </c>
      <c r="B2321" s="14" t="n">
        <v>46881</v>
      </c>
      <c r="C2321" s="1" t="n">
        <v>1917</v>
      </c>
      <c r="D2321" s="1" t="s">
        <v>34</v>
      </c>
      <c r="E2321" s="1" t="s">
        <v>28</v>
      </c>
      <c r="F2321" s="1" t="n">
        <v>7</v>
      </c>
      <c r="G2321" s="15" t="n">
        <v>234.84</v>
      </c>
      <c r="H2321" s="16" t="n">
        <v>0.04</v>
      </c>
      <c r="I2321" s="1" t="s">
        <v>33</v>
      </c>
      <c r="J2321" s="1" t="n">
        <v>11</v>
      </c>
      <c r="K2321" s="1" t="n">
        <v>3.6</v>
      </c>
      <c r="L2321" s="15" t="n">
        <v>1578.12</v>
      </c>
      <c r="M2321" s="15" t="n">
        <f aca="false">F2321*G2321</f>
        <v>1643.88</v>
      </c>
      <c r="N2321" s="15" t="n">
        <f aca="false">M2321-L2321</f>
        <v>65.7600000000002</v>
      </c>
      <c r="O2321" s="1" t="n">
        <f aca="false">YEAR(B2321)</f>
        <v>2028</v>
      </c>
      <c r="P2321" s="1" t="n">
        <f aca="false">MONTH(B2321)</f>
        <v>5</v>
      </c>
      <c r="Q2321" s="1" t="str">
        <f aca="false">TEXT(B2321,"mmm")</f>
        <v>May</v>
      </c>
      <c r="R2321" s="1" t="str">
        <f aca="false">"Q"&amp;ROUNDUP(MONTH(B2321)/3,0)</f>
        <v>Q2</v>
      </c>
    </row>
    <row r="2322" customFormat="false" ht="15" hidden="false" customHeight="true" outlineLevel="0" collapsed="false">
      <c r="A2322" s="1" t="n">
        <v>12321</v>
      </c>
      <c r="B2322" s="14" t="n">
        <v>46882</v>
      </c>
      <c r="C2322" s="1" t="n">
        <v>1400</v>
      </c>
      <c r="D2322" s="1" t="s">
        <v>37</v>
      </c>
      <c r="E2322" s="1" t="s">
        <v>35</v>
      </c>
      <c r="F2322" s="1" t="n">
        <v>7</v>
      </c>
      <c r="G2322" s="15" t="n">
        <v>352.93</v>
      </c>
      <c r="H2322" s="16" t="n">
        <v>0.31</v>
      </c>
      <c r="I2322" s="1" t="s">
        <v>33</v>
      </c>
      <c r="J2322" s="1" t="n">
        <v>9</v>
      </c>
      <c r="K2322" s="1" t="n">
        <v>4.6</v>
      </c>
      <c r="L2322" s="15" t="n">
        <v>1704.65</v>
      </c>
      <c r="M2322" s="15" t="n">
        <f aca="false">F2322*G2322</f>
        <v>2470.51</v>
      </c>
      <c r="N2322" s="15" t="n">
        <f aca="false">M2322-L2322</f>
        <v>765.86</v>
      </c>
      <c r="O2322" s="1" t="n">
        <f aca="false">YEAR(B2322)</f>
        <v>2028</v>
      </c>
      <c r="P2322" s="1" t="n">
        <f aca="false">MONTH(B2322)</f>
        <v>5</v>
      </c>
      <c r="Q2322" s="1" t="str">
        <f aca="false">TEXT(B2322,"mmm")</f>
        <v>May</v>
      </c>
      <c r="R2322" s="1" t="str">
        <f aca="false">"Q"&amp;ROUNDUP(MONTH(B2322)/3,0)</f>
        <v>Q2</v>
      </c>
    </row>
    <row r="2323" customFormat="false" ht="15" hidden="false" customHeight="true" outlineLevel="0" collapsed="false">
      <c r="A2323" s="1" t="n">
        <v>12322</v>
      </c>
      <c r="B2323" s="14" t="n">
        <v>46883</v>
      </c>
      <c r="C2323" s="1" t="n">
        <v>1905</v>
      </c>
      <c r="D2323" s="1" t="s">
        <v>34</v>
      </c>
      <c r="E2323" s="1" t="s">
        <v>32</v>
      </c>
      <c r="F2323" s="1" t="n">
        <v>2</v>
      </c>
      <c r="G2323" s="15" t="n">
        <v>271.62</v>
      </c>
      <c r="H2323" s="16" t="n">
        <v>0.29</v>
      </c>
      <c r="I2323" s="1" t="s">
        <v>31</v>
      </c>
      <c r="J2323" s="1" t="n">
        <v>8</v>
      </c>
      <c r="K2323" s="1" t="n">
        <v>4.8</v>
      </c>
      <c r="L2323" s="15" t="n">
        <v>385.7</v>
      </c>
      <c r="M2323" s="15" t="n">
        <f aca="false">F2323*G2323</f>
        <v>543.24</v>
      </c>
      <c r="N2323" s="15" t="n">
        <f aca="false">M2323-L2323</f>
        <v>157.54</v>
      </c>
      <c r="O2323" s="1" t="n">
        <f aca="false">YEAR(B2323)</f>
        <v>2028</v>
      </c>
      <c r="P2323" s="1" t="n">
        <f aca="false">MONTH(B2323)</f>
        <v>5</v>
      </c>
      <c r="Q2323" s="1" t="str">
        <f aca="false">TEXT(B2323,"mmm")</f>
        <v>May</v>
      </c>
      <c r="R2323" s="1" t="str">
        <f aca="false">"Q"&amp;ROUNDUP(MONTH(B2323)/3,0)</f>
        <v>Q2</v>
      </c>
    </row>
    <row r="2324" customFormat="false" ht="15" hidden="false" customHeight="true" outlineLevel="0" collapsed="false">
      <c r="A2324" s="1" t="n">
        <v>12323</v>
      </c>
      <c r="B2324" s="14" t="n">
        <v>46884</v>
      </c>
      <c r="C2324" s="1" t="n">
        <v>1885</v>
      </c>
      <c r="D2324" s="1" t="s">
        <v>34</v>
      </c>
      <c r="E2324" s="1" t="s">
        <v>36</v>
      </c>
      <c r="F2324" s="1" t="n">
        <v>3</v>
      </c>
      <c r="G2324" s="15" t="n">
        <v>25.15</v>
      </c>
      <c r="H2324" s="16" t="n">
        <v>0.1</v>
      </c>
      <c r="I2324" s="1" t="s">
        <v>31</v>
      </c>
      <c r="J2324" s="1" t="n">
        <v>5</v>
      </c>
      <c r="K2324" s="1" t="n">
        <v>4.7</v>
      </c>
      <c r="L2324" s="15" t="n">
        <v>67.9</v>
      </c>
      <c r="M2324" s="15" t="n">
        <f aca="false">F2324*G2324</f>
        <v>75.45</v>
      </c>
      <c r="N2324" s="15" t="n">
        <f aca="false">M2324-L2324</f>
        <v>7.54999999999998</v>
      </c>
      <c r="O2324" s="1" t="n">
        <f aca="false">YEAR(B2324)</f>
        <v>2028</v>
      </c>
      <c r="P2324" s="1" t="n">
        <f aca="false">MONTH(B2324)</f>
        <v>5</v>
      </c>
      <c r="Q2324" s="1" t="str">
        <f aca="false">TEXT(B2324,"mmm")</f>
        <v>May</v>
      </c>
      <c r="R2324" s="1" t="str">
        <f aca="false">"Q"&amp;ROUNDUP(MONTH(B2324)/3,0)</f>
        <v>Q2</v>
      </c>
    </row>
    <row r="2325" customFormat="false" ht="15" hidden="false" customHeight="true" outlineLevel="0" collapsed="false">
      <c r="A2325" s="1" t="n">
        <v>12324</v>
      </c>
      <c r="B2325" s="14" t="n">
        <v>46885</v>
      </c>
      <c r="C2325" s="1" t="n">
        <v>1704</v>
      </c>
      <c r="D2325" s="1" t="s">
        <v>30</v>
      </c>
      <c r="E2325" s="1" t="s">
        <v>32</v>
      </c>
      <c r="F2325" s="1" t="n">
        <v>7</v>
      </c>
      <c r="G2325" s="15" t="n">
        <v>596.49</v>
      </c>
      <c r="H2325" s="16" t="n">
        <v>0.1</v>
      </c>
      <c r="I2325" s="1" t="s">
        <v>33</v>
      </c>
      <c r="J2325" s="1" t="n">
        <v>8</v>
      </c>
      <c r="K2325" s="1" t="n">
        <v>2.4</v>
      </c>
      <c r="L2325" s="15" t="n">
        <v>3757.89</v>
      </c>
      <c r="M2325" s="15" t="n">
        <f aca="false">F2325*G2325</f>
        <v>4175.43</v>
      </c>
      <c r="N2325" s="15" t="n">
        <f aca="false">M2325-L2325</f>
        <v>417.54</v>
      </c>
      <c r="O2325" s="1" t="n">
        <f aca="false">YEAR(B2325)</f>
        <v>2028</v>
      </c>
      <c r="P2325" s="1" t="n">
        <f aca="false">MONTH(B2325)</f>
        <v>5</v>
      </c>
      <c r="Q2325" s="1" t="str">
        <f aca="false">TEXT(B2325,"mmm")</f>
        <v>May</v>
      </c>
      <c r="R2325" s="1" t="str">
        <f aca="false">"Q"&amp;ROUNDUP(MONTH(B2325)/3,0)</f>
        <v>Q2</v>
      </c>
    </row>
    <row r="2326" customFormat="false" ht="15" hidden="false" customHeight="true" outlineLevel="0" collapsed="false">
      <c r="A2326" s="1" t="n">
        <v>12325</v>
      </c>
      <c r="B2326" s="14" t="n">
        <v>46886</v>
      </c>
      <c r="C2326" s="1" t="n">
        <v>1021</v>
      </c>
      <c r="D2326" s="1" t="s">
        <v>34</v>
      </c>
      <c r="E2326" s="1" t="s">
        <v>35</v>
      </c>
      <c r="F2326" s="1" t="n">
        <v>4</v>
      </c>
      <c r="G2326" s="15" t="n">
        <v>332.97</v>
      </c>
      <c r="H2326" s="16" t="n">
        <v>0.28</v>
      </c>
      <c r="I2326" s="1" t="s">
        <v>29</v>
      </c>
      <c r="J2326" s="1" t="n">
        <v>5</v>
      </c>
      <c r="K2326" s="1" t="n">
        <v>2.6</v>
      </c>
      <c r="L2326" s="15" t="n">
        <v>958.95</v>
      </c>
      <c r="M2326" s="15" t="n">
        <f aca="false">F2326*G2326</f>
        <v>1331.88</v>
      </c>
      <c r="N2326" s="15" t="n">
        <f aca="false">M2326-L2326</f>
        <v>372.93</v>
      </c>
      <c r="O2326" s="1" t="n">
        <f aca="false">YEAR(B2326)</f>
        <v>2028</v>
      </c>
      <c r="P2326" s="1" t="n">
        <f aca="false">MONTH(B2326)</f>
        <v>5</v>
      </c>
      <c r="Q2326" s="1" t="str">
        <f aca="false">TEXT(B2326,"mmm")</f>
        <v>May</v>
      </c>
      <c r="R2326" s="1" t="str">
        <f aca="false">"Q"&amp;ROUNDUP(MONTH(B2326)/3,0)</f>
        <v>Q2</v>
      </c>
    </row>
    <row r="2327" customFormat="false" ht="15" hidden="false" customHeight="true" outlineLevel="0" collapsed="false">
      <c r="A2327" s="1" t="n">
        <v>12326</v>
      </c>
      <c r="B2327" s="14" t="n">
        <v>46887</v>
      </c>
      <c r="C2327" s="1" t="n">
        <v>1473</v>
      </c>
      <c r="D2327" s="1" t="s">
        <v>30</v>
      </c>
      <c r="E2327" s="1" t="s">
        <v>28</v>
      </c>
      <c r="F2327" s="1" t="n">
        <v>5</v>
      </c>
      <c r="G2327" s="15" t="n">
        <v>292.07</v>
      </c>
      <c r="H2327" s="16" t="n">
        <v>0.33</v>
      </c>
      <c r="I2327" s="1" t="s">
        <v>31</v>
      </c>
      <c r="J2327" s="1" t="n">
        <v>7</v>
      </c>
      <c r="K2327" s="1" t="n">
        <v>2</v>
      </c>
      <c r="L2327" s="15" t="n">
        <v>978.43</v>
      </c>
      <c r="M2327" s="15" t="n">
        <f aca="false">F2327*G2327</f>
        <v>1460.35</v>
      </c>
      <c r="N2327" s="15" t="n">
        <f aca="false">M2327-L2327</f>
        <v>481.92</v>
      </c>
      <c r="O2327" s="1" t="n">
        <f aca="false">YEAR(B2327)</f>
        <v>2028</v>
      </c>
      <c r="P2327" s="1" t="n">
        <f aca="false">MONTH(B2327)</f>
        <v>5</v>
      </c>
      <c r="Q2327" s="1" t="str">
        <f aca="false">TEXT(B2327,"mmm")</f>
        <v>May</v>
      </c>
      <c r="R2327" s="1" t="str">
        <f aca="false">"Q"&amp;ROUNDUP(MONTH(B2327)/3,0)</f>
        <v>Q2</v>
      </c>
    </row>
    <row r="2328" customFormat="false" ht="15" hidden="false" customHeight="true" outlineLevel="0" collapsed="false">
      <c r="A2328" s="1" t="n">
        <v>12327</v>
      </c>
      <c r="B2328" s="14" t="n">
        <v>46888</v>
      </c>
      <c r="C2328" s="1" t="n">
        <v>1119</v>
      </c>
      <c r="D2328" s="1" t="s">
        <v>34</v>
      </c>
      <c r="E2328" s="1" t="s">
        <v>35</v>
      </c>
      <c r="F2328" s="1" t="n">
        <v>5</v>
      </c>
      <c r="G2328" s="15" t="n">
        <v>573.45</v>
      </c>
      <c r="H2328" s="16" t="n">
        <v>0.27</v>
      </c>
      <c r="I2328" s="1" t="s">
        <v>31</v>
      </c>
      <c r="J2328" s="1" t="n">
        <v>5</v>
      </c>
      <c r="K2328" s="1" t="n">
        <v>4.3</v>
      </c>
      <c r="L2328" s="15" t="n">
        <v>2093.09</v>
      </c>
      <c r="M2328" s="15" t="n">
        <f aca="false">F2328*G2328</f>
        <v>2867.25</v>
      </c>
      <c r="N2328" s="15" t="n">
        <f aca="false">M2328-L2328</f>
        <v>774.16</v>
      </c>
      <c r="O2328" s="1" t="n">
        <f aca="false">YEAR(B2328)</f>
        <v>2028</v>
      </c>
      <c r="P2328" s="1" t="n">
        <f aca="false">MONTH(B2328)</f>
        <v>5</v>
      </c>
      <c r="Q2328" s="1" t="str">
        <f aca="false">TEXT(B2328,"mmm")</f>
        <v>May</v>
      </c>
      <c r="R2328" s="1" t="str">
        <f aca="false">"Q"&amp;ROUNDUP(MONTH(B2328)/3,0)</f>
        <v>Q2</v>
      </c>
    </row>
    <row r="2329" customFormat="false" ht="15" hidden="false" customHeight="true" outlineLevel="0" collapsed="false">
      <c r="A2329" s="1" t="n">
        <v>12328</v>
      </c>
      <c r="B2329" s="14" t="n">
        <v>46889</v>
      </c>
      <c r="C2329" s="1" t="n">
        <v>1209</v>
      </c>
      <c r="D2329" s="1" t="s">
        <v>34</v>
      </c>
      <c r="E2329" s="1" t="s">
        <v>35</v>
      </c>
      <c r="F2329" s="1" t="n">
        <v>1</v>
      </c>
      <c r="G2329" s="15" t="n">
        <v>106.18</v>
      </c>
      <c r="H2329" s="16" t="n">
        <v>0.21</v>
      </c>
      <c r="I2329" s="1" t="s">
        <v>31</v>
      </c>
      <c r="J2329" s="1" t="n">
        <v>5</v>
      </c>
      <c r="K2329" s="1" t="n">
        <v>1.5</v>
      </c>
      <c r="L2329" s="15" t="n">
        <v>83.88</v>
      </c>
      <c r="M2329" s="15" t="n">
        <f aca="false">F2329*G2329</f>
        <v>106.18</v>
      </c>
      <c r="N2329" s="15" t="n">
        <f aca="false">M2329-L2329</f>
        <v>22.3</v>
      </c>
      <c r="O2329" s="1" t="n">
        <f aca="false">YEAR(B2329)</f>
        <v>2028</v>
      </c>
      <c r="P2329" s="1" t="n">
        <f aca="false">MONTH(B2329)</f>
        <v>5</v>
      </c>
      <c r="Q2329" s="1" t="str">
        <f aca="false">TEXT(B2329,"mmm")</f>
        <v>May</v>
      </c>
      <c r="R2329" s="1" t="str">
        <f aca="false">"Q"&amp;ROUNDUP(MONTH(B2329)/3,0)</f>
        <v>Q2</v>
      </c>
    </row>
    <row r="2330" customFormat="false" ht="15" hidden="false" customHeight="true" outlineLevel="0" collapsed="false">
      <c r="A2330" s="1" t="n">
        <v>12329</v>
      </c>
      <c r="B2330" s="14" t="n">
        <v>46890</v>
      </c>
      <c r="C2330" s="1" t="n">
        <v>1305</v>
      </c>
      <c r="D2330" s="1" t="s">
        <v>34</v>
      </c>
      <c r="E2330" s="1" t="s">
        <v>35</v>
      </c>
      <c r="F2330" s="1" t="n">
        <v>7</v>
      </c>
      <c r="G2330" s="15" t="n">
        <v>125.7</v>
      </c>
      <c r="H2330" s="16" t="n">
        <v>0.08</v>
      </c>
      <c r="I2330" s="1" t="s">
        <v>31</v>
      </c>
      <c r="J2330" s="1" t="n">
        <v>4</v>
      </c>
      <c r="K2330" s="1" t="n">
        <v>2.4</v>
      </c>
      <c r="L2330" s="15" t="n">
        <v>809.51</v>
      </c>
      <c r="M2330" s="15" t="n">
        <f aca="false">F2330*G2330</f>
        <v>879.9</v>
      </c>
      <c r="N2330" s="15" t="n">
        <f aca="false">M2330-L2330</f>
        <v>70.39</v>
      </c>
      <c r="O2330" s="1" t="n">
        <f aca="false">YEAR(B2330)</f>
        <v>2028</v>
      </c>
      <c r="P2330" s="1" t="n">
        <f aca="false">MONTH(B2330)</f>
        <v>5</v>
      </c>
      <c r="Q2330" s="1" t="str">
        <f aca="false">TEXT(B2330,"mmm")</f>
        <v>May</v>
      </c>
      <c r="R2330" s="1" t="str">
        <f aca="false">"Q"&amp;ROUNDUP(MONTH(B2330)/3,0)</f>
        <v>Q2</v>
      </c>
    </row>
    <row r="2331" customFormat="false" ht="15" hidden="false" customHeight="true" outlineLevel="0" collapsed="false">
      <c r="A2331" s="1" t="n">
        <v>12330</v>
      </c>
      <c r="B2331" s="14" t="n">
        <v>46891</v>
      </c>
      <c r="C2331" s="1" t="n">
        <v>1269</v>
      </c>
      <c r="D2331" s="1" t="s">
        <v>34</v>
      </c>
      <c r="E2331" s="1" t="s">
        <v>35</v>
      </c>
      <c r="F2331" s="1" t="n">
        <v>2</v>
      </c>
      <c r="G2331" s="15" t="n">
        <v>487.69</v>
      </c>
      <c r="H2331" s="16" t="n">
        <v>0.18</v>
      </c>
      <c r="I2331" s="1" t="s">
        <v>31</v>
      </c>
      <c r="J2331" s="1" t="n">
        <v>5</v>
      </c>
      <c r="K2331" s="1" t="n">
        <v>1</v>
      </c>
      <c r="L2331" s="15" t="n">
        <v>799.81</v>
      </c>
      <c r="M2331" s="15" t="n">
        <f aca="false">F2331*G2331</f>
        <v>975.38</v>
      </c>
      <c r="N2331" s="15" t="n">
        <f aca="false">M2331-L2331</f>
        <v>175.57</v>
      </c>
      <c r="O2331" s="1" t="n">
        <f aca="false">YEAR(B2331)</f>
        <v>2028</v>
      </c>
      <c r="P2331" s="1" t="n">
        <f aca="false">MONTH(B2331)</f>
        <v>5</v>
      </c>
      <c r="Q2331" s="1" t="str">
        <f aca="false">TEXT(B2331,"mmm")</f>
        <v>May</v>
      </c>
      <c r="R2331" s="1" t="str">
        <f aca="false">"Q"&amp;ROUNDUP(MONTH(B2331)/3,0)</f>
        <v>Q2</v>
      </c>
    </row>
    <row r="2332" customFormat="false" ht="15" hidden="false" customHeight="true" outlineLevel="0" collapsed="false">
      <c r="A2332" s="1" t="n">
        <v>12331</v>
      </c>
      <c r="B2332" s="14" t="n">
        <v>46892</v>
      </c>
      <c r="C2332" s="1" t="n">
        <v>1703</v>
      </c>
      <c r="D2332" s="1" t="s">
        <v>27</v>
      </c>
      <c r="E2332" s="1" t="s">
        <v>35</v>
      </c>
      <c r="F2332" s="1" t="n">
        <v>1</v>
      </c>
      <c r="G2332" s="15" t="n">
        <v>167.59</v>
      </c>
      <c r="H2332" s="16" t="n">
        <v>0.08</v>
      </c>
      <c r="I2332" s="1" t="s">
        <v>33</v>
      </c>
      <c r="J2332" s="1" t="n">
        <v>7</v>
      </c>
      <c r="K2332" s="1" t="n">
        <v>3.4</v>
      </c>
      <c r="L2332" s="15" t="n">
        <v>154.18</v>
      </c>
      <c r="M2332" s="15" t="n">
        <f aca="false">F2332*G2332</f>
        <v>167.59</v>
      </c>
      <c r="N2332" s="15" t="n">
        <f aca="false">M2332-L2332</f>
        <v>13.41</v>
      </c>
      <c r="O2332" s="1" t="n">
        <f aca="false">YEAR(B2332)</f>
        <v>2028</v>
      </c>
      <c r="P2332" s="1" t="n">
        <f aca="false">MONTH(B2332)</f>
        <v>5</v>
      </c>
      <c r="Q2332" s="1" t="str">
        <f aca="false">TEXT(B2332,"mmm")</f>
        <v>May</v>
      </c>
      <c r="R2332" s="1" t="str">
        <f aca="false">"Q"&amp;ROUNDUP(MONTH(B2332)/3,0)</f>
        <v>Q2</v>
      </c>
    </row>
    <row r="2333" customFormat="false" ht="15" hidden="false" customHeight="true" outlineLevel="0" collapsed="false">
      <c r="A2333" s="1" t="n">
        <v>12332</v>
      </c>
      <c r="B2333" s="14" t="n">
        <v>46893</v>
      </c>
      <c r="C2333" s="1" t="n">
        <v>1686</v>
      </c>
      <c r="D2333" s="1" t="s">
        <v>34</v>
      </c>
      <c r="E2333" s="1" t="s">
        <v>36</v>
      </c>
      <c r="F2333" s="1" t="n">
        <v>6</v>
      </c>
      <c r="G2333" s="15" t="n">
        <v>482.55</v>
      </c>
      <c r="H2333" s="16" t="n">
        <v>0.28</v>
      </c>
      <c r="I2333" s="1" t="s">
        <v>31</v>
      </c>
      <c r="J2333" s="1" t="n">
        <v>3</v>
      </c>
      <c r="K2333" s="1" t="n">
        <v>3.6</v>
      </c>
      <c r="L2333" s="15" t="n">
        <v>2084.62</v>
      </c>
      <c r="M2333" s="15" t="n">
        <f aca="false">F2333*G2333</f>
        <v>2895.3</v>
      </c>
      <c r="N2333" s="15" t="n">
        <f aca="false">M2333-L2333</f>
        <v>810.68</v>
      </c>
      <c r="O2333" s="1" t="n">
        <f aca="false">YEAR(B2333)</f>
        <v>2028</v>
      </c>
      <c r="P2333" s="1" t="n">
        <f aca="false">MONTH(B2333)</f>
        <v>5</v>
      </c>
      <c r="Q2333" s="1" t="str">
        <f aca="false">TEXT(B2333,"mmm")</f>
        <v>May</v>
      </c>
      <c r="R2333" s="1" t="str">
        <f aca="false">"Q"&amp;ROUNDUP(MONTH(B2333)/3,0)</f>
        <v>Q2</v>
      </c>
    </row>
    <row r="2334" customFormat="false" ht="15" hidden="false" customHeight="true" outlineLevel="0" collapsed="false">
      <c r="A2334" s="1" t="n">
        <v>12333</v>
      </c>
      <c r="B2334" s="14" t="n">
        <v>46894</v>
      </c>
      <c r="C2334" s="1" t="n">
        <v>1284</v>
      </c>
      <c r="D2334" s="1" t="s">
        <v>30</v>
      </c>
      <c r="E2334" s="1" t="s">
        <v>32</v>
      </c>
      <c r="F2334" s="1" t="n">
        <v>3</v>
      </c>
      <c r="G2334" s="15" t="n">
        <v>173.85</v>
      </c>
      <c r="H2334" s="16" t="n">
        <v>0.14</v>
      </c>
      <c r="I2334" s="1" t="s">
        <v>31</v>
      </c>
      <c r="J2334" s="1" t="n">
        <v>4</v>
      </c>
      <c r="K2334" s="1" t="n">
        <v>2</v>
      </c>
      <c r="L2334" s="15" t="n">
        <v>448.53</v>
      </c>
      <c r="M2334" s="15" t="n">
        <f aca="false">F2334*G2334</f>
        <v>521.55</v>
      </c>
      <c r="N2334" s="15" t="n">
        <f aca="false">M2334-L2334</f>
        <v>73.02</v>
      </c>
      <c r="O2334" s="1" t="n">
        <f aca="false">YEAR(B2334)</f>
        <v>2028</v>
      </c>
      <c r="P2334" s="1" t="n">
        <f aca="false">MONTH(B2334)</f>
        <v>5</v>
      </c>
      <c r="Q2334" s="1" t="str">
        <f aca="false">TEXT(B2334,"mmm")</f>
        <v>May</v>
      </c>
      <c r="R2334" s="1" t="str">
        <f aca="false">"Q"&amp;ROUNDUP(MONTH(B2334)/3,0)</f>
        <v>Q2</v>
      </c>
    </row>
    <row r="2335" customFormat="false" ht="15" hidden="false" customHeight="true" outlineLevel="0" collapsed="false">
      <c r="A2335" s="1" t="n">
        <v>12334</v>
      </c>
      <c r="B2335" s="14" t="n">
        <v>46895</v>
      </c>
      <c r="C2335" s="1" t="n">
        <v>1715</v>
      </c>
      <c r="D2335" s="1" t="s">
        <v>34</v>
      </c>
      <c r="E2335" s="1" t="s">
        <v>28</v>
      </c>
      <c r="F2335" s="1" t="n">
        <v>4</v>
      </c>
      <c r="G2335" s="15" t="n">
        <v>34.41</v>
      </c>
      <c r="H2335" s="16" t="n">
        <v>0.29</v>
      </c>
      <c r="I2335" s="1" t="s">
        <v>33</v>
      </c>
      <c r="J2335" s="1" t="n">
        <v>8</v>
      </c>
      <c r="K2335" s="1" t="n">
        <v>3.9</v>
      </c>
      <c r="L2335" s="15" t="n">
        <v>97.72</v>
      </c>
      <c r="M2335" s="15" t="n">
        <f aca="false">F2335*G2335</f>
        <v>137.64</v>
      </c>
      <c r="N2335" s="15" t="n">
        <f aca="false">M2335-L2335</f>
        <v>39.92</v>
      </c>
      <c r="O2335" s="1" t="n">
        <f aca="false">YEAR(B2335)</f>
        <v>2028</v>
      </c>
      <c r="P2335" s="1" t="n">
        <f aca="false">MONTH(B2335)</f>
        <v>5</v>
      </c>
      <c r="Q2335" s="1" t="str">
        <f aca="false">TEXT(B2335,"mmm")</f>
        <v>May</v>
      </c>
      <c r="R2335" s="1" t="str">
        <f aca="false">"Q"&amp;ROUNDUP(MONTH(B2335)/3,0)</f>
        <v>Q2</v>
      </c>
    </row>
    <row r="2336" customFormat="false" ht="15" hidden="false" customHeight="true" outlineLevel="0" collapsed="false">
      <c r="A2336" s="1" t="n">
        <v>12335</v>
      </c>
      <c r="B2336" s="14" t="n">
        <v>46896</v>
      </c>
      <c r="C2336" s="1" t="n">
        <v>1675</v>
      </c>
      <c r="D2336" s="1" t="s">
        <v>34</v>
      </c>
      <c r="E2336" s="1" t="s">
        <v>35</v>
      </c>
      <c r="F2336" s="1" t="n">
        <v>7</v>
      </c>
      <c r="G2336" s="15" t="n">
        <v>317.45</v>
      </c>
      <c r="H2336" s="16" t="n">
        <v>0.13</v>
      </c>
      <c r="I2336" s="1" t="s">
        <v>29</v>
      </c>
      <c r="J2336" s="1" t="n">
        <v>6</v>
      </c>
      <c r="K2336" s="1" t="n">
        <v>2.5</v>
      </c>
      <c r="L2336" s="15" t="n">
        <v>1933.27</v>
      </c>
      <c r="M2336" s="15" t="n">
        <f aca="false">F2336*G2336</f>
        <v>2222.15</v>
      </c>
      <c r="N2336" s="15" t="n">
        <f aca="false">M2336-L2336</f>
        <v>288.88</v>
      </c>
      <c r="O2336" s="1" t="n">
        <f aca="false">YEAR(B2336)</f>
        <v>2028</v>
      </c>
      <c r="P2336" s="1" t="n">
        <f aca="false">MONTH(B2336)</f>
        <v>5</v>
      </c>
      <c r="Q2336" s="1" t="str">
        <f aca="false">TEXT(B2336,"mmm")</f>
        <v>May</v>
      </c>
      <c r="R2336" s="1" t="str">
        <f aca="false">"Q"&amp;ROUNDUP(MONTH(B2336)/3,0)</f>
        <v>Q2</v>
      </c>
    </row>
    <row r="2337" customFormat="false" ht="15" hidden="false" customHeight="true" outlineLevel="0" collapsed="false">
      <c r="A2337" s="1" t="n">
        <v>12336</v>
      </c>
      <c r="B2337" s="14" t="n">
        <v>46897</v>
      </c>
      <c r="C2337" s="1" t="n">
        <v>1762</v>
      </c>
      <c r="D2337" s="1" t="s">
        <v>27</v>
      </c>
      <c r="E2337" s="1" t="s">
        <v>28</v>
      </c>
      <c r="F2337" s="1" t="n">
        <v>5</v>
      </c>
      <c r="G2337" s="15" t="n">
        <v>130.06</v>
      </c>
      <c r="H2337" s="16" t="n">
        <v>0.29</v>
      </c>
      <c r="I2337" s="1" t="s">
        <v>31</v>
      </c>
      <c r="J2337" s="1" t="n">
        <v>8</v>
      </c>
      <c r="K2337" s="1" t="n">
        <v>2.2</v>
      </c>
      <c r="L2337" s="15" t="n">
        <v>461.71</v>
      </c>
      <c r="M2337" s="15" t="n">
        <f aca="false">F2337*G2337</f>
        <v>650.3</v>
      </c>
      <c r="N2337" s="15" t="n">
        <f aca="false">M2337-L2337</f>
        <v>188.59</v>
      </c>
      <c r="O2337" s="1" t="n">
        <f aca="false">YEAR(B2337)</f>
        <v>2028</v>
      </c>
      <c r="P2337" s="1" t="n">
        <f aca="false">MONTH(B2337)</f>
        <v>5</v>
      </c>
      <c r="Q2337" s="1" t="str">
        <f aca="false">TEXT(B2337,"mmm")</f>
        <v>May</v>
      </c>
      <c r="R2337" s="1" t="str">
        <f aca="false">"Q"&amp;ROUNDUP(MONTH(B2337)/3,0)</f>
        <v>Q2</v>
      </c>
    </row>
    <row r="2338" customFormat="false" ht="15" hidden="false" customHeight="true" outlineLevel="0" collapsed="false">
      <c r="A2338" s="1" t="n">
        <v>12337</v>
      </c>
      <c r="B2338" s="14" t="n">
        <v>46898</v>
      </c>
      <c r="C2338" s="1" t="n">
        <v>1226</v>
      </c>
      <c r="D2338" s="1" t="s">
        <v>34</v>
      </c>
      <c r="E2338" s="1" t="s">
        <v>36</v>
      </c>
      <c r="F2338" s="1" t="n">
        <v>2</v>
      </c>
      <c r="G2338" s="15" t="n">
        <v>458.34</v>
      </c>
      <c r="H2338" s="16" t="n">
        <v>0.12</v>
      </c>
      <c r="I2338" s="1" t="s">
        <v>33</v>
      </c>
      <c r="J2338" s="1" t="n">
        <v>11</v>
      </c>
      <c r="K2338" s="1" t="n">
        <v>4.8</v>
      </c>
      <c r="L2338" s="15" t="n">
        <v>806.68</v>
      </c>
      <c r="M2338" s="15" t="n">
        <f aca="false">F2338*G2338</f>
        <v>916.68</v>
      </c>
      <c r="N2338" s="15" t="n">
        <f aca="false">M2338-L2338</f>
        <v>110</v>
      </c>
      <c r="O2338" s="1" t="n">
        <f aca="false">YEAR(B2338)</f>
        <v>2028</v>
      </c>
      <c r="P2338" s="1" t="n">
        <f aca="false">MONTH(B2338)</f>
        <v>5</v>
      </c>
      <c r="Q2338" s="1" t="str">
        <f aca="false">TEXT(B2338,"mmm")</f>
        <v>May</v>
      </c>
      <c r="R2338" s="1" t="str">
        <f aca="false">"Q"&amp;ROUNDUP(MONTH(B2338)/3,0)</f>
        <v>Q2</v>
      </c>
    </row>
    <row r="2339" customFormat="false" ht="15" hidden="false" customHeight="true" outlineLevel="0" collapsed="false">
      <c r="A2339" s="1" t="n">
        <v>12338</v>
      </c>
      <c r="B2339" s="14" t="n">
        <v>46899</v>
      </c>
      <c r="C2339" s="1" t="n">
        <v>1947</v>
      </c>
      <c r="D2339" s="1" t="s">
        <v>27</v>
      </c>
      <c r="E2339" s="1" t="s">
        <v>32</v>
      </c>
      <c r="F2339" s="1" t="n">
        <v>5</v>
      </c>
      <c r="G2339" s="15" t="n">
        <v>390.1</v>
      </c>
      <c r="H2339" s="16" t="n">
        <v>0.15</v>
      </c>
      <c r="I2339" s="1" t="s">
        <v>31</v>
      </c>
      <c r="J2339" s="1" t="n">
        <v>2</v>
      </c>
      <c r="K2339" s="1" t="n">
        <v>3.4</v>
      </c>
      <c r="L2339" s="15" t="n">
        <v>1657.92</v>
      </c>
      <c r="M2339" s="15" t="n">
        <f aca="false">F2339*G2339</f>
        <v>1950.5</v>
      </c>
      <c r="N2339" s="15" t="n">
        <f aca="false">M2339-L2339</f>
        <v>292.58</v>
      </c>
      <c r="O2339" s="1" t="n">
        <f aca="false">YEAR(B2339)</f>
        <v>2028</v>
      </c>
      <c r="P2339" s="1" t="n">
        <f aca="false">MONTH(B2339)</f>
        <v>5</v>
      </c>
      <c r="Q2339" s="1" t="str">
        <f aca="false">TEXT(B2339,"mmm")</f>
        <v>May</v>
      </c>
      <c r="R2339" s="1" t="str">
        <f aca="false">"Q"&amp;ROUNDUP(MONTH(B2339)/3,0)</f>
        <v>Q2</v>
      </c>
    </row>
    <row r="2340" customFormat="false" ht="15" hidden="false" customHeight="true" outlineLevel="0" collapsed="false">
      <c r="A2340" s="1" t="n">
        <v>12339</v>
      </c>
      <c r="B2340" s="14" t="n">
        <v>46900</v>
      </c>
      <c r="C2340" s="1" t="n">
        <v>1380</v>
      </c>
      <c r="D2340" s="1" t="s">
        <v>34</v>
      </c>
      <c r="E2340" s="1" t="s">
        <v>35</v>
      </c>
      <c r="F2340" s="1" t="n">
        <v>7</v>
      </c>
      <c r="G2340" s="15" t="n">
        <v>555.31</v>
      </c>
      <c r="H2340" s="16" t="n">
        <v>0.22</v>
      </c>
      <c r="I2340" s="1" t="s">
        <v>29</v>
      </c>
      <c r="J2340" s="1" t="n">
        <v>9</v>
      </c>
      <c r="K2340" s="1" t="n">
        <v>2</v>
      </c>
      <c r="L2340" s="15" t="n">
        <v>3031.99</v>
      </c>
      <c r="M2340" s="15" t="n">
        <f aca="false">F2340*G2340</f>
        <v>3887.17</v>
      </c>
      <c r="N2340" s="15" t="n">
        <f aca="false">M2340-L2340</f>
        <v>855.18</v>
      </c>
      <c r="O2340" s="1" t="n">
        <f aca="false">YEAR(B2340)</f>
        <v>2028</v>
      </c>
      <c r="P2340" s="1" t="n">
        <f aca="false">MONTH(B2340)</f>
        <v>5</v>
      </c>
      <c r="Q2340" s="1" t="str">
        <f aca="false">TEXT(B2340,"mmm")</f>
        <v>May</v>
      </c>
      <c r="R2340" s="1" t="str">
        <f aca="false">"Q"&amp;ROUNDUP(MONTH(B2340)/3,0)</f>
        <v>Q2</v>
      </c>
    </row>
    <row r="2341" customFormat="false" ht="15" hidden="false" customHeight="true" outlineLevel="0" collapsed="false">
      <c r="A2341" s="1" t="n">
        <v>12340</v>
      </c>
      <c r="B2341" s="14" t="n">
        <v>46901</v>
      </c>
      <c r="C2341" s="1" t="n">
        <v>1459</v>
      </c>
      <c r="D2341" s="1" t="s">
        <v>37</v>
      </c>
      <c r="E2341" s="1" t="s">
        <v>36</v>
      </c>
      <c r="F2341" s="1" t="n">
        <v>6</v>
      </c>
      <c r="G2341" s="15" t="n">
        <v>473.05</v>
      </c>
      <c r="H2341" s="16" t="n">
        <v>0.02</v>
      </c>
      <c r="I2341" s="1" t="s">
        <v>33</v>
      </c>
      <c r="J2341" s="1" t="n">
        <v>7</v>
      </c>
      <c r="K2341" s="1" t="n">
        <v>4.9</v>
      </c>
      <c r="L2341" s="15" t="n">
        <v>2781.53</v>
      </c>
      <c r="M2341" s="15" t="n">
        <f aca="false">F2341*G2341</f>
        <v>2838.3</v>
      </c>
      <c r="N2341" s="15" t="n">
        <f aca="false">M2341-L2341</f>
        <v>56.77</v>
      </c>
      <c r="O2341" s="1" t="n">
        <f aca="false">YEAR(B2341)</f>
        <v>2028</v>
      </c>
      <c r="P2341" s="1" t="n">
        <f aca="false">MONTH(B2341)</f>
        <v>5</v>
      </c>
      <c r="Q2341" s="1" t="str">
        <f aca="false">TEXT(B2341,"mmm")</f>
        <v>May</v>
      </c>
      <c r="R2341" s="1" t="str">
        <f aca="false">"Q"&amp;ROUNDUP(MONTH(B2341)/3,0)</f>
        <v>Q2</v>
      </c>
    </row>
    <row r="2342" customFormat="false" ht="15" hidden="false" customHeight="true" outlineLevel="0" collapsed="false">
      <c r="A2342" s="1" t="n">
        <v>12341</v>
      </c>
      <c r="B2342" s="14" t="n">
        <v>46902</v>
      </c>
      <c r="C2342" s="1" t="n">
        <v>1006</v>
      </c>
      <c r="D2342" s="1" t="s">
        <v>30</v>
      </c>
      <c r="E2342" s="1" t="s">
        <v>36</v>
      </c>
      <c r="F2342" s="1" t="n">
        <v>1</v>
      </c>
      <c r="G2342" s="15" t="n">
        <v>120.75</v>
      </c>
      <c r="H2342" s="16" t="n">
        <v>0.33</v>
      </c>
      <c r="I2342" s="1" t="s">
        <v>29</v>
      </c>
      <c r="J2342" s="1" t="n">
        <v>5</v>
      </c>
      <c r="K2342" s="1" t="n">
        <v>2.6</v>
      </c>
      <c r="L2342" s="15" t="n">
        <v>80.9</v>
      </c>
      <c r="M2342" s="15" t="n">
        <f aca="false">F2342*G2342</f>
        <v>120.75</v>
      </c>
      <c r="N2342" s="15" t="n">
        <f aca="false">M2342-L2342</f>
        <v>39.85</v>
      </c>
      <c r="O2342" s="1" t="n">
        <f aca="false">YEAR(B2342)</f>
        <v>2028</v>
      </c>
      <c r="P2342" s="1" t="n">
        <f aca="false">MONTH(B2342)</f>
        <v>5</v>
      </c>
      <c r="Q2342" s="1" t="str">
        <f aca="false">TEXT(B2342,"mmm")</f>
        <v>May</v>
      </c>
      <c r="R2342" s="1" t="str">
        <f aca="false">"Q"&amp;ROUNDUP(MONTH(B2342)/3,0)</f>
        <v>Q2</v>
      </c>
    </row>
    <row r="2343" customFormat="false" ht="15" hidden="false" customHeight="true" outlineLevel="0" collapsed="false">
      <c r="A2343" s="1" t="n">
        <v>12342</v>
      </c>
      <c r="B2343" s="14" t="n">
        <v>46903</v>
      </c>
      <c r="C2343" s="1" t="n">
        <v>1028</v>
      </c>
      <c r="D2343" s="1" t="s">
        <v>27</v>
      </c>
      <c r="E2343" s="1" t="s">
        <v>32</v>
      </c>
      <c r="F2343" s="1" t="n">
        <v>7</v>
      </c>
      <c r="G2343" s="15" t="n">
        <v>483.09</v>
      </c>
      <c r="H2343" s="16" t="n">
        <v>0.2</v>
      </c>
      <c r="I2343" s="1" t="s">
        <v>31</v>
      </c>
      <c r="J2343" s="1" t="n">
        <v>11</v>
      </c>
      <c r="K2343" s="1" t="n">
        <v>3.6</v>
      </c>
      <c r="L2343" s="15" t="n">
        <v>2705.3</v>
      </c>
      <c r="M2343" s="15" t="n">
        <f aca="false">F2343*G2343</f>
        <v>3381.63</v>
      </c>
      <c r="N2343" s="15" t="n">
        <f aca="false">M2343-L2343</f>
        <v>676.33</v>
      </c>
      <c r="O2343" s="1" t="n">
        <f aca="false">YEAR(B2343)</f>
        <v>2028</v>
      </c>
      <c r="P2343" s="1" t="n">
        <f aca="false">MONTH(B2343)</f>
        <v>5</v>
      </c>
      <c r="Q2343" s="1" t="str">
        <f aca="false">TEXT(B2343,"mmm")</f>
        <v>May</v>
      </c>
      <c r="R2343" s="1" t="str">
        <f aca="false">"Q"&amp;ROUNDUP(MONTH(B2343)/3,0)</f>
        <v>Q2</v>
      </c>
    </row>
    <row r="2344" customFormat="false" ht="15" hidden="false" customHeight="true" outlineLevel="0" collapsed="false">
      <c r="A2344" s="1" t="n">
        <v>12343</v>
      </c>
      <c r="B2344" s="14" t="n">
        <v>46904</v>
      </c>
      <c r="C2344" s="1" t="n">
        <v>1906</v>
      </c>
      <c r="D2344" s="1" t="s">
        <v>30</v>
      </c>
      <c r="E2344" s="1" t="s">
        <v>35</v>
      </c>
      <c r="F2344" s="1" t="n">
        <v>1</v>
      </c>
      <c r="G2344" s="15" t="n">
        <v>390.42</v>
      </c>
      <c r="H2344" s="16" t="n">
        <v>0.18</v>
      </c>
      <c r="I2344" s="1" t="s">
        <v>33</v>
      </c>
      <c r="J2344" s="1" t="n">
        <v>7</v>
      </c>
      <c r="K2344" s="1" t="n">
        <v>3.9</v>
      </c>
      <c r="L2344" s="15" t="n">
        <v>320.14</v>
      </c>
      <c r="M2344" s="15" t="n">
        <f aca="false">F2344*G2344</f>
        <v>390.42</v>
      </c>
      <c r="N2344" s="15" t="n">
        <f aca="false">M2344-L2344</f>
        <v>70.28</v>
      </c>
      <c r="O2344" s="1" t="n">
        <f aca="false">YEAR(B2344)</f>
        <v>2028</v>
      </c>
      <c r="P2344" s="1" t="n">
        <f aca="false">MONTH(B2344)</f>
        <v>5</v>
      </c>
      <c r="Q2344" s="1" t="str">
        <f aca="false">TEXT(B2344,"mmm")</f>
        <v>May</v>
      </c>
      <c r="R2344" s="1" t="str">
        <f aca="false">"Q"&amp;ROUNDUP(MONTH(B2344)/3,0)</f>
        <v>Q2</v>
      </c>
    </row>
    <row r="2345" customFormat="false" ht="15" hidden="false" customHeight="true" outlineLevel="0" collapsed="false">
      <c r="A2345" s="1" t="n">
        <v>12344</v>
      </c>
      <c r="B2345" s="14" t="n">
        <v>46905</v>
      </c>
      <c r="C2345" s="1" t="n">
        <v>1032</v>
      </c>
      <c r="D2345" s="1" t="s">
        <v>30</v>
      </c>
      <c r="E2345" s="1" t="s">
        <v>32</v>
      </c>
      <c r="F2345" s="1" t="n">
        <v>4</v>
      </c>
      <c r="G2345" s="15" t="n">
        <v>406.34</v>
      </c>
      <c r="H2345" s="16" t="n">
        <v>0.29</v>
      </c>
      <c r="I2345" s="1" t="s">
        <v>33</v>
      </c>
      <c r="J2345" s="1" t="n">
        <v>2</v>
      </c>
      <c r="K2345" s="1" t="n">
        <v>2.7</v>
      </c>
      <c r="L2345" s="15" t="n">
        <v>1154.01</v>
      </c>
      <c r="M2345" s="15" t="n">
        <f aca="false">F2345*G2345</f>
        <v>1625.36</v>
      </c>
      <c r="N2345" s="15" t="n">
        <f aca="false">M2345-L2345</f>
        <v>471.35</v>
      </c>
      <c r="O2345" s="1" t="n">
        <f aca="false">YEAR(B2345)</f>
        <v>2028</v>
      </c>
      <c r="P2345" s="1" t="n">
        <f aca="false">MONTH(B2345)</f>
        <v>6</v>
      </c>
      <c r="Q2345" s="1" t="str">
        <f aca="false">TEXT(B2345,"mmm")</f>
        <v>Jun</v>
      </c>
      <c r="R2345" s="1" t="str">
        <f aca="false">"Q"&amp;ROUNDUP(MONTH(B2345)/3,0)</f>
        <v>Q2</v>
      </c>
    </row>
    <row r="2346" customFormat="false" ht="15" hidden="false" customHeight="true" outlineLevel="0" collapsed="false">
      <c r="A2346" s="1" t="n">
        <v>12345</v>
      </c>
      <c r="B2346" s="14" t="n">
        <v>46906</v>
      </c>
      <c r="C2346" s="1" t="n">
        <v>1645</v>
      </c>
      <c r="D2346" s="1" t="s">
        <v>34</v>
      </c>
      <c r="E2346" s="1" t="s">
        <v>32</v>
      </c>
      <c r="F2346" s="1" t="n">
        <v>2</v>
      </c>
      <c r="G2346" s="15" t="n">
        <v>501.87</v>
      </c>
      <c r="H2346" s="16" t="n">
        <v>0.3</v>
      </c>
      <c r="I2346" s="1" t="s">
        <v>31</v>
      </c>
      <c r="J2346" s="1" t="n">
        <v>11</v>
      </c>
      <c r="K2346" s="1" t="n">
        <v>3.1</v>
      </c>
      <c r="L2346" s="15" t="n">
        <v>702.62</v>
      </c>
      <c r="M2346" s="15" t="n">
        <f aca="false">F2346*G2346</f>
        <v>1003.74</v>
      </c>
      <c r="N2346" s="15" t="n">
        <f aca="false">M2346-L2346</f>
        <v>301.12</v>
      </c>
      <c r="O2346" s="1" t="n">
        <f aca="false">YEAR(B2346)</f>
        <v>2028</v>
      </c>
      <c r="P2346" s="1" t="n">
        <f aca="false">MONTH(B2346)</f>
        <v>6</v>
      </c>
      <c r="Q2346" s="1" t="str">
        <f aca="false">TEXT(B2346,"mmm")</f>
        <v>Jun</v>
      </c>
      <c r="R2346" s="1" t="str">
        <f aca="false">"Q"&amp;ROUNDUP(MONTH(B2346)/3,0)</f>
        <v>Q2</v>
      </c>
    </row>
    <row r="2347" customFormat="false" ht="15" hidden="false" customHeight="true" outlineLevel="0" collapsed="false">
      <c r="A2347" s="1" t="n">
        <v>12346</v>
      </c>
      <c r="B2347" s="14" t="n">
        <v>46907</v>
      </c>
      <c r="C2347" s="1" t="n">
        <v>1878</v>
      </c>
      <c r="D2347" s="1" t="s">
        <v>34</v>
      </c>
      <c r="E2347" s="1" t="s">
        <v>28</v>
      </c>
      <c r="F2347" s="1" t="n">
        <v>6</v>
      </c>
      <c r="G2347" s="15" t="n">
        <v>350.69</v>
      </c>
      <c r="H2347" s="16" t="n">
        <v>0.18</v>
      </c>
      <c r="I2347" s="1" t="s">
        <v>31</v>
      </c>
      <c r="J2347" s="1" t="n">
        <v>4</v>
      </c>
      <c r="K2347" s="1" t="n">
        <v>2</v>
      </c>
      <c r="L2347" s="15" t="n">
        <v>1725.39</v>
      </c>
      <c r="M2347" s="15" t="n">
        <f aca="false">F2347*G2347</f>
        <v>2104.14</v>
      </c>
      <c r="N2347" s="15" t="n">
        <f aca="false">M2347-L2347</f>
        <v>378.75</v>
      </c>
      <c r="O2347" s="1" t="n">
        <f aca="false">YEAR(B2347)</f>
        <v>2028</v>
      </c>
      <c r="P2347" s="1" t="n">
        <f aca="false">MONTH(B2347)</f>
        <v>6</v>
      </c>
      <c r="Q2347" s="1" t="str">
        <f aca="false">TEXT(B2347,"mmm")</f>
        <v>Jun</v>
      </c>
      <c r="R2347" s="1" t="str">
        <f aca="false">"Q"&amp;ROUNDUP(MONTH(B2347)/3,0)</f>
        <v>Q2</v>
      </c>
    </row>
    <row r="2348" customFormat="false" ht="15" hidden="false" customHeight="true" outlineLevel="0" collapsed="false">
      <c r="A2348" s="1" t="n">
        <v>12347</v>
      </c>
      <c r="B2348" s="14" t="n">
        <v>46908</v>
      </c>
      <c r="C2348" s="1" t="n">
        <v>1078</v>
      </c>
      <c r="D2348" s="1" t="s">
        <v>27</v>
      </c>
      <c r="E2348" s="1" t="s">
        <v>28</v>
      </c>
      <c r="F2348" s="1" t="n">
        <v>2</v>
      </c>
      <c r="G2348" s="15" t="n">
        <v>287.61</v>
      </c>
      <c r="H2348" s="16" t="n">
        <v>0.32</v>
      </c>
      <c r="I2348" s="1" t="s">
        <v>33</v>
      </c>
      <c r="J2348" s="1" t="n">
        <v>7</v>
      </c>
      <c r="K2348" s="1" t="n">
        <v>2.9</v>
      </c>
      <c r="L2348" s="15" t="n">
        <v>391.15</v>
      </c>
      <c r="M2348" s="15" t="n">
        <f aca="false">F2348*G2348</f>
        <v>575.22</v>
      </c>
      <c r="N2348" s="15" t="n">
        <f aca="false">M2348-L2348</f>
        <v>184.07</v>
      </c>
      <c r="O2348" s="1" t="n">
        <f aca="false">YEAR(B2348)</f>
        <v>2028</v>
      </c>
      <c r="P2348" s="1" t="n">
        <f aca="false">MONTH(B2348)</f>
        <v>6</v>
      </c>
      <c r="Q2348" s="1" t="str">
        <f aca="false">TEXT(B2348,"mmm")</f>
        <v>Jun</v>
      </c>
      <c r="R2348" s="1" t="str">
        <f aca="false">"Q"&amp;ROUNDUP(MONTH(B2348)/3,0)</f>
        <v>Q2</v>
      </c>
    </row>
    <row r="2349" customFormat="false" ht="15" hidden="false" customHeight="true" outlineLevel="0" collapsed="false">
      <c r="A2349" s="1" t="n">
        <v>12348</v>
      </c>
      <c r="B2349" s="14" t="n">
        <v>46909</v>
      </c>
      <c r="C2349" s="1" t="n">
        <v>1927</v>
      </c>
      <c r="D2349" s="1" t="s">
        <v>34</v>
      </c>
      <c r="E2349" s="1" t="s">
        <v>32</v>
      </c>
      <c r="F2349" s="1" t="n">
        <v>4</v>
      </c>
      <c r="G2349" s="15" t="n">
        <v>387.44</v>
      </c>
      <c r="H2349" s="16" t="n">
        <v>0.02</v>
      </c>
      <c r="I2349" s="1" t="s">
        <v>33</v>
      </c>
      <c r="J2349" s="1" t="n">
        <v>2</v>
      </c>
      <c r="K2349" s="1" t="n">
        <v>2.2</v>
      </c>
      <c r="L2349" s="15" t="n">
        <v>1518.76</v>
      </c>
      <c r="M2349" s="15" t="n">
        <f aca="false">F2349*G2349</f>
        <v>1549.76</v>
      </c>
      <c r="N2349" s="15" t="n">
        <f aca="false">M2349-L2349</f>
        <v>31</v>
      </c>
      <c r="O2349" s="1" t="n">
        <f aca="false">YEAR(B2349)</f>
        <v>2028</v>
      </c>
      <c r="P2349" s="1" t="n">
        <f aca="false">MONTH(B2349)</f>
        <v>6</v>
      </c>
      <c r="Q2349" s="1" t="str">
        <f aca="false">TEXT(B2349,"mmm")</f>
        <v>Jun</v>
      </c>
      <c r="R2349" s="1" t="str">
        <f aca="false">"Q"&amp;ROUNDUP(MONTH(B2349)/3,0)</f>
        <v>Q2</v>
      </c>
    </row>
    <row r="2350" customFormat="false" ht="15" hidden="false" customHeight="true" outlineLevel="0" collapsed="false">
      <c r="A2350" s="1" t="n">
        <v>12349</v>
      </c>
      <c r="B2350" s="14" t="n">
        <v>46910</v>
      </c>
      <c r="C2350" s="1" t="n">
        <v>1946</v>
      </c>
      <c r="D2350" s="1" t="s">
        <v>30</v>
      </c>
      <c r="E2350" s="1" t="s">
        <v>28</v>
      </c>
      <c r="F2350" s="1" t="n">
        <v>6</v>
      </c>
      <c r="G2350" s="15" t="n">
        <v>189.31</v>
      </c>
      <c r="H2350" s="16" t="n">
        <v>0.04</v>
      </c>
      <c r="I2350" s="1" t="s">
        <v>31</v>
      </c>
      <c r="J2350" s="1" t="n">
        <v>8</v>
      </c>
      <c r="K2350" s="1" t="n">
        <v>3.2</v>
      </c>
      <c r="L2350" s="15" t="n">
        <v>1090.43</v>
      </c>
      <c r="M2350" s="15" t="n">
        <f aca="false">F2350*G2350</f>
        <v>1135.86</v>
      </c>
      <c r="N2350" s="15" t="n">
        <f aca="false">M2350-L2350</f>
        <v>45.4300000000001</v>
      </c>
      <c r="O2350" s="1" t="n">
        <f aca="false">YEAR(B2350)</f>
        <v>2028</v>
      </c>
      <c r="P2350" s="1" t="n">
        <f aca="false">MONTH(B2350)</f>
        <v>6</v>
      </c>
      <c r="Q2350" s="1" t="str">
        <f aca="false">TEXT(B2350,"mmm")</f>
        <v>Jun</v>
      </c>
      <c r="R2350" s="1" t="str">
        <f aca="false">"Q"&amp;ROUNDUP(MONTH(B2350)/3,0)</f>
        <v>Q2</v>
      </c>
    </row>
    <row r="2351" customFormat="false" ht="15" hidden="false" customHeight="true" outlineLevel="0" collapsed="false">
      <c r="A2351" s="1" t="n">
        <v>12350</v>
      </c>
      <c r="B2351" s="14" t="n">
        <v>46911</v>
      </c>
      <c r="C2351" s="1" t="n">
        <v>1458</v>
      </c>
      <c r="D2351" s="1" t="s">
        <v>37</v>
      </c>
      <c r="E2351" s="1" t="s">
        <v>36</v>
      </c>
      <c r="F2351" s="1" t="n">
        <v>6</v>
      </c>
      <c r="G2351" s="15" t="n">
        <v>121.82</v>
      </c>
      <c r="H2351" s="16" t="n">
        <v>0.21</v>
      </c>
      <c r="I2351" s="1" t="s">
        <v>33</v>
      </c>
      <c r="J2351" s="1" t="n">
        <v>10</v>
      </c>
      <c r="K2351" s="1" t="n">
        <v>3.7</v>
      </c>
      <c r="L2351" s="15" t="n">
        <v>577.43</v>
      </c>
      <c r="M2351" s="15" t="n">
        <f aca="false">F2351*G2351</f>
        <v>730.92</v>
      </c>
      <c r="N2351" s="15" t="n">
        <f aca="false">M2351-L2351</f>
        <v>153.49</v>
      </c>
      <c r="O2351" s="1" t="n">
        <f aca="false">YEAR(B2351)</f>
        <v>2028</v>
      </c>
      <c r="P2351" s="1" t="n">
        <f aca="false">MONTH(B2351)</f>
        <v>6</v>
      </c>
      <c r="Q2351" s="1" t="str">
        <f aca="false">TEXT(B2351,"mmm")</f>
        <v>Jun</v>
      </c>
      <c r="R2351" s="1" t="str">
        <f aca="false">"Q"&amp;ROUNDUP(MONTH(B2351)/3,0)</f>
        <v>Q2</v>
      </c>
    </row>
    <row r="2352" customFormat="false" ht="15" hidden="false" customHeight="true" outlineLevel="0" collapsed="false">
      <c r="A2352" s="1" t="n">
        <v>12351</v>
      </c>
      <c r="B2352" s="14" t="n">
        <v>46912</v>
      </c>
      <c r="C2352" s="1" t="n">
        <v>1569</v>
      </c>
      <c r="D2352" s="1" t="s">
        <v>34</v>
      </c>
      <c r="E2352" s="1" t="s">
        <v>32</v>
      </c>
      <c r="F2352" s="1" t="n">
        <v>1</v>
      </c>
      <c r="G2352" s="15" t="n">
        <v>375.7</v>
      </c>
      <c r="H2352" s="16" t="n">
        <v>0.12</v>
      </c>
      <c r="I2352" s="1" t="s">
        <v>31</v>
      </c>
      <c r="J2352" s="1" t="n">
        <v>10</v>
      </c>
      <c r="K2352" s="1" t="n">
        <v>3.5</v>
      </c>
      <c r="L2352" s="15" t="n">
        <v>330.62</v>
      </c>
      <c r="M2352" s="15" t="n">
        <f aca="false">F2352*G2352</f>
        <v>375.7</v>
      </c>
      <c r="N2352" s="15" t="n">
        <f aca="false">M2352-L2352</f>
        <v>45.08</v>
      </c>
      <c r="O2352" s="1" t="n">
        <f aca="false">YEAR(B2352)</f>
        <v>2028</v>
      </c>
      <c r="P2352" s="1" t="n">
        <f aca="false">MONTH(B2352)</f>
        <v>6</v>
      </c>
      <c r="Q2352" s="1" t="str">
        <f aca="false">TEXT(B2352,"mmm")</f>
        <v>Jun</v>
      </c>
      <c r="R2352" s="1" t="str">
        <f aca="false">"Q"&amp;ROUNDUP(MONTH(B2352)/3,0)</f>
        <v>Q2</v>
      </c>
    </row>
    <row r="2353" customFormat="false" ht="15" hidden="false" customHeight="true" outlineLevel="0" collapsed="false">
      <c r="A2353" s="1" t="n">
        <v>12352</v>
      </c>
      <c r="B2353" s="14" t="n">
        <v>46913</v>
      </c>
      <c r="C2353" s="1" t="n">
        <v>1982</v>
      </c>
      <c r="D2353" s="1" t="s">
        <v>27</v>
      </c>
      <c r="E2353" s="1" t="s">
        <v>35</v>
      </c>
      <c r="F2353" s="1" t="n">
        <v>1</v>
      </c>
      <c r="G2353" s="15" t="n">
        <v>151.8</v>
      </c>
      <c r="H2353" s="16" t="n">
        <v>0.16</v>
      </c>
      <c r="I2353" s="1" t="s">
        <v>31</v>
      </c>
      <c r="J2353" s="1" t="n">
        <v>11</v>
      </c>
      <c r="K2353" s="1" t="n">
        <v>4.1</v>
      </c>
      <c r="L2353" s="15" t="n">
        <v>127.51</v>
      </c>
      <c r="M2353" s="15" t="n">
        <f aca="false">F2353*G2353</f>
        <v>151.8</v>
      </c>
      <c r="N2353" s="15" t="n">
        <f aca="false">M2353-L2353</f>
        <v>24.29</v>
      </c>
      <c r="O2353" s="1" t="n">
        <f aca="false">YEAR(B2353)</f>
        <v>2028</v>
      </c>
      <c r="P2353" s="1" t="n">
        <f aca="false">MONTH(B2353)</f>
        <v>6</v>
      </c>
      <c r="Q2353" s="1" t="str">
        <f aca="false">TEXT(B2353,"mmm")</f>
        <v>Jun</v>
      </c>
      <c r="R2353" s="1" t="str">
        <f aca="false">"Q"&amp;ROUNDUP(MONTH(B2353)/3,0)</f>
        <v>Q2</v>
      </c>
    </row>
    <row r="2354" customFormat="false" ht="15" hidden="false" customHeight="true" outlineLevel="0" collapsed="false">
      <c r="A2354" s="1" t="n">
        <v>12353</v>
      </c>
      <c r="B2354" s="14" t="n">
        <v>46914</v>
      </c>
      <c r="C2354" s="1" t="n">
        <v>1537</v>
      </c>
      <c r="D2354" s="1" t="s">
        <v>37</v>
      </c>
      <c r="E2354" s="1" t="s">
        <v>35</v>
      </c>
      <c r="F2354" s="1" t="n">
        <v>1</v>
      </c>
      <c r="G2354" s="15" t="n">
        <v>61.75</v>
      </c>
      <c r="H2354" s="16" t="n">
        <v>0.11</v>
      </c>
      <c r="I2354" s="1" t="s">
        <v>33</v>
      </c>
      <c r="J2354" s="1" t="n">
        <v>5</v>
      </c>
      <c r="K2354" s="1" t="n">
        <v>1.2</v>
      </c>
      <c r="L2354" s="15" t="n">
        <v>54.96</v>
      </c>
      <c r="M2354" s="15" t="n">
        <f aca="false">F2354*G2354</f>
        <v>61.75</v>
      </c>
      <c r="N2354" s="15" t="n">
        <f aca="false">M2354-L2354</f>
        <v>6.79</v>
      </c>
      <c r="O2354" s="1" t="n">
        <f aca="false">YEAR(B2354)</f>
        <v>2028</v>
      </c>
      <c r="P2354" s="1" t="n">
        <f aca="false">MONTH(B2354)</f>
        <v>6</v>
      </c>
      <c r="Q2354" s="1" t="str">
        <f aca="false">TEXT(B2354,"mmm")</f>
        <v>Jun</v>
      </c>
      <c r="R2354" s="1" t="str">
        <f aca="false">"Q"&amp;ROUNDUP(MONTH(B2354)/3,0)</f>
        <v>Q2</v>
      </c>
    </row>
    <row r="2355" customFormat="false" ht="15" hidden="false" customHeight="true" outlineLevel="0" collapsed="false">
      <c r="A2355" s="1" t="n">
        <v>12354</v>
      </c>
      <c r="B2355" s="14" t="n">
        <v>46915</v>
      </c>
      <c r="C2355" s="1" t="n">
        <v>1481</v>
      </c>
      <c r="D2355" s="1" t="s">
        <v>30</v>
      </c>
      <c r="E2355" s="1" t="s">
        <v>36</v>
      </c>
      <c r="F2355" s="1" t="n">
        <v>5</v>
      </c>
      <c r="G2355" s="15" t="n">
        <v>15.32</v>
      </c>
      <c r="H2355" s="16" t="n">
        <v>0.14</v>
      </c>
      <c r="I2355" s="1" t="s">
        <v>31</v>
      </c>
      <c r="J2355" s="1" t="n">
        <v>5</v>
      </c>
      <c r="K2355" s="1" t="n">
        <v>1.3</v>
      </c>
      <c r="L2355" s="15" t="n">
        <v>65.88</v>
      </c>
      <c r="M2355" s="15" t="n">
        <f aca="false">F2355*G2355</f>
        <v>76.6</v>
      </c>
      <c r="N2355" s="15" t="n">
        <f aca="false">M2355-L2355</f>
        <v>10.72</v>
      </c>
      <c r="O2355" s="1" t="n">
        <f aca="false">YEAR(B2355)</f>
        <v>2028</v>
      </c>
      <c r="P2355" s="1" t="n">
        <f aca="false">MONTH(B2355)</f>
        <v>6</v>
      </c>
      <c r="Q2355" s="1" t="str">
        <f aca="false">TEXT(B2355,"mmm")</f>
        <v>Jun</v>
      </c>
      <c r="R2355" s="1" t="str">
        <f aca="false">"Q"&amp;ROUNDUP(MONTH(B2355)/3,0)</f>
        <v>Q2</v>
      </c>
    </row>
    <row r="2356" customFormat="false" ht="15" hidden="false" customHeight="true" outlineLevel="0" collapsed="false">
      <c r="A2356" s="1" t="n">
        <v>12355</v>
      </c>
      <c r="B2356" s="14" t="n">
        <v>46916</v>
      </c>
      <c r="C2356" s="1" t="n">
        <v>1429</v>
      </c>
      <c r="D2356" s="1" t="s">
        <v>27</v>
      </c>
      <c r="E2356" s="1" t="s">
        <v>35</v>
      </c>
      <c r="F2356" s="1" t="n">
        <v>3</v>
      </c>
      <c r="G2356" s="15" t="n">
        <v>370.87</v>
      </c>
      <c r="H2356" s="16" t="n">
        <v>0.29</v>
      </c>
      <c r="I2356" s="1" t="s">
        <v>31</v>
      </c>
      <c r="J2356" s="1" t="n">
        <v>8</v>
      </c>
      <c r="K2356" s="1" t="n">
        <v>1.8</v>
      </c>
      <c r="L2356" s="15" t="n">
        <v>789.95</v>
      </c>
      <c r="M2356" s="15" t="n">
        <f aca="false">F2356*G2356</f>
        <v>1112.61</v>
      </c>
      <c r="N2356" s="15" t="n">
        <f aca="false">M2356-L2356</f>
        <v>322.66</v>
      </c>
      <c r="O2356" s="1" t="n">
        <f aca="false">YEAR(B2356)</f>
        <v>2028</v>
      </c>
      <c r="P2356" s="1" t="n">
        <f aca="false">MONTH(B2356)</f>
        <v>6</v>
      </c>
      <c r="Q2356" s="1" t="str">
        <f aca="false">TEXT(B2356,"mmm")</f>
        <v>Jun</v>
      </c>
      <c r="R2356" s="1" t="str">
        <f aca="false">"Q"&amp;ROUNDUP(MONTH(B2356)/3,0)</f>
        <v>Q2</v>
      </c>
    </row>
    <row r="2357" customFormat="false" ht="15" hidden="false" customHeight="true" outlineLevel="0" collapsed="false">
      <c r="A2357" s="1" t="n">
        <v>12356</v>
      </c>
      <c r="B2357" s="14" t="n">
        <v>46917</v>
      </c>
      <c r="C2357" s="1" t="n">
        <v>1737</v>
      </c>
      <c r="D2357" s="1" t="s">
        <v>34</v>
      </c>
      <c r="E2357" s="1" t="s">
        <v>35</v>
      </c>
      <c r="F2357" s="1" t="n">
        <v>7</v>
      </c>
      <c r="G2357" s="15" t="n">
        <v>226.86</v>
      </c>
      <c r="H2357" s="16" t="n">
        <v>0.21</v>
      </c>
      <c r="I2357" s="1" t="s">
        <v>31</v>
      </c>
      <c r="J2357" s="1" t="n">
        <v>1</v>
      </c>
      <c r="K2357" s="1" t="n">
        <v>4.9</v>
      </c>
      <c r="L2357" s="15" t="n">
        <v>1254.54</v>
      </c>
      <c r="M2357" s="15" t="n">
        <f aca="false">F2357*G2357</f>
        <v>1588.02</v>
      </c>
      <c r="N2357" s="15" t="n">
        <f aca="false">M2357-L2357</f>
        <v>333.48</v>
      </c>
      <c r="O2357" s="1" t="n">
        <f aca="false">YEAR(B2357)</f>
        <v>2028</v>
      </c>
      <c r="P2357" s="1" t="n">
        <f aca="false">MONTH(B2357)</f>
        <v>6</v>
      </c>
      <c r="Q2357" s="1" t="str">
        <f aca="false">TEXT(B2357,"mmm")</f>
        <v>Jun</v>
      </c>
      <c r="R2357" s="1" t="str">
        <f aca="false">"Q"&amp;ROUNDUP(MONTH(B2357)/3,0)</f>
        <v>Q2</v>
      </c>
    </row>
    <row r="2358" customFormat="false" ht="15" hidden="false" customHeight="true" outlineLevel="0" collapsed="false">
      <c r="A2358" s="1" t="n">
        <v>12357</v>
      </c>
      <c r="B2358" s="14" t="n">
        <v>46918</v>
      </c>
      <c r="C2358" s="1" t="n">
        <v>1284</v>
      </c>
      <c r="D2358" s="1" t="s">
        <v>34</v>
      </c>
      <c r="E2358" s="1" t="s">
        <v>32</v>
      </c>
      <c r="F2358" s="1" t="n">
        <v>1</v>
      </c>
      <c r="G2358" s="15" t="n">
        <v>455.1</v>
      </c>
      <c r="H2358" s="16" t="n">
        <v>0.35</v>
      </c>
      <c r="I2358" s="1" t="s">
        <v>33</v>
      </c>
      <c r="J2358" s="1" t="n">
        <v>6</v>
      </c>
      <c r="K2358" s="1" t="n">
        <v>4.2</v>
      </c>
      <c r="L2358" s="15" t="n">
        <v>295.82</v>
      </c>
      <c r="M2358" s="15" t="n">
        <f aca="false">F2358*G2358</f>
        <v>455.1</v>
      </c>
      <c r="N2358" s="15" t="n">
        <f aca="false">M2358-L2358</f>
        <v>159.28</v>
      </c>
      <c r="O2358" s="1" t="n">
        <f aca="false">YEAR(B2358)</f>
        <v>2028</v>
      </c>
      <c r="P2358" s="1" t="n">
        <f aca="false">MONTH(B2358)</f>
        <v>6</v>
      </c>
      <c r="Q2358" s="1" t="str">
        <f aca="false">TEXT(B2358,"mmm")</f>
        <v>Jun</v>
      </c>
      <c r="R2358" s="1" t="str">
        <f aca="false">"Q"&amp;ROUNDUP(MONTH(B2358)/3,0)</f>
        <v>Q2</v>
      </c>
    </row>
    <row r="2359" customFormat="false" ht="15" hidden="false" customHeight="true" outlineLevel="0" collapsed="false">
      <c r="A2359" s="1" t="n">
        <v>12358</v>
      </c>
      <c r="B2359" s="14" t="n">
        <v>46919</v>
      </c>
      <c r="C2359" s="1" t="n">
        <v>1515</v>
      </c>
      <c r="D2359" s="1" t="s">
        <v>30</v>
      </c>
      <c r="E2359" s="1" t="s">
        <v>36</v>
      </c>
      <c r="F2359" s="1" t="n">
        <v>3</v>
      </c>
      <c r="G2359" s="15" t="n">
        <v>234.48</v>
      </c>
      <c r="H2359" s="16" t="n">
        <v>0.28</v>
      </c>
      <c r="I2359" s="1" t="s">
        <v>33</v>
      </c>
      <c r="J2359" s="1" t="n">
        <v>2</v>
      </c>
      <c r="K2359" s="1" t="n">
        <v>4.7</v>
      </c>
      <c r="L2359" s="15" t="n">
        <v>506.48</v>
      </c>
      <c r="M2359" s="15" t="n">
        <f aca="false">F2359*G2359</f>
        <v>703.44</v>
      </c>
      <c r="N2359" s="15" t="n">
        <f aca="false">M2359-L2359</f>
        <v>196.96</v>
      </c>
      <c r="O2359" s="1" t="n">
        <f aca="false">YEAR(B2359)</f>
        <v>2028</v>
      </c>
      <c r="P2359" s="1" t="n">
        <f aca="false">MONTH(B2359)</f>
        <v>6</v>
      </c>
      <c r="Q2359" s="1" t="str">
        <f aca="false">TEXT(B2359,"mmm")</f>
        <v>Jun</v>
      </c>
      <c r="R2359" s="1" t="str">
        <f aca="false">"Q"&amp;ROUNDUP(MONTH(B2359)/3,0)</f>
        <v>Q2</v>
      </c>
    </row>
    <row r="2360" customFormat="false" ht="15" hidden="false" customHeight="true" outlineLevel="0" collapsed="false">
      <c r="A2360" s="1" t="n">
        <v>12359</v>
      </c>
      <c r="B2360" s="14" t="n">
        <v>46920</v>
      </c>
      <c r="C2360" s="1" t="n">
        <v>1976</v>
      </c>
      <c r="D2360" s="1" t="s">
        <v>34</v>
      </c>
      <c r="E2360" s="1" t="s">
        <v>32</v>
      </c>
      <c r="F2360" s="1" t="n">
        <v>3</v>
      </c>
      <c r="G2360" s="15" t="n">
        <v>299.31</v>
      </c>
      <c r="H2360" s="16" t="n">
        <v>0.1</v>
      </c>
      <c r="I2360" s="1" t="s">
        <v>29</v>
      </c>
      <c r="J2360" s="1" t="n">
        <v>1</v>
      </c>
      <c r="K2360" s="1" t="n">
        <v>2.1</v>
      </c>
      <c r="L2360" s="15" t="n">
        <v>808.14</v>
      </c>
      <c r="M2360" s="15" t="n">
        <f aca="false">F2360*G2360</f>
        <v>897.93</v>
      </c>
      <c r="N2360" s="15" t="n">
        <f aca="false">M2360-L2360</f>
        <v>89.7900000000001</v>
      </c>
      <c r="O2360" s="1" t="n">
        <f aca="false">YEAR(B2360)</f>
        <v>2028</v>
      </c>
      <c r="P2360" s="1" t="n">
        <f aca="false">MONTH(B2360)</f>
        <v>6</v>
      </c>
      <c r="Q2360" s="1" t="str">
        <f aca="false">TEXT(B2360,"mmm")</f>
        <v>Jun</v>
      </c>
      <c r="R2360" s="1" t="str">
        <f aca="false">"Q"&amp;ROUNDUP(MONTH(B2360)/3,0)</f>
        <v>Q2</v>
      </c>
    </row>
    <row r="2361" customFormat="false" ht="15" hidden="false" customHeight="true" outlineLevel="0" collapsed="false">
      <c r="A2361" s="1" t="n">
        <v>12360</v>
      </c>
      <c r="B2361" s="14" t="n">
        <v>46921</v>
      </c>
      <c r="C2361" s="1" t="n">
        <v>1098</v>
      </c>
      <c r="D2361" s="1" t="s">
        <v>37</v>
      </c>
      <c r="E2361" s="1" t="s">
        <v>36</v>
      </c>
      <c r="F2361" s="1" t="n">
        <v>2</v>
      </c>
      <c r="G2361" s="15" t="n">
        <v>253.14</v>
      </c>
      <c r="H2361" s="16" t="n">
        <v>0.09</v>
      </c>
      <c r="I2361" s="1" t="s">
        <v>31</v>
      </c>
      <c r="J2361" s="1" t="n">
        <v>7</v>
      </c>
      <c r="K2361" s="1" t="n">
        <v>3.3</v>
      </c>
      <c r="L2361" s="15" t="n">
        <v>460.71</v>
      </c>
      <c r="M2361" s="15" t="n">
        <f aca="false">F2361*G2361</f>
        <v>506.28</v>
      </c>
      <c r="N2361" s="15" t="n">
        <f aca="false">M2361-L2361</f>
        <v>45.57</v>
      </c>
      <c r="O2361" s="1" t="n">
        <f aca="false">YEAR(B2361)</f>
        <v>2028</v>
      </c>
      <c r="P2361" s="1" t="n">
        <f aca="false">MONTH(B2361)</f>
        <v>6</v>
      </c>
      <c r="Q2361" s="1" t="str">
        <f aca="false">TEXT(B2361,"mmm")</f>
        <v>Jun</v>
      </c>
      <c r="R2361" s="1" t="str">
        <f aca="false">"Q"&amp;ROUNDUP(MONTH(B2361)/3,0)</f>
        <v>Q2</v>
      </c>
    </row>
    <row r="2362" customFormat="false" ht="15" hidden="false" customHeight="true" outlineLevel="0" collapsed="false">
      <c r="A2362" s="1" t="n">
        <v>12361</v>
      </c>
      <c r="B2362" s="14" t="n">
        <v>46922</v>
      </c>
      <c r="C2362" s="1" t="n">
        <v>1396</v>
      </c>
      <c r="D2362" s="1" t="s">
        <v>27</v>
      </c>
      <c r="E2362" s="1" t="s">
        <v>32</v>
      </c>
      <c r="F2362" s="1" t="n">
        <v>4</v>
      </c>
      <c r="G2362" s="15" t="n">
        <v>395.59</v>
      </c>
      <c r="H2362" s="16" t="n">
        <v>0.12</v>
      </c>
      <c r="I2362" s="1" t="s">
        <v>33</v>
      </c>
      <c r="J2362" s="1" t="n">
        <v>4</v>
      </c>
      <c r="K2362" s="1" t="n">
        <v>3.2</v>
      </c>
      <c r="L2362" s="15" t="n">
        <v>1392.48</v>
      </c>
      <c r="M2362" s="15" t="n">
        <f aca="false">F2362*G2362</f>
        <v>1582.36</v>
      </c>
      <c r="N2362" s="15" t="n">
        <f aca="false">M2362-L2362</f>
        <v>189.88</v>
      </c>
      <c r="O2362" s="1" t="n">
        <f aca="false">YEAR(B2362)</f>
        <v>2028</v>
      </c>
      <c r="P2362" s="1" t="n">
        <f aca="false">MONTH(B2362)</f>
        <v>6</v>
      </c>
      <c r="Q2362" s="1" t="str">
        <f aca="false">TEXT(B2362,"mmm")</f>
        <v>Jun</v>
      </c>
      <c r="R2362" s="1" t="str">
        <f aca="false">"Q"&amp;ROUNDUP(MONTH(B2362)/3,0)</f>
        <v>Q2</v>
      </c>
    </row>
    <row r="2363" customFormat="false" ht="15" hidden="false" customHeight="true" outlineLevel="0" collapsed="false">
      <c r="A2363" s="1" t="n">
        <v>12362</v>
      </c>
      <c r="B2363" s="14" t="n">
        <v>46923</v>
      </c>
      <c r="C2363" s="1" t="n">
        <v>1488</v>
      </c>
      <c r="D2363" s="1" t="s">
        <v>30</v>
      </c>
      <c r="E2363" s="1" t="s">
        <v>32</v>
      </c>
      <c r="F2363" s="1" t="n">
        <v>5</v>
      </c>
      <c r="G2363" s="15" t="n">
        <v>223.34</v>
      </c>
      <c r="H2363" s="16" t="n">
        <v>0.3</v>
      </c>
      <c r="I2363" s="1" t="s">
        <v>31</v>
      </c>
      <c r="J2363" s="1" t="n">
        <v>1</v>
      </c>
      <c r="K2363" s="1" t="n">
        <v>3.3</v>
      </c>
      <c r="L2363" s="15" t="n">
        <v>781.69</v>
      </c>
      <c r="M2363" s="15" t="n">
        <f aca="false">F2363*G2363</f>
        <v>1116.7</v>
      </c>
      <c r="N2363" s="15" t="n">
        <f aca="false">M2363-L2363</f>
        <v>335.01</v>
      </c>
      <c r="O2363" s="1" t="n">
        <f aca="false">YEAR(B2363)</f>
        <v>2028</v>
      </c>
      <c r="P2363" s="1" t="n">
        <f aca="false">MONTH(B2363)</f>
        <v>6</v>
      </c>
      <c r="Q2363" s="1" t="str">
        <f aca="false">TEXT(B2363,"mmm")</f>
        <v>Jun</v>
      </c>
      <c r="R2363" s="1" t="str">
        <f aca="false">"Q"&amp;ROUNDUP(MONTH(B2363)/3,0)</f>
        <v>Q2</v>
      </c>
    </row>
    <row r="2364" customFormat="false" ht="15" hidden="false" customHeight="true" outlineLevel="0" collapsed="false">
      <c r="A2364" s="1" t="n">
        <v>12363</v>
      </c>
      <c r="B2364" s="14" t="n">
        <v>46924</v>
      </c>
      <c r="C2364" s="1" t="n">
        <v>1038</v>
      </c>
      <c r="D2364" s="1" t="s">
        <v>34</v>
      </c>
      <c r="E2364" s="1" t="s">
        <v>28</v>
      </c>
      <c r="F2364" s="1" t="n">
        <v>3</v>
      </c>
      <c r="G2364" s="15" t="n">
        <v>578.8</v>
      </c>
      <c r="H2364" s="16" t="n">
        <v>0.01</v>
      </c>
      <c r="I2364" s="1" t="s">
        <v>33</v>
      </c>
      <c r="J2364" s="1" t="n">
        <v>10</v>
      </c>
      <c r="K2364" s="1" t="n">
        <v>3.9</v>
      </c>
      <c r="L2364" s="15" t="n">
        <v>1719.04</v>
      </c>
      <c r="M2364" s="15" t="n">
        <f aca="false">F2364*G2364</f>
        <v>1736.4</v>
      </c>
      <c r="N2364" s="15" t="n">
        <f aca="false">M2364-L2364</f>
        <v>17.3599999999999</v>
      </c>
      <c r="O2364" s="1" t="n">
        <f aca="false">YEAR(B2364)</f>
        <v>2028</v>
      </c>
      <c r="P2364" s="1" t="n">
        <f aca="false">MONTH(B2364)</f>
        <v>6</v>
      </c>
      <c r="Q2364" s="1" t="str">
        <f aca="false">TEXT(B2364,"mmm")</f>
        <v>Jun</v>
      </c>
      <c r="R2364" s="1" t="str">
        <f aca="false">"Q"&amp;ROUNDUP(MONTH(B2364)/3,0)</f>
        <v>Q2</v>
      </c>
    </row>
    <row r="2365" customFormat="false" ht="15" hidden="false" customHeight="true" outlineLevel="0" collapsed="false">
      <c r="A2365" s="1" t="n">
        <v>12364</v>
      </c>
      <c r="B2365" s="14" t="n">
        <v>46925</v>
      </c>
      <c r="C2365" s="1" t="n">
        <v>1270</v>
      </c>
      <c r="D2365" s="1" t="s">
        <v>27</v>
      </c>
      <c r="E2365" s="1" t="s">
        <v>35</v>
      </c>
      <c r="F2365" s="1" t="n">
        <v>7</v>
      </c>
      <c r="G2365" s="15" t="n">
        <v>562.65</v>
      </c>
      <c r="H2365" s="16" t="n">
        <v>0.08</v>
      </c>
      <c r="I2365" s="1" t="s">
        <v>33</v>
      </c>
      <c r="J2365" s="1" t="n">
        <v>11</v>
      </c>
      <c r="K2365" s="1" t="n">
        <v>2.6</v>
      </c>
      <c r="L2365" s="15" t="n">
        <v>3623.47</v>
      </c>
      <c r="M2365" s="15" t="n">
        <f aca="false">F2365*G2365</f>
        <v>3938.55</v>
      </c>
      <c r="N2365" s="15" t="n">
        <f aca="false">M2365-L2365</f>
        <v>315.08</v>
      </c>
      <c r="O2365" s="1" t="n">
        <f aca="false">YEAR(B2365)</f>
        <v>2028</v>
      </c>
      <c r="P2365" s="1" t="n">
        <f aca="false">MONTH(B2365)</f>
        <v>6</v>
      </c>
      <c r="Q2365" s="1" t="str">
        <f aca="false">TEXT(B2365,"mmm")</f>
        <v>Jun</v>
      </c>
      <c r="R2365" s="1" t="str">
        <f aca="false">"Q"&amp;ROUNDUP(MONTH(B2365)/3,0)</f>
        <v>Q2</v>
      </c>
    </row>
    <row r="2366" customFormat="false" ht="15" hidden="false" customHeight="true" outlineLevel="0" collapsed="false">
      <c r="A2366" s="1" t="n">
        <v>12365</v>
      </c>
      <c r="B2366" s="14" t="n">
        <v>46926</v>
      </c>
      <c r="C2366" s="1" t="n">
        <v>1886</v>
      </c>
      <c r="D2366" s="1" t="s">
        <v>30</v>
      </c>
      <c r="E2366" s="1" t="s">
        <v>36</v>
      </c>
      <c r="F2366" s="1" t="n">
        <v>5</v>
      </c>
      <c r="G2366" s="15" t="n">
        <v>511.1</v>
      </c>
      <c r="H2366" s="16" t="n">
        <v>0.32</v>
      </c>
      <c r="I2366" s="1" t="s">
        <v>31</v>
      </c>
      <c r="J2366" s="1" t="n">
        <v>11</v>
      </c>
      <c r="K2366" s="1" t="n">
        <v>3.7</v>
      </c>
      <c r="L2366" s="15" t="n">
        <v>1737.74</v>
      </c>
      <c r="M2366" s="15" t="n">
        <f aca="false">F2366*G2366</f>
        <v>2555.5</v>
      </c>
      <c r="N2366" s="15" t="n">
        <f aca="false">M2366-L2366</f>
        <v>817.76</v>
      </c>
      <c r="O2366" s="1" t="n">
        <f aca="false">YEAR(B2366)</f>
        <v>2028</v>
      </c>
      <c r="P2366" s="1" t="n">
        <f aca="false">MONTH(B2366)</f>
        <v>6</v>
      </c>
      <c r="Q2366" s="1" t="str">
        <f aca="false">TEXT(B2366,"mmm")</f>
        <v>Jun</v>
      </c>
      <c r="R2366" s="1" t="str">
        <f aca="false">"Q"&amp;ROUNDUP(MONTH(B2366)/3,0)</f>
        <v>Q2</v>
      </c>
    </row>
    <row r="2367" customFormat="false" ht="15" hidden="false" customHeight="true" outlineLevel="0" collapsed="false">
      <c r="A2367" s="1" t="n">
        <v>12366</v>
      </c>
      <c r="B2367" s="14" t="n">
        <v>46927</v>
      </c>
      <c r="C2367" s="1" t="n">
        <v>1796</v>
      </c>
      <c r="D2367" s="1" t="s">
        <v>30</v>
      </c>
      <c r="E2367" s="1" t="s">
        <v>35</v>
      </c>
      <c r="F2367" s="1" t="n">
        <v>2</v>
      </c>
      <c r="G2367" s="15" t="n">
        <v>553.38</v>
      </c>
      <c r="H2367" s="16" t="n">
        <v>0.22</v>
      </c>
      <c r="I2367" s="1" t="s">
        <v>33</v>
      </c>
      <c r="J2367" s="1" t="n">
        <v>6</v>
      </c>
      <c r="K2367" s="1" t="n">
        <v>4.2</v>
      </c>
      <c r="L2367" s="15" t="n">
        <v>863.27</v>
      </c>
      <c r="M2367" s="15" t="n">
        <f aca="false">F2367*G2367</f>
        <v>1106.76</v>
      </c>
      <c r="N2367" s="15" t="n">
        <f aca="false">M2367-L2367</f>
        <v>243.49</v>
      </c>
      <c r="O2367" s="1" t="n">
        <f aca="false">YEAR(B2367)</f>
        <v>2028</v>
      </c>
      <c r="P2367" s="1" t="n">
        <f aca="false">MONTH(B2367)</f>
        <v>6</v>
      </c>
      <c r="Q2367" s="1" t="str">
        <f aca="false">TEXT(B2367,"mmm")</f>
        <v>Jun</v>
      </c>
      <c r="R2367" s="1" t="str">
        <f aca="false">"Q"&amp;ROUNDUP(MONTH(B2367)/3,0)</f>
        <v>Q2</v>
      </c>
    </row>
    <row r="2368" customFormat="false" ht="15" hidden="false" customHeight="true" outlineLevel="0" collapsed="false">
      <c r="A2368" s="1" t="n">
        <v>12367</v>
      </c>
      <c r="B2368" s="14" t="n">
        <v>46928</v>
      </c>
      <c r="C2368" s="1" t="n">
        <v>1156</v>
      </c>
      <c r="D2368" s="1" t="s">
        <v>30</v>
      </c>
      <c r="E2368" s="1" t="s">
        <v>28</v>
      </c>
      <c r="F2368" s="1" t="n">
        <v>1</v>
      </c>
      <c r="G2368" s="15" t="n">
        <v>277.75</v>
      </c>
      <c r="H2368" s="16" t="n">
        <v>0.08</v>
      </c>
      <c r="I2368" s="1" t="s">
        <v>31</v>
      </c>
      <c r="J2368" s="1" t="n">
        <v>10</v>
      </c>
      <c r="K2368" s="1" t="n">
        <v>2.2</v>
      </c>
      <c r="L2368" s="15" t="n">
        <v>255.53</v>
      </c>
      <c r="M2368" s="15" t="n">
        <f aca="false">F2368*G2368</f>
        <v>277.75</v>
      </c>
      <c r="N2368" s="15" t="n">
        <f aca="false">M2368-L2368</f>
        <v>22.22</v>
      </c>
      <c r="O2368" s="1" t="n">
        <f aca="false">YEAR(B2368)</f>
        <v>2028</v>
      </c>
      <c r="P2368" s="1" t="n">
        <f aca="false">MONTH(B2368)</f>
        <v>6</v>
      </c>
      <c r="Q2368" s="1" t="str">
        <f aca="false">TEXT(B2368,"mmm")</f>
        <v>Jun</v>
      </c>
      <c r="R2368" s="1" t="str">
        <f aca="false">"Q"&amp;ROUNDUP(MONTH(B2368)/3,0)</f>
        <v>Q2</v>
      </c>
    </row>
    <row r="2369" customFormat="false" ht="15" hidden="false" customHeight="true" outlineLevel="0" collapsed="false">
      <c r="A2369" s="1" t="n">
        <v>12368</v>
      </c>
      <c r="B2369" s="14" t="n">
        <v>46929</v>
      </c>
      <c r="C2369" s="1" t="n">
        <v>1074</v>
      </c>
      <c r="D2369" s="1" t="s">
        <v>27</v>
      </c>
      <c r="E2369" s="1" t="s">
        <v>36</v>
      </c>
      <c r="F2369" s="1" t="n">
        <v>6</v>
      </c>
      <c r="G2369" s="15" t="n">
        <v>328.81</v>
      </c>
      <c r="H2369" s="16" t="n">
        <v>0.08</v>
      </c>
      <c r="I2369" s="1" t="s">
        <v>31</v>
      </c>
      <c r="J2369" s="1" t="n">
        <v>6</v>
      </c>
      <c r="K2369" s="1" t="n">
        <v>4.8</v>
      </c>
      <c r="L2369" s="15" t="n">
        <v>1815.03</v>
      </c>
      <c r="M2369" s="15" t="n">
        <f aca="false">F2369*G2369</f>
        <v>1972.86</v>
      </c>
      <c r="N2369" s="15" t="n">
        <f aca="false">M2369-L2369</f>
        <v>157.83</v>
      </c>
      <c r="O2369" s="1" t="n">
        <f aca="false">YEAR(B2369)</f>
        <v>2028</v>
      </c>
      <c r="P2369" s="1" t="n">
        <f aca="false">MONTH(B2369)</f>
        <v>6</v>
      </c>
      <c r="Q2369" s="1" t="str">
        <f aca="false">TEXT(B2369,"mmm")</f>
        <v>Jun</v>
      </c>
      <c r="R2369" s="1" t="str">
        <f aca="false">"Q"&amp;ROUNDUP(MONTH(B2369)/3,0)</f>
        <v>Q2</v>
      </c>
    </row>
    <row r="2370" customFormat="false" ht="15" hidden="false" customHeight="true" outlineLevel="0" collapsed="false">
      <c r="A2370" s="1" t="n">
        <v>12369</v>
      </c>
      <c r="B2370" s="14" t="n">
        <v>46930</v>
      </c>
      <c r="C2370" s="1" t="n">
        <v>1883</v>
      </c>
      <c r="D2370" s="1" t="s">
        <v>30</v>
      </c>
      <c r="E2370" s="1" t="s">
        <v>28</v>
      </c>
      <c r="F2370" s="1" t="n">
        <v>3</v>
      </c>
      <c r="G2370" s="15" t="n">
        <v>449.12</v>
      </c>
      <c r="H2370" s="16" t="n">
        <v>0.3</v>
      </c>
      <c r="I2370" s="1" t="s">
        <v>31</v>
      </c>
      <c r="J2370" s="1" t="n">
        <v>3</v>
      </c>
      <c r="K2370" s="1" t="n">
        <v>3.1</v>
      </c>
      <c r="L2370" s="15" t="n">
        <v>943.15</v>
      </c>
      <c r="M2370" s="15" t="n">
        <f aca="false">F2370*G2370</f>
        <v>1347.36</v>
      </c>
      <c r="N2370" s="15" t="n">
        <f aca="false">M2370-L2370</f>
        <v>404.21</v>
      </c>
      <c r="O2370" s="1" t="n">
        <f aca="false">YEAR(B2370)</f>
        <v>2028</v>
      </c>
      <c r="P2370" s="1" t="n">
        <f aca="false">MONTH(B2370)</f>
        <v>6</v>
      </c>
      <c r="Q2370" s="1" t="str">
        <f aca="false">TEXT(B2370,"mmm")</f>
        <v>Jun</v>
      </c>
      <c r="R2370" s="1" t="str">
        <f aca="false">"Q"&amp;ROUNDUP(MONTH(B2370)/3,0)</f>
        <v>Q2</v>
      </c>
    </row>
    <row r="2371" customFormat="false" ht="15" hidden="false" customHeight="true" outlineLevel="0" collapsed="false">
      <c r="A2371" s="1" t="n">
        <v>12370</v>
      </c>
      <c r="B2371" s="14" t="n">
        <v>46931</v>
      </c>
      <c r="C2371" s="1" t="n">
        <v>1799</v>
      </c>
      <c r="D2371" s="1" t="s">
        <v>37</v>
      </c>
      <c r="E2371" s="1" t="s">
        <v>35</v>
      </c>
      <c r="F2371" s="1" t="n">
        <v>4</v>
      </c>
      <c r="G2371" s="15" t="n">
        <v>422.25</v>
      </c>
      <c r="H2371" s="16" t="n">
        <v>0.31</v>
      </c>
      <c r="I2371" s="1" t="s">
        <v>33</v>
      </c>
      <c r="J2371" s="1" t="n">
        <v>6</v>
      </c>
      <c r="K2371" s="1" t="n">
        <v>3.9</v>
      </c>
      <c r="L2371" s="15" t="n">
        <v>1165.41</v>
      </c>
      <c r="M2371" s="15" t="n">
        <f aca="false">F2371*G2371</f>
        <v>1689</v>
      </c>
      <c r="N2371" s="15" t="n">
        <f aca="false">M2371-L2371</f>
        <v>523.59</v>
      </c>
      <c r="O2371" s="1" t="n">
        <f aca="false">YEAR(B2371)</f>
        <v>2028</v>
      </c>
      <c r="P2371" s="1" t="n">
        <f aca="false">MONTH(B2371)</f>
        <v>6</v>
      </c>
      <c r="Q2371" s="1" t="str">
        <f aca="false">TEXT(B2371,"mmm")</f>
        <v>Jun</v>
      </c>
      <c r="R2371" s="1" t="str">
        <f aca="false">"Q"&amp;ROUNDUP(MONTH(B2371)/3,0)</f>
        <v>Q2</v>
      </c>
    </row>
    <row r="2372" customFormat="false" ht="15" hidden="false" customHeight="true" outlineLevel="0" collapsed="false">
      <c r="A2372" s="1" t="n">
        <v>12371</v>
      </c>
      <c r="B2372" s="14" t="n">
        <v>46932</v>
      </c>
      <c r="C2372" s="1" t="n">
        <v>1129</v>
      </c>
      <c r="D2372" s="1" t="s">
        <v>37</v>
      </c>
      <c r="E2372" s="1" t="s">
        <v>32</v>
      </c>
      <c r="F2372" s="1" t="n">
        <v>6</v>
      </c>
      <c r="G2372" s="15" t="n">
        <v>536.05</v>
      </c>
      <c r="H2372" s="16" t="n">
        <v>0.09</v>
      </c>
      <c r="I2372" s="1" t="s">
        <v>33</v>
      </c>
      <c r="J2372" s="1" t="n">
        <v>10</v>
      </c>
      <c r="K2372" s="1" t="n">
        <v>3.9</v>
      </c>
      <c r="L2372" s="15" t="n">
        <v>2926.83</v>
      </c>
      <c r="M2372" s="15" t="n">
        <f aca="false">F2372*G2372</f>
        <v>3216.3</v>
      </c>
      <c r="N2372" s="15" t="n">
        <f aca="false">M2372-L2372</f>
        <v>289.47</v>
      </c>
      <c r="O2372" s="1" t="n">
        <f aca="false">YEAR(B2372)</f>
        <v>2028</v>
      </c>
      <c r="P2372" s="1" t="n">
        <f aca="false">MONTH(B2372)</f>
        <v>6</v>
      </c>
      <c r="Q2372" s="1" t="str">
        <f aca="false">TEXT(B2372,"mmm")</f>
        <v>Jun</v>
      </c>
      <c r="R2372" s="1" t="str">
        <f aca="false">"Q"&amp;ROUNDUP(MONTH(B2372)/3,0)</f>
        <v>Q2</v>
      </c>
    </row>
    <row r="2373" customFormat="false" ht="15" hidden="false" customHeight="true" outlineLevel="0" collapsed="false">
      <c r="A2373" s="1" t="n">
        <v>12372</v>
      </c>
      <c r="B2373" s="14" t="n">
        <v>46933</v>
      </c>
      <c r="C2373" s="1" t="n">
        <v>1686</v>
      </c>
      <c r="D2373" s="1" t="s">
        <v>34</v>
      </c>
      <c r="E2373" s="1" t="s">
        <v>28</v>
      </c>
      <c r="F2373" s="1" t="n">
        <v>2</v>
      </c>
      <c r="G2373" s="15" t="n">
        <v>434.05</v>
      </c>
      <c r="H2373" s="16" t="n">
        <v>0.15</v>
      </c>
      <c r="I2373" s="1" t="s">
        <v>31</v>
      </c>
      <c r="J2373" s="1" t="n">
        <v>9</v>
      </c>
      <c r="K2373" s="1" t="n">
        <v>3.3</v>
      </c>
      <c r="L2373" s="15" t="n">
        <v>737.88</v>
      </c>
      <c r="M2373" s="15" t="n">
        <f aca="false">F2373*G2373</f>
        <v>868.1</v>
      </c>
      <c r="N2373" s="15" t="n">
        <f aca="false">M2373-L2373</f>
        <v>130.22</v>
      </c>
      <c r="O2373" s="1" t="n">
        <f aca="false">YEAR(B2373)</f>
        <v>2028</v>
      </c>
      <c r="P2373" s="1" t="n">
        <f aca="false">MONTH(B2373)</f>
        <v>6</v>
      </c>
      <c r="Q2373" s="1" t="str">
        <f aca="false">TEXT(B2373,"mmm")</f>
        <v>Jun</v>
      </c>
      <c r="R2373" s="1" t="str">
        <f aca="false">"Q"&amp;ROUNDUP(MONTH(B2373)/3,0)</f>
        <v>Q2</v>
      </c>
    </row>
    <row r="2374" customFormat="false" ht="15" hidden="false" customHeight="true" outlineLevel="0" collapsed="false">
      <c r="A2374" s="1" t="n">
        <v>12373</v>
      </c>
      <c r="B2374" s="14" t="n">
        <v>46934</v>
      </c>
      <c r="C2374" s="1" t="n">
        <v>1973</v>
      </c>
      <c r="D2374" s="1" t="s">
        <v>30</v>
      </c>
      <c r="E2374" s="1" t="s">
        <v>28</v>
      </c>
      <c r="F2374" s="1" t="n">
        <v>5</v>
      </c>
      <c r="G2374" s="15" t="n">
        <v>598.76</v>
      </c>
      <c r="H2374" s="16" t="n">
        <v>0.29</v>
      </c>
      <c r="I2374" s="1" t="s">
        <v>31</v>
      </c>
      <c r="J2374" s="1" t="n">
        <v>6</v>
      </c>
      <c r="K2374" s="1" t="n">
        <v>2.3</v>
      </c>
      <c r="L2374" s="15" t="n">
        <v>2125.6</v>
      </c>
      <c r="M2374" s="15" t="n">
        <f aca="false">F2374*G2374</f>
        <v>2993.8</v>
      </c>
      <c r="N2374" s="15" t="n">
        <f aca="false">M2374-L2374</f>
        <v>868.2</v>
      </c>
      <c r="O2374" s="1" t="n">
        <f aca="false">YEAR(B2374)</f>
        <v>2028</v>
      </c>
      <c r="P2374" s="1" t="n">
        <f aca="false">MONTH(B2374)</f>
        <v>6</v>
      </c>
      <c r="Q2374" s="1" t="str">
        <f aca="false">TEXT(B2374,"mmm")</f>
        <v>Jun</v>
      </c>
      <c r="R2374" s="1" t="str">
        <f aca="false">"Q"&amp;ROUNDUP(MONTH(B2374)/3,0)</f>
        <v>Q2</v>
      </c>
    </row>
    <row r="2375" customFormat="false" ht="15" hidden="false" customHeight="true" outlineLevel="0" collapsed="false">
      <c r="A2375" s="1" t="n">
        <v>12374</v>
      </c>
      <c r="B2375" s="14" t="n">
        <v>46935</v>
      </c>
      <c r="C2375" s="1" t="n">
        <v>1083</v>
      </c>
      <c r="D2375" s="1" t="s">
        <v>37</v>
      </c>
      <c r="E2375" s="1" t="s">
        <v>32</v>
      </c>
      <c r="F2375" s="1" t="n">
        <v>7</v>
      </c>
      <c r="G2375" s="15" t="n">
        <v>218.88</v>
      </c>
      <c r="H2375" s="16" t="n">
        <v>0.27</v>
      </c>
      <c r="I2375" s="1" t="s">
        <v>31</v>
      </c>
      <c r="J2375" s="1" t="n">
        <v>1</v>
      </c>
      <c r="K2375" s="1" t="n">
        <v>3.7</v>
      </c>
      <c r="L2375" s="15" t="n">
        <v>1118.48</v>
      </c>
      <c r="M2375" s="15" t="n">
        <f aca="false">F2375*G2375</f>
        <v>1532.16</v>
      </c>
      <c r="N2375" s="15" t="n">
        <f aca="false">M2375-L2375</f>
        <v>413.68</v>
      </c>
      <c r="O2375" s="1" t="n">
        <f aca="false">YEAR(B2375)</f>
        <v>2028</v>
      </c>
      <c r="P2375" s="1" t="n">
        <f aca="false">MONTH(B2375)</f>
        <v>7</v>
      </c>
      <c r="Q2375" s="1" t="str">
        <f aca="false">TEXT(B2375,"mmm")</f>
        <v>Jul</v>
      </c>
      <c r="R2375" s="1" t="str">
        <f aca="false">"Q"&amp;ROUNDUP(MONTH(B2375)/3,0)</f>
        <v>Q3</v>
      </c>
    </row>
    <row r="2376" customFormat="false" ht="15" hidden="false" customHeight="true" outlineLevel="0" collapsed="false">
      <c r="A2376" s="1" t="n">
        <v>12375</v>
      </c>
      <c r="B2376" s="14" t="n">
        <v>46936</v>
      </c>
      <c r="C2376" s="1" t="n">
        <v>1021</v>
      </c>
      <c r="D2376" s="1" t="s">
        <v>30</v>
      </c>
      <c r="E2376" s="1" t="s">
        <v>35</v>
      </c>
      <c r="F2376" s="1" t="n">
        <v>1</v>
      </c>
      <c r="G2376" s="15" t="n">
        <v>502.3</v>
      </c>
      <c r="H2376" s="16" t="n">
        <v>0.28</v>
      </c>
      <c r="I2376" s="1" t="s">
        <v>31</v>
      </c>
      <c r="J2376" s="1" t="n">
        <v>10</v>
      </c>
      <c r="K2376" s="1" t="n">
        <v>1.3</v>
      </c>
      <c r="L2376" s="15" t="n">
        <v>361.66</v>
      </c>
      <c r="M2376" s="15" t="n">
        <f aca="false">F2376*G2376</f>
        <v>502.3</v>
      </c>
      <c r="N2376" s="15" t="n">
        <f aca="false">M2376-L2376</f>
        <v>140.64</v>
      </c>
      <c r="O2376" s="1" t="n">
        <f aca="false">YEAR(B2376)</f>
        <v>2028</v>
      </c>
      <c r="P2376" s="1" t="n">
        <f aca="false">MONTH(B2376)</f>
        <v>7</v>
      </c>
      <c r="Q2376" s="1" t="str">
        <f aca="false">TEXT(B2376,"mmm")</f>
        <v>Jul</v>
      </c>
      <c r="R2376" s="1" t="str">
        <f aca="false">"Q"&amp;ROUNDUP(MONTH(B2376)/3,0)</f>
        <v>Q3</v>
      </c>
    </row>
    <row r="2377" customFormat="false" ht="15" hidden="false" customHeight="true" outlineLevel="0" collapsed="false">
      <c r="A2377" s="1" t="n">
        <v>12376</v>
      </c>
      <c r="B2377" s="14" t="n">
        <v>46937</v>
      </c>
      <c r="C2377" s="1" t="n">
        <v>1458</v>
      </c>
      <c r="D2377" s="1" t="s">
        <v>37</v>
      </c>
      <c r="E2377" s="1" t="s">
        <v>28</v>
      </c>
      <c r="F2377" s="1" t="n">
        <v>5</v>
      </c>
      <c r="G2377" s="15" t="n">
        <v>423.12</v>
      </c>
      <c r="H2377" s="16" t="n">
        <v>0.18</v>
      </c>
      <c r="I2377" s="1" t="s">
        <v>33</v>
      </c>
      <c r="J2377" s="1" t="n">
        <v>6</v>
      </c>
      <c r="K2377" s="1" t="n">
        <v>4.9</v>
      </c>
      <c r="L2377" s="15" t="n">
        <v>1734.79</v>
      </c>
      <c r="M2377" s="15" t="n">
        <f aca="false">F2377*G2377</f>
        <v>2115.6</v>
      </c>
      <c r="N2377" s="15" t="n">
        <f aca="false">M2377-L2377</f>
        <v>380.81</v>
      </c>
      <c r="O2377" s="1" t="n">
        <f aca="false">YEAR(B2377)</f>
        <v>2028</v>
      </c>
      <c r="P2377" s="1" t="n">
        <f aca="false">MONTH(B2377)</f>
        <v>7</v>
      </c>
      <c r="Q2377" s="1" t="str">
        <f aca="false">TEXT(B2377,"mmm")</f>
        <v>Jul</v>
      </c>
      <c r="R2377" s="1" t="str">
        <f aca="false">"Q"&amp;ROUNDUP(MONTH(B2377)/3,0)</f>
        <v>Q3</v>
      </c>
    </row>
    <row r="2378" customFormat="false" ht="15" hidden="false" customHeight="true" outlineLevel="0" collapsed="false">
      <c r="A2378" s="1" t="n">
        <v>12377</v>
      </c>
      <c r="B2378" s="14" t="n">
        <v>46938</v>
      </c>
      <c r="C2378" s="1" t="n">
        <v>1538</v>
      </c>
      <c r="D2378" s="1" t="s">
        <v>27</v>
      </c>
      <c r="E2378" s="1" t="s">
        <v>35</v>
      </c>
      <c r="F2378" s="1" t="n">
        <v>4</v>
      </c>
      <c r="G2378" s="15" t="n">
        <v>419.46</v>
      </c>
      <c r="H2378" s="16" t="n">
        <v>0.32</v>
      </c>
      <c r="I2378" s="1" t="s">
        <v>33</v>
      </c>
      <c r="J2378" s="1" t="n">
        <v>8</v>
      </c>
      <c r="K2378" s="1" t="n">
        <v>1.7</v>
      </c>
      <c r="L2378" s="15" t="n">
        <v>1140.93</v>
      </c>
      <c r="M2378" s="15" t="n">
        <f aca="false">F2378*G2378</f>
        <v>1677.84</v>
      </c>
      <c r="N2378" s="15" t="n">
        <f aca="false">M2378-L2378</f>
        <v>536.91</v>
      </c>
      <c r="O2378" s="1" t="n">
        <f aca="false">YEAR(B2378)</f>
        <v>2028</v>
      </c>
      <c r="P2378" s="1" t="n">
        <f aca="false">MONTH(B2378)</f>
        <v>7</v>
      </c>
      <c r="Q2378" s="1" t="str">
        <f aca="false">TEXT(B2378,"mmm")</f>
        <v>Jul</v>
      </c>
      <c r="R2378" s="1" t="str">
        <f aca="false">"Q"&amp;ROUNDUP(MONTH(B2378)/3,0)</f>
        <v>Q3</v>
      </c>
    </row>
    <row r="2379" customFormat="false" ht="15" hidden="false" customHeight="true" outlineLevel="0" collapsed="false">
      <c r="A2379" s="1" t="n">
        <v>12378</v>
      </c>
      <c r="B2379" s="14" t="n">
        <v>46939</v>
      </c>
      <c r="C2379" s="1" t="n">
        <v>1706</v>
      </c>
      <c r="D2379" s="1" t="s">
        <v>30</v>
      </c>
      <c r="E2379" s="1" t="s">
        <v>32</v>
      </c>
      <c r="F2379" s="1" t="n">
        <v>3</v>
      </c>
      <c r="G2379" s="15" t="n">
        <v>205.61</v>
      </c>
      <c r="H2379" s="16" t="n">
        <v>0.11</v>
      </c>
      <c r="I2379" s="1" t="s">
        <v>31</v>
      </c>
      <c r="J2379" s="1" t="n">
        <v>7</v>
      </c>
      <c r="K2379" s="1" t="n">
        <v>2.1</v>
      </c>
      <c r="L2379" s="15" t="n">
        <v>548.98</v>
      </c>
      <c r="M2379" s="15" t="n">
        <f aca="false">F2379*G2379</f>
        <v>616.83</v>
      </c>
      <c r="N2379" s="15" t="n">
        <f aca="false">M2379-L2379</f>
        <v>67.85</v>
      </c>
      <c r="O2379" s="1" t="n">
        <f aca="false">YEAR(B2379)</f>
        <v>2028</v>
      </c>
      <c r="P2379" s="1" t="n">
        <f aca="false">MONTH(B2379)</f>
        <v>7</v>
      </c>
      <c r="Q2379" s="1" t="str">
        <f aca="false">TEXT(B2379,"mmm")</f>
        <v>Jul</v>
      </c>
      <c r="R2379" s="1" t="str">
        <f aca="false">"Q"&amp;ROUNDUP(MONTH(B2379)/3,0)</f>
        <v>Q3</v>
      </c>
    </row>
    <row r="2380" customFormat="false" ht="15" hidden="false" customHeight="true" outlineLevel="0" collapsed="false">
      <c r="A2380" s="1" t="n">
        <v>12379</v>
      </c>
      <c r="B2380" s="14" t="n">
        <v>46940</v>
      </c>
      <c r="C2380" s="1" t="n">
        <v>1848</v>
      </c>
      <c r="D2380" s="1" t="s">
        <v>37</v>
      </c>
      <c r="E2380" s="1" t="s">
        <v>36</v>
      </c>
      <c r="F2380" s="1" t="n">
        <v>4</v>
      </c>
      <c r="G2380" s="15" t="n">
        <v>474.58</v>
      </c>
      <c r="H2380" s="16" t="n">
        <v>0.05</v>
      </c>
      <c r="I2380" s="1" t="s">
        <v>31</v>
      </c>
      <c r="J2380" s="1" t="n">
        <v>8</v>
      </c>
      <c r="K2380" s="1" t="n">
        <v>4.8</v>
      </c>
      <c r="L2380" s="15" t="n">
        <v>1803.4</v>
      </c>
      <c r="M2380" s="15" t="n">
        <f aca="false">F2380*G2380</f>
        <v>1898.32</v>
      </c>
      <c r="N2380" s="15" t="n">
        <f aca="false">M2380-L2380</f>
        <v>94.9199999999999</v>
      </c>
      <c r="O2380" s="1" t="n">
        <f aca="false">YEAR(B2380)</f>
        <v>2028</v>
      </c>
      <c r="P2380" s="1" t="n">
        <f aca="false">MONTH(B2380)</f>
        <v>7</v>
      </c>
      <c r="Q2380" s="1" t="str">
        <f aca="false">TEXT(B2380,"mmm")</f>
        <v>Jul</v>
      </c>
      <c r="R2380" s="1" t="str">
        <f aca="false">"Q"&amp;ROUNDUP(MONTH(B2380)/3,0)</f>
        <v>Q3</v>
      </c>
    </row>
    <row r="2381" customFormat="false" ht="15" hidden="false" customHeight="true" outlineLevel="0" collapsed="false">
      <c r="A2381" s="1" t="n">
        <v>12380</v>
      </c>
      <c r="B2381" s="14" t="n">
        <v>46941</v>
      </c>
      <c r="C2381" s="1" t="n">
        <v>1381</v>
      </c>
      <c r="D2381" s="1" t="s">
        <v>37</v>
      </c>
      <c r="E2381" s="1" t="s">
        <v>28</v>
      </c>
      <c r="F2381" s="1" t="n">
        <v>5</v>
      </c>
      <c r="G2381" s="15" t="n">
        <v>541.72</v>
      </c>
      <c r="H2381" s="16" t="n">
        <v>0.25</v>
      </c>
      <c r="I2381" s="1" t="s">
        <v>29</v>
      </c>
      <c r="J2381" s="1" t="n">
        <v>11</v>
      </c>
      <c r="K2381" s="1" t="n">
        <v>1.7</v>
      </c>
      <c r="L2381" s="15" t="n">
        <v>2031.45</v>
      </c>
      <c r="M2381" s="15" t="n">
        <f aca="false">F2381*G2381</f>
        <v>2708.6</v>
      </c>
      <c r="N2381" s="15" t="n">
        <f aca="false">M2381-L2381</f>
        <v>677.15</v>
      </c>
      <c r="O2381" s="1" t="n">
        <f aca="false">YEAR(B2381)</f>
        <v>2028</v>
      </c>
      <c r="P2381" s="1" t="n">
        <f aca="false">MONTH(B2381)</f>
        <v>7</v>
      </c>
      <c r="Q2381" s="1" t="str">
        <f aca="false">TEXT(B2381,"mmm")</f>
        <v>Jul</v>
      </c>
      <c r="R2381" s="1" t="str">
        <f aca="false">"Q"&amp;ROUNDUP(MONTH(B2381)/3,0)</f>
        <v>Q3</v>
      </c>
    </row>
    <row r="2382" customFormat="false" ht="15" hidden="false" customHeight="true" outlineLevel="0" collapsed="false">
      <c r="A2382" s="1" t="n">
        <v>12381</v>
      </c>
      <c r="B2382" s="14" t="n">
        <v>46942</v>
      </c>
      <c r="C2382" s="1" t="n">
        <v>1747</v>
      </c>
      <c r="D2382" s="1" t="s">
        <v>37</v>
      </c>
      <c r="E2382" s="1" t="s">
        <v>35</v>
      </c>
      <c r="F2382" s="1" t="n">
        <v>5</v>
      </c>
      <c r="G2382" s="15" t="n">
        <v>142.85</v>
      </c>
      <c r="H2382" s="16" t="n">
        <v>0.19</v>
      </c>
      <c r="I2382" s="1" t="s">
        <v>31</v>
      </c>
      <c r="J2382" s="1" t="n">
        <v>8</v>
      </c>
      <c r="K2382" s="1" t="n">
        <v>1.7</v>
      </c>
      <c r="L2382" s="15" t="n">
        <v>578.54</v>
      </c>
      <c r="M2382" s="15" t="n">
        <f aca="false">F2382*G2382</f>
        <v>714.25</v>
      </c>
      <c r="N2382" s="15" t="n">
        <f aca="false">M2382-L2382</f>
        <v>135.71</v>
      </c>
      <c r="O2382" s="1" t="n">
        <f aca="false">YEAR(B2382)</f>
        <v>2028</v>
      </c>
      <c r="P2382" s="1" t="n">
        <f aca="false">MONTH(B2382)</f>
        <v>7</v>
      </c>
      <c r="Q2382" s="1" t="str">
        <f aca="false">TEXT(B2382,"mmm")</f>
        <v>Jul</v>
      </c>
      <c r="R2382" s="1" t="str">
        <f aca="false">"Q"&amp;ROUNDUP(MONTH(B2382)/3,0)</f>
        <v>Q3</v>
      </c>
    </row>
    <row r="2383" customFormat="false" ht="15" hidden="false" customHeight="true" outlineLevel="0" collapsed="false">
      <c r="A2383" s="1" t="n">
        <v>12382</v>
      </c>
      <c r="B2383" s="14" t="n">
        <v>46943</v>
      </c>
      <c r="C2383" s="1" t="n">
        <v>1439</v>
      </c>
      <c r="D2383" s="1" t="s">
        <v>30</v>
      </c>
      <c r="E2383" s="1" t="s">
        <v>32</v>
      </c>
      <c r="F2383" s="1" t="n">
        <v>6</v>
      </c>
      <c r="G2383" s="15" t="n">
        <v>380.92</v>
      </c>
      <c r="H2383" s="16" t="n">
        <v>0.3</v>
      </c>
      <c r="I2383" s="1" t="s">
        <v>31</v>
      </c>
      <c r="J2383" s="1" t="n">
        <v>9</v>
      </c>
      <c r="K2383" s="1" t="n">
        <v>4.2</v>
      </c>
      <c r="L2383" s="15" t="n">
        <v>1599.86</v>
      </c>
      <c r="M2383" s="15" t="n">
        <f aca="false">F2383*G2383</f>
        <v>2285.52</v>
      </c>
      <c r="N2383" s="15" t="n">
        <f aca="false">M2383-L2383</f>
        <v>685.66</v>
      </c>
      <c r="O2383" s="1" t="n">
        <f aca="false">YEAR(B2383)</f>
        <v>2028</v>
      </c>
      <c r="P2383" s="1" t="n">
        <f aca="false">MONTH(B2383)</f>
        <v>7</v>
      </c>
      <c r="Q2383" s="1" t="str">
        <f aca="false">TEXT(B2383,"mmm")</f>
        <v>Jul</v>
      </c>
      <c r="R2383" s="1" t="str">
        <f aca="false">"Q"&amp;ROUNDUP(MONTH(B2383)/3,0)</f>
        <v>Q3</v>
      </c>
    </row>
    <row r="2384" customFormat="false" ht="15" hidden="false" customHeight="true" outlineLevel="0" collapsed="false">
      <c r="A2384" s="1" t="n">
        <v>12383</v>
      </c>
      <c r="B2384" s="14" t="n">
        <v>46944</v>
      </c>
      <c r="C2384" s="1" t="n">
        <v>1603</v>
      </c>
      <c r="D2384" s="1" t="s">
        <v>34</v>
      </c>
      <c r="E2384" s="1" t="s">
        <v>32</v>
      </c>
      <c r="F2384" s="1" t="n">
        <v>4</v>
      </c>
      <c r="G2384" s="15" t="n">
        <v>244.4</v>
      </c>
      <c r="H2384" s="16" t="n">
        <v>0.03</v>
      </c>
      <c r="I2384" s="1" t="s">
        <v>33</v>
      </c>
      <c r="J2384" s="1" t="n">
        <v>3</v>
      </c>
      <c r="K2384" s="1" t="n">
        <v>2</v>
      </c>
      <c r="L2384" s="15" t="n">
        <v>948.27</v>
      </c>
      <c r="M2384" s="15" t="n">
        <f aca="false">F2384*G2384</f>
        <v>977.6</v>
      </c>
      <c r="N2384" s="15" t="n">
        <f aca="false">M2384-L2384</f>
        <v>29.33</v>
      </c>
      <c r="O2384" s="1" t="n">
        <f aca="false">YEAR(B2384)</f>
        <v>2028</v>
      </c>
      <c r="P2384" s="1" t="n">
        <f aca="false">MONTH(B2384)</f>
        <v>7</v>
      </c>
      <c r="Q2384" s="1" t="str">
        <f aca="false">TEXT(B2384,"mmm")</f>
        <v>Jul</v>
      </c>
      <c r="R2384" s="1" t="str">
        <f aca="false">"Q"&amp;ROUNDUP(MONTH(B2384)/3,0)</f>
        <v>Q3</v>
      </c>
    </row>
    <row r="2385" customFormat="false" ht="15" hidden="false" customHeight="true" outlineLevel="0" collapsed="false">
      <c r="A2385" s="1" t="n">
        <v>12384</v>
      </c>
      <c r="B2385" s="14" t="n">
        <v>46945</v>
      </c>
      <c r="C2385" s="1" t="n">
        <v>1988</v>
      </c>
      <c r="D2385" s="1" t="s">
        <v>30</v>
      </c>
      <c r="E2385" s="1" t="s">
        <v>28</v>
      </c>
      <c r="F2385" s="1" t="n">
        <v>4</v>
      </c>
      <c r="G2385" s="15" t="n">
        <v>593.89</v>
      </c>
      <c r="H2385" s="16" t="n">
        <v>0.3</v>
      </c>
      <c r="I2385" s="1" t="s">
        <v>33</v>
      </c>
      <c r="J2385" s="1" t="n">
        <v>7</v>
      </c>
      <c r="K2385" s="1" t="n">
        <v>1.4</v>
      </c>
      <c r="L2385" s="15" t="n">
        <v>1662.89</v>
      </c>
      <c r="M2385" s="15" t="n">
        <f aca="false">F2385*G2385</f>
        <v>2375.56</v>
      </c>
      <c r="N2385" s="15" t="n">
        <f aca="false">M2385-L2385</f>
        <v>712.67</v>
      </c>
      <c r="O2385" s="1" t="n">
        <f aca="false">YEAR(B2385)</f>
        <v>2028</v>
      </c>
      <c r="P2385" s="1" t="n">
        <f aca="false">MONTH(B2385)</f>
        <v>7</v>
      </c>
      <c r="Q2385" s="1" t="str">
        <f aca="false">TEXT(B2385,"mmm")</f>
        <v>Jul</v>
      </c>
      <c r="R2385" s="1" t="str">
        <f aca="false">"Q"&amp;ROUNDUP(MONTH(B2385)/3,0)</f>
        <v>Q3</v>
      </c>
    </row>
    <row r="2386" customFormat="false" ht="15" hidden="false" customHeight="true" outlineLevel="0" collapsed="false">
      <c r="A2386" s="1" t="n">
        <v>12385</v>
      </c>
      <c r="B2386" s="14" t="n">
        <v>46946</v>
      </c>
      <c r="C2386" s="1" t="n">
        <v>1020</v>
      </c>
      <c r="D2386" s="1" t="s">
        <v>37</v>
      </c>
      <c r="E2386" s="1" t="s">
        <v>36</v>
      </c>
      <c r="F2386" s="1" t="n">
        <v>4</v>
      </c>
      <c r="G2386" s="15" t="n">
        <v>295.12</v>
      </c>
      <c r="H2386" s="16" t="n">
        <v>0.1</v>
      </c>
      <c r="I2386" s="1" t="s">
        <v>33</v>
      </c>
      <c r="J2386" s="1" t="n">
        <v>6</v>
      </c>
      <c r="K2386" s="1" t="n">
        <v>1.9</v>
      </c>
      <c r="L2386" s="15" t="n">
        <v>1062.43</v>
      </c>
      <c r="M2386" s="15" t="n">
        <f aca="false">F2386*G2386</f>
        <v>1180.48</v>
      </c>
      <c r="N2386" s="15" t="n">
        <f aca="false">M2386-L2386</f>
        <v>118.05</v>
      </c>
      <c r="O2386" s="1" t="n">
        <f aca="false">YEAR(B2386)</f>
        <v>2028</v>
      </c>
      <c r="P2386" s="1" t="n">
        <f aca="false">MONTH(B2386)</f>
        <v>7</v>
      </c>
      <c r="Q2386" s="1" t="str">
        <f aca="false">TEXT(B2386,"mmm")</f>
        <v>Jul</v>
      </c>
      <c r="R2386" s="1" t="str">
        <f aca="false">"Q"&amp;ROUNDUP(MONTH(B2386)/3,0)</f>
        <v>Q3</v>
      </c>
    </row>
    <row r="2387" customFormat="false" ht="15" hidden="false" customHeight="true" outlineLevel="0" collapsed="false">
      <c r="A2387" s="1" t="n">
        <v>12386</v>
      </c>
      <c r="B2387" s="14" t="n">
        <v>46947</v>
      </c>
      <c r="C2387" s="1" t="n">
        <v>1302</v>
      </c>
      <c r="D2387" s="1" t="s">
        <v>30</v>
      </c>
      <c r="E2387" s="1" t="s">
        <v>28</v>
      </c>
      <c r="F2387" s="1" t="n">
        <v>1</v>
      </c>
      <c r="G2387" s="15" t="n">
        <v>148.57</v>
      </c>
      <c r="H2387" s="16" t="n">
        <v>0.23</v>
      </c>
      <c r="I2387" s="1" t="s">
        <v>29</v>
      </c>
      <c r="J2387" s="1" t="n">
        <v>2</v>
      </c>
      <c r="K2387" s="1" t="n">
        <v>4.6</v>
      </c>
      <c r="L2387" s="15" t="n">
        <v>114.4</v>
      </c>
      <c r="M2387" s="15" t="n">
        <f aca="false">F2387*G2387</f>
        <v>148.57</v>
      </c>
      <c r="N2387" s="15" t="n">
        <f aca="false">M2387-L2387</f>
        <v>34.17</v>
      </c>
      <c r="O2387" s="1" t="n">
        <f aca="false">YEAR(B2387)</f>
        <v>2028</v>
      </c>
      <c r="P2387" s="1" t="n">
        <f aca="false">MONTH(B2387)</f>
        <v>7</v>
      </c>
      <c r="Q2387" s="1" t="str">
        <f aca="false">TEXT(B2387,"mmm")</f>
        <v>Jul</v>
      </c>
      <c r="R2387" s="1" t="str">
        <f aca="false">"Q"&amp;ROUNDUP(MONTH(B2387)/3,0)</f>
        <v>Q3</v>
      </c>
    </row>
    <row r="2388" customFormat="false" ht="15" hidden="false" customHeight="true" outlineLevel="0" collapsed="false">
      <c r="A2388" s="1" t="n">
        <v>12387</v>
      </c>
      <c r="B2388" s="14" t="n">
        <v>46948</v>
      </c>
      <c r="C2388" s="1" t="n">
        <v>1975</v>
      </c>
      <c r="D2388" s="1" t="s">
        <v>37</v>
      </c>
      <c r="E2388" s="1" t="s">
        <v>35</v>
      </c>
      <c r="F2388" s="1" t="n">
        <v>7</v>
      </c>
      <c r="G2388" s="15" t="n">
        <v>238.39</v>
      </c>
      <c r="H2388" s="16" t="n">
        <v>0.01</v>
      </c>
      <c r="I2388" s="1" t="s">
        <v>31</v>
      </c>
      <c r="J2388" s="1" t="n">
        <v>5</v>
      </c>
      <c r="K2388" s="1" t="n">
        <v>2.1</v>
      </c>
      <c r="L2388" s="15" t="n">
        <v>1652.04</v>
      </c>
      <c r="M2388" s="15" t="n">
        <f aca="false">F2388*G2388</f>
        <v>1668.73</v>
      </c>
      <c r="N2388" s="15" t="n">
        <f aca="false">M2388-L2388</f>
        <v>16.6900000000001</v>
      </c>
      <c r="O2388" s="1" t="n">
        <f aca="false">YEAR(B2388)</f>
        <v>2028</v>
      </c>
      <c r="P2388" s="1" t="n">
        <f aca="false">MONTH(B2388)</f>
        <v>7</v>
      </c>
      <c r="Q2388" s="1" t="str">
        <f aca="false">TEXT(B2388,"mmm")</f>
        <v>Jul</v>
      </c>
      <c r="R2388" s="1" t="str">
        <f aca="false">"Q"&amp;ROUNDUP(MONTH(B2388)/3,0)</f>
        <v>Q3</v>
      </c>
    </row>
    <row r="2389" customFormat="false" ht="15" hidden="false" customHeight="true" outlineLevel="0" collapsed="false">
      <c r="A2389" s="1" t="n">
        <v>12388</v>
      </c>
      <c r="B2389" s="14" t="n">
        <v>46949</v>
      </c>
      <c r="C2389" s="1" t="n">
        <v>1868</v>
      </c>
      <c r="D2389" s="1" t="s">
        <v>30</v>
      </c>
      <c r="E2389" s="1" t="s">
        <v>32</v>
      </c>
      <c r="F2389" s="1" t="n">
        <v>5</v>
      </c>
      <c r="G2389" s="15" t="n">
        <v>397.5</v>
      </c>
      <c r="H2389" s="16" t="n">
        <v>0.21</v>
      </c>
      <c r="I2389" s="1" t="s">
        <v>33</v>
      </c>
      <c r="J2389" s="1" t="n">
        <v>3</v>
      </c>
      <c r="K2389" s="1" t="n">
        <v>3.8</v>
      </c>
      <c r="L2389" s="15" t="n">
        <v>1570.12</v>
      </c>
      <c r="M2389" s="15" t="n">
        <f aca="false">F2389*G2389</f>
        <v>1987.5</v>
      </c>
      <c r="N2389" s="15" t="n">
        <f aca="false">M2389-L2389</f>
        <v>417.38</v>
      </c>
      <c r="O2389" s="1" t="n">
        <f aca="false">YEAR(B2389)</f>
        <v>2028</v>
      </c>
      <c r="P2389" s="1" t="n">
        <f aca="false">MONTH(B2389)</f>
        <v>7</v>
      </c>
      <c r="Q2389" s="1" t="str">
        <f aca="false">TEXT(B2389,"mmm")</f>
        <v>Jul</v>
      </c>
      <c r="R2389" s="1" t="str">
        <f aca="false">"Q"&amp;ROUNDUP(MONTH(B2389)/3,0)</f>
        <v>Q3</v>
      </c>
    </row>
    <row r="2390" customFormat="false" ht="15" hidden="false" customHeight="true" outlineLevel="0" collapsed="false">
      <c r="A2390" s="1" t="n">
        <v>12389</v>
      </c>
      <c r="B2390" s="14" t="n">
        <v>46950</v>
      </c>
      <c r="C2390" s="1" t="n">
        <v>1954</v>
      </c>
      <c r="D2390" s="1" t="s">
        <v>30</v>
      </c>
      <c r="E2390" s="1" t="s">
        <v>36</v>
      </c>
      <c r="F2390" s="1" t="n">
        <v>2</v>
      </c>
      <c r="G2390" s="15" t="n">
        <v>59.51</v>
      </c>
      <c r="H2390" s="16" t="n">
        <v>0.25</v>
      </c>
      <c r="I2390" s="1" t="s">
        <v>31</v>
      </c>
      <c r="J2390" s="1" t="n">
        <v>11</v>
      </c>
      <c r="K2390" s="1" t="n">
        <v>2.6</v>
      </c>
      <c r="L2390" s="15" t="n">
        <v>89.26</v>
      </c>
      <c r="M2390" s="15" t="n">
        <f aca="false">F2390*G2390</f>
        <v>119.02</v>
      </c>
      <c r="N2390" s="15" t="n">
        <f aca="false">M2390-L2390</f>
        <v>29.76</v>
      </c>
      <c r="O2390" s="1" t="n">
        <f aca="false">YEAR(B2390)</f>
        <v>2028</v>
      </c>
      <c r="P2390" s="1" t="n">
        <f aca="false">MONTH(B2390)</f>
        <v>7</v>
      </c>
      <c r="Q2390" s="1" t="str">
        <f aca="false">TEXT(B2390,"mmm")</f>
        <v>Jul</v>
      </c>
      <c r="R2390" s="1" t="str">
        <f aca="false">"Q"&amp;ROUNDUP(MONTH(B2390)/3,0)</f>
        <v>Q3</v>
      </c>
    </row>
    <row r="2391" customFormat="false" ht="15" hidden="false" customHeight="true" outlineLevel="0" collapsed="false">
      <c r="A2391" s="1" t="n">
        <v>12390</v>
      </c>
      <c r="B2391" s="14" t="n">
        <v>46951</v>
      </c>
      <c r="C2391" s="1" t="n">
        <v>1083</v>
      </c>
      <c r="D2391" s="1" t="s">
        <v>34</v>
      </c>
      <c r="E2391" s="1" t="s">
        <v>35</v>
      </c>
      <c r="F2391" s="1" t="n">
        <v>1</v>
      </c>
      <c r="G2391" s="15" t="n">
        <v>368.11</v>
      </c>
      <c r="H2391" s="16" t="n">
        <v>0.13</v>
      </c>
      <c r="I2391" s="1" t="s">
        <v>33</v>
      </c>
      <c r="J2391" s="1" t="n">
        <v>5</v>
      </c>
      <c r="K2391" s="1" t="n">
        <v>2</v>
      </c>
      <c r="L2391" s="15" t="n">
        <v>320.26</v>
      </c>
      <c r="M2391" s="15" t="n">
        <f aca="false">F2391*G2391</f>
        <v>368.11</v>
      </c>
      <c r="N2391" s="15" t="n">
        <f aca="false">M2391-L2391</f>
        <v>47.85</v>
      </c>
      <c r="O2391" s="1" t="n">
        <f aca="false">YEAR(B2391)</f>
        <v>2028</v>
      </c>
      <c r="P2391" s="1" t="n">
        <f aca="false">MONTH(B2391)</f>
        <v>7</v>
      </c>
      <c r="Q2391" s="1" t="str">
        <f aca="false">TEXT(B2391,"mmm")</f>
        <v>Jul</v>
      </c>
      <c r="R2391" s="1" t="str">
        <f aca="false">"Q"&amp;ROUNDUP(MONTH(B2391)/3,0)</f>
        <v>Q3</v>
      </c>
    </row>
    <row r="2392" customFormat="false" ht="15" hidden="false" customHeight="true" outlineLevel="0" collapsed="false">
      <c r="A2392" s="1" t="n">
        <v>12391</v>
      </c>
      <c r="B2392" s="14" t="n">
        <v>46952</v>
      </c>
      <c r="C2392" s="1" t="n">
        <v>1773</v>
      </c>
      <c r="D2392" s="1" t="s">
        <v>37</v>
      </c>
      <c r="E2392" s="1" t="s">
        <v>28</v>
      </c>
      <c r="F2392" s="1" t="n">
        <v>1</v>
      </c>
      <c r="G2392" s="15" t="n">
        <v>559.77</v>
      </c>
      <c r="H2392" s="16" t="n">
        <v>0.08</v>
      </c>
      <c r="I2392" s="1" t="s">
        <v>29</v>
      </c>
      <c r="J2392" s="1" t="n">
        <v>11</v>
      </c>
      <c r="K2392" s="1" t="n">
        <v>1.6</v>
      </c>
      <c r="L2392" s="15" t="n">
        <v>514.99</v>
      </c>
      <c r="M2392" s="15" t="n">
        <f aca="false">F2392*G2392</f>
        <v>559.77</v>
      </c>
      <c r="N2392" s="15" t="n">
        <f aca="false">M2392-L2392</f>
        <v>44.78</v>
      </c>
      <c r="O2392" s="1" t="n">
        <f aca="false">YEAR(B2392)</f>
        <v>2028</v>
      </c>
      <c r="P2392" s="1" t="n">
        <f aca="false">MONTH(B2392)</f>
        <v>7</v>
      </c>
      <c r="Q2392" s="1" t="str">
        <f aca="false">TEXT(B2392,"mmm")</f>
        <v>Jul</v>
      </c>
      <c r="R2392" s="1" t="str">
        <f aca="false">"Q"&amp;ROUNDUP(MONTH(B2392)/3,0)</f>
        <v>Q3</v>
      </c>
    </row>
    <row r="2393" customFormat="false" ht="15" hidden="false" customHeight="true" outlineLevel="0" collapsed="false">
      <c r="A2393" s="1" t="n">
        <v>12392</v>
      </c>
      <c r="B2393" s="14" t="n">
        <v>46953</v>
      </c>
      <c r="C2393" s="1" t="n">
        <v>1658</v>
      </c>
      <c r="D2393" s="1" t="s">
        <v>30</v>
      </c>
      <c r="E2393" s="1" t="s">
        <v>32</v>
      </c>
      <c r="F2393" s="1" t="n">
        <v>1</v>
      </c>
      <c r="G2393" s="15" t="n">
        <v>512.46</v>
      </c>
      <c r="H2393" s="16" t="n">
        <v>0.19</v>
      </c>
      <c r="I2393" s="1" t="s">
        <v>33</v>
      </c>
      <c r="J2393" s="1" t="n">
        <v>9</v>
      </c>
      <c r="K2393" s="1" t="n">
        <v>4.9</v>
      </c>
      <c r="L2393" s="15" t="n">
        <v>415.09</v>
      </c>
      <c r="M2393" s="15" t="n">
        <f aca="false">F2393*G2393</f>
        <v>512.46</v>
      </c>
      <c r="N2393" s="15" t="n">
        <f aca="false">M2393-L2393</f>
        <v>97.3700000000001</v>
      </c>
      <c r="O2393" s="1" t="n">
        <f aca="false">YEAR(B2393)</f>
        <v>2028</v>
      </c>
      <c r="P2393" s="1" t="n">
        <f aca="false">MONTH(B2393)</f>
        <v>7</v>
      </c>
      <c r="Q2393" s="1" t="str">
        <f aca="false">TEXT(B2393,"mmm")</f>
        <v>Jul</v>
      </c>
      <c r="R2393" s="1" t="str">
        <f aca="false">"Q"&amp;ROUNDUP(MONTH(B2393)/3,0)</f>
        <v>Q3</v>
      </c>
    </row>
    <row r="2394" customFormat="false" ht="15" hidden="false" customHeight="true" outlineLevel="0" collapsed="false">
      <c r="A2394" s="1" t="n">
        <v>12393</v>
      </c>
      <c r="B2394" s="14" t="n">
        <v>46954</v>
      </c>
      <c r="C2394" s="1" t="n">
        <v>1952</v>
      </c>
      <c r="D2394" s="1" t="s">
        <v>34</v>
      </c>
      <c r="E2394" s="1" t="s">
        <v>28</v>
      </c>
      <c r="F2394" s="1" t="n">
        <v>6</v>
      </c>
      <c r="G2394" s="15" t="n">
        <v>54.59</v>
      </c>
      <c r="H2394" s="16" t="n">
        <v>0.29</v>
      </c>
      <c r="I2394" s="1" t="s">
        <v>33</v>
      </c>
      <c r="J2394" s="1" t="n">
        <v>8</v>
      </c>
      <c r="K2394" s="1" t="n">
        <v>3.1</v>
      </c>
      <c r="L2394" s="15" t="n">
        <v>232.55</v>
      </c>
      <c r="M2394" s="15" t="n">
        <f aca="false">F2394*G2394</f>
        <v>327.54</v>
      </c>
      <c r="N2394" s="15" t="n">
        <f aca="false">M2394-L2394</f>
        <v>94.99</v>
      </c>
      <c r="O2394" s="1" t="n">
        <f aca="false">YEAR(B2394)</f>
        <v>2028</v>
      </c>
      <c r="P2394" s="1" t="n">
        <f aca="false">MONTH(B2394)</f>
        <v>7</v>
      </c>
      <c r="Q2394" s="1" t="str">
        <f aca="false">TEXT(B2394,"mmm")</f>
        <v>Jul</v>
      </c>
      <c r="R2394" s="1" t="str">
        <f aca="false">"Q"&amp;ROUNDUP(MONTH(B2394)/3,0)</f>
        <v>Q3</v>
      </c>
    </row>
    <row r="2395" customFormat="false" ht="15" hidden="false" customHeight="true" outlineLevel="0" collapsed="false">
      <c r="A2395" s="1" t="n">
        <v>12394</v>
      </c>
      <c r="B2395" s="14" t="n">
        <v>46955</v>
      </c>
      <c r="C2395" s="1" t="n">
        <v>1452</v>
      </c>
      <c r="D2395" s="1" t="s">
        <v>34</v>
      </c>
      <c r="E2395" s="1" t="s">
        <v>36</v>
      </c>
      <c r="F2395" s="1" t="n">
        <v>7</v>
      </c>
      <c r="G2395" s="15" t="n">
        <v>596.13</v>
      </c>
      <c r="H2395" s="16" t="n">
        <v>0.11</v>
      </c>
      <c r="I2395" s="1" t="s">
        <v>29</v>
      </c>
      <c r="J2395" s="1" t="n">
        <v>9</v>
      </c>
      <c r="K2395" s="1" t="n">
        <v>1.5</v>
      </c>
      <c r="L2395" s="15" t="n">
        <v>3713.89</v>
      </c>
      <c r="M2395" s="15" t="n">
        <f aca="false">F2395*G2395</f>
        <v>4172.91</v>
      </c>
      <c r="N2395" s="15" t="n">
        <f aca="false">M2395-L2395</f>
        <v>459.02</v>
      </c>
      <c r="O2395" s="1" t="n">
        <f aca="false">YEAR(B2395)</f>
        <v>2028</v>
      </c>
      <c r="P2395" s="1" t="n">
        <f aca="false">MONTH(B2395)</f>
        <v>7</v>
      </c>
      <c r="Q2395" s="1" t="str">
        <f aca="false">TEXT(B2395,"mmm")</f>
        <v>Jul</v>
      </c>
      <c r="R2395" s="1" t="str">
        <f aca="false">"Q"&amp;ROUNDUP(MONTH(B2395)/3,0)</f>
        <v>Q3</v>
      </c>
    </row>
    <row r="2396" customFormat="false" ht="15" hidden="false" customHeight="true" outlineLevel="0" collapsed="false">
      <c r="A2396" s="1" t="n">
        <v>12395</v>
      </c>
      <c r="B2396" s="14" t="n">
        <v>46956</v>
      </c>
      <c r="C2396" s="1" t="n">
        <v>1386</v>
      </c>
      <c r="D2396" s="1" t="s">
        <v>37</v>
      </c>
      <c r="E2396" s="1" t="s">
        <v>36</v>
      </c>
      <c r="F2396" s="1" t="n">
        <v>7</v>
      </c>
      <c r="G2396" s="15" t="n">
        <v>423.76</v>
      </c>
      <c r="H2396" s="16" t="n">
        <v>0.09</v>
      </c>
      <c r="I2396" s="1" t="s">
        <v>31</v>
      </c>
      <c r="J2396" s="1" t="n">
        <v>9</v>
      </c>
      <c r="K2396" s="1" t="n">
        <v>1.8</v>
      </c>
      <c r="L2396" s="15" t="n">
        <v>2699.35</v>
      </c>
      <c r="M2396" s="15" t="n">
        <f aca="false">F2396*G2396</f>
        <v>2966.32</v>
      </c>
      <c r="N2396" s="15" t="n">
        <f aca="false">M2396-L2396</f>
        <v>266.97</v>
      </c>
      <c r="O2396" s="1" t="n">
        <f aca="false">YEAR(B2396)</f>
        <v>2028</v>
      </c>
      <c r="P2396" s="1" t="n">
        <f aca="false">MONTH(B2396)</f>
        <v>7</v>
      </c>
      <c r="Q2396" s="1" t="str">
        <f aca="false">TEXT(B2396,"mmm")</f>
        <v>Jul</v>
      </c>
      <c r="R2396" s="1" t="str">
        <f aca="false">"Q"&amp;ROUNDUP(MONTH(B2396)/3,0)</f>
        <v>Q3</v>
      </c>
    </row>
    <row r="2397" customFormat="false" ht="15" hidden="false" customHeight="true" outlineLevel="0" collapsed="false">
      <c r="A2397" s="1" t="n">
        <v>12396</v>
      </c>
      <c r="B2397" s="14" t="n">
        <v>46957</v>
      </c>
      <c r="C2397" s="1" t="n">
        <v>1506</v>
      </c>
      <c r="D2397" s="1" t="s">
        <v>30</v>
      </c>
      <c r="E2397" s="1" t="s">
        <v>36</v>
      </c>
      <c r="F2397" s="1" t="n">
        <v>2</v>
      </c>
      <c r="G2397" s="15" t="n">
        <v>109.93</v>
      </c>
      <c r="H2397" s="16" t="n">
        <v>0.1</v>
      </c>
      <c r="I2397" s="1" t="s">
        <v>33</v>
      </c>
      <c r="J2397" s="1" t="n">
        <v>11</v>
      </c>
      <c r="K2397" s="1" t="n">
        <v>2.6</v>
      </c>
      <c r="L2397" s="15" t="n">
        <v>197.87</v>
      </c>
      <c r="M2397" s="15" t="n">
        <f aca="false">F2397*G2397</f>
        <v>219.86</v>
      </c>
      <c r="N2397" s="15" t="n">
        <f aca="false">M2397-L2397</f>
        <v>21.99</v>
      </c>
      <c r="O2397" s="1" t="n">
        <f aca="false">YEAR(B2397)</f>
        <v>2028</v>
      </c>
      <c r="P2397" s="1" t="n">
        <f aca="false">MONTH(B2397)</f>
        <v>7</v>
      </c>
      <c r="Q2397" s="1" t="str">
        <f aca="false">TEXT(B2397,"mmm")</f>
        <v>Jul</v>
      </c>
      <c r="R2397" s="1" t="str">
        <f aca="false">"Q"&amp;ROUNDUP(MONTH(B2397)/3,0)</f>
        <v>Q3</v>
      </c>
    </row>
    <row r="2398" customFormat="false" ht="15" hidden="false" customHeight="true" outlineLevel="0" collapsed="false">
      <c r="A2398" s="1" t="n">
        <v>12397</v>
      </c>
      <c r="B2398" s="14" t="n">
        <v>46958</v>
      </c>
      <c r="C2398" s="1" t="n">
        <v>1256</v>
      </c>
      <c r="D2398" s="1" t="s">
        <v>34</v>
      </c>
      <c r="E2398" s="1" t="s">
        <v>36</v>
      </c>
      <c r="F2398" s="1" t="n">
        <v>4</v>
      </c>
      <c r="G2398" s="15" t="n">
        <v>22.26</v>
      </c>
      <c r="H2398" s="16" t="n">
        <v>0.33</v>
      </c>
      <c r="I2398" s="1" t="s">
        <v>29</v>
      </c>
      <c r="J2398" s="1" t="n">
        <v>8</v>
      </c>
      <c r="K2398" s="1" t="n">
        <v>3.2</v>
      </c>
      <c r="L2398" s="15" t="n">
        <v>59.66</v>
      </c>
      <c r="M2398" s="15" t="n">
        <f aca="false">F2398*G2398</f>
        <v>89.04</v>
      </c>
      <c r="N2398" s="15" t="n">
        <f aca="false">M2398-L2398</f>
        <v>29.38</v>
      </c>
      <c r="O2398" s="1" t="n">
        <f aca="false">YEAR(B2398)</f>
        <v>2028</v>
      </c>
      <c r="P2398" s="1" t="n">
        <f aca="false">MONTH(B2398)</f>
        <v>7</v>
      </c>
      <c r="Q2398" s="1" t="str">
        <f aca="false">TEXT(B2398,"mmm")</f>
        <v>Jul</v>
      </c>
      <c r="R2398" s="1" t="str">
        <f aca="false">"Q"&amp;ROUNDUP(MONTH(B2398)/3,0)</f>
        <v>Q3</v>
      </c>
    </row>
    <row r="2399" customFormat="false" ht="15" hidden="false" customHeight="true" outlineLevel="0" collapsed="false">
      <c r="A2399" s="1" t="n">
        <v>12398</v>
      </c>
      <c r="B2399" s="14" t="n">
        <v>46959</v>
      </c>
      <c r="C2399" s="1" t="n">
        <v>1569</v>
      </c>
      <c r="D2399" s="1" t="s">
        <v>27</v>
      </c>
      <c r="E2399" s="1" t="s">
        <v>36</v>
      </c>
      <c r="F2399" s="1" t="n">
        <v>6</v>
      </c>
      <c r="G2399" s="15" t="n">
        <v>115.2</v>
      </c>
      <c r="H2399" s="16" t="n">
        <v>0.13</v>
      </c>
      <c r="I2399" s="1" t="s">
        <v>33</v>
      </c>
      <c r="J2399" s="1" t="n">
        <v>8</v>
      </c>
      <c r="K2399" s="1" t="n">
        <v>1.7</v>
      </c>
      <c r="L2399" s="15" t="n">
        <v>601.34</v>
      </c>
      <c r="M2399" s="15" t="n">
        <f aca="false">F2399*G2399</f>
        <v>691.2</v>
      </c>
      <c r="N2399" s="15" t="n">
        <f aca="false">M2399-L2399</f>
        <v>89.86</v>
      </c>
      <c r="O2399" s="1" t="n">
        <f aca="false">YEAR(B2399)</f>
        <v>2028</v>
      </c>
      <c r="P2399" s="1" t="n">
        <f aca="false">MONTH(B2399)</f>
        <v>7</v>
      </c>
      <c r="Q2399" s="1" t="str">
        <f aca="false">TEXT(B2399,"mmm")</f>
        <v>Jul</v>
      </c>
      <c r="R2399" s="1" t="str">
        <f aca="false">"Q"&amp;ROUNDUP(MONTH(B2399)/3,0)</f>
        <v>Q3</v>
      </c>
    </row>
    <row r="2400" customFormat="false" ht="15" hidden="false" customHeight="true" outlineLevel="0" collapsed="false">
      <c r="A2400" s="1" t="n">
        <v>12399</v>
      </c>
      <c r="B2400" s="14" t="n">
        <v>46960</v>
      </c>
      <c r="C2400" s="1" t="n">
        <v>1891</v>
      </c>
      <c r="D2400" s="1" t="s">
        <v>37</v>
      </c>
      <c r="E2400" s="1" t="s">
        <v>28</v>
      </c>
      <c r="F2400" s="1" t="n">
        <v>5</v>
      </c>
      <c r="G2400" s="15" t="n">
        <v>505.33</v>
      </c>
      <c r="H2400" s="16" t="n">
        <v>0</v>
      </c>
      <c r="I2400" s="1" t="s">
        <v>31</v>
      </c>
      <c r="J2400" s="1" t="n">
        <v>11</v>
      </c>
      <c r="K2400" s="1" t="n">
        <v>2.1</v>
      </c>
      <c r="L2400" s="15" t="n">
        <v>2526.65</v>
      </c>
      <c r="M2400" s="15" t="n">
        <f aca="false">F2400*G2400</f>
        <v>2526.65</v>
      </c>
      <c r="N2400" s="15" t="n">
        <f aca="false">M2400-L2400</f>
        <v>0</v>
      </c>
      <c r="O2400" s="1" t="n">
        <f aca="false">YEAR(B2400)</f>
        <v>2028</v>
      </c>
      <c r="P2400" s="1" t="n">
        <f aca="false">MONTH(B2400)</f>
        <v>7</v>
      </c>
      <c r="Q2400" s="1" t="str">
        <f aca="false">TEXT(B2400,"mmm")</f>
        <v>Jul</v>
      </c>
      <c r="R2400" s="1" t="str">
        <f aca="false">"Q"&amp;ROUNDUP(MONTH(B2400)/3,0)</f>
        <v>Q3</v>
      </c>
    </row>
    <row r="2401" customFormat="false" ht="15" hidden="false" customHeight="true" outlineLevel="0" collapsed="false">
      <c r="A2401" s="1" t="n">
        <v>12400</v>
      </c>
      <c r="B2401" s="14" t="n">
        <v>46961</v>
      </c>
      <c r="C2401" s="1" t="n">
        <v>1933</v>
      </c>
      <c r="D2401" s="1" t="s">
        <v>27</v>
      </c>
      <c r="E2401" s="1" t="s">
        <v>36</v>
      </c>
      <c r="F2401" s="1" t="n">
        <v>3</v>
      </c>
      <c r="G2401" s="15" t="n">
        <v>27.66</v>
      </c>
      <c r="H2401" s="16" t="n">
        <v>0.27</v>
      </c>
      <c r="I2401" s="1" t="s">
        <v>31</v>
      </c>
      <c r="J2401" s="1" t="n">
        <v>11</v>
      </c>
      <c r="K2401" s="1" t="n">
        <v>4.1</v>
      </c>
      <c r="L2401" s="15" t="n">
        <v>60.58</v>
      </c>
      <c r="M2401" s="15" t="n">
        <f aca="false">F2401*G2401</f>
        <v>82.98</v>
      </c>
      <c r="N2401" s="15" t="n">
        <f aca="false">M2401-L2401</f>
        <v>22.4</v>
      </c>
      <c r="O2401" s="1" t="n">
        <f aca="false">YEAR(B2401)</f>
        <v>2028</v>
      </c>
      <c r="P2401" s="1" t="n">
        <f aca="false">MONTH(B2401)</f>
        <v>7</v>
      </c>
      <c r="Q2401" s="1" t="str">
        <f aca="false">TEXT(B2401,"mmm")</f>
        <v>Jul</v>
      </c>
      <c r="R2401" s="1" t="str">
        <f aca="false">"Q"&amp;ROUNDUP(MONTH(B2401)/3,0)</f>
        <v>Q3</v>
      </c>
    </row>
    <row r="2402" customFormat="false" ht="15" hidden="false" customHeight="true" outlineLevel="0" collapsed="false">
      <c r="A2402" s="1" t="n">
        <v>12401</v>
      </c>
      <c r="B2402" s="14" t="n">
        <v>46962</v>
      </c>
      <c r="C2402" s="1" t="n">
        <v>1526</v>
      </c>
      <c r="D2402" s="1" t="s">
        <v>30</v>
      </c>
      <c r="E2402" s="1" t="s">
        <v>36</v>
      </c>
      <c r="F2402" s="1" t="n">
        <v>6</v>
      </c>
      <c r="G2402" s="15" t="n">
        <v>151.39</v>
      </c>
      <c r="H2402" s="16" t="n">
        <v>0.24</v>
      </c>
      <c r="I2402" s="1" t="s">
        <v>31</v>
      </c>
      <c r="J2402" s="1" t="n">
        <v>6</v>
      </c>
      <c r="K2402" s="1" t="n">
        <v>2.7</v>
      </c>
      <c r="L2402" s="15" t="n">
        <v>690.34</v>
      </c>
      <c r="M2402" s="15" t="n">
        <f aca="false">F2402*G2402</f>
        <v>908.34</v>
      </c>
      <c r="N2402" s="15" t="n">
        <f aca="false">M2402-L2402</f>
        <v>218</v>
      </c>
      <c r="O2402" s="1" t="n">
        <f aca="false">YEAR(B2402)</f>
        <v>2028</v>
      </c>
      <c r="P2402" s="1" t="n">
        <f aca="false">MONTH(B2402)</f>
        <v>7</v>
      </c>
      <c r="Q2402" s="1" t="str">
        <f aca="false">TEXT(B2402,"mmm")</f>
        <v>Jul</v>
      </c>
      <c r="R2402" s="1" t="str">
        <f aca="false">"Q"&amp;ROUNDUP(MONTH(B2402)/3,0)</f>
        <v>Q3</v>
      </c>
    </row>
    <row r="2403" customFormat="false" ht="15" hidden="false" customHeight="true" outlineLevel="0" collapsed="false">
      <c r="A2403" s="1" t="n">
        <v>12402</v>
      </c>
      <c r="B2403" s="14" t="n">
        <v>46963</v>
      </c>
      <c r="C2403" s="1" t="n">
        <v>1161</v>
      </c>
      <c r="D2403" s="1" t="s">
        <v>30</v>
      </c>
      <c r="E2403" s="1" t="s">
        <v>32</v>
      </c>
      <c r="F2403" s="1" t="n">
        <v>3</v>
      </c>
      <c r="G2403" s="15" t="n">
        <v>458.02</v>
      </c>
      <c r="H2403" s="16" t="n">
        <v>0.04</v>
      </c>
      <c r="I2403" s="1" t="s">
        <v>31</v>
      </c>
      <c r="J2403" s="1" t="n">
        <v>6</v>
      </c>
      <c r="K2403" s="1" t="n">
        <v>1</v>
      </c>
      <c r="L2403" s="15" t="n">
        <v>1319.1</v>
      </c>
      <c r="M2403" s="15" t="n">
        <f aca="false">F2403*G2403</f>
        <v>1374.06</v>
      </c>
      <c r="N2403" s="15" t="n">
        <f aca="false">M2403-L2403</f>
        <v>54.96</v>
      </c>
      <c r="O2403" s="1" t="n">
        <f aca="false">YEAR(B2403)</f>
        <v>2028</v>
      </c>
      <c r="P2403" s="1" t="n">
        <f aca="false">MONTH(B2403)</f>
        <v>7</v>
      </c>
      <c r="Q2403" s="1" t="str">
        <f aca="false">TEXT(B2403,"mmm")</f>
        <v>Jul</v>
      </c>
      <c r="R2403" s="1" t="str">
        <f aca="false">"Q"&amp;ROUNDUP(MONTH(B2403)/3,0)</f>
        <v>Q3</v>
      </c>
    </row>
    <row r="2404" customFormat="false" ht="15" hidden="false" customHeight="true" outlineLevel="0" collapsed="false">
      <c r="A2404" s="1" t="n">
        <v>12403</v>
      </c>
      <c r="B2404" s="14" t="n">
        <v>46964</v>
      </c>
      <c r="C2404" s="1" t="n">
        <v>1956</v>
      </c>
      <c r="D2404" s="1" t="s">
        <v>27</v>
      </c>
      <c r="E2404" s="1" t="s">
        <v>36</v>
      </c>
      <c r="F2404" s="1" t="n">
        <v>5</v>
      </c>
      <c r="G2404" s="15" t="n">
        <v>357.87</v>
      </c>
      <c r="H2404" s="16" t="n">
        <v>0.34</v>
      </c>
      <c r="I2404" s="1" t="s">
        <v>33</v>
      </c>
      <c r="J2404" s="1" t="n">
        <v>6</v>
      </c>
      <c r="K2404" s="1" t="n">
        <v>1.2</v>
      </c>
      <c r="L2404" s="15" t="n">
        <v>1180.97</v>
      </c>
      <c r="M2404" s="15" t="n">
        <f aca="false">F2404*G2404</f>
        <v>1789.35</v>
      </c>
      <c r="N2404" s="15" t="n">
        <f aca="false">M2404-L2404</f>
        <v>608.38</v>
      </c>
      <c r="O2404" s="1" t="n">
        <f aca="false">YEAR(B2404)</f>
        <v>2028</v>
      </c>
      <c r="P2404" s="1" t="n">
        <f aca="false">MONTH(B2404)</f>
        <v>7</v>
      </c>
      <c r="Q2404" s="1" t="str">
        <f aca="false">TEXT(B2404,"mmm")</f>
        <v>Jul</v>
      </c>
      <c r="R2404" s="1" t="str">
        <f aca="false">"Q"&amp;ROUNDUP(MONTH(B2404)/3,0)</f>
        <v>Q3</v>
      </c>
    </row>
    <row r="2405" customFormat="false" ht="15" hidden="false" customHeight="true" outlineLevel="0" collapsed="false">
      <c r="A2405" s="1" t="n">
        <v>12404</v>
      </c>
      <c r="B2405" s="14" t="n">
        <v>46965</v>
      </c>
      <c r="C2405" s="1" t="n">
        <v>1162</v>
      </c>
      <c r="D2405" s="1" t="s">
        <v>30</v>
      </c>
      <c r="E2405" s="1" t="s">
        <v>32</v>
      </c>
      <c r="F2405" s="1" t="n">
        <v>2</v>
      </c>
      <c r="G2405" s="15" t="n">
        <v>472.9</v>
      </c>
      <c r="H2405" s="16" t="n">
        <v>0.21</v>
      </c>
      <c r="I2405" s="1" t="s">
        <v>31</v>
      </c>
      <c r="J2405" s="1" t="n">
        <v>10</v>
      </c>
      <c r="K2405" s="1" t="n">
        <v>2.8</v>
      </c>
      <c r="L2405" s="15" t="n">
        <v>747.18</v>
      </c>
      <c r="M2405" s="15" t="n">
        <f aca="false">F2405*G2405</f>
        <v>945.8</v>
      </c>
      <c r="N2405" s="15" t="n">
        <f aca="false">M2405-L2405</f>
        <v>198.62</v>
      </c>
      <c r="O2405" s="1" t="n">
        <f aca="false">YEAR(B2405)</f>
        <v>2028</v>
      </c>
      <c r="P2405" s="1" t="n">
        <f aca="false">MONTH(B2405)</f>
        <v>7</v>
      </c>
      <c r="Q2405" s="1" t="str">
        <f aca="false">TEXT(B2405,"mmm")</f>
        <v>Jul</v>
      </c>
      <c r="R2405" s="1" t="str">
        <f aca="false">"Q"&amp;ROUNDUP(MONTH(B2405)/3,0)</f>
        <v>Q3</v>
      </c>
    </row>
    <row r="2406" customFormat="false" ht="15" hidden="false" customHeight="true" outlineLevel="0" collapsed="false">
      <c r="A2406" s="1" t="n">
        <v>12405</v>
      </c>
      <c r="B2406" s="14" t="n">
        <v>46966</v>
      </c>
      <c r="C2406" s="1" t="n">
        <v>1831</v>
      </c>
      <c r="D2406" s="1" t="s">
        <v>37</v>
      </c>
      <c r="E2406" s="1" t="s">
        <v>32</v>
      </c>
      <c r="F2406" s="1" t="n">
        <v>7</v>
      </c>
      <c r="G2406" s="15" t="n">
        <v>451.5</v>
      </c>
      <c r="H2406" s="16" t="n">
        <v>0.18</v>
      </c>
      <c r="I2406" s="1" t="s">
        <v>31</v>
      </c>
      <c r="J2406" s="1" t="n">
        <v>6</v>
      </c>
      <c r="K2406" s="1" t="n">
        <v>1.2</v>
      </c>
      <c r="L2406" s="15" t="n">
        <v>2591.61</v>
      </c>
      <c r="M2406" s="15" t="n">
        <f aca="false">F2406*G2406</f>
        <v>3160.5</v>
      </c>
      <c r="N2406" s="15" t="n">
        <f aca="false">M2406-L2406</f>
        <v>568.89</v>
      </c>
      <c r="O2406" s="1" t="n">
        <f aca="false">YEAR(B2406)</f>
        <v>2028</v>
      </c>
      <c r="P2406" s="1" t="n">
        <f aca="false">MONTH(B2406)</f>
        <v>8</v>
      </c>
      <c r="Q2406" s="1" t="str">
        <f aca="false">TEXT(B2406,"mmm")</f>
        <v>Aug</v>
      </c>
      <c r="R2406" s="1" t="str">
        <f aca="false">"Q"&amp;ROUNDUP(MONTH(B2406)/3,0)</f>
        <v>Q3</v>
      </c>
    </row>
    <row r="2407" customFormat="false" ht="15" hidden="false" customHeight="true" outlineLevel="0" collapsed="false">
      <c r="A2407" s="1" t="n">
        <v>12406</v>
      </c>
      <c r="B2407" s="14" t="n">
        <v>46967</v>
      </c>
      <c r="C2407" s="1" t="n">
        <v>1792</v>
      </c>
      <c r="D2407" s="1" t="s">
        <v>34</v>
      </c>
      <c r="E2407" s="1" t="s">
        <v>32</v>
      </c>
      <c r="F2407" s="1" t="n">
        <v>3</v>
      </c>
      <c r="G2407" s="15" t="n">
        <v>44.6</v>
      </c>
      <c r="H2407" s="16" t="n">
        <v>0.13</v>
      </c>
      <c r="I2407" s="1" t="s">
        <v>31</v>
      </c>
      <c r="J2407" s="1" t="n">
        <v>11</v>
      </c>
      <c r="K2407" s="1" t="n">
        <v>1.7</v>
      </c>
      <c r="L2407" s="15" t="n">
        <v>116.41</v>
      </c>
      <c r="M2407" s="15" t="n">
        <f aca="false">F2407*G2407</f>
        <v>133.8</v>
      </c>
      <c r="N2407" s="15" t="n">
        <f aca="false">M2407-L2407</f>
        <v>17.39</v>
      </c>
      <c r="O2407" s="1" t="n">
        <f aca="false">YEAR(B2407)</f>
        <v>2028</v>
      </c>
      <c r="P2407" s="1" t="n">
        <f aca="false">MONTH(B2407)</f>
        <v>8</v>
      </c>
      <c r="Q2407" s="1" t="str">
        <f aca="false">TEXT(B2407,"mmm")</f>
        <v>Aug</v>
      </c>
      <c r="R2407" s="1" t="str">
        <f aca="false">"Q"&amp;ROUNDUP(MONTH(B2407)/3,0)</f>
        <v>Q3</v>
      </c>
    </row>
    <row r="2408" customFormat="false" ht="15" hidden="false" customHeight="true" outlineLevel="0" collapsed="false">
      <c r="A2408" s="1" t="n">
        <v>12407</v>
      </c>
      <c r="B2408" s="14" t="n">
        <v>46968</v>
      </c>
      <c r="C2408" s="1" t="n">
        <v>1791</v>
      </c>
      <c r="D2408" s="1" t="s">
        <v>30</v>
      </c>
      <c r="E2408" s="1" t="s">
        <v>28</v>
      </c>
      <c r="F2408" s="1" t="n">
        <v>1</v>
      </c>
      <c r="G2408" s="15" t="n">
        <v>537.12</v>
      </c>
      <c r="H2408" s="16" t="n">
        <v>0.31</v>
      </c>
      <c r="I2408" s="1" t="s">
        <v>33</v>
      </c>
      <c r="J2408" s="1" t="n">
        <v>9</v>
      </c>
      <c r="K2408" s="1" t="n">
        <v>3.9</v>
      </c>
      <c r="L2408" s="15" t="n">
        <v>370.61</v>
      </c>
      <c r="M2408" s="15" t="n">
        <f aca="false">F2408*G2408</f>
        <v>537.12</v>
      </c>
      <c r="N2408" s="15" t="n">
        <f aca="false">M2408-L2408</f>
        <v>166.51</v>
      </c>
      <c r="O2408" s="1" t="n">
        <f aca="false">YEAR(B2408)</f>
        <v>2028</v>
      </c>
      <c r="P2408" s="1" t="n">
        <f aca="false">MONTH(B2408)</f>
        <v>8</v>
      </c>
      <c r="Q2408" s="1" t="str">
        <f aca="false">TEXT(B2408,"mmm")</f>
        <v>Aug</v>
      </c>
      <c r="R2408" s="1" t="str">
        <f aca="false">"Q"&amp;ROUNDUP(MONTH(B2408)/3,0)</f>
        <v>Q3</v>
      </c>
    </row>
    <row r="2409" customFormat="false" ht="15" hidden="false" customHeight="true" outlineLevel="0" collapsed="false">
      <c r="A2409" s="1" t="n">
        <v>12408</v>
      </c>
      <c r="B2409" s="14" t="n">
        <v>46969</v>
      </c>
      <c r="C2409" s="1" t="n">
        <v>1523</v>
      </c>
      <c r="D2409" s="1" t="s">
        <v>34</v>
      </c>
      <c r="E2409" s="1" t="s">
        <v>28</v>
      </c>
      <c r="F2409" s="1" t="n">
        <v>6</v>
      </c>
      <c r="G2409" s="15" t="n">
        <v>147.81</v>
      </c>
      <c r="H2409" s="16" t="n">
        <v>0.09</v>
      </c>
      <c r="I2409" s="1" t="s">
        <v>33</v>
      </c>
      <c r="J2409" s="1" t="n">
        <v>10</v>
      </c>
      <c r="K2409" s="1" t="n">
        <v>2.9</v>
      </c>
      <c r="L2409" s="15" t="n">
        <v>807.04</v>
      </c>
      <c r="M2409" s="15" t="n">
        <f aca="false">F2409*G2409</f>
        <v>886.86</v>
      </c>
      <c r="N2409" s="15" t="n">
        <f aca="false">M2409-L2409</f>
        <v>79.8200000000001</v>
      </c>
      <c r="O2409" s="1" t="n">
        <f aca="false">YEAR(B2409)</f>
        <v>2028</v>
      </c>
      <c r="P2409" s="1" t="n">
        <f aca="false">MONTH(B2409)</f>
        <v>8</v>
      </c>
      <c r="Q2409" s="1" t="str">
        <f aca="false">TEXT(B2409,"mmm")</f>
        <v>Aug</v>
      </c>
      <c r="R2409" s="1" t="str">
        <f aca="false">"Q"&amp;ROUNDUP(MONTH(B2409)/3,0)</f>
        <v>Q3</v>
      </c>
    </row>
    <row r="2410" customFormat="false" ht="15" hidden="false" customHeight="true" outlineLevel="0" collapsed="false">
      <c r="A2410" s="1" t="n">
        <v>12409</v>
      </c>
      <c r="B2410" s="14" t="n">
        <v>46970</v>
      </c>
      <c r="C2410" s="1" t="n">
        <v>1785</v>
      </c>
      <c r="D2410" s="1" t="s">
        <v>34</v>
      </c>
      <c r="E2410" s="1" t="s">
        <v>35</v>
      </c>
      <c r="F2410" s="1" t="n">
        <v>3</v>
      </c>
      <c r="G2410" s="15" t="n">
        <v>338.73</v>
      </c>
      <c r="H2410" s="16" t="n">
        <v>0.1</v>
      </c>
      <c r="I2410" s="1" t="s">
        <v>33</v>
      </c>
      <c r="J2410" s="1" t="n">
        <v>1</v>
      </c>
      <c r="K2410" s="1" t="n">
        <v>2.9</v>
      </c>
      <c r="L2410" s="15" t="n">
        <v>914.57</v>
      </c>
      <c r="M2410" s="15" t="n">
        <f aca="false">F2410*G2410</f>
        <v>1016.19</v>
      </c>
      <c r="N2410" s="15" t="n">
        <f aca="false">M2410-L2410</f>
        <v>101.62</v>
      </c>
      <c r="O2410" s="1" t="n">
        <f aca="false">YEAR(B2410)</f>
        <v>2028</v>
      </c>
      <c r="P2410" s="1" t="n">
        <f aca="false">MONTH(B2410)</f>
        <v>8</v>
      </c>
      <c r="Q2410" s="1" t="str">
        <f aca="false">TEXT(B2410,"mmm")</f>
        <v>Aug</v>
      </c>
      <c r="R2410" s="1" t="str">
        <f aca="false">"Q"&amp;ROUNDUP(MONTH(B2410)/3,0)</f>
        <v>Q3</v>
      </c>
    </row>
    <row r="2411" customFormat="false" ht="15" hidden="false" customHeight="true" outlineLevel="0" collapsed="false">
      <c r="A2411" s="1" t="n">
        <v>12410</v>
      </c>
      <c r="B2411" s="14" t="n">
        <v>46971</v>
      </c>
      <c r="C2411" s="1" t="n">
        <v>1270</v>
      </c>
      <c r="D2411" s="1" t="s">
        <v>34</v>
      </c>
      <c r="E2411" s="1" t="s">
        <v>35</v>
      </c>
      <c r="F2411" s="1" t="n">
        <v>5</v>
      </c>
      <c r="G2411" s="15" t="n">
        <v>391.91</v>
      </c>
      <c r="H2411" s="16" t="n">
        <v>0.04</v>
      </c>
      <c r="I2411" s="1" t="s">
        <v>31</v>
      </c>
      <c r="J2411" s="1" t="n">
        <v>10</v>
      </c>
      <c r="K2411" s="1" t="n">
        <v>3.4</v>
      </c>
      <c r="L2411" s="15" t="n">
        <v>1881.17</v>
      </c>
      <c r="M2411" s="15" t="n">
        <f aca="false">F2411*G2411</f>
        <v>1959.55</v>
      </c>
      <c r="N2411" s="15" t="n">
        <f aca="false">M2411-L2411</f>
        <v>78.3800000000001</v>
      </c>
      <c r="O2411" s="1" t="n">
        <f aca="false">YEAR(B2411)</f>
        <v>2028</v>
      </c>
      <c r="P2411" s="1" t="n">
        <f aca="false">MONTH(B2411)</f>
        <v>8</v>
      </c>
      <c r="Q2411" s="1" t="str">
        <f aca="false">TEXT(B2411,"mmm")</f>
        <v>Aug</v>
      </c>
      <c r="R2411" s="1" t="str">
        <f aca="false">"Q"&amp;ROUNDUP(MONTH(B2411)/3,0)</f>
        <v>Q3</v>
      </c>
    </row>
    <row r="2412" customFormat="false" ht="15" hidden="false" customHeight="true" outlineLevel="0" collapsed="false">
      <c r="A2412" s="1" t="n">
        <v>12411</v>
      </c>
      <c r="B2412" s="14" t="n">
        <v>46972</v>
      </c>
      <c r="C2412" s="1" t="n">
        <v>1491</v>
      </c>
      <c r="D2412" s="1" t="s">
        <v>34</v>
      </c>
      <c r="E2412" s="1" t="s">
        <v>32</v>
      </c>
      <c r="F2412" s="1" t="n">
        <v>7</v>
      </c>
      <c r="G2412" s="15" t="n">
        <v>113.65</v>
      </c>
      <c r="H2412" s="16" t="n">
        <v>0.27</v>
      </c>
      <c r="I2412" s="1" t="s">
        <v>31</v>
      </c>
      <c r="J2412" s="1" t="n">
        <v>6</v>
      </c>
      <c r="K2412" s="1" t="n">
        <v>4.2</v>
      </c>
      <c r="L2412" s="15" t="n">
        <v>580.75</v>
      </c>
      <c r="M2412" s="15" t="n">
        <f aca="false">F2412*G2412</f>
        <v>795.55</v>
      </c>
      <c r="N2412" s="15" t="n">
        <f aca="false">M2412-L2412</f>
        <v>214.8</v>
      </c>
      <c r="O2412" s="1" t="n">
        <f aca="false">YEAR(B2412)</f>
        <v>2028</v>
      </c>
      <c r="P2412" s="1" t="n">
        <f aca="false">MONTH(B2412)</f>
        <v>8</v>
      </c>
      <c r="Q2412" s="1" t="str">
        <f aca="false">TEXT(B2412,"mmm")</f>
        <v>Aug</v>
      </c>
      <c r="R2412" s="1" t="str">
        <f aca="false">"Q"&amp;ROUNDUP(MONTH(B2412)/3,0)</f>
        <v>Q3</v>
      </c>
    </row>
    <row r="2413" customFormat="false" ht="15" hidden="false" customHeight="true" outlineLevel="0" collapsed="false">
      <c r="A2413" s="1" t="n">
        <v>12412</v>
      </c>
      <c r="B2413" s="14" t="n">
        <v>46973</v>
      </c>
      <c r="C2413" s="1" t="n">
        <v>1207</v>
      </c>
      <c r="D2413" s="1" t="s">
        <v>27</v>
      </c>
      <c r="E2413" s="1" t="s">
        <v>28</v>
      </c>
      <c r="F2413" s="1" t="n">
        <v>1</v>
      </c>
      <c r="G2413" s="15" t="n">
        <v>586.1</v>
      </c>
      <c r="H2413" s="16" t="n">
        <v>0.21</v>
      </c>
      <c r="I2413" s="1" t="s">
        <v>31</v>
      </c>
      <c r="J2413" s="1" t="n">
        <v>8</v>
      </c>
      <c r="K2413" s="1" t="n">
        <v>1.6</v>
      </c>
      <c r="L2413" s="15" t="n">
        <v>463.02</v>
      </c>
      <c r="M2413" s="15" t="n">
        <f aca="false">F2413*G2413</f>
        <v>586.1</v>
      </c>
      <c r="N2413" s="15" t="n">
        <f aca="false">M2413-L2413</f>
        <v>123.08</v>
      </c>
      <c r="O2413" s="1" t="n">
        <f aca="false">YEAR(B2413)</f>
        <v>2028</v>
      </c>
      <c r="P2413" s="1" t="n">
        <f aca="false">MONTH(B2413)</f>
        <v>8</v>
      </c>
      <c r="Q2413" s="1" t="str">
        <f aca="false">TEXT(B2413,"mmm")</f>
        <v>Aug</v>
      </c>
      <c r="R2413" s="1" t="str">
        <f aca="false">"Q"&amp;ROUNDUP(MONTH(B2413)/3,0)</f>
        <v>Q3</v>
      </c>
    </row>
    <row r="2414" customFormat="false" ht="15" hidden="false" customHeight="true" outlineLevel="0" collapsed="false">
      <c r="A2414" s="1" t="n">
        <v>12413</v>
      </c>
      <c r="B2414" s="14" t="n">
        <v>46974</v>
      </c>
      <c r="C2414" s="1" t="n">
        <v>1538</v>
      </c>
      <c r="D2414" s="1" t="s">
        <v>34</v>
      </c>
      <c r="E2414" s="1" t="s">
        <v>36</v>
      </c>
      <c r="F2414" s="1" t="n">
        <v>3</v>
      </c>
      <c r="G2414" s="15" t="n">
        <v>300.57</v>
      </c>
      <c r="H2414" s="16" t="n">
        <v>0.21</v>
      </c>
      <c r="I2414" s="1" t="s">
        <v>31</v>
      </c>
      <c r="J2414" s="1" t="n">
        <v>1</v>
      </c>
      <c r="K2414" s="1" t="n">
        <v>1.7</v>
      </c>
      <c r="L2414" s="15" t="n">
        <v>712.35</v>
      </c>
      <c r="M2414" s="15" t="n">
        <f aca="false">F2414*G2414</f>
        <v>901.71</v>
      </c>
      <c r="N2414" s="15" t="n">
        <f aca="false">M2414-L2414</f>
        <v>189.36</v>
      </c>
      <c r="O2414" s="1" t="n">
        <f aca="false">YEAR(B2414)</f>
        <v>2028</v>
      </c>
      <c r="P2414" s="1" t="n">
        <f aca="false">MONTH(B2414)</f>
        <v>8</v>
      </c>
      <c r="Q2414" s="1" t="str">
        <f aca="false">TEXT(B2414,"mmm")</f>
        <v>Aug</v>
      </c>
      <c r="R2414" s="1" t="str">
        <f aca="false">"Q"&amp;ROUNDUP(MONTH(B2414)/3,0)</f>
        <v>Q3</v>
      </c>
    </row>
    <row r="2415" customFormat="false" ht="15" hidden="false" customHeight="true" outlineLevel="0" collapsed="false">
      <c r="A2415" s="1" t="n">
        <v>12414</v>
      </c>
      <c r="B2415" s="14" t="n">
        <v>46975</v>
      </c>
      <c r="C2415" s="1" t="n">
        <v>1583</v>
      </c>
      <c r="D2415" s="1" t="s">
        <v>37</v>
      </c>
      <c r="E2415" s="1" t="s">
        <v>35</v>
      </c>
      <c r="F2415" s="1" t="n">
        <v>7</v>
      </c>
      <c r="G2415" s="15" t="n">
        <v>48.72</v>
      </c>
      <c r="H2415" s="16" t="n">
        <v>0.08</v>
      </c>
      <c r="I2415" s="1" t="s">
        <v>31</v>
      </c>
      <c r="J2415" s="1" t="n">
        <v>11</v>
      </c>
      <c r="K2415" s="1" t="n">
        <v>1.5</v>
      </c>
      <c r="L2415" s="15" t="n">
        <v>313.76</v>
      </c>
      <c r="M2415" s="15" t="n">
        <f aca="false">F2415*G2415</f>
        <v>341.04</v>
      </c>
      <c r="N2415" s="15" t="n">
        <f aca="false">M2415-L2415</f>
        <v>27.28</v>
      </c>
      <c r="O2415" s="1" t="n">
        <f aca="false">YEAR(B2415)</f>
        <v>2028</v>
      </c>
      <c r="P2415" s="1" t="n">
        <f aca="false">MONTH(B2415)</f>
        <v>8</v>
      </c>
      <c r="Q2415" s="1" t="str">
        <f aca="false">TEXT(B2415,"mmm")</f>
        <v>Aug</v>
      </c>
      <c r="R2415" s="1" t="str">
        <f aca="false">"Q"&amp;ROUNDUP(MONTH(B2415)/3,0)</f>
        <v>Q3</v>
      </c>
    </row>
    <row r="2416" customFormat="false" ht="15" hidden="false" customHeight="true" outlineLevel="0" collapsed="false">
      <c r="A2416" s="1" t="n">
        <v>12415</v>
      </c>
      <c r="B2416" s="14" t="n">
        <v>46976</v>
      </c>
      <c r="C2416" s="1" t="n">
        <v>1059</v>
      </c>
      <c r="D2416" s="1" t="s">
        <v>37</v>
      </c>
      <c r="E2416" s="1" t="s">
        <v>28</v>
      </c>
      <c r="F2416" s="1" t="n">
        <v>5</v>
      </c>
      <c r="G2416" s="15" t="n">
        <v>563.3</v>
      </c>
      <c r="H2416" s="16" t="n">
        <v>0.23</v>
      </c>
      <c r="I2416" s="1" t="s">
        <v>33</v>
      </c>
      <c r="J2416" s="1" t="n">
        <v>11</v>
      </c>
      <c r="K2416" s="1" t="n">
        <v>4.7</v>
      </c>
      <c r="L2416" s="15" t="n">
        <v>2168.7</v>
      </c>
      <c r="M2416" s="15" t="n">
        <f aca="false">F2416*G2416</f>
        <v>2816.5</v>
      </c>
      <c r="N2416" s="15" t="n">
        <f aca="false">M2416-L2416</f>
        <v>647.8</v>
      </c>
      <c r="O2416" s="1" t="n">
        <f aca="false">YEAR(B2416)</f>
        <v>2028</v>
      </c>
      <c r="P2416" s="1" t="n">
        <f aca="false">MONTH(B2416)</f>
        <v>8</v>
      </c>
      <c r="Q2416" s="1" t="str">
        <f aca="false">TEXT(B2416,"mmm")</f>
        <v>Aug</v>
      </c>
      <c r="R2416" s="1" t="str">
        <f aca="false">"Q"&amp;ROUNDUP(MONTH(B2416)/3,0)</f>
        <v>Q3</v>
      </c>
    </row>
    <row r="2417" customFormat="false" ht="15" hidden="false" customHeight="true" outlineLevel="0" collapsed="false">
      <c r="A2417" s="1" t="n">
        <v>12416</v>
      </c>
      <c r="B2417" s="14" t="n">
        <v>46977</v>
      </c>
      <c r="C2417" s="1" t="n">
        <v>1429</v>
      </c>
      <c r="D2417" s="1" t="s">
        <v>30</v>
      </c>
      <c r="E2417" s="1" t="s">
        <v>36</v>
      </c>
      <c r="F2417" s="1" t="n">
        <v>2</v>
      </c>
      <c r="G2417" s="15" t="n">
        <v>357.97</v>
      </c>
      <c r="H2417" s="16" t="n">
        <v>0.27</v>
      </c>
      <c r="I2417" s="1" t="s">
        <v>31</v>
      </c>
      <c r="J2417" s="1" t="n">
        <v>6</v>
      </c>
      <c r="K2417" s="1" t="n">
        <v>3.3</v>
      </c>
      <c r="L2417" s="15" t="n">
        <v>522.64</v>
      </c>
      <c r="M2417" s="15" t="n">
        <f aca="false">F2417*G2417</f>
        <v>715.94</v>
      </c>
      <c r="N2417" s="15" t="n">
        <f aca="false">M2417-L2417</f>
        <v>193.3</v>
      </c>
      <c r="O2417" s="1" t="n">
        <f aca="false">YEAR(B2417)</f>
        <v>2028</v>
      </c>
      <c r="P2417" s="1" t="n">
        <f aca="false">MONTH(B2417)</f>
        <v>8</v>
      </c>
      <c r="Q2417" s="1" t="str">
        <f aca="false">TEXT(B2417,"mmm")</f>
        <v>Aug</v>
      </c>
      <c r="R2417" s="1" t="str">
        <f aca="false">"Q"&amp;ROUNDUP(MONTH(B2417)/3,0)</f>
        <v>Q3</v>
      </c>
    </row>
    <row r="2418" customFormat="false" ht="15" hidden="false" customHeight="true" outlineLevel="0" collapsed="false">
      <c r="A2418" s="1" t="n">
        <v>12417</v>
      </c>
      <c r="B2418" s="14" t="n">
        <v>46978</v>
      </c>
      <c r="C2418" s="1" t="n">
        <v>1984</v>
      </c>
      <c r="D2418" s="1" t="s">
        <v>34</v>
      </c>
      <c r="E2418" s="1" t="s">
        <v>36</v>
      </c>
      <c r="F2418" s="1" t="n">
        <v>5</v>
      </c>
      <c r="G2418" s="15" t="n">
        <v>424.03</v>
      </c>
      <c r="H2418" s="16" t="n">
        <v>0.13</v>
      </c>
      <c r="I2418" s="1" t="s">
        <v>29</v>
      </c>
      <c r="J2418" s="1" t="n">
        <v>9</v>
      </c>
      <c r="K2418" s="1" t="n">
        <v>1.4</v>
      </c>
      <c r="L2418" s="15" t="n">
        <v>1844.53</v>
      </c>
      <c r="M2418" s="15" t="n">
        <f aca="false">F2418*G2418</f>
        <v>2120.15</v>
      </c>
      <c r="N2418" s="15" t="n">
        <f aca="false">M2418-L2418</f>
        <v>275.62</v>
      </c>
      <c r="O2418" s="1" t="n">
        <f aca="false">YEAR(B2418)</f>
        <v>2028</v>
      </c>
      <c r="P2418" s="1" t="n">
        <f aca="false">MONTH(B2418)</f>
        <v>8</v>
      </c>
      <c r="Q2418" s="1" t="str">
        <f aca="false">TEXT(B2418,"mmm")</f>
        <v>Aug</v>
      </c>
      <c r="R2418" s="1" t="str">
        <f aca="false">"Q"&amp;ROUNDUP(MONTH(B2418)/3,0)</f>
        <v>Q3</v>
      </c>
    </row>
    <row r="2419" customFormat="false" ht="15" hidden="false" customHeight="true" outlineLevel="0" collapsed="false">
      <c r="A2419" s="1" t="n">
        <v>12418</v>
      </c>
      <c r="B2419" s="14" t="n">
        <v>46979</v>
      </c>
      <c r="C2419" s="1" t="n">
        <v>1656</v>
      </c>
      <c r="D2419" s="1" t="s">
        <v>37</v>
      </c>
      <c r="E2419" s="1" t="s">
        <v>28</v>
      </c>
      <c r="F2419" s="1" t="n">
        <v>2</v>
      </c>
      <c r="G2419" s="15" t="n">
        <v>322.23</v>
      </c>
      <c r="H2419" s="16" t="n">
        <v>0.28</v>
      </c>
      <c r="I2419" s="1" t="s">
        <v>33</v>
      </c>
      <c r="J2419" s="1" t="n">
        <v>6</v>
      </c>
      <c r="K2419" s="1" t="n">
        <v>1.9</v>
      </c>
      <c r="L2419" s="15" t="n">
        <v>464.01</v>
      </c>
      <c r="M2419" s="15" t="n">
        <f aca="false">F2419*G2419</f>
        <v>644.46</v>
      </c>
      <c r="N2419" s="15" t="n">
        <f aca="false">M2419-L2419</f>
        <v>180.45</v>
      </c>
      <c r="O2419" s="1" t="n">
        <f aca="false">YEAR(B2419)</f>
        <v>2028</v>
      </c>
      <c r="P2419" s="1" t="n">
        <f aca="false">MONTH(B2419)</f>
        <v>8</v>
      </c>
      <c r="Q2419" s="1" t="str">
        <f aca="false">TEXT(B2419,"mmm")</f>
        <v>Aug</v>
      </c>
      <c r="R2419" s="1" t="str">
        <f aca="false">"Q"&amp;ROUNDUP(MONTH(B2419)/3,0)</f>
        <v>Q3</v>
      </c>
    </row>
    <row r="2420" customFormat="false" ht="15" hidden="false" customHeight="true" outlineLevel="0" collapsed="false">
      <c r="A2420" s="1" t="n">
        <v>12419</v>
      </c>
      <c r="B2420" s="14" t="n">
        <v>46980</v>
      </c>
      <c r="C2420" s="1" t="n">
        <v>1604</v>
      </c>
      <c r="D2420" s="1" t="s">
        <v>30</v>
      </c>
      <c r="E2420" s="1" t="s">
        <v>35</v>
      </c>
      <c r="F2420" s="1" t="n">
        <v>7</v>
      </c>
      <c r="G2420" s="15" t="n">
        <v>503.32</v>
      </c>
      <c r="H2420" s="16" t="n">
        <v>0.12</v>
      </c>
      <c r="I2420" s="1" t="s">
        <v>31</v>
      </c>
      <c r="J2420" s="1" t="n">
        <v>2</v>
      </c>
      <c r="K2420" s="1" t="n">
        <v>3.9</v>
      </c>
      <c r="L2420" s="15" t="n">
        <v>3100.45</v>
      </c>
      <c r="M2420" s="15" t="n">
        <f aca="false">F2420*G2420</f>
        <v>3523.24</v>
      </c>
      <c r="N2420" s="15" t="n">
        <f aca="false">M2420-L2420</f>
        <v>422.79</v>
      </c>
      <c r="O2420" s="1" t="n">
        <f aca="false">YEAR(B2420)</f>
        <v>2028</v>
      </c>
      <c r="P2420" s="1" t="n">
        <f aca="false">MONTH(B2420)</f>
        <v>8</v>
      </c>
      <c r="Q2420" s="1" t="str">
        <f aca="false">TEXT(B2420,"mmm")</f>
        <v>Aug</v>
      </c>
      <c r="R2420" s="1" t="str">
        <f aca="false">"Q"&amp;ROUNDUP(MONTH(B2420)/3,0)</f>
        <v>Q3</v>
      </c>
    </row>
    <row r="2421" customFormat="false" ht="15" hidden="false" customHeight="true" outlineLevel="0" collapsed="false">
      <c r="A2421" s="1" t="n">
        <v>12420</v>
      </c>
      <c r="B2421" s="14" t="n">
        <v>46981</v>
      </c>
      <c r="C2421" s="1" t="n">
        <v>1308</v>
      </c>
      <c r="D2421" s="1" t="s">
        <v>37</v>
      </c>
      <c r="E2421" s="1" t="s">
        <v>28</v>
      </c>
      <c r="F2421" s="1" t="n">
        <v>7</v>
      </c>
      <c r="G2421" s="15" t="n">
        <v>34.38</v>
      </c>
      <c r="H2421" s="16" t="n">
        <v>0.27</v>
      </c>
      <c r="I2421" s="1" t="s">
        <v>33</v>
      </c>
      <c r="J2421" s="1" t="n">
        <v>1</v>
      </c>
      <c r="K2421" s="1" t="n">
        <v>1.1</v>
      </c>
      <c r="L2421" s="15" t="n">
        <v>175.68</v>
      </c>
      <c r="M2421" s="15" t="n">
        <f aca="false">F2421*G2421</f>
        <v>240.66</v>
      </c>
      <c r="N2421" s="15" t="n">
        <f aca="false">M2421-L2421</f>
        <v>64.98</v>
      </c>
      <c r="O2421" s="1" t="n">
        <f aca="false">YEAR(B2421)</f>
        <v>2028</v>
      </c>
      <c r="P2421" s="1" t="n">
        <f aca="false">MONTH(B2421)</f>
        <v>8</v>
      </c>
      <c r="Q2421" s="1" t="str">
        <f aca="false">TEXT(B2421,"mmm")</f>
        <v>Aug</v>
      </c>
      <c r="R2421" s="1" t="str">
        <f aca="false">"Q"&amp;ROUNDUP(MONTH(B2421)/3,0)</f>
        <v>Q3</v>
      </c>
    </row>
    <row r="2422" customFormat="false" ht="15" hidden="false" customHeight="true" outlineLevel="0" collapsed="false">
      <c r="A2422" s="1" t="n">
        <v>12421</v>
      </c>
      <c r="B2422" s="14" t="n">
        <v>46982</v>
      </c>
      <c r="C2422" s="1" t="n">
        <v>1519</v>
      </c>
      <c r="D2422" s="1" t="s">
        <v>37</v>
      </c>
      <c r="E2422" s="1" t="s">
        <v>35</v>
      </c>
      <c r="F2422" s="1" t="n">
        <v>1</v>
      </c>
      <c r="G2422" s="15" t="n">
        <v>172</v>
      </c>
      <c r="H2422" s="16" t="n">
        <v>0.01</v>
      </c>
      <c r="I2422" s="1" t="s">
        <v>33</v>
      </c>
      <c r="J2422" s="1" t="n">
        <v>4</v>
      </c>
      <c r="K2422" s="1" t="n">
        <v>3.9</v>
      </c>
      <c r="L2422" s="15" t="n">
        <v>170.28</v>
      </c>
      <c r="M2422" s="15" t="n">
        <f aca="false">F2422*G2422</f>
        <v>172</v>
      </c>
      <c r="N2422" s="15" t="n">
        <f aca="false">M2422-L2422</f>
        <v>1.72</v>
      </c>
      <c r="O2422" s="1" t="n">
        <f aca="false">YEAR(B2422)</f>
        <v>2028</v>
      </c>
      <c r="P2422" s="1" t="n">
        <f aca="false">MONTH(B2422)</f>
        <v>8</v>
      </c>
      <c r="Q2422" s="1" t="str">
        <f aca="false">TEXT(B2422,"mmm")</f>
        <v>Aug</v>
      </c>
      <c r="R2422" s="1" t="str">
        <f aca="false">"Q"&amp;ROUNDUP(MONTH(B2422)/3,0)</f>
        <v>Q3</v>
      </c>
    </row>
    <row r="2423" customFormat="false" ht="15" hidden="false" customHeight="true" outlineLevel="0" collapsed="false">
      <c r="A2423" s="1" t="n">
        <v>12422</v>
      </c>
      <c r="B2423" s="14" t="n">
        <v>46983</v>
      </c>
      <c r="C2423" s="1" t="n">
        <v>1590</v>
      </c>
      <c r="D2423" s="1" t="s">
        <v>27</v>
      </c>
      <c r="E2423" s="1" t="s">
        <v>32</v>
      </c>
      <c r="F2423" s="1" t="n">
        <v>5</v>
      </c>
      <c r="G2423" s="15" t="n">
        <v>289.74</v>
      </c>
      <c r="H2423" s="16" t="n">
        <v>0.19</v>
      </c>
      <c r="I2423" s="1" t="s">
        <v>33</v>
      </c>
      <c r="J2423" s="1" t="n">
        <v>6</v>
      </c>
      <c r="K2423" s="1" t="n">
        <v>4.6</v>
      </c>
      <c r="L2423" s="15" t="n">
        <v>1173.45</v>
      </c>
      <c r="M2423" s="15" t="n">
        <f aca="false">F2423*G2423</f>
        <v>1448.7</v>
      </c>
      <c r="N2423" s="15" t="n">
        <f aca="false">M2423-L2423</f>
        <v>275.25</v>
      </c>
      <c r="O2423" s="1" t="n">
        <f aca="false">YEAR(B2423)</f>
        <v>2028</v>
      </c>
      <c r="P2423" s="1" t="n">
        <f aca="false">MONTH(B2423)</f>
        <v>8</v>
      </c>
      <c r="Q2423" s="1" t="str">
        <f aca="false">TEXT(B2423,"mmm")</f>
        <v>Aug</v>
      </c>
      <c r="R2423" s="1" t="str">
        <f aca="false">"Q"&amp;ROUNDUP(MONTH(B2423)/3,0)</f>
        <v>Q3</v>
      </c>
    </row>
    <row r="2424" customFormat="false" ht="15" hidden="false" customHeight="true" outlineLevel="0" collapsed="false">
      <c r="A2424" s="1" t="n">
        <v>12423</v>
      </c>
      <c r="B2424" s="14" t="n">
        <v>46984</v>
      </c>
      <c r="C2424" s="1" t="n">
        <v>1026</v>
      </c>
      <c r="D2424" s="1" t="s">
        <v>30</v>
      </c>
      <c r="E2424" s="1" t="s">
        <v>28</v>
      </c>
      <c r="F2424" s="1" t="n">
        <v>4</v>
      </c>
      <c r="G2424" s="15" t="n">
        <v>59.81</v>
      </c>
      <c r="H2424" s="16" t="n">
        <v>0.34</v>
      </c>
      <c r="I2424" s="1" t="s">
        <v>29</v>
      </c>
      <c r="J2424" s="1" t="n">
        <v>10</v>
      </c>
      <c r="K2424" s="1" t="n">
        <v>1.2</v>
      </c>
      <c r="L2424" s="15" t="n">
        <v>157.9</v>
      </c>
      <c r="M2424" s="15" t="n">
        <f aca="false">F2424*G2424</f>
        <v>239.24</v>
      </c>
      <c r="N2424" s="15" t="n">
        <f aca="false">M2424-L2424</f>
        <v>81.34</v>
      </c>
      <c r="O2424" s="1" t="n">
        <f aca="false">YEAR(B2424)</f>
        <v>2028</v>
      </c>
      <c r="P2424" s="1" t="n">
        <f aca="false">MONTH(B2424)</f>
        <v>8</v>
      </c>
      <c r="Q2424" s="1" t="str">
        <f aca="false">TEXT(B2424,"mmm")</f>
        <v>Aug</v>
      </c>
      <c r="R2424" s="1" t="str">
        <f aca="false">"Q"&amp;ROUNDUP(MONTH(B2424)/3,0)</f>
        <v>Q3</v>
      </c>
    </row>
    <row r="2425" customFormat="false" ht="15" hidden="false" customHeight="true" outlineLevel="0" collapsed="false">
      <c r="A2425" s="1" t="n">
        <v>12424</v>
      </c>
      <c r="B2425" s="14" t="n">
        <v>46985</v>
      </c>
      <c r="C2425" s="1" t="n">
        <v>1685</v>
      </c>
      <c r="D2425" s="1" t="s">
        <v>34</v>
      </c>
      <c r="E2425" s="1" t="s">
        <v>28</v>
      </c>
      <c r="F2425" s="1" t="n">
        <v>6</v>
      </c>
      <c r="G2425" s="15" t="n">
        <v>427.96</v>
      </c>
      <c r="H2425" s="16" t="n">
        <v>0.34</v>
      </c>
      <c r="I2425" s="1" t="s">
        <v>31</v>
      </c>
      <c r="J2425" s="1" t="n">
        <v>10</v>
      </c>
      <c r="K2425" s="1" t="n">
        <v>1.7</v>
      </c>
      <c r="L2425" s="15" t="n">
        <v>1694.72</v>
      </c>
      <c r="M2425" s="15" t="n">
        <f aca="false">F2425*G2425</f>
        <v>2567.76</v>
      </c>
      <c r="N2425" s="15" t="n">
        <f aca="false">M2425-L2425</f>
        <v>873.04</v>
      </c>
      <c r="O2425" s="1" t="n">
        <f aca="false">YEAR(B2425)</f>
        <v>2028</v>
      </c>
      <c r="P2425" s="1" t="n">
        <f aca="false">MONTH(B2425)</f>
        <v>8</v>
      </c>
      <c r="Q2425" s="1" t="str">
        <f aca="false">TEXT(B2425,"mmm")</f>
        <v>Aug</v>
      </c>
      <c r="R2425" s="1" t="str">
        <f aca="false">"Q"&amp;ROUNDUP(MONTH(B2425)/3,0)</f>
        <v>Q3</v>
      </c>
    </row>
    <row r="2426" customFormat="false" ht="15" hidden="false" customHeight="true" outlineLevel="0" collapsed="false">
      <c r="A2426" s="1" t="n">
        <v>12425</v>
      </c>
      <c r="B2426" s="14" t="n">
        <v>46986</v>
      </c>
      <c r="C2426" s="1" t="n">
        <v>1561</v>
      </c>
      <c r="D2426" s="1" t="s">
        <v>30</v>
      </c>
      <c r="E2426" s="1" t="s">
        <v>35</v>
      </c>
      <c r="F2426" s="1" t="n">
        <v>4</v>
      </c>
      <c r="G2426" s="15" t="n">
        <v>245.29</v>
      </c>
      <c r="H2426" s="16" t="n">
        <v>0.1</v>
      </c>
      <c r="I2426" s="1" t="s">
        <v>29</v>
      </c>
      <c r="J2426" s="1" t="n">
        <v>9</v>
      </c>
      <c r="K2426" s="1" t="n">
        <v>1</v>
      </c>
      <c r="L2426" s="15" t="n">
        <v>883.04</v>
      </c>
      <c r="M2426" s="15" t="n">
        <f aca="false">F2426*G2426</f>
        <v>981.16</v>
      </c>
      <c r="N2426" s="15" t="n">
        <f aca="false">M2426-L2426</f>
        <v>98.12</v>
      </c>
      <c r="O2426" s="1" t="n">
        <f aca="false">YEAR(B2426)</f>
        <v>2028</v>
      </c>
      <c r="P2426" s="1" t="n">
        <f aca="false">MONTH(B2426)</f>
        <v>8</v>
      </c>
      <c r="Q2426" s="1" t="str">
        <f aca="false">TEXT(B2426,"mmm")</f>
        <v>Aug</v>
      </c>
      <c r="R2426" s="1" t="str">
        <f aca="false">"Q"&amp;ROUNDUP(MONTH(B2426)/3,0)</f>
        <v>Q3</v>
      </c>
    </row>
    <row r="2427" customFormat="false" ht="15" hidden="false" customHeight="true" outlineLevel="0" collapsed="false">
      <c r="A2427" s="1" t="n">
        <v>12426</v>
      </c>
      <c r="B2427" s="14" t="n">
        <v>46987</v>
      </c>
      <c r="C2427" s="1" t="n">
        <v>1198</v>
      </c>
      <c r="D2427" s="1" t="s">
        <v>34</v>
      </c>
      <c r="E2427" s="1" t="s">
        <v>35</v>
      </c>
      <c r="F2427" s="1" t="n">
        <v>4</v>
      </c>
      <c r="G2427" s="15" t="n">
        <v>174.51</v>
      </c>
      <c r="H2427" s="16" t="n">
        <v>0.15</v>
      </c>
      <c r="I2427" s="1" t="s">
        <v>31</v>
      </c>
      <c r="J2427" s="1" t="n">
        <v>5</v>
      </c>
      <c r="K2427" s="1" t="n">
        <v>1.4</v>
      </c>
      <c r="L2427" s="15" t="n">
        <v>593.33</v>
      </c>
      <c r="M2427" s="15" t="n">
        <f aca="false">F2427*G2427</f>
        <v>698.04</v>
      </c>
      <c r="N2427" s="15" t="n">
        <f aca="false">M2427-L2427</f>
        <v>104.71</v>
      </c>
      <c r="O2427" s="1" t="n">
        <f aca="false">YEAR(B2427)</f>
        <v>2028</v>
      </c>
      <c r="P2427" s="1" t="n">
        <f aca="false">MONTH(B2427)</f>
        <v>8</v>
      </c>
      <c r="Q2427" s="1" t="str">
        <f aca="false">TEXT(B2427,"mmm")</f>
        <v>Aug</v>
      </c>
      <c r="R2427" s="1" t="str">
        <f aca="false">"Q"&amp;ROUNDUP(MONTH(B2427)/3,0)</f>
        <v>Q3</v>
      </c>
    </row>
    <row r="2428" customFormat="false" ht="15" hidden="false" customHeight="true" outlineLevel="0" collapsed="false">
      <c r="A2428" s="1" t="n">
        <v>12427</v>
      </c>
      <c r="B2428" s="14" t="n">
        <v>46988</v>
      </c>
      <c r="C2428" s="1" t="n">
        <v>1386</v>
      </c>
      <c r="D2428" s="1" t="s">
        <v>27</v>
      </c>
      <c r="E2428" s="1" t="s">
        <v>28</v>
      </c>
      <c r="F2428" s="1" t="n">
        <v>4</v>
      </c>
      <c r="G2428" s="15" t="n">
        <v>16.98</v>
      </c>
      <c r="H2428" s="16" t="n">
        <v>0.02</v>
      </c>
      <c r="I2428" s="1" t="s">
        <v>29</v>
      </c>
      <c r="J2428" s="1" t="n">
        <v>7</v>
      </c>
      <c r="K2428" s="1" t="n">
        <v>3.5</v>
      </c>
      <c r="L2428" s="15" t="n">
        <v>66.56</v>
      </c>
      <c r="M2428" s="15" t="n">
        <f aca="false">F2428*G2428</f>
        <v>67.92</v>
      </c>
      <c r="N2428" s="15" t="n">
        <f aca="false">M2428-L2428</f>
        <v>1.36</v>
      </c>
      <c r="O2428" s="1" t="n">
        <f aca="false">YEAR(B2428)</f>
        <v>2028</v>
      </c>
      <c r="P2428" s="1" t="n">
        <f aca="false">MONTH(B2428)</f>
        <v>8</v>
      </c>
      <c r="Q2428" s="1" t="str">
        <f aca="false">TEXT(B2428,"mmm")</f>
        <v>Aug</v>
      </c>
      <c r="R2428" s="1" t="str">
        <f aca="false">"Q"&amp;ROUNDUP(MONTH(B2428)/3,0)</f>
        <v>Q3</v>
      </c>
    </row>
    <row r="2429" customFormat="false" ht="15" hidden="false" customHeight="true" outlineLevel="0" collapsed="false">
      <c r="A2429" s="1" t="n">
        <v>12428</v>
      </c>
      <c r="B2429" s="14" t="n">
        <v>46989</v>
      </c>
      <c r="C2429" s="1" t="n">
        <v>1348</v>
      </c>
      <c r="D2429" s="1" t="s">
        <v>34</v>
      </c>
      <c r="E2429" s="1" t="s">
        <v>36</v>
      </c>
      <c r="F2429" s="1" t="n">
        <v>6</v>
      </c>
      <c r="G2429" s="15" t="n">
        <v>436.1</v>
      </c>
      <c r="H2429" s="16" t="n">
        <v>0.31</v>
      </c>
      <c r="I2429" s="1" t="s">
        <v>31</v>
      </c>
      <c r="J2429" s="1" t="n">
        <v>6</v>
      </c>
      <c r="K2429" s="1" t="n">
        <v>1.2</v>
      </c>
      <c r="L2429" s="15" t="n">
        <v>1805.45</v>
      </c>
      <c r="M2429" s="15" t="n">
        <f aca="false">F2429*G2429</f>
        <v>2616.6</v>
      </c>
      <c r="N2429" s="15" t="n">
        <f aca="false">M2429-L2429</f>
        <v>811.15</v>
      </c>
      <c r="O2429" s="1" t="n">
        <f aca="false">YEAR(B2429)</f>
        <v>2028</v>
      </c>
      <c r="P2429" s="1" t="n">
        <f aca="false">MONTH(B2429)</f>
        <v>8</v>
      </c>
      <c r="Q2429" s="1" t="str">
        <f aca="false">TEXT(B2429,"mmm")</f>
        <v>Aug</v>
      </c>
      <c r="R2429" s="1" t="str">
        <f aca="false">"Q"&amp;ROUNDUP(MONTH(B2429)/3,0)</f>
        <v>Q3</v>
      </c>
    </row>
    <row r="2430" customFormat="false" ht="15" hidden="false" customHeight="true" outlineLevel="0" collapsed="false">
      <c r="A2430" s="1" t="n">
        <v>12429</v>
      </c>
      <c r="B2430" s="14" t="n">
        <v>46990</v>
      </c>
      <c r="C2430" s="1" t="n">
        <v>1959</v>
      </c>
      <c r="D2430" s="1" t="s">
        <v>34</v>
      </c>
      <c r="E2430" s="1" t="s">
        <v>36</v>
      </c>
      <c r="F2430" s="1" t="n">
        <v>4</v>
      </c>
      <c r="G2430" s="15" t="n">
        <v>502.78</v>
      </c>
      <c r="H2430" s="16" t="n">
        <v>0.2</v>
      </c>
      <c r="I2430" s="1" t="s">
        <v>31</v>
      </c>
      <c r="J2430" s="1" t="n">
        <v>6</v>
      </c>
      <c r="K2430" s="1" t="n">
        <v>2.7</v>
      </c>
      <c r="L2430" s="15" t="n">
        <v>1608.9</v>
      </c>
      <c r="M2430" s="15" t="n">
        <f aca="false">F2430*G2430</f>
        <v>2011.12</v>
      </c>
      <c r="N2430" s="15" t="n">
        <f aca="false">M2430-L2430</f>
        <v>402.22</v>
      </c>
      <c r="O2430" s="1" t="n">
        <f aca="false">YEAR(B2430)</f>
        <v>2028</v>
      </c>
      <c r="P2430" s="1" t="n">
        <f aca="false">MONTH(B2430)</f>
        <v>8</v>
      </c>
      <c r="Q2430" s="1" t="str">
        <f aca="false">TEXT(B2430,"mmm")</f>
        <v>Aug</v>
      </c>
      <c r="R2430" s="1" t="str">
        <f aca="false">"Q"&amp;ROUNDUP(MONTH(B2430)/3,0)</f>
        <v>Q3</v>
      </c>
    </row>
    <row r="2431" customFormat="false" ht="15" hidden="false" customHeight="true" outlineLevel="0" collapsed="false">
      <c r="A2431" s="1" t="n">
        <v>12430</v>
      </c>
      <c r="B2431" s="14" t="n">
        <v>46991</v>
      </c>
      <c r="C2431" s="1" t="n">
        <v>1939</v>
      </c>
      <c r="D2431" s="1" t="s">
        <v>37</v>
      </c>
      <c r="E2431" s="1" t="s">
        <v>36</v>
      </c>
      <c r="F2431" s="1" t="n">
        <v>2</v>
      </c>
      <c r="G2431" s="15" t="n">
        <v>246.1</v>
      </c>
      <c r="H2431" s="16" t="n">
        <v>0.13</v>
      </c>
      <c r="I2431" s="1" t="s">
        <v>33</v>
      </c>
      <c r="J2431" s="1" t="n">
        <v>9</v>
      </c>
      <c r="K2431" s="1" t="n">
        <v>3</v>
      </c>
      <c r="L2431" s="15" t="n">
        <v>428.21</v>
      </c>
      <c r="M2431" s="15" t="n">
        <f aca="false">F2431*G2431</f>
        <v>492.2</v>
      </c>
      <c r="N2431" s="15" t="n">
        <f aca="false">M2431-L2431</f>
        <v>63.99</v>
      </c>
      <c r="O2431" s="1" t="n">
        <f aca="false">YEAR(B2431)</f>
        <v>2028</v>
      </c>
      <c r="P2431" s="1" t="n">
        <f aca="false">MONTH(B2431)</f>
        <v>8</v>
      </c>
      <c r="Q2431" s="1" t="str">
        <f aca="false">TEXT(B2431,"mmm")</f>
        <v>Aug</v>
      </c>
      <c r="R2431" s="1" t="str">
        <f aca="false">"Q"&amp;ROUNDUP(MONTH(B2431)/3,0)</f>
        <v>Q3</v>
      </c>
    </row>
    <row r="2432" customFormat="false" ht="15" hidden="false" customHeight="true" outlineLevel="0" collapsed="false">
      <c r="A2432" s="1" t="n">
        <v>12431</v>
      </c>
      <c r="B2432" s="14" t="n">
        <v>46992</v>
      </c>
      <c r="C2432" s="1" t="n">
        <v>1692</v>
      </c>
      <c r="D2432" s="1" t="s">
        <v>30</v>
      </c>
      <c r="E2432" s="1" t="s">
        <v>32</v>
      </c>
      <c r="F2432" s="1" t="n">
        <v>5</v>
      </c>
      <c r="G2432" s="15" t="n">
        <v>345.07</v>
      </c>
      <c r="H2432" s="16" t="n">
        <v>0.04</v>
      </c>
      <c r="I2432" s="1" t="s">
        <v>31</v>
      </c>
      <c r="J2432" s="1" t="n">
        <v>5</v>
      </c>
      <c r="K2432" s="1" t="n">
        <v>4.6</v>
      </c>
      <c r="L2432" s="15" t="n">
        <v>1656.34</v>
      </c>
      <c r="M2432" s="15" t="n">
        <f aca="false">F2432*G2432</f>
        <v>1725.35</v>
      </c>
      <c r="N2432" s="15" t="n">
        <f aca="false">M2432-L2432</f>
        <v>69.01</v>
      </c>
      <c r="O2432" s="1" t="n">
        <f aca="false">YEAR(B2432)</f>
        <v>2028</v>
      </c>
      <c r="P2432" s="1" t="n">
        <f aca="false">MONTH(B2432)</f>
        <v>8</v>
      </c>
      <c r="Q2432" s="1" t="str">
        <f aca="false">TEXT(B2432,"mmm")</f>
        <v>Aug</v>
      </c>
      <c r="R2432" s="1" t="str">
        <f aca="false">"Q"&amp;ROUNDUP(MONTH(B2432)/3,0)</f>
        <v>Q3</v>
      </c>
    </row>
    <row r="2433" customFormat="false" ht="15" hidden="false" customHeight="true" outlineLevel="0" collapsed="false">
      <c r="A2433" s="1" t="n">
        <v>12432</v>
      </c>
      <c r="B2433" s="14" t="n">
        <v>46993</v>
      </c>
      <c r="C2433" s="1" t="n">
        <v>1535</v>
      </c>
      <c r="D2433" s="1" t="s">
        <v>30</v>
      </c>
      <c r="E2433" s="1" t="s">
        <v>32</v>
      </c>
      <c r="F2433" s="1" t="n">
        <v>7</v>
      </c>
      <c r="G2433" s="15" t="n">
        <v>148.2</v>
      </c>
      <c r="H2433" s="16" t="n">
        <v>0.33</v>
      </c>
      <c r="I2433" s="1" t="s">
        <v>31</v>
      </c>
      <c r="J2433" s="1" t="n">
        <v>2</v>
      </c>
      <c r="K2433" s="1" t="n">
        <v>2.9</v>
      </c>
      <c r="L2433" s="15" t="n">
        <v>695.06</v>
      </c>
      <c r="M2433" s="15" t="n">
        <f aca="false">F2433*G2433</f>
        <v>1037.4</v>
      </c>
      <c r="N2433" s="15" t="n">
        <f aca="false">M2433-L2433</f>
        <v>342.34</v>
      </c>
      <c r="O2433" s="1" t="n">
        <f aca="false">YEAR(B2433)</f>
        <v>2028</v>
      </c>
      <c r="P2433" s="1" t="n">
        <f aca="false">MONTH(B2433)</f>
        <v>8</v>
      </c>
      <c r="Q2433" s="1" t="str">
        <f aca="false">TEXT(B2433,"mmm")</f>
        <v>Aug</v>
      </c>
      <c r="R2433" s="1" t="str">
        <f aca="false">"Q"&amp;ROUNDUP(MONTH(B2433)/3,0)</f>
        <v>Q3</v>
      </c>
    </row>
    <row r="2434" customFormat="false" ht="15" hidden="false" customHeight="true" outlineLevel="0" collapsed="false">
      <c r="A2434" s="1" t="n">
        <v>12433</v>
      </c>
      <c r="B2434" s="14" t="n">
        <v>46994</v>
      </c>
      <c r="C2434" s="1" t="n">
        <v>1827</v>
      </c>
      <c r="D2434" s="1" t="s">
        <v>30</v>
      </c>
      <c r="E2434" s="1" t="s">
        <v>35</v>
      </c>
      <c r="F2434" s="1" t="n">
        <v>1</v>
      </c>
      <c r="G2434" s="15" t="n">
        <v>378.99</v>
      </c>
      <c r="H2434" s="16" t="n">
        <v>0.19</v>
      </c>
      <c r="I2434" s="1" t="s">
        <v>31</v>
      </c>
      <c r="J2434" s="1" t="n">
        <v>8</v>
      </c>
      <c r="K2434" s="1" t="n">
        <v>1.6</v>
      </c>
      <c r="L2434" s="15" t="n">
        <v>306.98</v>
      </c>
      <c r="M2434" s="15" t="n">
        <f aca="false">F2434*G2434</f>
        <v>378.99</v>
      </c>
      <c r="N2434" s="15" t="n">
        <f aca="false">M2434-L2434</f>
        <v>72.01</v>
      </c>
      <c r="O2434" s="1" t="n">
        <f aca="false">YEAR(B2434)</f>
        <v>2028</v>
      </c>
      <c r="P2434" s="1" t="n">
        <f aca="false">MONTH(B2434)</f>
        <v>8</v>
      </c>
      <c r="Q2434" s="1" t="str">
        <f aca="false">TEXT(B2434,"mmm")</f>
        <v>Aug</v>
      </c>
      <c r="R2434" s="1" t="str">
        <f aca="false">"Q"&amp;ROUNDUP(MONTH(B2434)/3,0)</f>
        <v>Q3</v>
      </c>
    </row>
    <row r="2435" customFormat="false" ht="15" hidden="false" customHeight="true" outlineLevel="0" collapsed="false">
      <c r="A2435" s="1" t="n">
        <v>12434</v>
      </c>
      <c r="B2435" s="14" t="n">
        <v>46995</v>
      </c>
      <c r="C2435" s="1" t="n">
        <v>1377</v>
      </c>
      <c r="D2435" s="1" t="s">
        <v>27</v>
      </c>
      <c r="E2435" s="1" t="s">
        <v>32</v>
      </c>
      <c r="F2435" s="1" t="n">
        <v>4</v>
      </c>
      <c r="G2435" s="15" t="n">
        <v>22.1</v>
      </c>
      <c r="H2435" s="16" t="n">
        <v>0.1</v>
      </c>
      <c r="I2435" s="1" t="s">
        <v>33</v>
      </c>
      <c r="J2435" s="1" t="n">
        <v>11</v>
      </c>
      <c r="K2435" s="1" t="n">
        <v>2.2</v>
      </c>
      <c r="L2435" s="15" t="n">
        <v>79.56</v>
      </c>
      <c r="M2435" s="15" t="n">
        <f aca="false">F2435*G2435</f>
        <v>88.4</v>
      </c>
      <c r="N2435" s="15" t="n">
        <f aca="false">M2435-L2435</f>
        <v>8.84</v>
      </c>
      <c r="O2435" s="1" t="n">
        <f aca="false">YEAR(B2435)</f>
        <v>2028</v>
      </c>
      <c r="P2435" s="1" t="n">
        <f aca="false">MONTH(B2435)</f>
        <v>8</v>
      </c>
      <c r="Q2435" s="1" t="str">
        <f aca="false">TEXT(B2435,"mmm")</f>
        <v>Aug</v>
      </c>
      <c r="R2435" s="1" t="str">
        <f aca="false">"Q"&amp;ROUNDUP(MONTH(B2435)/3,0)</f>
        <v>Q3</v>
      </c>
    </row>
    <row r="2436" customFormat="false" ht="15" hidden="false" customHeight="true" outlineLevel="0" collapsed="false">
      <c r="A2436" s="1" t="n">
        <v>12435</v>
      </c>
      <c r="B2436" s="14" t="n">
        <v>46996</v>
      </c>
      <c r="C2436" s="1" t="n">
        <v>1898</v>
      </c>
      <c r="D2436" s="1" t="s">
        <v>34</v>
      </c>
      <c r="E2436" s="1" t="s">
        <v>36</v>
      </c>
      <c r="F2436" s="1" t="n">
        <v>7</v>
      </c>
      <c r="G2436" s="15" t="n">
        <v>300.86</v>
      </c>
      <c r="H2436" s="16" t="n">
        <v>0.12</v>
      </c>
      <c r="I2436" s="1" t="s">
        <v>29</v>
      </c>
      <c r="J2436" s="1" t="n">
        <v>3</v>
      </c>
      <c r="K2436" s="1" t="n">
        <v>3.7</v>
      </c>
      <c r="L2436" s="15" t="n">
        <v>1853.3</v>
      </c>
      <c r="M2436" s="15" t="n">
        <f aca="false">F2436*G2436</f>
        <v>2106.02</v>
      </c>
      <c r="N2436" s="15" t="n">
        <f aca="false">M2436-L2436</f>
        <v>252.72</v>
      </c>
      <c r="O2436" s="1" t="n">
        <f aca="false">YEAR(B2436)</f>
        <v>2028</v>
      </c>
      <c r="P2436" s="1" t="n">
        <f aca="false">MONTH(B2436)</f>
        <v>8</v>
      </c>
      <c r="Q2436" s="1" t="str">
        <f aca="false">TEXT(B2436,"mmm")</f>
        <v>Aug</v>
      </c>
      <c r="R2436" s="1" t="str">
        <f aca="false">"Q"&amp;ROUNDUP(MONTH(B2436)/3,0)</f>
        <v>Q3</v>
      </c>
    </row>
    <row r="2437" customFormat="false" ht="15" hidden="false" customHeight="true" outlineLevel="0" collapsed="false">
      <c r="A2437" s="1" t="n">
        <v>12436</v>
      </c>
      <c r="B2437" s="14" t="n">
        <v>46997</v>
      </c>
      <c r="C2437" s="1" t="n">
        <v>1915</v>
      </c>
      <c r="D2437" s="1" t="s">
        <v>27</v>
      </c>
      <c r="E2437" s="1" t="s">
        <v>28</v>
      </c>
      <c r="F2437" s="1" t="n">
        <v>4</v>
      </c>
      <c r="G2437" s="15" t="n">
        <v>391.86</v>
      </c>
      <c r="H2437" s="16" t="n">
        <v>0.09</v>
      </c>
      <c r="I2437" s="1" t="s">
        <v>33</v>
      </c>
      <c r="J2437" s="1" t="n">
        <v>9</v>
      </c>
      <c r="K2437" s="1" t="n">
        <v>1.4</v>
      </c>
      <c r="L2437" s="15" t="n">
        <v>1426.37</v>
      </c>
      <c r="M2437" s="15" t="n">
        <f aca="false">F2437*G2437</f>
        <v>1567.44</v>
      </c>
      <c r="N2437" s="15" t="n">
        <f aca="false">M2437-L2437</f>
        <v>141.07</v>
      </c>
      <c r="O2437" s="1" t="n">
        <f aca="false">YEAR(B2437)</f>
        <v>2028</v>
      </c>
      <c r="P2437" s="1" t="n">
        <f aca="false">MONTH(B2437)</f>
        <v>9</v>
      </c>
      <c r="Q2437" s="1" t="str">
        <f aca="false">TEXT(B2437,"mmm")</f>
        <v>Sep</v>
      </c>
      <c r="R2437" s="1" t="str">
        <f aca="false">"Q"&amp;ROUNDUP(MONTH(B2437)/3,0)</f>
        <v>Q3</v>
      </c>
    </row>
    <row r="2438" customFormat="false" ht="15" hidden="false" customHeight="true" outlineLevel="0" collapsed="false">
      <c r="A2438" s="1" t="n">
        <v>12437</v>
      </c>
      <c r="B2438" s="14" t="n">
        <v>46998</v>
      </c>
      <c r="C2438" s="1" t="n">
        <v>1557</v>
      </c>
      <c r="D2438" s="1" t="s">
        <v>34</v>
      </c>
      <c r="E2438" s="1" t="s">
        <v>32</v>
      </c>
      <c r="F2438" s="1" t="n">
        <v>1</v>
      </c>
      <c r="G2438" s="15" t="n">
        <v>552.14</v>
      </c>
      <c r="H2438" s="16" t="n">
        <v>0.21</v>
      </c>
      <c r="I2438" s="1" t="s">
        <v>29</v>
      </c>
      <c r="J2438" s="1" t="n">
        <v>5</v>
      </c>
      <c r="K2438" s="1" t="n">
        <v>1.9</v>
      </c>
      <c r="L2438" s="15" t="n">
        <v>436.19</v>
      </c>
      <c r="M2438" s="15" t="n">
        <f aca="false">F2438*G2438</f>
        <v>552.14</v>
      </c>
      <c r="N2438" s="15" t="n">
        <f aca="false">M2438-L2438</f>
        <v>115.95</v>
      </c>
      <c r="O2438" s="1" t="n">
        <f aca="false">YEAR(B2438)</f>
        <v>2028</v>
      </c>
      <c r="P2438" s="1" t="n">
        <f aca="false">MONTH(B2438)</f>
        <v>9</v>
      </c>
      <c r="Q2438" s="1" t="str">
        <f aca="false">TEXT(B2438,"mmm")</f>
        <v>Sep</v>
      </c>
      <c r="R2438" s="1" t="str">
        <f aca="false">"Q"&amp;ROUNDUP(MONTH(B2438)/3,0)</f>
        <v>Q3</v>
      </c>
    </row>
    <row r="2439" customFormat="false" ht="15" hidden="false" customHeight="true" outlineLevel="0" collapsed="false">
      <c r="A2439" s="1" t="n">
        <v>12438</v>
      </c>
      <c r="B2439" s="14" t="n">
        <v>46999</v>
      </c>
      <c r="C2439" s="1" t="n">
        <v>1526</v>
      </c>
      <c r="D2439" s="1" t="s">
        <v>37</v>
      </c>
      <c r="E2439" s="1" t="s">
        <v>32</v>
      </c>
      <c r="F2439" s="1" t="n">
        <v>1</v>
      </c>
      <c r="G2439" s="15" t="n">
        <v>238.08</v>
      </c>
      <c r="H2439" s="16" t="n">
        <v>0.33</v>
      </c>
      <c r="I2439" s="1" t="s">
        <v>33</v>
      </c>
      <c r="J2439" s="1" t="n">
        <v>1</v>
      </c>
      <c r="K2439" s="1" t="n">
        <v>5</v>
      </c>
      <c r="L2439" s="15" t="n">
        <v>159.51</v>
      </c>
      <c r="M2439" s="15" t="n">
        <f aca="false">F2439*G2439</f>
        <v>238.08</v>
      </c>
      <c r="N2439" s="15" t="n">
        <f aca="false">M2439-L2439</f>
        <v>78.57</v>
      </c>
      <c r="O2439" s="1" t="n">
        <f aca="false">YEAR(B2439)</f>
        <v>2028</v>
      </c>
      <c r="P2439" s="1" t="n">
        <f aca="false">MONTH(B2439)</f>
        <v>9</v>
      </c>
      <c r="Q2439" s="1" t="str">
        <f aca="false">TEXT(B2439,"mmm")</f>
        <v>Sep</v>
      </c>
      <c r="R2439" s="1" t="str">
        <f aca="false">"Q"&amp;ROUNDUP(MONTH(B2439)/3,0)</f>
        <v>Q3</v>
      </c>
    </row>
    <row r="2440" customFormat="false" ht="15" hidden="false" customHeight="true" outlineLevel="0" collapsed="false">
      <c r="A2440" s="1" t="n">
        <v>12439</v>
      </c>
      <c r="B2440" s="14" t="n">
        <v>47000</v>
      </c>
      <c r="C2440" s="1" t="n">
        <v>1152</v>
      </c>
      <c r="D2440" s="1" t="s">
        <v>37</v>
      </c>
      <c r="E2440" s="1" t="s">
        <v>36</v>
      </c>
      <c r="F2440" s="1" t="n">
        <v>4</v>
      </c>
      <c r="G2440" s="15" t="n">
        <v>462.64</v>
      </c>
      <c r="H2440" s="16" t="n">
        <v>0.3</v>
      </c>
      <c r="I2440" s="1" t="s">
        <v>31</v>
      </c>
      <c r="J2440" s="1" t="n">
        <v>4</v>
      </c>
      <c r="K2440" s="1" t="n">
        <v>1</v>
      </c>
      <c r="L2440" s="15" t="n">
        <v>1295.39</v>
      </c>
      <c r="M2440" s="15" t="n">
        <f aca="false">F2440*G2440</f>
        <v>1850.56</v>
      </c>
      <c r="N2440" s="15" t="n">
        <f aca="false">M2440-L2440</f>
        <v>555.17</v>
      </c>
      <c r="O2440" s="1" t="n">
        <f aca="false">YEAR(B2440)</f>
        <v>2028</v>
      </c>
      <c r="P2440" s="1" t="n">
        <f aca="false">MONTH(B2440)</f>
        <v>9</v>
      </c>
      <c r="Q2440" s="1" t="str">
        <f aca="false">TEXT(B2440,"mmm")</f>
        <v>Sep</v>
      </c>
      <c r="R2440" s="1" t="str">
        <f aca="false">"Q"&amp;ROUNDUP(MONTH(B2440)/3,0)</f>
        <v>Q3</v>
      </c>
    </row>
    <row r="2441" customFormat="false" ht="15" hidden="false" customHeight="true" outlineLevel="0" collapsed="false">
      <c r="A2441" s="1" t="n">
        <v>12440</v>
      </c>
      <c r="B2441" s="14" t="n">
        <v>47001</v>
      </c>
      <c r="C2441" s="1" t="n">
        <v>1733</v>
      </c>
      <c r="D2441" s="1" t="s">
        <v>34</v>
      </c>
      <c r="E2441" s="1" t="s">
        <v>32</v>
      </c>
      <c r="F2441" s="1" t="n">
        <v>2</v>
      </c>
      <c r="G2441" s="15" t="n">
        <v>364.65</v>
      </c>
      <c r="H2441" s="16" t="n">
        <v>0.16</v>
      </c>
      <c r="I2441" s="1" t="s">
        <v>31</v>
      </c>
      <c r="J2441" s="1" t="n">
        <v>9</v>
      </c>
      <c r="K2441" s="1" t="n">
        <v>1.6</v>
      </c>
      <c r="L2441" s="15" t="n">
        <v>612.61</v>
      </c>
      <c r="M2441" s="15" t="n">
        <f aca="false">F2441*G2441</f>
        <v>729.3</v>
      </c>
      <c r="N2441" s="15" t="n">
        <f aca="false">M2441-L2441</f>
        <v>116.69</v>
      </c>
      <c r="O2441" s="1" t="n">
        <f aca="false">YEAR(B2441)</f>
        <v>2028</v>
      </c>
      <c r="P2441" s="1" t="n">
        <f aca="false">MONTH(B2441)</f>
        <v>9</v>
      </c>
      <c r="Q2441" s="1" t="str">
        <f aca="false">TEXT(B2441,"mmm")</f>
        <v>Sep</v>
      </c>
      <c r="R2441" s="1" t="str">
        <f aca="false">"Q"&amp;ROUNDUP(MONTH(B2441)/3,0)</f>
        <v>Q3</v>
      </c>
    </row>
    <row r="2442" customFormat="false" ht="15" hidden="false" customHeight="true" outlineLevel="0" collapsed="false">
      <c r="A2442" s="1" t="n">
        <v>12441</v>
      </c>
      <c r="B2442" s="14" t="n">
        <v>47002</v>
      </c>
      <c r="C2442" s="1" t="n">
        <v>1205</v>
      </c>
      <c r="D2442" s="1" t="s">
        <v>30</v>
      </c>
      <c r="E2442" s="1" t="s">
        <v>35</v>
      </c>
      <c r="F2442" s="1" t="n">
        <v>7</v>
      </c>
      <c r="G2442" s="15" t="n">
        <v>557.3</v>
      </c>
      <c r="H2442" s="16" t="n">
        <v>0.29</v>
      </c>
      <c r="I2442" s="1" t="s">
        <v>33</v>
      </c>
      <c r="J2442" s="1" t="n">
        <v>1</v>
      </c>
      <c r="K2442" s="1" t="n">
        <v>4.4</v>
      </c>
      <c r="L2442" s="15" t="n">
        <v>2769.78</v>
      </c>
      <c r="M2442" s="15" t="n">
        <f aca="false">F2442*G2442</f>
        <v>3901.1</v>
      </c>
      <c r="N2442" s="15" t="n">
        <f aca="false">M2442-L2442</f>
        <v>1131.32</v>
      </c>
      <c r="O2442" s="1" t="n">
        <f aca="false">YEAR(B2442)</f>
        <v>2028</v>
      </c>
      <c r="P2442" s="1" t="n">
        <f aca="false">MONTH(B2442)</f>
        <v>9</v>
      </c>
      <c r="Q2442" s="1" t="str">
        <f aca="false">TEXT(B2442,"mmm")</f>
        <v>Sep</v>
      </c>
      <c r="R2442" s="1" t="str">
        <f aca="false">"Q"&amp;ROUNDUP(MONTH(B2442)/3,0)</f>
        <v>Q3</v>
      </c>
    </row>
    <row r="2443" customFormat="false" ht="15" hidden="false" customHeight="true" outlineLevel="0" collapsed="false">
      <c r="A2443" s="1" t="n">
        <v>12442</v>
      </c>
      <c r="B2443" s="14" t="n">
        <v>47003</v>
      </c>
      <c r="C2443" s="1" t="n">
        <v>1454</v>
      </c>
      <c r="D2443" s="1" t="s">
        <v>34</v>
      </c>
      <c r="E2443" s="1" t="s">
        <v>28</v>
      </c>
      <c r="F2443" s="1" t="n">
        <v>1</v>
      </c>
      <c r="G2443" s="15" t="n">
        <v>248.05</v>
      </c>
      <c r="H2443" s="16" t="n">
        <v>0.15</v>
      </c>
      <c r="I2443" s="1" t="s">
        <v>31</v>
      </c>
      <c r="J2443" s="1" t="n">
        <v>8</v>
      </c>
      <c r="K2443" s="1" t="n">
        <v>1.4</v>
      </c>
      <c r="L2443" s="15" t="n">
        <v>210.84</v>
      </c>
      <c r="M2443" s="15" t="n">
        <f aca="false">F2443*G2443</f>
        <v>248.05</v>
      </c>
      <c r="N2443" s="15" t="n">
        <f aca="false">M2443-L2443</f>
        <v>37.21</v>
      </c>
      <c r="O2443" s="1" t="n">
        <f aca="false">YEAR(B2443)</f>
        <v>2028</v>
      </c>
      <c r="P2443" s="1" t="n">
        <f aca="false">MONTH(B2443)</f>
        <v>9</v>
      </c>
      <c r="Q2443" s="1" t="str">
        <f aca="false">TEXT(B2443,"mmm")</f>
        <v>Sep</v>
      </c>
      <c r="R2443" s="1" t="str">
        <f aca="false">"Q"&amp;ROUNDUP(MONTH(B2443)/3,0)</f>
        <v>Q3</v>
      </c>
    </row>
    <row r="2444" customFormat="false" ht="15" hidden="false" customHeight="true" outlineLevel="0" collapsed="false">
      <c r="A2444" s="1" t="n">
        <v>12443</v>
      </c>
      <c r="B2444" s="14" t="n">
        <v>47004</v>
      </c>
      <c r="C2444" s="1" t="n">
        <v>1272</v>
      </c>
      <c r="D2444" s="1" t="s">
        <v>37</v>
      </c>
      <c r="E2444" s="1" t="s">
        <v>36</v>
      </c>
      <c r="F2444" s="1" t="n">
        <v>5</v>
      </c>
      <c r="G2444" s="15" t="n">
        <v>201.67</v>
      </c>
      <c r="H2444" s="16" t="n">
        <v>0.09</v>
      </c>
      <c r="I2444" s="1" t="s">
        <v>31</v>
      </c>
      <c r="J2444" s="1" t="n">
        <v>8</v>
      </c>
      <c r="K2444" s="1" t="n">
        <v>1.1</v>
      </c>
      <c r="L2444" s="15" t="n">
        <v>917.6</v>
      </c>
      <c r="M2444" s="15" t="n">
        <f aca="false">F2444*G2444</f>
        <v>1008.35</v>
      </c>
      <c r="N2444" s="15" t="n">
        <f aca="false">M2444-L2444</f>
        <v>90.7499999999999</v>
      </c>
      <c r="O2444" s="1" t="n">
        <f aca="false">YEAR(B2444)</f>
        <v>2028</v>
      </c>
      <c r="P2444" s="1" t="n">
        <f aca="false">MONTH(B2444)</f>
        <v>9</v>
      </c>
      <c r="Q2444" s="1" t="str">
        <f aca="false">TEXT(B2444,"mmm")</f>
        <v>Sep</v>
      </c>
      <c r="R2444" s="1" t="str">
        <f aca="false">"Q"&amp;ROUNDUP(MONTH(B2444)/3,0)</f>
        <v>Q3</v>
      </c>
    </row>
    <row r="2445" customFormat="false" ht="15" hidden="false" customHeight="true" outlineLevel="0" collapsed="false">
      <c r="A2445" s="1" t="n">
        <v>12444</v>
      </c>
      <c r="B2445" s="14" t="n">
        <v>47005</v>
      </c>
      <c r="C2445" s="1" t="n">
        <v>1893</v>
      </c>
      <c r="D2445" s="1" t="s">
        <v>30</v>
      </c>
      <c r="E2445" s="1" t="s">
        <v>35</v>
      </c>
      <c r="F2445" s="1" t="n">
        <v>7</v>
      </c>
      <c r="G2445" s="15" t="n">
        <v>533.98</v>
      </c>
      <c r="H2445" s="16" t="n">
        <v>0.34</v>
      </c>
      <c r="I2445" s="1" t="s">
        <v>33</v>
      </c>
      <c r="J2445" s="1" t="n">
        <v>9</v>
      </c>
      <c r="K2445" s="1" t="n">
        <v>1.5</v>
      </c>
      <c r="L2445" s="15" t="n">
        <v>2466.99</v>
      </c>
      <c r="M2445" s="15" t="n">
        <f aca="false">F2445*G2445</f>
        <v>3737.86</v>
      </c>
      <c r="N2445" s="15" t="n">
        <f aca="false">M2445-L2445</f>
        <v>1270.87</v>
      </c>
      <c r="O2445" s="1" t="n">
        <f aca="false">YEAR(B2445)</f>
        <v>2028</v>
      </c>
      <c r="P2445" s="1" t="n">
        <f aca="false">MONTH(B2445)</f>
        <v>9</v>
      </c>
      <c r="Q2445" s="1" t="str">
        <f aca="false">TEXT(B2445,"mmm")</f>
        <v>Sep</v>
      </c>
      <c r="R2445" s="1" t="str">
        <f aca="false">"Q"&amp;ROUNDUP(MONTH(B2445)/3,0)</f>
        <v>Q3</v>
      </c>
    </row>
    <row r="2446" customFormat="false" ht="15" hidden="false" customHeight="true" outlineLevel="0" collapsed="false">
      <c r="A2446" s="1" t="n">
        <v>12445</v>
      </c>
      <c r="B2446" s="14" t="n">
        <v>47006</v>
      </c>
      <c r="C2446" s="1" t="n">
        <v>1235</v>
      </c>
      <c r="D2446" s="1" t="s">
        <v>30</v>
      </c>
      <c r="E2446" s="1" t="s">
        <v>36</v>
      </c>
      <c r="F2446" s="1" t="n">
        <v>5</v>
      </c>
      <c r="G2446" s="15" t="n">
        <v>43.81</v>
      </c>
      <c r="H2446" s="16" t="n">
        <v>0.11</v>
      </c>
      <c r="I2446" s="1" t="s">
        <v>33</v>
      </c>
      <c r="J2446" s="1" t="n">
        <v>9</v>
      </c>
      <c r="K2446" s="1" t="n">
        <v>3.8</v>
      </c>
      <c r="L2446" s="15" t="n">
        <v>194.95</v>
      </c>
      <c r="M2446" s="15" t="n">
        <f aca="false">F2446*G2446</f>
        <v>219.05</v>
      </c>
      <c r="N2446" s="15" t="n">
        <f aca="false">M2446-L2446</f>
        <v>24.1</v>
      </c>
      <c r="O2446" s="1" t="n">
        <f aca="false">YEAR(B2446)</f>
        <v>2028</v>
      </c>
      <c r="P2446" s="1" t="n">
        <f aca="false">MONTH(B2446)</f>
        <v>9</v>
      </c>
      <c r="Q2446" s="1" t="str">
        <f aca="false">TEXT(B2446,"mmm")</f>
        <v>Sep</v>
      </c>
      <c r="R2446" s="1" t="str">
        <f aca="false">"Q"&amp;ROUNDUP(MONTH(B2446)/3,0)</f>
        <v>Q3</v>
      </c>
    </row>
    <row r="2447" customFormat="false" ht="15" hidden="false" customHeight="true" outlineLevel="0" collapsed="false">
      <c r="A2447" s="1" t="n">
        <v>12446</v>
      </c>
      <c r="B2447" s="14" t="n">
        <v>47007</v>
      </c>
      <c r="C2447" s="1" t="n">
        <v>1851</v>
      </c>
      <c r="D2447" s="1" t="s">
        <v>34</v>
      </c>
      <c r="E2447" s="1" t="s">
        <v>35</v>
      </c>
      <c r="F2447" s="1" t="n">
        <v>7</v>
      </c>
      <c r="G2447" s="15" t="n">
        <v>94.79</v>
      </c>
      <c r="H2447" s="16" t="n">
        <v>0.11</v>
      </c>
      <c r="I2447" s="1" t="s">
        <v>31</v>
      </c>
      <c r="J2447" s="1" t="n">
        <v>6</v>
      </c>
      <c r="K2447" s="1" t="n">
        <v>5</v>
      </c>
      <c r="L2447" s="15" t="n">
        <v>590.54</v>
      </c>
      <c r="M2447" s="15" t="n">
        <f aca="false">F2447*G2447</f>
        <v>663.53</v>
      </c>
      <c r="N2447" s="15" t="n">
        <f aca="false">M2447-L2447</f>
        <v>72.9900000000001</v>
      </c>
      <c r="O2447" s="1" t="n">
        <f aca="false">YEAR(B2447)</f>
        <v>2028</v>
      </c>
      <c r="P2447" s="1" t="n">
        <f aca="false">MONTH(B2447)</f>
        <v>9</v>
      </c>
      <c r="Q2447" s="1" t="str">
        <f aca="false">TEXT(B2447,"mmm")</f>
        <v>Sep</v>
      </c>
      <c r="R2447" s="1" t="str">
        <f aca="false">"Q"&amp;ROUNDUP(MONTH(B2447)/3,0)</f>
        <v>Q3</v>
      </c>
    </row>
    <row r="2448" customFormat="false" ht="15" hidden="false" customHeight="true" outlineLevel="0" collapsed="false">
      <c r="A2448" s="1" t="n">
        <v>12447</v>
      </c>
      <c r="B2448" s="14" t="n">
        <v>47008</v>
      </c>
      <c r="C2448" s="1" t="n">
        <v>1739</v>
      </c>
      <c r="D2448" s="1" t="s">
        <v>34</v>
      </c>
      <c r="E2448" s="1" t="s">
        <v>28</v>
      </c>
      <c r="F2448" s="1" t="n">
        <v>2</v>
      </c>
      <c r="G2448" s="15" t="n">
        <v>63.21</v>
      </c>
      <c r="H2448" s="16" t="n">
        <v>0.35</v>
      </c>
      <c r="I2448" s="1" t="s">
        <v>29</v>
      </c>
      <c r="J2448" s="1" t="n">
        <v>5</v>
      </c>
      <c r="K2448" s="1" t="n">
        <v>3.4</v>
      </c>
      <c r="L2448" s="15" t="n">
        <v>82.17</v>
      </c>
      <c r="M2448" s="15" t="n">
        <f aca="false">F2448*G2448</f>
        <v>126.42</v>
      </c>
      <c r="N2448" s="15" t="n">
        <f aca="false">M2448-L2448</f>
        <v>44.25</v>
      </c>
      <c r="O2448" s="1" t="n">
        <f aca="false">YEAR(B2448)</f>
        <v>2028</v>
      </c>
      <c r="P2448" s="1" t="n">
        <f aca="false">MONTH(B2448)</f>
        <v>9</v>
      </c>
      <c r="Q2448" s="1" t="str">
        <f aca="false">TEXT(B2448,"mmm")</f>
        <v>Sep</v>
      </c>
      <c r="R2448" s="1" t="str">
        <f aca="false">"Q"&amp;ROUNDUP(MONTH(B2448)/3,0)</f>
        <v>Q3</v>
      </c>
    </row>
    <row r="2449" customFormat="false" ht="15" hidden="false" customHeight="true" outlineLevel="0" collapsed="false">
      <c r="A2449" s="1" t="n">
        <v>12448</v>
      </c>
      <c r="B2449" s="14" t="n">
        <v>47009</v>
      </c>
      <c r="C2449" s="1" t="n">
        <v>1520</v>
      </c>
      <c r="D2449" s="1" t="s">
        <v>34</v>
      </c>
      <c r="E2449" s="1" t="s">
        <v>28</v>
      </c>
      <c r="F2449" s="1" t="n">
        <v>6</v>
      </c>
      <c r="G2449" s="15" t="n">
        <v>508.22</v>
      </c>
      <c r="H2449" s="16" t="n">
        <v>0.05</v>
      </c>
      <c r="I2449" s="1" t="s">
        <v>33</v>
      </c>
      <c r="J2449" s="1" t="n">
        <v>7</v>
      </c>
      <c r="K2449" s="1" t="n">
        <v>1.5</v>
      </c>
      <c r="L2449" s="15" t="n">
        <v>2896.85</v>
      </c>
      <c r="M2449" s="15" t="n">
        <f aca="false">F2449*G2449</f>
        <v>3049.32</v>
      </c>
      <c r="N2449" s="15" t="n">
        <f aca="false">M2449-L2449</f>
        <v>152.47</v>
      </c>
      <c r="O2449" s="1" t="n">
        <f aca="false">YEAR(B2449)</f>
        <v>2028</v>
      </c>
      <c r="P2449" s="1" t="n">
        <f aca="false">MONTH(B2449)</f>
        <v>9</v>
      </c>
      <c r="Q2449" s="1" t="str">
        <f aca="false">TEXT(B2449,"mmm")</f>
        <v>Sep</v>
      </c>
      <c r="R2449" s="1" t="str">
        <f aca="false">"Q"&amp;ROUNDUP(MONTH(B2449)/3,0)</f>
        <v>Q3</v>
      </c>
    </row>
    <row r="2450" customFormat="false" ht="15" hidden="false" customHeight="true" outlineLevel="0" collapsed="false">
      <c r="A2450" s="1" t="n">
        <v>12449</v>
      </c>
      <c r="B2450" s="14" t="n">
        <v>47010</v>
      </c>
      <c r="C2450" s="1" t="n">
        <v>1677</v>
      </c>
      <c r="D2450" s="1" t="s">
        <v>34</v>
      </c>
      <c r="E2450" s="1" t="s">
        <v>35</v>
      </c>
      <c r="F2450" s="1" t="n">
        <v>3</v>
      </c>
      <c r="G2450" s="15" t="n">
        <v>21.21</v>
      </c>
      <c r="H2450" s="16" t="n">
        <v>0.27</v>
      </c>
      <c r="I2450" s="1" t="s">
        <v>33</v>
      </c>
      <c r="J2450" s="1" t="n">
        <v>9</v>
      </c>
      <c r="K2450" s="1" t="n">
        <v>1.7</v>
      </c>
      <c r="L2450" s="15" t="n">
        <v>46.45</v>
      </c>
      <c r="M2450" s="15" t="n">
        <f aca="false">F2450*G2450</f>
        <v>63.63</v>
      </c>
      <c r="N2450" s="15" t="n">
        <f aca="false">M2450-L2450</f>
        <v>17.18</v>
      </c>
      <c r="O2450" s="1" t="n">
        <f aca="false">YEAR(B2450)</f>
        <v>2028</v>
      </c>
      <c r="P2450" s="1" t="n">
        <f aca="false">MONTH(B2450)</f>
        <v>9</v>
      </c>
      <c r="Q2450" s="1" t="str">
        <f aca="false">TEXT(B2450,"mmm")</f>
        <v>Sep</v>
      </c>
      <c r="R2450" s="1" t="str">
        <f aca="false">"Q"&amp;ROUNDUP(MONTH(B2450)/3,0)</f>
        <v>Q3</v>
      </c>
    </row>
    <row r="2451" customFormat="false" ht="15" hidden="false" customHeight="true" outlineLevel="0" collapsed="false">
      <c r="A2451" s="1" t="n">
        <v>12450</v>
      </c>
      <c r="B2451" s="14" t="n">
        <v>47011</v>
      </c>
      <c r="C2451" s="1" t="n">
        <v>1943</v>
      </c>
      <c r="D2451" s="1" t="s">
        <v>30</v>
      </c>
      <c r="E2451" s="1" t="s">
        <v>35</v>
      </c>
      <c r="F2451" s="1" t="n">
        <v>2</v>
      </c>
      <c r="G2451" s="15" t="n">
        <v>519.07</v>
      </c>
      <c r="H2451" s="16" t="n">
        <v>0.33</v>
      </c>
      <c r="I2451" s="1" t="s">
        <v>29</v>
      </c>
      <c r="J2451" s="1" t="n">
        <v>5</v>
      </c>
      <c r="K2451" s="1" t="n">
        <v>3.2</v>
      </c>
      <c r="L2451" s="15" t="n">
        <v>695.55</v>
      </c>
      <c r="M2451" s="15" t="n">
        <f aca="false">F2451*G2451</f>
        <v>1038.14</v>
      </c>
      <c r="N2451" s="15" t="n">
        <f aca="false">M2451-L2451</f>
        <v>342.59</v>
      </c>
      <c r="O2451" s="1" t="n">
        <f aca="false">YEAR(B2451)</f>
        <v>2028</v>
      </c>
      <c r="P2451" s="1" t="n">
        <f aca="false">MONTH(B2451)</f>
        <v>9</v>
      </c>
      <c r="Q2451" s="1" t="str">
        <f aca="false">TEXT(B2451,"mmm")</f>
        <v>Sep</v>
      </c>
      <c r="R2451" s="1" t="str">
        <f aca="false">"Q"&amp;ROUNDUP(MONTH(B2451)/3,0)</f>
        <v>Q3</v>
      </c>
    </row>
    <row r="2452" customFormat="false" ht="15" hidden="false" customHeight="true" outlineLevel="0" collapsed="false">
      <c r="A2452" s="1" t="n">
        <v>12451</v>
      </c>
      <c r="B2452" s="14" t="n">
        <v>47012</v>
      </c>
      <c r="C2452" s="1" t="n">
        <v>1955</v>
      </c>
      <c r="D2452" s="1" t="s">
        <v>27</v>
      </c>
      <c r="E2452" s="1" t="s">
        <v>35</v>
      </c>
      <c r="F2452" s="1" t="n">
        <v>4</v>
      </c>
      <c r="G2452" s="15" t="n">
        <v>278.99</v>
      </c>
      <c r="H2452" s="16" t="n">
        <v>0.18</v>
      </c>
      <c r="I2452" s="1" t="s">
        <v>31</v>
      </c>
      <c r="J2452" s="1" t="n">
        <v>3</v>
      </c>
      <c r="K2452" s="1" t="n">
        <v>3.9</v>
      </c>
      <c r="L2452" s="15" t="n">
        <v>915.09</v>
      </c>
      <c r="M2452" s="15" t="n">
        <f aca="false">F2452*G2452</f>
        <v>1115.96</v>
      </c>
      <c r="N2452" s="15" t="n">
        <f aca="false">M2452-L2452</f>
        <v>200.87</v>
      </c>
      <c r="O2452" s="1" t="n">
        <f aca="false">YEAR(B2452)</f>
        <v>2028</v>
      </c>
      <c r="P2452" s="1" t="n">
        <f aca="false">MONTH(B2452)</f>
        <v>9</v>
      </c>
      <c r="Q2452" s="1" t="str">
        <f aca="false">TEXT(B2452,"mmm")</f>
        <v>Sep</v>
      </c>
      <c r="R2452" s="1" t="str">
        <f aca="false">"Q"&amp;ROUNDUP(MONTH(B2452)/3,0)</f>
        <v>Q3</v>
      </c>
    </row>
    <row r="2453" customFormat="false" ht="15" hidden="false" customHeight="true" outlineLevel="0" collapsed="false">
      <c r="A2453" s="1" t="n">
        <v>12452</v>
      </c>
      <c r="B2453" s="14" t="n">
        <v>47013</v>
      </c>
      <c r="C2453" s="1" t="n">
        <v>1830</v>
      </c>
      <c r="D2453" s="1" t="s">
        <v>37</v>
      </c>
      <c r="E2453" s="1" t="s">
        <v>35</v>
      </c>
      <c r="F2453" s="1" t="n">
        <v>3</v>
      </c>
      <c r="G2453" s="15" t="n">
        <v>17.35</v>
      </c>
      <c r="H2453" s="16" t="n">
        <v>0</v>
      </c>
      <c r="I2453" s="1" t="s">
        <v>33</v>
      </c>
      <c r="J2453" s="1" t="n">
        <v>9</v>
      </c>
      <c r="K2453" s="1" t="n">
        <v>3.7</v>
      </c>
      <c r="L2453" s="15" t="n">
        <v>52.05</v>
      </c>
      <c r="M2453" s="15" t="n">
        <f aca="false">F2453*G2453</f>
        <v>52.05</v>
      </c>
      <c r="N2453" s="15" t="n">
        <f aca="false">M2453-L2453</f>
        <v>0</v>
      </c>
      <c r="O2453" s="1" t="n">
        <f aca="false">YEAR(B2453)</f>
        <v>2028</v>
      </c>
      <c r="P2453" s="1" t="n">
        <f aca="false">MONTH(B2453)</f>
        <v>9</v>
      </c>
      <c r="Q2453" s="1" t="str">
        <f aca="false">TEXT(B2453,"mmm")</f>
        <v>Sep</v>
      </c>
      <c r="R2453" s="1" t="str">
        <f aca="false">"Q"&amp;ROUNDUP(MONTH(B2453)/3,0)</f>
        <v>Q3</v>
      </c>
    </row>
    <row r="2454" customFormat="false" ht="15" hidden="false" customHeight="true" outlineLevel="0" collapsed="false">
      <c r="A2454" s="1" t="n">
        <v>12453</v>
      </c>
      <c r="B2454" s="14" t="n">
        <v>47014</v>
      </c>
      <c r="C2454" s="1" t="n">
        <v>1725</v>
      </c>
      <c r="D2454" s="1" t="s">
        <v>30</v>
      </c>
      <c r="E2454" s="1" t="s">
        <v>35</v>
      </c>
      <c r="F2454" s="1" t="n">
        <v>4</v>
      </c>
      <c r="G2454" s="15" t="n">
        <v>249.96</v>
      </c>
      <c r="H2454" s="16" t="n">
        <v>0.13</v>
      </c>
      <c r="I2454" s="1" t="s">
        <v>29</v>
      </c>
      <c r="J2454" s="1" t="n">
        <v>10</v>
      </c>
      <c r="K2454" s="1" t="n">
        <v>3.3</v>
      </c>
      <c r="L2454" s="15" t="n">
        <v>869.86</v>
      </c>
      <c r="M2454" s="15" t="n">
        <f aca="false">F2454*G2454</f>
        <v>999.84</v>
      </c>
      <c r="N2454" s="15" t="n">
        <f aca="false">M2454-L2454</f>
        <v>129.98</v>
      </c>
      <c r="O2454" s="1" t="n">
        <f aca="false">YEAR(B2454)</f>
        <v>2028</v>
      </c>
      <c r="P2454" s="1" t="n">
        <f aca="false">MONTH(B2454)</f>
        <v>9</v>
      </c>
      <c r="Q2454" s="1" t="str">
        <f aca="false">TEXT(B2454,"mmm")</f>
        <v>Sep</v>
      </c>
      <c r="R2454" s="1" t="str">
        <f aca="false">"Q"&amp;ROUNDUP(MONTH(B2454)/3,0)</f>
        <v>Q3</v>
      </c>
    </row>
    <row r="2455" customFormat="false" ht="15" hidden="false" customHeight="true" outlineLevel="0" collapsed="false">
      <c r="A2455" s="1" t="n">
        <v>12454</v>
      </c>
      <c r="B2455" s="14" t="n">
        <v>47015</v>
      </c>
      <c r="C2455" s="1" t="n">
        <v>1500</v>
      </c>
      <c r="D2455" s="1" t="s">
        <v>27</v>
      </c>
      <c r="E2455" s="1" t="s">
        <v>35</v>
      </c>
      <c r="F2455" s="1" t="n">
        <v>5</v>
      </c>
      <c r="G2455" s="15" t="n">
        <v>124.28</v>
      </c>
      <c r="H2455" s="16" t="n">
        <v>0.04</v>
      </c>
      <c r="I2455" s="1" t="s">
        <v>33</v>
      </c>
      <c r="J2455" s="1" t="n">
        <v>1</v>
      </c>
      <c r="K2455" s="1" t="n">
        <v>4.9</v>
      </c>
      <c r="L2455" s="15" t="n">
        <v>596.54</v>
      </c>
      <c r="M2455" s="15" t="n">
        <f aca="false">F2455*G2455</f>
        <v>621.4</v>
      </c>
      <c r="N2455" s="15" t="n">
        <f aca="false">M2455-L2455</f>
        <v>24.86</v>
      </c>
      <c r="O2455" s="1" t="n">
        <f aca="false">YEAR(B2455)</f>
        <v>2028</v>
      </c>
      <c r="P2455" s="1" t="n">
        <f aca="false">MONTH(B2455)</f>
        <v>9</v>
      </c>
      <c r="Q2455" s="1" t="str">
        <f aca="false">TEXT(B2455,"mmm")</f>
        <v>Sep</v>
      </c>
      <c r="R2455" s="1" t="str">
        <f aca="false">"Q"&amp;ROUNDUP(MONTH(B2455)/3,0)</f>
        <v>Q3</v>
      </c>
    </row>
    <row r="2456" customFormat="false" ht="15" hidden="false" customHeight="true" outlineLevel="0" collapsed="false">
      <c r="A2456" s="1" t="n">
        <v>12455</v>
      </c>
      <c r="B2456" s="14" t="n">
        <v>47016</v>
      </c>
      <c r="C2456" s="1" t="n">
        <v>1116</v>
      </c>
      <c r="D2456" s="1" t="s">
        <v>37</v>
      </c>
      <c r="E2456" s="1" t="s">
        <v>28</v>
      </c>
      <c r="F2456" s="1" t="n">
        <v>1</v>
      </c>
      <c r="G2456" s="15" t="n">
        <v>380.27</v>
      </c>
      <c r="H2456" s="16" t="n">
        <v>0.15</v>
      </c>
      <c r="I2456" s="1" t="s">
        <v>33</v>
      </c>
      <c r="J2456" s="1" t="n">
        <v>1</v>
      </c>
      <c r="K2456" s="1" t="n">
        <v>1.8</v>
      </c>
      <c r="L2456" s="15" t="n">
        <v>323.23</v>
      </c>
      <c r="M2456" s="15" t="n">
        <f aca="false">F2456*G2456</f>
        <v>380.27</v>
      </c>
      <c r="N2456" s="15" t="n">
        <f aca="false">M2456-L2456</f>
        <v>57.04</v>
      </c>
      <c r="O2456" s="1" t="n">
        <f aca="false">YEAR(B2456)</f>
        <v>2028</v>
      </c>
      <c r="P2456" s="1" t="n">
        <f aca="false">MONTH(B2456)</f>
        <v>9</v>
      </c>
      <c r="Q2456" s="1" t="str">
        <f aca="false">TEXT(B2456,"mmm")</f>
        <v>Sep</v>
      </c>
      <c r="R2456" s="1" t="str">
        <f aca="false">"Q"&amp;ROUNDUP(MONTH(B2456)/3,0)</f>
        <v>Q3</v>
      </c>
    </row>
    <row r="2457" customFormat="false" ht="15" hidden="false" customHeight="true" outlineLevel="0" collapsed="false">
      <c r="A2457" s="1" t="n">
        <v>12456</v>
      </c>
      <c r="B2457" s="14" t="n">
        <v>47017</v>
      </c>
      <c r="C2457" s="1" t="n">
        <v>1385</v>
      </c>
      <c r="D2457" s="1" t="s">
        <v>27</v>
      </c>
      <c r="E2457" s="1" t="s">
        <v>35</v>
      </c>
      <c r="F2457" s="1" t="n">
        <v>7</v>
      </c>
      <c r="G2457" s="15" t="n">
        <v>412.42</v>
      </c>
      <c r="H2457" s="16" t="n">
        <v>0.28</v>
      </c>
      <c r="I2457" s="1" t="s">
        <v>31</v>
      </c>
      <c r="J2457" s="1" t="n">
        <v>10</v>
      </c>
      <c r="K2457" s="1" t="n">
        <v>1.7</v>
      </c>
      <c r="L2457" s="15" t="n">
        <v>2078.6</v>
      </c>
      <c r="M2457" s="15" t="n">
        <f aca="false">F2457*G2457</f>
        <v>2886.94</v>
      </c>
      <c r="N2457" s="15" t="n">
        <f aca="false">M2457-L2457</f>
        <v>808.34</v>
      </c>
      <c r="O2457" s="1" t="n">
        <f aca="false">YEAR(B2457)</f>
        <v>2028</v>
      </c>
      <c r="P2457" s="1" t="n">
        <f aca="false">MONTH(B2457)</f>
        <v>9</v>
      </c>
      <c r="Q2457" s="1" t="str">
        <f aca="false">TEXT(B2457,"mmm")</f>
        <v>Sep</v>
      </c>
      <c r="R2457" s="1" t="str">
        <f aca="false">"Q"&amp;ROUNDUP(MONTH(B2457)/3,0)</f>
        <v>Q3</v>
      </c>
    </row>
    <row r="2458" customFormat="false" ht="15" hidden="false" customHeight="true" outlineLevel="0" collapsed="false">
      <c r="A2458" s="1" t="n">
        <v>12457</v>
      </c>
      <c r="B2458" s="14" t="n">
        <v>47018</v>
      </c>
      <c r="C2458" s="1" t="n">
        <v>1343</v>
      </c>
      <c r="D2458" s="1" t="s">
        <v>30</v>
      </c>
      <c r="E2458" s="1" t="s">
        <v>32</v>
      </c>
      <c r="F2458" s="1" t="n">
        <v>4</v>
      </c>
      <c r="G2458" s="15" t="n">
        <v>300.2</v>
      </c>
      <c r="H2458" s="16" t="n">
        <v>0.15</v>
      </c>
      <c r="I2458" s="1" t="s">
        <v>33</v>
      </c>
      <c r="J2458" s="1" t="n">
        <v>11</v>
      </c>
      <c r="K2458" s="1" t="n">
        <v>4.4</v>
      </c>
      <c r="L2458" s="15" t="n">
        <v>1020.68</v>
      </c>
      <c r="M2458" s="15" t="n">
        <f aca="false">F2458*G2458</f>
        <v>1200.8</v>
      </c>
      <c r="N2458" s="15" t="n">
        <f aca="false">M2458-L2458</f>
        <v>180.12</v>
      </c>
      <c r="O2458" s="1" t="n">
        <f aca="false">YEAR(B2458)</f>
        <v>2028</v>
      </c>
      <c r="P2458" s="1" t="n">
        <f aca="false">MONTH(B2458)</f>
        <v>9</v>
      </c>
      <c r="Q2458" s="1" t="str">
        <f aca="false">TEXT(B2458,"mmm")</f>
        <v>Sep</v>
      </c>
      <c r="R2458" s="1" t="str">
        <f aca="false">"Q"&amp;ROUNDUP(MONTH(B2458)/3,0)</f>
        <v>Q3</v>
      </c>
    </row>
    <row r="2459" customFormat="false" ht="15" hidden="false" customHeight="true" outlineLevel="0" collapsed="false">
      <c r="A2459" s="1" t="n">
        <v>12458</v>
      </c>
      <c r="B2459" s="14" t="n">
        <v>47019</v>
      </c>
      <c r="C2459" s="1" t="n">
        <v>1583</v>
      </c>
      <c r="D2459" s="1" t="s">
        <v>34</v>
      </c>
      <c r="E2459" s="1" t="s">
        <v>28</v>
      </c>
      <c r="F2459" s="1" t="n">
        <v>5</v>
      </c>
      <c r="G2459" s="15" t="n">
        <v>38.7</v>
      </c>
      <c r="H2459" s="16" t="n">
        <v>0.15</v>
      </c>
      <c r="I2459" s="1" t="s">
        <v>31</v>
      </c>
      <c r="J2459" s="1" t="n">
        <v>4</v>
      </c>
      <c r="K2459" s="1" t="n">
        <v>2.2</v>
      </c>
      <c r="L2459" s="15" t="n">
        <v>164.48</v>
      </c>
      <c r="M2459" s="15" t="n">
        <f aca="false">F2459*G2459</f>
        <v>193.5</v>
      </c>
      <c r="N2459" s="15" t="n">
        <f aca="false">M2459-L2459</f>
        <v>29.02</v>
      </c>
      <c r="O2459" s="1" t="n">
        <f aca="false">YEAR(B2459)</f>
        <v>2028</v>
      </c>
      <c r="P2459" s="1" t="n">
        <f aca="false">MONTH(B2459)</f>
        <v>9</v>
      </c>
      <c r="Q2459" s="1" t="str">
        <f aca="false">TEXT(B2459,"mmm")</f>
        <v>Sep</v>
      </c>
      <c r="R2459" s="1" t="str">
        <f aca="false">"Q"&amp;ROUNDUP(MONTH(B2459)/3,0)</f>
        <v>Q3</v>
      </c>
    </row>
    <row r="2460" customFormat="false" ht="15" hidden="false" customHeight="true" outlineLevel="0" collapsed="false">
      <c r="A2460" s="1" t="n">
        <v>12459</v>
      </c>
      <c r="B2460" s="14" t="n">
        <v>47020</v>
      </c>
      <c r="C2460" s="1" t="n">
        <v>1394</v>
      </c>
      <c r="D2460" s="1" t="s">
        <v>34</v>
      </c>
      <c r="E2460" s="1" t="s">
        <v>36</v>
      </c>
      <c r="F2460" s="1" t="n">
        <v>2</v>
      </c>
      <c r="G2460" s="15" t="n">
        <v>398.84</v>
      </c>
      <c r="H2460" s="16" t="n">
        <v>0.19</v>
      </c>
      <c r="I2460" s="1" t="s">
        <v>29</v>
      </c>
      <c r="J2460" s="1" t="n">
        <v>2</v>
      </c>
      <c r="K2460" s="1" t="n">
        <v>2.3</v>
      </c>
      <c r="L2460" s="15" t="n">
        <v>646.12</v>
      </c>
      <c r="M2460" s="15" t="n">
        <f aca="false">F2460*G2460</f>
        <v>797.68</v>
      </c>
      <c r="N2460" s="15" t="n">
        <f aca="false">M2460-L2460</f>
        <v>151.56</v>
      </c>
      <c r="O2460" s="1" t="n">
        <f aca="false">YEAR(B2460)</f>
        <v>2028</v>
      </c>
      <c r="P2460" s="1" t="n">
        <f aca="false">MONTH(B2460)</f>
        <v>9</v>
      </c>
      <c r="Q2460" s="1" t="str">
        <f aca="false">TEXT(B2460,"mmm")</f>
        <v>Sep</v>
      </c>
      <c r="R2460" s="1" t="str">
        <f aca="false">"Q"&amp;ROUNDUP(MONTH(B2460)/3,0)</f>
        <v>Q3</v>
      </c>
    </row>
    <row r="2461" customFormat="false" ht="15" hidden="false" customHeight="true" outlineLevel="0" collapsed="false">
      <c r="A2461" s="1" t="n">
        <v>12460</v>
      </c>
      <c r="B2461" s="14" t="n">
        <v>47021</v>
      </c>
      <c r="C2461" s="1" t="n">
        <v>1063</v>
      </c>
      <c r="D2461" s="1" t="s">
        <v>37</v>
      </c>
      <c r="E2461" s="1" t="s">
        <v>28</v>
      </c>
      <c r="F2461" s="1" t="n">
        <v>4</v>
      </c>
      <c r="G2461" s="15" t="n">
        <v>507.59</v>
      </c>
      <c r="H2461" s="16" t="n">
        <v>0.2</v>
      </c>
      <c r="I2461" s="1" t="s">
        <v>29</v>
      </c>
      <c r="J2461" s="1" t="n">
        <v>7</v>
      </c>
      <c r="K2461" s="1" t="n">
        <v>3.2</v>
      </c>
      <c r="L2461" s="15" t="n">
        <v>1624.29</v>
      </c>
      <c r="M2461" s="15" t="n">
        <f aca="false">F2461*G2461</f>
        <v>2030.36</v>
      </c>
      <c r="N2461" s="15" t="n">
        <f aca="false">M2461-L2461</f>
        <v>406.07</v>
      </c>
      <c r="O2461" s="1" t="n">
        <f aca="false">YEAR(B2461)</f>
        <v>2028</v>
      </c>
      <c r="P2461" s="1" t="n">
        <f aca="false">MONTH(B2461)</f>
        <v>9</v>
      </c>
      <c r="Q2461" s="1" t="str">
        <f aca="false">TEXT(B2461,"mmm")</f>
        <v>Sep</v>
      </c>
      <c r="R2461" s="1" t="str">
        <f aca="false">"Q"&amp;ROUNDUP(MONTH(B2461)/3,0)</f>
        <v>Q3</v>
      </c>
    </row>
    <row r="2462" customFormat="false" ht="15" hidden="false" customHeight="true" outlineLevel="0" collapsed="false">
      <c r="A2462" s="1" t="n">
        <v>12461</v>
      </c>
      <c r="B2462" s="14" t="n">
        <v>47022</v>
      </c>
      <c r="C2462" s="1" t="n">
        <v>1716</v>
      </c>
      <c r="D2462" s="1" t="s">
        <v>34</v>
      </c>
      <c r="E2462" s="1" t="s">
        <v>36</v>
      </c>
      <c r="F2462" s="1" t="n">
        <v>5</v>
      </c>
      <c r="G2462" s="15" t="n">
        <v>436.39</v>
      </c>
      <c r="H2462" s="16" t="n">
        <v>0.3</v>
      </c>
      <c r="I2462" s="1" t="s">
        <v>29</v>
      </c>
      <c r="J2462" s="1" t="n">
        <v>2</v>
      </c>
      <c r="K2462" s="1" t="n">
        <v>2.5</v>
      </c>
      <c r="L2462" s="15" t="n">
        <v>1527.36</v>
      </c>
      <c r="M2462" s="15" t="n">
        <f aca="false">F2462*G2462</f>
        <v>2181.95</v>
      </c>
      <c r="N2462" s="15" t="n">
        <f aca="false">M2462-L2462</f>
        <v>654.59</v>
      </c>
      <c r="O2462" s="1" t="n">
        <f aca="false">YEAR(B2462)</f>
        <v>2028</v>
      </c>
      <c r="P2462" s="1" t="n">
        <f aca="false">MONTH(B2462)</f>
        <v>9</v>
      </c>
      <c r="Q2462" s="1" t="str">
        <f aca="false">TEXT(B2462,"mmm")</f>
        <v>Sep</v>
      </c>
      <c r="R2462" s="1" t="str">
        <f aca="false">"Q"&amp;ROUNDUP(MONTH(B2462)/3,0)</f>
        <v>Q3</v>
      </c>
    </row>
    <row r="2463" customFormat="false" ht="15" hidden="false" customHeight="true" outlineLevel="0" collapsed="false">
      <c r="A2463" s="1" t="n">
        <v>12462</v>
      </c>
      <c r="B2463" s="14" t="n">
        <v>47023</v>
      </c>
      <c r="C2463" s="1" t="n">
        <v>1720</v>
      </c>
      <c r="D2463" s="1" t="s">
        <v>34</v>
      </c>
      <c r="E2463" s="1" t="s">
        <v>36</v>
      </c>
      <c r="F2463" s="1" t="n">
        <v>1</v>
      </c>
      <c r="G2463" s="15" t="n">
        <v>500.53</v>
      </c>
      <c r="H2463" s="16" t="n">
        <v>0.11</v>
      </c>
      <c r="I2463" s="1" t="s">
        <v>33</v>
      </c>
      <c r="J2463" s="1" t="n">
        <v>7</v>
      </c>
      <c r="K2463" s="1" t="n">
        <v>2.2</v>
      </c>
      <c r="L2463" s="15" t="n">
        <v>445.47</v>
      </c>
      <c r="M2463" s="15" t="n">
        <f aca="false">F2463*G2463</f>
        <v>500.53</v>
      </c>
      <c r="N2463" s="15" t="n">
        <f aca="false">M2463-L2463</f>
        <v>55.0599999999999</v>
      </c>
      <c r="O2463" s="1" t="n">
        <f aca="false">YEAR(B2463)</f>
        <v>2028</v>
      </c>
      <c r="P2463" s="1" t="n">
        <f aca="false">MONTH(B2463)</f>
        <v>9</v>
      </c>
      <c r="Q2463" s="1" t="str">
        <f aca="false">TEXT(B2463,"mmm")</f>
        <v>Sep</v>
      </c>
      <c r="R2463" s="1" t="str">
        <f aca="false">"Q"&amp;ROUNDUP(MONTH(B2463)/3,0)</f>
        <v>Q3</v>
      </c>
    </row>
    <row r="2464" customFormat="false" ht="15" hidden="false" customHeight="true" outlineLevel="0" collapsed="false">
      <c r="A2464" s="1" t="n">
        <v>12463</v>
      </c>
      <c r="B2464" s="14" t="n">
        <v>47024</v>
      </c>
      <c r="C2464" s="1" t="n">
        <v>1071</v>
      </c>
      <c r="D2464" s="1" t="s">
        <v>30</v>
      </c>
      <c r="E2464" s="1" t="s">
        <v>32</v>
      </c>
      <c r="F2464" s="1" t="n">
        <v>7</v>
      </c>
      <c r="G2464" s="15" t="n">
        <v>132.3</v>
      </c>
      <c r="H2464" s="16" t="n">
        <v>0.29</v>
      </c>
      <c r="I2464" s="1" t="s">
        <v>31</v>
      </c>
      <c r="J2464" s="1" t="n">
        <v>8</v>
      </c>
      <c r="K2464" s="1" t="n">
        <v>4.7</v>
      </c>
      <c r="L2464" s="15" t="n">
        <v>657.53</v>
      </c>
      <c r="M2464" s="15" t="n">
        <f aca="false">F2464*G2464</f>
        <v>926.1</v>
      </c>
      <c r="N2464" s="15" t="n">
        <f aca="false">M2464-L2464</f>
        <v>268.57</v>
      </c>
      <c r="O2464" s="1" t="n">
        <f aca="false">YEAR(B2464)</f>
        <v>2028</v>
      </c>
      <c r="P2464" s="1" t="n">
        <f aca="false">MONTH(B2464)</f>
        <v>9</v>
      </c>
      <c r="Q2464" s="1" t="str">
        <f aca="false">TEXT(B2464,"mmm")</f>
        <v>Sep</v>
      </c>
      <c r="R2464" s="1" t="str">
        <f aca="false">"Q"&amp;ROUNDUP(MONTH(B2464)/3,0)</f>
        <v>Q3</v>
      </c>
    </row>
    <row r="2465" customFormat="false" ht="15" hidden="false" customHeight="true" outlineLevel="0" collapsed="false">
      <c r="A2465" s="1" t="n">
        <v>12464</v>
      </c>
      <c r="B2465" s="14" t="n">
        <v>47025</v>
      </c>
      <c r="C2465" s="1" t="n">
        <v>1788</v>
      </c>
      <c r="D2465" s="1" t="s">
        <v>30</v>
      </c>
      <c r="E2465" s="1" t="s">
        <v>35</v>
      </c>
      <c r="F2465" s="1" t="n">
        <v>4</v>
      </c>
      <c r="G2465" s="15" t="n">
        <v>535</v>
      </c>
      <c r="H2465" s="16" t="n">
        <v>0.2</v>
      </c>
      <c r="I2465" s="1" t="s">
        <v>31</v>
      </c>
      <c r="J2465" s="1" t="n">
        <v>11</v>
      </c>
      <c r="K2465" s="1" t="n">
        <v>1.5</v>
      </c>
      <c r="L2465" s="15" t="n">
        <v>1712</v>
      </c>
      <c r="M2465" s="15" t="n">
        <f aca="false">F2465*G2465</f>
        <v>2140</v>
      </c>
      <c r="N2465" s="15" t="n">
        <f aca="false">M2465-L2465</f>
        <v>428</v>
      </c>
      <c r="O2465" s="1" t="n">
        <f aca="false">YEAR(B2465)</f>
        <v>2028</v>
      </c>
      <c r="P2465" s="1" t="n">
        <f aca="false">MONTH(B2465)</f>
        <v>9</v>
      </c>
      <c r="Q2465" s="1" t="str">
        <f aca="false">TEXT(B2465,"mmm")</f>
        <v>Sep</v>
      </c>
      <c r="R2465" s="1" t="str">
        <f aca="false">"Q"&amp;ROUNDUP(MONTH(B2465)/3,0)</f>
        <v>Q3</v>
      </c>
    </row>
    <row r="2466" customFormat="false" ht="15" hidden="false" customHeight="true" outlineLevel="0" collapsed="false">
      <c r="A2466" s="1" t="n">
        <v>12465</v>
      </c>
      <c r="B2466" s="14" t="n">
        <v>47026</v>
      </c>
      <c r="C2466" s="1" t="n">
        <v>1273</v>
      </c>
      <c r="D2466" s="1" t="s">
        <v>30</v>
      </c>
      <c r="E2466" s="1" t="s">
        <v>35</v>
      </c>
      <c r="F2466" s="1" t="n">
        <v>6</v>
      </c>
      <c r="G2466" s="15" t="n">
        <v>203.48</v>
      </c>
      <c r="H2466" s="16" t="n">
        <v>0.11</v>
      </c>
      <c r="I2466" s="1" t="s">
        <v>29</v>
      </c>
      <c r="J2466" s="1" t="n">
        <v>8</v>
      </c>
      <c r="K2466" s="1" t="n">
        <v>2.6</v>
      </c>
      <c r="L2466" s="15" t="n">
        <v>1086.58</v>
      </c>
      <c r="M2466" s="15" t="n">
        <f aca="false">F2466*G2466</f>
        <v>1220.88</v>
      </c>
      <c r="N2466" s="15" t="n">
        <f aca="false">M2466-L2466</f>
        <v>134.3</v>
      </c>
      <c r="O2466" s="1" t="n">
        <f aca="false">YEAR(B2466)</f>
        <v>2028</v>
      </c>
      <c r="P2466" s="1" t="n">
        <f aca="false">MONTH(B2466)</f>
        <v>9</v>
      </c>
      <c r="Q2466" s="1" t="str">
        <f aca="false">TEXT(B2466,"mmm")</f>
        <v>Sep</v>
      </c>
      <c r="R2466" s="1" t="str">
        <f aca="false">"Q"&amp;ROUNDUP(MONTH(B2466)/3,0)</f>
        <v>Q3</v>
      </c>
    </row>
    <row r="2467" customFormat="false" ht="15" hidden="false" customHeight="true" outlineLevel="0" collapsed="false">
      <c r="A2467" s="1" t="n">
        <v>12466</v>
      </c>
      <c r="B2467" s="14" t="n">
        <v>47027</v>
      </c>
      <c r="C2467" s="1" t="n">
        <v>1989</v>
      </c>
      <c r="D2467" s="1" t="s">
        <v>34</v>
      </c>
      <c r="E2467" s="1" t="s">
        <v>28</v>
      </c>
      <c r="F2467" s="1" t="n">
        <v>5</v>
      </c>
      <c r="G2467" s="15" t="n">
        <v>22.84</v>
      </c>
      <c r="H2467" s="16" t="n">
        <v>0.1</v>
      </c>
      <c r="I2467" s="1" t="s">
        <v>31</v>
      </c>
      <c r="J2467" s="1" t="n">
        <v>3</v>
      </c>
      <c r="K2467" s="1" t="n">
        <v>1</v>
      </c>
      <c r="L2467" s="15" t="n">
        <v>102.78</v>
      </c>
      <c r="M2467" s="15" t="n">
        <f aca="false">F2467*G2467</f>
        <v>114.2</v>
      </c>
      <c r="N2467" s="15" t="n">
        <f aca="false">M2467-L2467</f>
        <v>11.42</v>
      </c>
      <c r="O2467" s="1" t="n">
        <f aca="false">YEAR(B2467)</f>
        <v>2028</v>
      </c>
      <c r="P2467" s="1" t="n">
        <f aca="false">MONTH(B2467)</f>
        <v>10</v>
      </c>
      <c r="Q2467" s="1" t="str">
        <f aca="false">TEXT(B2467,"mmm")</f>
        <v>Oct</v>
      </c>
      <c r="R2467" s="1" t="str">
        <f aca="false">"Q"&amp;ROUNDUP(MONTH(B2467)/3,0)</f>
        <v>Q4</v>
      </c>
    </row>
    <row r="2468" customFormat="false" ht="15" hidden="false" customHeight="true" outlineLevel="0" collapsed="false">
      <c r="A2468" s="1" t="n">
        <v>12467</v>
      </c>
      <c r="B2468" s="14" t="n">
        <v>47028</v>
      </c>
      <c r="C2468" s="1" t="n">
        <v>1319</v>
      </c>
      <c r="D2468" s="1" t="s">
        <v>30</v>
      </c>
      <c r="E2468" s="1" t="s">
        <v>35</v>
      </c>
      <c r="F2468" s="1" t="n">
        <v>4</v>
      </c>
      <c r="G2468" s="15" t="n">
        <v>508.38</v>
      </c>
      <c r="H2468" s="16" t="n">
        <v>0.13</v>
      </c>
      <c r="I2468" s="1" t="s">
        <v>31</v>
      </c>
      <c r="J2468" s="1" t="n">
        <v>9</v>
      </c>
      <c r="K2468" s="1" t="n">
        <v>4.2</v>
      </c>
      <c r="L2468" s="15" t="n">
        <v>1769.16</v>
      </c>
      <c r="M2468" s="15" t="n">
        <f aca="false">F2468*G2468</f>
        <v>2033.52</v>
      </c>
      <c r="N2468" s="15" t="n">
        <f aca="false">M2468-L2468</f>
        <v>264.36</v>
      </c>
      <c r="O2468" s="1" t="n">
        <f aca="false">YEAR(B2468)</f>
        <v>2028</v>
      </c>
      <c r="P2468" s="1" t="n">
        <f aca="false">MONTH(B2468)</f>
        <v>10</v>
      </c>
      <c r="Q2468" s="1" t="str">
        <f aca="false">TEXT(B2468,"mmm")</f>
        <v>Oct</v>
      </c>
      <c r="R2468" s="1" t="str">
        <f aca="false">"Q"&amp;ROUNDUP(MONTH(B2468)/3,0)</f>
        <v>Q4</v>
      </c>
    </row>
    <row r="2469" customFormat="false" ht="15" hidden="false" customHeight="true" outlineLevel="0" collapsed="false">
      <c r="A2469" s="1" t="n">
        <v>12468</v>
      </c>
      <c r="B2469" s="14" t="n">
        <v>47029</v>
      </c>
      <c r="C2469" s="1" t="n">
        <v>1337</v>
      </c>
      <c r="D2469" s="1" t="s">
        <v>30</v>
      </c>
      <c r="E2469" s="1" t="s">
        <v>32</v>
      </c>
      <c r="F2469" s="1" t="n">
        <v>1</v>
      </c>
      <c r="G2469" s="15" t="n">
        <v>565.97</v>
      </c>
      <c r="H2469" s="16" t="n">
        <v>0.22</v>
      </c>
      <c r="I2469" s="1" t="s">
        <v>33</v>
      </c>
      <c r="J2469" s="1" t="n">
        <v>10</v>
      </c>
      <c r="K2469" s="1" t="n">
        <v>1.7</v>
      </c>
      <c r="L2469" s="15" t="n">
        <v>441.46</v>
      </c>
      <c r="M2469" s="15" t="n">
        <f aca="false">F2469*G2469</f>
        <v>565.97</v>
      </c>
      <c r="N2469" s="15" t="n">
        <f aca="false">M2469-L2469</f>
        <v>124.51</v>
      </c>
      <c r="O2469" s="1" t="n">
        <f aca="false">YEAR(B2469)</f>
        <v>2028</v>
      </c>
      <c r="P2469" s="1" t="n">
        <f aca="false">MONTH(B2469)</f>
        <v>10</v>
      </c>
      <c r="Q2469" s="1" t="str">
        <f aca="false">TEXT(B2469,"mmm")</f>
        <v>Oct</v>
      </c>
      <c r="R2469" s="1" t="str">
        <f aca="false">"Q"&amp;ROUNDUP(MONTH(B2469)/3,0)</f>
        <v>Q4</v>
      </c>
    </row>
    <row r="2470" customFormat="false" ht="15" hidden="false" customHeight="true" outlineLevel="0" collapsed="false">
      <c r="A2470" s="1" t="n">
        <v>12469</v>
      </c>
      <c r="B2470" s="14" t="n">
        <v>47030</v>
      </c>
      <c r="C2470" s="1" t="n">
        <v>1365</v>
      </c>
      <c r="D2470" s="1" t="s">
        <v>27</v>
      </c>
      <c r="E2470" s="1" t="s">
        <v>28</v>
      </c>
      <c r="F2470" s="1" t="n">
        <v>7</v>
      </c>
      <c r="G2470" s="15" t="n">
        <v>398.5</v>
      </c>
      <c r="H2470" s="16" t="n">
        <v>0.08</v>
      </c>
      <c r="I2470" s="1" t="s">
        <v>31</v>
      </c>
      <c r="J2470" s="1" t="n">
        <v>10</v>
      </c>
      <c r="K2470" s="1" t="n">
        <v>4.1</v>
      </c>
      <c r="L2470" s="15" t="n">
        <v>2566.34</v>
      </c>
      <c r="M2470" s="15" t="n">
        <f aca="false">F2470*G2470</f>
        <v>2789.5</v>
      </c>
      <c r="N2470" s="15" t="n">
        <f aca="false">M2470-L2470</f>
        <v>223.16</v>
      </c>
      <c r="O2470" s="1" t="n">
        <f aca="false">YEAR(B2470)</f>
        <v>2028</v>
      </c>
      <c r="P2470" s="1" t="n">
        <f aca="false">MONTH(B2470)</f>
        <v>10</v>
      </c>
      <c r="Q2470" s="1" t="str">
        <f aca="false">TEXT(B2470,"mmm")</f>
        <v>Oct</v>
      </c>
      <c r="R2470" s="1" t="str">
        <f aca="false">"Q"&amp;ROUNDUP(MONTH(B2470)/3,0)</f>
        <v>Q4</v>
      </c>
    </row>
    <row r="2471" customFormat="false" ht="15" hidden="false" customHeight="true" outlineLevel="0" collapsed="false">
      <c r="A2471" s="1" t="n">
        <v>12470</v>
      </c>
      <c r="B2471" s="14" t="n">
        <v>47031</v>
      </c>
      <c r="C2471" s="1" t="n">
        <v>1494</v>
      </c>
      <c r="D2471" s="1" t="s">
        <v>37</v>
      </c>
      <c r="E2471" s="1" t="s">
        <v>28</v>
      </c>
      <c r="F2471" s="1" t="n">
        <v>4</v>
      </c>
      <c r="G2471" s="15" t="n">
        <v>150.39</v>
      </c>
      <c r="H2471" s="16" t="n">
        <v>0.32</v>
      </c>
      <c r="I2471" s="1" t="s">
        <v>33</v>
      </c>
      <c r="J2471" s="1" t="n">
        <v>10</v>
      </c>
      <c r="K2471" s="1" t="n">
        <v>1.6</v>
      </c>
      <c r="L2471" s="15" t="n">
        <v>409.06</v>
      </c>
      <c r="M2471" s="15" t="n">
        <f aca="false">F2471*G2471</f>
        <v>601.56</v>
      </c>
      <c r="N2471" s="15" t="n">
        <f aca="false">M2471-L2471</f>
        <v>192.5</v>
      </c>
      <c r="O2471" s="1" t="n">
        <f aca="false">YEAR(B2471)</f>
        <v>2028</v>
      </c>
      <c r="P2471" s="1" t="n">
        <f aca="false">MONTH(B2471)</f>
        <v>10</v>
      </c>
      <c r="Q2471" s="1" t="str">
        <f aca="false">TEXT(B2471,"mmm")</f>
        <v>Oct</v>
      </c>
      <c r="R2471" s="1" t="str">
        <f aca="false">"Q"&amp;ROUNDUP(MONTH(B2471)/3,0)</f>
        <v>Q4</v>
      </c>
    </row>
    <row r="2472" customFormat="false" ht="15" hidden="false" customHeight="true" outlineLevel="0" collapsed="false">
      <c r="A2472" s="1" t="n">
        <v>12471</v>
      </c>
      <c r="B2472" s="14" t="n">
        <v>47032</v>
      </c>
      <c r="C2472" s="1" t="n">
        <v>1606</v>
      </c>
      <c r="D2472" s="1" t="s">
        <v>27</v>
      </c>
      <c r="E2472" s="1" t="s">
        <v>28</v>
      </c>
      <c r="F2472" s="1" t="n">
        <v>4</v>
      </c>
      <c r="G2472" s="15" t="n">
        <v>162.27</v>
      </c>
      <c r="H2472" s="16" t="n">
        <v>0.2</v>
      </c>
      <c r="I2472" s="1" t="s">
        <v>33</v>
      </c>
      <c r="J2472" s="1" t="n">
        <v>6</v>
      </c>
      <c r="K2472" s="1" t="n">
        <v>2.7</v>
      </c>
      <c r="L2472" s="15" t="n">
        <v>519.26</v>
      </c>
      <c r="M2472" s="15" t="n">
        <f aca="false">F2472*G2472</f>
        <v>649.08</v>
      </c>
      <c r="N2472" s="15" t="n">
        <f aca="false">M2472-L2472</f>
        <v>129.82</v>
      </c>
      <c r="O2472" s="1" t="n">
        <f aca="false">YEAR(B2472)</f>
        <v>2028</v>
      </c>
      <c r="P2472" s="1" t="n">
        <f aca="false">MONTH(B2472)</f>
        <v>10</v>
      </c>
      <c r="Q2472" s="1" t="str">
        <f aca="false">TEXT(B2472,"mmm")</f>
        <v>Oct</v>
      </c>
      <c r="R2472" s="1" t="str">
        <f aca="false">"Q"&amp;ROUNDUP(MONTH(B2472)/3,0)</f>
        <v>Q4</v>
      </c>
    </row>
    <row r="2473" customFormat="false" ht="15" hidden="false" customHeight="true" outlineLevel="0" collapsed="false">
      <c r="A2473" s="1" t="n">
        <v>12472</v>
      </c>
      <c r="B2473" s="14" t="n">
        <v>47033</v>
      </c>
      <c r="C2473" s="1" t="n">
        <v>1165</v>
      </c>
      <c r="D2473" s="1" t="s">
        <v>37</v>
      </c>
      <c r="E2473" s="1" t="s">
        <v>35</v>
      </c>
      <c r="F2473" s="1" t="n">
        <v>7</v>
      </c>
      <c r="G2473" s="15" t="n">
        <v>287.96</v>
      </c>
      <c r="H2473" s="16" t="n">
        <v>0.32</v>
      </c>
      <c r="I2473" s="1" t="s">
        <v>33</v>
      </c>
      <c r="J2473" s="1" t="n">
        <v>4</v>
      </c>
      <c r="K2473" s="1" t="n">
        <v>3.9</v>
      </c>
      <c r="L2473" s="15" t="n">
        <v>1370.69</v>
      </c>
      <c r="M2473" s="15" t="n">
        <f aca="false">F2473*G2473</f>
        <v>2015.72</v>
      </c>
      <c r="N2473" s="15" t="n">
        <f aca="false">M2473-L2473</f>
        <v>645.03</v>
      </c>
      <c r="O2473" s="1" t="n">
        <f aca="false">YEAR(B2473)</f>
        <v>2028</v>
      </c>
      <c r="P2473" s="1" t="n">
        <f aca="false">MONTH(B2473)</f>
        <v>10</v>
      </c>
      <c r="Q2473" s="1" t="str">
        <f aca="false">TEXT(B2473,"mmm")</f>
        <v>Oct</v>
      </c>
      <c r="R2473" s="1" t="str">
        <f aca="false">"Q"&amp;ROUNDUP(MONTH(B2473)/3,0)</f>
        <v>Q4</v>
      </c>
    </row>
    <row r="2474" customFormat="false" ht="15" hidden="false" customHeight="true" outlineLevel="0" collapsed="false">
      <c r="A2474" s="1" t="n">
        <v>12473</v>
      </c>
      <c r="B2474" s="14" t="n">
        <v>47034</v>
      </c>
      <c r="C2474" s="1" t="n">
        <v>1543</v>
      </c>
      <c r="D2474" s="1" t="s">
        <v>30</v>
      </c>
      <c r="E2474" s="1" t="s">
        <v>35</v>
      </c>
      <c r="F2474" s="1" t="n">
        <v>6</v>
      </c>
      <c r="G2474" s="15" t="n">
        <v>540.23</v>
      </c>
      <c r="H2474" s="16" t="n">
        <v>0.02</v>
      </c>
      <c r="I2474" s="1" t="s">
        <v>29</v>
      </c>
      <c r="J2474" s="1" t="n">
        <v>8</v>
      </c>
      <c r="K2474" s="1" t="n">
        <v>2.1</v>
      </c>
      <c r="L2474" s="15" t="n">
        <v>3176.55</v>
      </c>
      <c r="M2474" s="15" t="n">
        <f aca="false">F2474*G2474</f>
        <v>3241.38</v>
      </c>
      <c r="N2474" s="15" t="n">
        <f aca="false">M2474-L2474</f>
        <v>64.8299999999999</v>
      </c>
      <c r="O2474" s="1" t="n">
        <f aca="false">YEAR(B2474)</f>
        <v>2028</v>
      </c>
      <c r="P2474" s="1" t="n">
        <f aca="false">MONTH(B2474)</f>
        <v>10</v>
      </c>
      <c r="Q2474" s="1" t="str">
        <f aca="false">TEXT(B2474,"mmm")</f>
        <v>Oct</v>
      </c>
      <c r="R2474" s="1" t="str">
        <f aca="false">"Q"&amp;ROUNDUP(MONTH(B2474)/3,0)</f>
        <v>Q4</v>
      </c>
    </row>
    <row r="2475" customFormat="false" ht="15" hidden="false" customHeight="true" outlineLevel="0" collapsed="false">
      <c r="A2475" s="1" t="n">
        <v>12474</v>
      </c>
      <c r="B2475" s="14" t="n">
        <v>47035</v>
      </c>
      <c r="C2475" s="1" t="n">
        <v>1010</v>
      </c>
      <c r="D2475" s="1" t="s">
        <v>34</v>
      </c>
      <c r="E2475" s="1" t="s">
        <v>35</v>
      </c>
      <c r="F2475" s="1" t="n">
        <v>5</v>
      </c>
      <c r="G2475" s="15" t="n">
        <v>102.51</v>
      </c>
      <c r="H2475" s="16" t="n">
        <v>0.12</v>
      </c>
      <c r="I2475" s="1" t="s">
        <v>31</v>
      </c>
      <c r="J2475" s="1" t="n">
        <v>4</v>
      </c>
      <c r="K2475" s="1" t="n">
        <v>2.3</v>
      </c>
      <c r="L2475" s="15" t="n">
        <v>451.04</v>
      </c>
      <c r="M2475" s="15" t="n">
        <f aca="false">F2475*G2475</f>
        <v>512.55</v>
      </c>
      <c r="N2475" s="15" t="n">
        <f aca="false">M2475-L2475</f>
        <v>61.5100000000001</v>
      </c>
      <c r="O2475" s="1" t="n">
        <f aca="false">YEAR(B2475)</f>
        <v>2028</v>
      </c>
      <c r="P2475" s="1" t="n">
        <f aca="false">MONTH(B2475)</f>
        <v>10</v>
      </c>
      <c r="Q2475" s="1" t="str">
        <f aca="false">TEXT(B2475,"mmm")</f>
        <v>Oct</v>
      </c>
      <c r="R2475" s="1" t="str">
        <f aca="false">"Q"&amp;ROUNDUP(MONTH(B2475)/3,0)</f>
        <v>Q4</v>
      </c>
    </row>
    <row r="2476" customFormat="false" ht="15" hidden="false" customHeight="true" outlineLevel="0" collapsed="false">
      <c r="A2476" s="1" t="n">
        <v>12475</v>
      </c>
      <c r="B2476" s="14" t="n">
        <v>47036</v>
      </c>
      <c r="C2476" s="1" t="n">
        <v>1300</v>
      </c>
      <c r="D2476" s="1" t="s">
        <v>37</v>
      </c>
      <c r="E2476" s="1" t="s">
        <v>28</v>
      </c>
      <c r="F2476" s="1" t="n">
        <v>3</v>
      </c>
      <c r="G2476" s="15" t="n">
        <v>498.19</v>
      </c>
      <c r="H2476" s="16" t="n">
        <v>0.01</v>
      </c>
      <c r="I2476" s="1" t="s">
        <v>31</v>
      </c>
      <c r="J2476" s="1" t="n">
        <v>4</v>
      </c>
      <c r="K2476" s="1" t="n">
        <v>3.7</v>
      </c>
      <c r="L2476" s="15" t="n">
        <v>1479.62</v>
      </c>
      <c r="M2476" s="15" t="n">
        <f aca="false">F2476*G2476</f>
        <v>1494.57</v>
      </c>
      <c r="N2476" s="15" t="n">
        <f aca="false">M2476-L2476</f>
        <v>14.95</v>
      </c>
      <c r="O2476" s="1" t="n">
        <f aca="false">YEAR(B2476)</f>
        <v>2028</v>
      </c>
      <c r="P2476" s="1" t="n">
        <f aca="false">MONTH(B2476)</f>
        <v>10</v>
      </c>
      <c r="Q2476" s="1" t="str">
        <f aca="false">TEXT(B2476,"mmm")</f>
        <v>Oct</v>
      </c>
      <c r="R2476" s="1" t="str">
        <f aca="false">"Q"&amp;ROUNDUP(MONTH(B2476)/3,0)</f>
        <v>Q4</v>
      </c>
    </row>
    <row r="2477" customFormat="false" ht="15" hidden="false" customHeight="true" outlineLevel="0" collapsed="false">
      <c r="A2477" s="1" t="n">
        <v>12476</v>
      </c>
      <c r="B2477" s="14" t="n">
        <v>47037</v>
      </c>
      <c r="C2477" s="1" t="n">
        <v>1728</v>
      </c>
      <c r="D2477" s="1" t="s">
        <v>30</v>
      </c>
      <c r="E2477" s="1" t="s">
        <v>28</v>
      </c>
      <c r="F2477" s="1" t="n">
        <v>7</v>
      </c>
      <c r="G2477" s="15" t="n">
        <v>185.41</v>
      </c>
      <c r="H2477" s="16" t="n">
        <v>0.1</v>
      </c>
      <c r="I2477" s="1" t="s">
        <v>31</v>
      </c>
      <c r="J2477" s="1" t="n">
        <v>11</v>
      </c>
      <c r="K2477" s="1" t="n">
        <v>1.8</v>
      </c>
      <c r="L2477" s="15" t="n">
        <v>1168.08</v>
      </c>
      <c r="M2477" s="15" t="n">
        <f aca="false">F2477*G2477</f>
        <v>1297.87</v>
      </c>
      <c r="N2477" s="15" t="n">
        <f aca="false">M2477-L2477</f>
        <v>129.79</v>
      </c>
      <c r="O2477" s="1" t="n">
        <f aca="false">YEAR(B2477)</f>
        <v>2028</v>
      </c>
      <c r="P2477" s="1" t="n">
        <f aca="false">MONTH(B2477)</f>
        <v>10</v>
      </c>
      <c r="Q2477" s="1" t="str">
        <f aca="false">TEXT(B2477,"mmm")</f>
        <v>Oct</v>
      </c>
      <c r="R2477" s="1" t="str">
        <f aca="false">"Q"&amp;ROUNDUP(MONTH(B2477)/3,0)</f>
        <v>Q4</v>
      </c>
    </row>
    <row r="2478" customFormat="false" ht="15" hidden="false" customHeight="true" outlineLevel="0" collapsed="false">
      <c r="A2478" s="1" t="n">
        <v>12477</v>
      </c>
      <c r="B2478" s="14" t="n">
        <v>47038</v>
      </c>
      <c r="C2478" s="1" t="n">
        <v>1800</v>
      </c>
      <c r="D2478" s="1" t="s">
        <v>30</v>
      </c>
      <c r="E2478" s="1" t="s">
        <v>36</v>
      </c>
      <c r="F2478" s="1" t="n">
        <v>4</v>
      </c>
      <c r="G2478" s="15" t="n">
        <v>488.02</v>
      </c>
      <c r="H2478" s="16" t="n">
        <v>0.3</v>
      </c>
      <c r="I2478" s="1" t="s">
        <v>29</v>
      </c>
      <c r="J2478" s="1" t="n">
        <v>8</v>
      </c>
      <c r="K2478" s="1" t="n">
        <v>4.8</v>
      </c>
      <c r="L2478" s="15" t="n">
        <v>1366.46</v>
      </c>
      <c r="M2478" s="15" t="n">
        <f aca="false">F2478*G2478</f>
        <v>1952.08</v>
      </c>
      <c r="N2478" s="15" t="n">
        <f aca="false">M2478-L2478</f>
        <v>585.62</v>
      </c>
      <c r="O2478" s="1" t="n">
        <f aca="false">YEAR(B2478)</f>
        <v>2028</v>
      </c>
      <c r="P2478" s="1" t="n">
        <f aca="false">MONTH(B2478)</f>
        <v>10</v>
      </c>
      <c r="Q2478" s="1" t="str">
        <f aca="false">TEXT(B2478,"mmm")</f>
        <v>Oct</v>
      </c>
      <c r="R2478" s="1" t="str">
        <f aca="false">"Q"&amp;ROUNDUP(MONTH(B2478)/3,0)</f>
        <v>Q4</v>
      </c>
    </row>
    <row r="2479" customFormat="false" ht="15" hidden="false" customHeight="true" outlineLevel="0" collapsed="false">
      <c r="A2479" s="1" t="n">
        <v>12478</v>
      </c>
      <c r="B2479" s="14" t="n">
        <v>47039</v>
      </c>
      <c r="C2479" s="1" t="n">
        <v>1101</v>
      </c>
      <c r="D2479" s="1" t="s">
        <v>30</v>
      </c>
      <c r="E2479" s="1" t="s">
        <v>36</v>
      </c>
      <c r="F2479" s="1" t="n">
        <v>3</v>
      </c>
      <c r="G2479" s="15" t="n">
        <v>553.36</v>
      </c>
      <c r="H2479" s="16" t="n">
        <v>0.01</v>
      </c>
      <c r="I2479" s="1" t="s">
        <v>31</v>
      </c>
      <c r="J2479" s="1" t="n">
        <v>4</v>
      </c>
      <c r="K2479" s="1" t="n">
        <v>1.8</v>
      </c>
      <c r="L2479" s="15" t="n">
        <v>1643.48</v>
      </c>
      <c r="M2479" s="15" t="n">
        <f aca="false">F2479*G2479</f>
        <v>1660.08</v>
      </c>
      <c r="N2479" s="15" t="n">
        <f aca="false">M2479-L2479</f>
        <v>16.5999999999999</v>
      </c>
      <c r="O2479" s="1" t="n">
        <f aca="false">YEAR(B2479)</f>
        <v>2028</v>
      </c>
      <c r="P2479" s="1" t="n">
        <f aca="false">MONTH(B2479)</f>
        <v>10</v>
      </c>
      <c r="Q2479" s="1" t="str">
        <f aca="false">TEXT(B2479,"mmm")</f>
        <v>Oct</v>
      </c>
      <c r="R2479" s="1" t="str">
        <f aca="false">"Q"&amp;ROUNDUP(MONTH(B2479)/3,0)</f>
        <v>Q4</v>
      </c>
    </row>
    <row r="2480" customFormat="false" ht="15" hidden="false" customHeight="true" outlineLevel="0" collapsed="false">
      <c r="A2480" s="1" t="n">
        <v>12479</v>
      </c>
      <c r="B2480" s="14" t="n">
        <v>47040</v>
      </c>
      <c r="C2480" s="1" t="n">
        <v>1424</v>
      </c>
      <c r="D2480" s="1" t="s">
        <v>30</v>
      </c>
      <c r="E2480" s="1" t="s">
        <v>35</v>
      </c>
      <c r="F2480" s="1" t="n">
        <v>2</v>
      </c>
      <c r="G2480" s="15" t="n">
        <v>265.08</v>
      </c>
      <c r="H2480" s="16" t="n">
        <v>0.15</v>
      </c>
      <c r="I2480" s="1" t="s">
        <v>31</v>
      </c>
      <c r="J2480" s="1" t="n">
        <v>1</v>
      </c>
      <c r="K2480" s="1" t="n">
        <v>4</v>
      </c>
      <c r="L2480" s="15" t="n">
        <v>450.64</v>
      </c>
      <c r="M2480" s="15" t="n">
        <f aca="false">F2480*G2480</f>
        <v>530.16</v>
      </c>
      <c r="N2480" s="15" t="n">
        <f aca="false">M2480-L2480</f>
        <v>79.52</v>
      </c>
      <c r="O2480" s="1" t="n">
        <f aca="false">YEAR(B2480)</f>
        <v>2028</v>
      </c>
      <c r="P2480" s="1" t="n">
        <f aca="false">MONTH(B2480)</f>
        <v>10</v>
      </c>
      <c r="Q2480" s="1" t="str">
        <f aca="false">TEXT(B2480,"mmm")</f>
        <v>Oct</v>
      </c>
      <c r="R2480" s="1" t="str">
        <f aca="false">"Q"&amp;ROUNDUP(MONTH(B2480)/3,0)</f>
        <v>Q4</v>
      </c>
    </row>
    <row r="2481" customFormat="false" ht="15" hidden="false" customHeight="true" outlineLevel="0" collapsed="false">
      <c r="A2481" s="1" t="n">
        <v>12480</v>
      </c>
      <c r="B2481" s="14" t="n">
        <v>47041</v>
      </c>
      <c r="C2481" s="1" t="n">
        <v>1391</v>
      </c>
      <c r="D2481" s="1" t="s">
        <v>34</v>
      </c>
      <c r="E2481" s="1" t="s">
        <v>28</v>
      </c>
      <c r="F2481" s="1" t="n">
        <v>4</v>
      </c>
      <c r="G2481" s="15" t="n">
        <v>228.55</v>
      </c>
      <c r="H2481" s="16" t="n">
        <v>0.04</v>
      </c>
      <c r="I2481" s="1" t="s">
        <v>33</v>
      </c>
      <c r="J2481" s="1" t="n">
        <v>6</v>
      </c>
      <c r="K2481" s="1" t="n">
        <v>4.2</v>
      </c>
      <c r="L2481" s="15" t="n">
        <v>877.63</v>
      </c>
      <c r="M2481" s="15" t="n">
        <f aca="false">F2481*G2481</f>
        <v>914.2</v>
      </c>
      <c r="N2481" s="15" t="n">
        <f aca="false">M2481-L2481</f>
        <v>36.5700000000001</v>
      </c>
      <c r="O2481" s="1" t="n">
        <f aca="false">YEAR(B2481)</f>
        <v>2028</v>
      </c>
      <c r="P2481" s="1" t="n">
        <f aca="false">MONTH(B2481)</f>
        <v>10</v>
      </c>
      <c r="Q2481" s="1" t="str">
        <f aca="false">TEXT(B2481,"mmm")</f>
        <v>Oct</v>
      </c>
      <c r="R2481" s="1" t="str">
        <f aca="false">"Q"&amp;ROUNDUP(MONTH(B2481)/3,0)</f>
        <v>Q4</v>
      </c>
    </row>
    <row r="2482" customFormat="false" ht="15" hidden="false" customHeight="true" outlineLevel="0" collapsed="false">
      <c r="A2482" s="1" t="n">
        <v>12481</v>
      </c>
      <c r="B2482" s="14" t="n">
        <v>47042</v>
      </c>
      <c r="C2482" s="1" t="n">
        <v>1778</v>
      </c>
      <c r="D2482" s="1" t="s">
        <v>30</v>
      </c>
      <c r="E2482" s="1" t="s">
        <v>35</v>
      </c>
      <c r="F2482" s="1" t="n">
        <v>3</v>
      </c>
      <c r="G2482" s="15" t="n">
        <v>484.3</v>
      </c>
      <c r="H2482" s="16" t="n">
        <v>0.15</v>
      </c>
      <c r="I2482" s="1" t="s">
        <v>31</v>
      </c>
      <c r="J2482" s="1" t="n">
        <v>8</v>
      </c>
      <c r="K2482" s="1" t="n">
        <v>2.5</v>
      </c>
      <c r="L2482" s="15" t="n">
        <v>1234.97</v>
      </c>
      <c r="M2482" s="15" t="n">
        <f aca="false">F2482*G2482</f>
        <v>1452.9</v>
      </c>
      <c r="N2482" s="15" t="n">
        <f aca="false">M2482-L2482</f>
        <v>217.93</v>
      </c>
      <c r="O2482" s="1" t="n">
        <f aca="false">YEAR(B2482)</f>
        <v>2028</v>
      </c>
      <c r="P2482" s="1" t="n">
        <f aca="false">MONTH(B2482)</f>
        <v>10</v>
      </c>
      <c r="Q2482" s="1" t="str">
        <f aca="false">TEXT(B2482,"mmm")</f>
        <v>Oct</v>
      </c>
      <c r="R2482" s="1" t="str">
        <f aca="false">"Q"&amp;ROUNDUP(MONTH(B2482)/3,0)</f>
        <v>Q4</v>
      </c>
    </row>
    <row r="2483" customFormat="false" ht="15" hidden="false" customHeight="true" outlineLevel="0" collapsed="false">
      <c r="A2483" s="1" t="n">
        <v>12482</v>
      </c>
      <c r="B2483" s="14" t="n">
        <v>47043</v>
      </c>
      <c r="C2483" s="1" t="n">
        <v>1213</v>
      </c>
      <c r="D2483" s="1" t="s">
        <v>34</v>
      </c>
      <c r="E2483" s="1" t="s">
        <v>35</v>
      </c>
      <c r="F2483" s="1" t="n">
        <v>2</v>
      </c>
      <c r="G2483" s="15" t="n">
        <v>324.75</v>
      </c>
      <c r="H2483" s="16" t="n">
        <v>0.29</v>
      </c>
      <c r="I2483" s="1" t="s">
        <v>29</v>
      </c>
      <c r="J2483" s="1" t="n">
        <v>3</v>
      </c>
      <c r="K2483" s="1" t="n">
        <v>1.6</v>
      </c>
      <c r="L2483" s="15" t="n">
        <v>461.14</v>
      </c>
      <c r="M2483" s="15" t="n">
        <f aca="false">F2483*G2483</f>
        <v>649.5</v>
      </c>
      <c r="N2483" s="15" t="n">
        <f aca="false">M2483-L2483</f>
        <v>188.36</v>
      </c>
      <c r="O2483" s="1" t="n">
        <f aca="false">YEAR(B2483)</f>
        <v>2028</v>
      </c>
      <c r="P2483" s="1" t="n">
        <f aca="false">MONTH(B2483)</f>
        <v>10</v>
      </c>
      <c r="Q2483" s="1" t="str">
        <f aca="false">TEXT(B2483,"mmm")</f>
        <v>Oct</v>
      </c>
      <c r="R2483" s="1" t="str">
        <f aca="false">"Q"&amp;ROUNDUP(MONTH(B2483)/3,0)</f>
        <v>Q4</v>
      </c>
    </row>
    <row r="2484" customFormat="false" ht="15" hidden="false" customHeight="true" outlineLevel="0" collapsed="false">
      <c r="A2484" s="1" t="n">
        <v>12483</v>
      </c>
      <c r="B2484" s="14" t="n">
        <v>47044</v>
      </c>
      <c r="C2484" s="1" t="n">
        <v>1690</v>
      </c>
      <c r="D2484" s="1" t="s">
        <v>37</v>
      </c>
      <c r="E2484" s="1" t="s">
        <v>36</v>
      </c>
      <c r="F2484" s="1" t="n">
        <v>6</v>
      </c>
      <c r="G2484" s="15" t="n">
        <v>415.4</v>
      </c>
      <c r="H2484" s="16" t="n">
        <v>0.22</v>
      </c>
      <c r="I2484" s="1" t="s">
        <v>29</v>
      </c>
      <c r="J2484" s="1" t="n">
        <v>2</v>
      </c>
      <c r="K2484" s="1" t="n">
        <v>1.7</v>
      </c>
      <c r="L2484" s="15" t="n">
        <v>1944.07</v>
      </c>
      <c r="M2484" s="15" t="n">
        <f aca="false">F2484*G2484</f>
        <v>2492.4</v>
      </c>
      <c r="N2484" s="15" t="n">
        <f aca="false">M2484-L2484</f>
        <v>548.33</v>
      </c>
      <c r="O2484" s="1" t="n">
        <f aca="false">YEAR(B2484)</f>
        <v>2028</v>
      </c>
      <c r="P2484" s="1" t="n">
        <f aca="false">MONTH(B2484)</f>
        <v>10</v>
      </c>
      <c r="Q2484" s="1" t="str">
        <f aca="false">TEXT(B2484,"mmm")</f>
        <v>Oct</v>
      </c>
      <c r="R2484" s="1" t="str">
        <f aca="false">"Q"&amp;ROUNDUP(MONTH(B2484)/3,0)</f>
        <v>Q4</v>
      </c>
    </row>
    <row r="2485" customFormat="false" ht="15" hidden="false" customHeight="true" outlineLevel="0" collapsed="false">
      <c r="A2485" s="1" t="n">
        <v>12484</v>
      </c>
      <c r="B2485" s="14" t="n">
        <v>47045</v>
      </c>
      <c r="C2485" s="1" t="n">
        <v>1087</v>
      </c>
      <c r="D2485" s="1" t="s">
        <v>34</v>
      </c>
      <c r="E2485" s="1" t="s">
        <v>32</v>
      </c>
      <c r="F2485" s="1" t="n">
        <v>5</v>
      </c>
      <c r="G2485" s="15" t="n">
        <v>379.36</v>
      </c>
      <c r="H2485" s="16" t="n">
        <v>0.26</v>
      </c>
      <c r="I2485" s="1" t="s">
        <v>33</v>
      </c>
      <c r="J2485" s="1" t="n">
        <v>6</v>
      </c>
      <c r="K2485" s="1" t="n">
        <v>4.9</v>
      </c>
      <c r="L2485" s="15" t="n">
        <v>1403.63</v>
      </c>
      <c r="M2485" s="15" t="n">
        <f aca="false">F2485*G2485</f>
        <v>1896.8</v>
      </c>
      <c r="N2485" s="15" t="n">
        <f aca="false">M2485-L2485</f>
        <v>493.17</v>
      </c>
      <c r="O2485" s="1" t="n">
        <f aca="false">YEAR(B2485)</f>
        <v>2028</v>
      </c>
      <c r="P2485" s="1" t="n">
        <f aca="false">MONTH(B2485)</f>
        <v>10</v>
      </c>
      <c r="Q2485" s="1" t="str">
        <f aca="false">TEXT(B2485,"mmm")</f>
        <v>Oct</v>
      </c>
      <c r="R2485" s="1" t="str">
        <f aca="false">"Q"&amp;ROUNDUP(MONTH(B2485)/3,0)</f>
        <v>Q4</v>
      </c>
    </row>
    <row r="2486" customFormat="false" ht="15" hidden="false" customHeight="true" outlineLevel="0" collapsed="false">
      <c r="A2486" s="1" t="n">
        <v>12485</v>
      </c>
      <c r="B2486" s="14" t="n">
        <v>47046</v>
      </c>
      <c r="C2486" s="1" t="n">
        <v>1552</v>
      </c>
      <c r="D2486" s="1" t="s">
        <v>34</v>
      </c>
      <c r="E2486" s="1" t="s">
        <v>35</v>
      </c>
      <c r="F2486" s="1" t="n">
        <v>4</v>
      </c>
      <c r="G2486" s="15" t="n">
        <v>104.44</v>
      </c>
      <c r="H2486" s="16" t="n">
        <v>0.12</v>
      </c>
      <c r="I2486" s="1" t="s">
        <v>33</v>
      </c>
      <c r="J2486" s="1" t="n">
        <v>1</v>
      </c>
      <c r="K2486" s="1" t="n">
        <v>3.9</v>
      </c>
      <c r="L2486" s="15" t="n">
        <v>367.63</v>
      </c>
      <c r="M2486" s="15" t="n">
        <f aca="false">F2486*G2486</f>
        <v>417.76</v>
      </c>
      <c r="N2486" s="15" t="n">
        <f aca="false">M2486-L2486</f>
        <v>50.13</v>
      </c>
      <c r="O2486" s="1" t="n">
        <f aca="false">YEAR(B2486)</f>
        <v>2028</v>
      </c>
      <c r="P2486" s="1" t="n">
        <f aca="false">MONTH(B2486)</f>
        <v>10</v>
      </c>
      <c r="Q2486" s="1" t="str">
        <f aca="false">TEXT(B2486,"mmm")</f>
        <v>Oct</v>
      </c>
      <c r="R2486" s="1" t="str">
        <f aca="false">"Q"&amp;ROUNDUP(MONTH(B2486)/3,0)</f>
        <v>Q4</v>
      </c>
    </row>
    <row r="2487" customFormat="false" ht="15" hidden="false" customHeight="true" outlineLevel="0" collapsed="false">
      <c r="A2487" s="1" t="n">
        <v>12486</v>
      </c>
      <c r="B2487" s="14" t="n">
        <v>47047</v>
      </c>
      <c r="C2487" s="1" t="n">
        <v>1400</v>
      </c>
      <c r="D2487" s="1" t="s">
        <v>30</v>
      </c>
      <c r="E2487" s="1" t="s">
        <v>32</v>
      </c>
      <c r="F2487" s="1" t="n">
        <v>5</v>
      </c>
      <c r="G2487" s="15" t="n">
        <v>509.2</v>
      </c>
      <c r="H2487" s="16" t="n">
        <v>0.33</v>
      </c>
      <c r="I2487" s="1" t="s">
        <v>31</v>
      </c>
      <c r="J2487" s="1" t="n">
        <v>11</v>
      </c>
      <c r="K2487" s="1" t="n">
        <v>2.8</v>
      </c>
      <c r="L2487" s="15" t="n">
        <v>1705.82</v>
      </c>
      <c r="M2487" s="15" t="n">
        <f aca="false">F2487*G2487</f>
        <v>2546</v>
      </c>
      <c r="N2487" s="15" t="n">
        <f aca="false">M2487-L2487</f>
        <v>840.18</v>
      </c>
      <c r="O2487" s="1" t="n">
        <f aca="false">YEAR(B2487)</f>
        <v>2028</v>
      </c>
      <c r="P2487" s="1" t="n">
        <f aca="false">MONTH(B2487)</f>
        <v>10</v>
      </c>
      <c r="Q2487" s="1" t="str">
        <f aca="false">TEXT(B2487,"mmm")</f>
        <v>Oct</v>
      </c>
      <c r="R2487" s="1" t="str">
        <f aca="false">"Q"&amp;ROUNDUP(MONTH(B2487)/3,0)</f>
        <v>Q4</v>
      </c>
    </row>
    <row r="2488" customFormat="false" ht="15" hidden="false" customHeight="true" outlineLevel="0" collapsed="false">
      <c r="A2488" s="1" t="n">
        <v>12487</v>
      </c>
      <c r="B2488" s="14" t="n">
        <v>47048</v>
      </c>
      <c r="C2488" s="1" t="n">
        <v>1587</v>
      </c>
      <c r="D2488" s="1" t="s">
        <v>37</v>
      </c>
      <c r="E2488" s="1" t="s">
        <v>32</v>
      </c>
      <c r="F2488" s="1" t="n">
        <v>2</v>
      </c>
      <c r="G2488" s="15" t="n">
        <v>129.53</v>
      </c>
      <c r="H2488" s="16" t="n">
        <v>0.25</v>
      </c>
      <c r="I2488" s="1" t="s">
        <v>33</v>
      </c>
      <c r="J2488" s="1" t="n">
        <v>5</v>
      </c>
      <c r="K2488" s="1" t="n">
        <v>2</v>
      </c>
      <c r="L2488" s="15" t="n">
        <v>194.3</v>
      </c>
      <c r="M2488" s="15" t="n">
        <f aca="false">F2488*G2488</f>
        <v>259.06</v>
      </c>
      <c r="N2488" s="15" t="n">
        <f aca="false">M2488-L2488</f>
        <v>64.76</v>
      </c>
      <c r="O2488" s="1" t="n">
        <f aca="false">YEAR(B2488)</f>
        <v>2028</v>
      </c>
      <c r="P2488" s="1" t="n">
        <f aca="false">MONTH(B2488)</f>
        <v>10</v>
      </c>
      <c r="Q2488" s="1" t="str">
        <f aca="false">TEXT(B2488,"mmm")</f>
        <v>Oct</v>
      </c>
      <c r="R2488" s="1" t="str">
        <f aca="false">"Q"&amp;ROUNDUP(MONTH(B2488)/3,0)</f>
        <v>Q4</v>
      </c>
    </row>
    <row r="2489" customFormat="false" ht="15" hidden="false" customHeight="true" outlineLevel="0" collapsed="false">
      <c r="A2489" s="1" t="n">
        <v>12488</v>
      </c>
      <c r="B2489" s="14" t="n">
        <v>47049</v>
      </c>
      <c r="C2489" s="1" t="n">
        <v>1888</v>
      </c>
      <c r="D2489" s="1" t="s">
        <v>30</v>
      </c>
      <c r="E2489" s="1" t="s">
        <v>28</v>
      </c>
      <c r="F2489" s="1" t="n">
        <v>5</v>
      </c>
      <c r="G2489" s="15" t="n">
        <v>560.39</v>
      </c>
      <c r="H2489" s="16" t="n">
        <v>0.15</v>
      </c>
      <c r="I2489" s="1" t="s">
        <v>33</v>
      </c>
      <c r="J2489" s="1" t="n">
        <v>6</v>
      </c>
      <c r="K2489" s="1" t="n">
        <v>1.1</v>
      </c>
      <c r="L2489" s="15" t="n">
        <v>2381.66</v>
      </c>
      <c r="M2489" s="15" t="n">
        <f aca="false">F2489*G2489</f>
        <v>2801.95</v>
      </c>
      <c r="N2489" s="15" t="n">
        <f aca="false">M2489-L2489</f>
        <v>420.29</v>
      </c>
      <c r="O2489" s="1" t="n">
        <f aca="false">YEAR(B2489)</f>
        <v>2028</v>
      </c>
      <c r="P2489" s="1" t="n">
        <f aca="false">MONTH(B2489)</f>
        <v>10</v>
      </c>
      <c r="Q2489" s="1" t="str">
        <f aca="false">TEXT(B2489,"mmm")</f>
        <v>Oct</v>
      </c>
      <c r="R2489" s="1" t="str">
        <f aca="false">"Q"&amp;ROUNDUP(MONTH(B2489)/3,0)</f>
        <v>Q4</v>
      </c>
    </row>
    <row r="2490" customFormat="false" ht="15" hidden="false" customHeight="true" outlineLevel="0" collapsed="false">
      <c r="A2490" s="1" t="n">
        <v>12489</v>
      </c>
      <c r="B2490" s="14" t="n">
        <v>47050</v>
      </c>
      <c r="C2490" s="1" t="n">
        <v>1045</v>
      </c>
      <c r="D2490" s="1" t="s">
        <v>34</v>
      </c>
      <c r="E2490" s="1" t="s">
        <v>28</v>
      </c>
      <c r="F2490" s="1" t="n">
        <v>5</v>
      </c>
      <c r="G2490" s="15" t="n">
        <v>161.58</v>
      </c>
      <c r="H2490" s="16" t="n">
        <v>0.15</v>
      </c>
      <c r="I2490" s="1" t="s">
        <v>31</v>
      </c>
      <c r="J2490" s="1" t="n">
        <v>8</v>
      </c>
      <c r="K2490" s="1" t="n">
        <v>3.7</v>
      </c>
      <c r="L2490" s="15" t="n">
        <v>686.72</v>
      </c>
      <c r="M2490" s="15" t="n">
        <f aca="false">F2490*G2490</f>
        <v>807.9</v>
      </c>
      <c r="N2490" s="15" t="n">
        <f aca="false">M2490-L2490</f>
        <v>121.18</v>
      </c>
      <c r="O2490" s="1" t="n">
        <f aca="false">YEAR(B2490)</f>
        <v>2028</v>
      </c>
      <c r="P2490" s="1" t="n">
        <f aca="false">MONTH(B2490)</f>
        <v>10</v>
      </c>
      <c r="Q2490" s="1" t="str">
        <f aca="false">TEXT(B2490,"mmm")</f>
        <v>Oct</v>
      </c>
      <c r="R2490" s="1" t="str">
        <f aca="false">"Q"&amp;ROUNDUP(MONTH(B2490)/3,0)</f>
        <v>Q4</v>
      </c>
    </row>
    <row r="2491" customFormat="false" ht="15" hidden="false" customHeight="true" outlineLevel="0" collapsed="false">
      <c r="A2491" s="1" t="n">
        <v>12490</v>
      </c>
      <c r="B2491" s="14" t="n">
        <v>47051</v>
      </c>
      <c r="C2491" s="1" t="n">
        <v>1671</v>
      </c>
      <c r="D2491" s="1" t="s">
        <v>30</v>
      </c>
      <c r="E2491" s="1" t="s">
        <v>35</v>
      </c>
      <c r="F2491" s="1" t="n">
        <v>7</v>
      </c>
      <c r="G2491" s="15" t="n">
        <v>444.32</v>
      </c>
      <c r="H2491" s="16" t="n">
        <v>0.32</v>
      </c>
      <c r="I2491" s="1" t="s">
        <v>31</v>
      </c>
      <c r="J2491" s="1" t="n">
        <v>7</v>
      </c>
      <c r="K2491" s="1" t="n">
        <v>4.8</v>
      </c>
      <c r="L2491" s="15" t="n">
        <v>2114.96</v>
      </c>
      <c r="M2491" s="15" t="n">
        <f aca="false">F2491*G2491</f>
        <v>3110.24</v>
      </c>
      <c r="N2491" s="15" t="n">
        <f aca="false">M2491-L2491</f>
        <v>995.28</v>
      </c>
      <c r="O2491" s="1" t="n">
        <f aca="false">YEAR(B2491)</f>
        <v>2028</v>
      </c>
      <c r="P2491" s="1" t="n">
        <f aca="false">MONTH(B2491)</f>
        <v>10</v>
      </c>
      <c r="Q2491" s="1" t="str">
        <f aca="false">TEXT(B2491,"mmm")</f>
        <v>Oct</v>
      </c>
      <c r="R2491" s="1" t="str">
        <f aca="false">"Q"&amp;ROUNDUP(MONTH(B2491)/3,0)</f>
        <v>Q4</v>
      </c>
    </row>
    <row r="2492" customFormat="false" ht="15" hidden="false" customHeight="true" outlineLevel="0" collapsed="false">
      <c r="A2492" s="1" t="n">
        <v>12491</v>
      </c>
      <c r="B2492" s="14" t="n">
        <v>47052</v>
      </c>
      <c r="C2492" s="1" t="n">
        <v>1462</v>
      </c>
      <c r="D2492" s="1" t="s">
        <v>34</v>
      </c>
      <c r="E2492" s="1" t="s">
        <v>36</v>
      </c>
      <c r="F2492" s="1" t="n">
        <v>1</v>
      </c>
      <c r="G2492" s="15" t="n">
        <v>181.52</v>
      </c>
      <c r="H2492" s="16" t="n">
        <v>0.2</v>
      </c>
      <c r="I2492" s="1" t="s">
        <v>29</v>
      </c>
      <c r="J2492" s="1" t="n">
        <v>6</v>
      </c>
      <c r="K2492" s="1" t="n">
        <v>1.4</v>
      </c>
      <c r="L2492" s="15" t="n">
        <v>145.22</v>
      </c>
      <c r="M2492" s="15" t="n">
        <f aca="false">F2492*G2492</f>
        <v>181.52</v>
      </c>
      <c r="N2492" s="15" t="n">
        <f aca="false">M2492-L2492</f>
        <v>36.3</v>
      </c>
      <c r="O2492" s="1" t="n">
        <f aca="false">YEAR(B2492)</f>
        <v>2028</v>
      </c>
      <c r="P2492" s="1" t="n">
        <f aca="false">MONTH(B2492)</f>
        <v>10</v>
      </c>
      <c r="Q2492" s="1" t="str">
        <f aca="false">TEXT(B2492,"mmm")</f>
        <v>Oct</v>
      </c>
      <c r="R2492" s="1" t="str">
        <f aca="false">"Q"&amp;ROUNDUP(MONTH(B2492)/3,0)</f>
        <v>Q4</v>
      </c>
    </row>
    <row r="2493" customFormat="false" ht="15" hidden="false" customHeight="true" outlineLevel="0" collapsed="false">
      <c r="A2493" s="1" t="n">
        <v>12492</v>
      </c>
      <c r="B2493" s="14" t="n">
        <v>47053</v>
      </c>
      <c r="C2493" s="1" t="n">
        <v>1591</v>
      </c>
      <c r="D2493" s="1" t="s">
        <v>27</v>
      </c>
      <c r="E2493" s="1" t="s">
        <v>36</v>
      </c>
      <c r="F2493" s="1" t="n">
        <v>2</v>
      </c>
      <c r="G2493" s="15" t="n">
        <v>200.9</v>
      </c>
      <c r="H2493" s="16" t="n">
        <v>0.25</v>
      </c>
      <c r="I2493" s="1" t="s">
        <v>31</v>
      </c>
      <c r="J2493" s="1" t="n">
        <v>2</v>
      </c>
      <c r="K2493" s="1" t="n">
        <v>4</v>
      </c>
      <c r="L2493" s="15" t="n">
        <v>301.35</v>
      </c>
      <c r="M2493" s="15" t="n">
        <f aca="false">F2493*G2493</f>
        <v>401.8</v>
      </c>
      <c r="N2493" s="15" t="n">
        <f aca="false">M2493-L2493</f>
        <v>100.45</v>
      </c>
      <c r="O2493" s="1" t="n">
        <f aca="false">YEAR(B2493)</f>
        <v>2028</v>
      </c>
      <c r="P2493" s="1" t="n">
        <f aca="false">MONTH(B2493)</f>
        <v>10</v>
      </c>
      <c r="Q2493" s="1" t="str">
        <f aca="false">TEXT(B2493,"mmm")</f>
        <v>Oct</v>
      </c>
      <c r="R2493" s="1" t="str">
        <f aca="false">"Q"&amp;ROUNDUP(MONTH(B2493)/3,0)</f>
        <v>Q4</v>
      </c>
    </row>
    <row r="2494" customFormat="false" ht="15" hidden="false" customHeight="true" outlineLevel="0" collapsed="false">
      <c r="A2494" s="1" t="n">
        <v>12493</v>
      </c>
      <c r="B2494" s="14" t="n">
        <v>47054</v>
      </c>
      <c r="C2494" s="1" t="n">
        <v>1309</v>
      </c>
      <c r="D2494" s="1" t="s">
        <v>27</v>
      </c>
      <c r="E2494" s="1" t="s">
        <v>35</v>
      </c>
      <c r="F2494" s="1" t="n">
        <v>5</v>
      </c>
      <c r="G2494" s="15" t="n">
        <v>196.35</v>
      </c>
      <c r="H2494" s="16" t="n">
        <v>0.15</v>
      </c>
      <c r="I2494" s="1" t="s">
        <v>33</v>
      </c>
      <c r="J2494" s="1" t="n">
        <v>8</v>
      </c>
      <c r="K2494" s="1" t="n">
        <v>1.6</v>
      </c>
      <c r="L2494" s="15" t="n">
        <v>834.49</v>
      </c>
      <c r="M2494" s="15" t="n">
        <f aca="false">F2494*G2494</f>
        <v>981.75</v>
      </c>
      <c r="N2494" s="15" t="n">
        <f aca="false">M2494-L2494</f>
        <v>147.26</v>
      </c>
      <c r="O2494" s="1" t="n">
        <f aca="false">YEAR(B2494)</f>
        <v>2028</v>
      </c>
      <c r="P2494" s="1" t="n">
        <f aca="false">MONTH(B2494)</f>
        <v>10</v>
      </c>
      <c r="Q2494" s="1" t="str">
        <f aca="false">TEXT(B2494,"mmm")</f>
        <v>Oct</v>
      </c>
      <c r="R2494" s="1" t="str">
        <f aca="false">"Q"&amp;ROUNDUP(MONTH(B2494)/3,0)</f>
        <v>Q4</v>
      </c>
    </row>
    <row r="2495" customFormat="false" ht="15" hidden="false" customHeight="true" outlineLevel="0" collapsed="false">
      <c r="A2495" s="1" t="n">
        <v>12494</v>
      </c>
      <c r="B2495" s="14" t="n">
        <v>47055</v>
      </c>
      <c r="C2495" s="1" t="n">
        <v>1085</v>
      </c>
      <c r="D2495" s="1" t="s">
        <v>30</v>
      </c>
      <c r="E2495" s="1" t="s">
        <v>35</v>
      </c>
      <c r="F2495" s="1" t="n">
        <v>3</v>
      </c>
      <c r="G2495" s="15" t="n">
        <v>452.52</v>
      </c>
      <c r="H2495" s="16" t="n">
        <v>0.08</v>
      </c>
      <c r="I2495" s="1" t="s">
        <v>31</v>
      </c>
      <c r="J2495" s="1" t="n">
        <v>8</v>
      </c>
      <c r="K2495" s="1" t="n">
        <v>4.2</v>
      </c>
      <c r="L2495" s="15" t="n">
        <v>1248.96</v>
      </c>
      <c r="M2495" s="15" t="n">
        <f aca="false">F2495*G2495</f>
        <v>1357.56</v>
      </c>
      <c r="N2495" s="15" t="n">
        <f aca="false">M2495-L2495</f>
        <v>108.6</v>
      </c>
      <c r="O2495" s="1" t="n">
        <f aca="false">YEAR(B2495)</f>
        <v>2028</v>
      </c>
      <c r="P2495" s="1" t="n">
        <f aca="false">MONTH(B2495)</f>
        <v>10</v>
      </c>
      <c r="Q2495" s="1" t="str">
        <f aca="false">TEXT(B2495,"mmm")</f>
        <v>Oct</v>
      </c>
      <c r="R2495" s="1" t="str">
        <f aca="false">"Q"&amp;ROUNDUP(MONTH(B2495)/3,0)</f>
        <v>Q4</v>
      </c>
    </row>
    <row r="2496" customFormat="false" ht="15" hidden="false" customHeight="true" outlineLevel="0" collapsed="false">
      <c r="A2496" s="1" t="n">
        <v>12495</v>
      </c>
      <c r="B2496" s="14" t="n">
        <v>47056</v>
      </c>
      <c r="C2496" s="1" t="n">
        <v>1091</v>
      </c>
      <c r="D2496" s="1" t="s">
        <v>34</v>
      </c>
      <c r="E2496" s="1" t="s">
        <v>36</v>
      </c>
      <c r="F2496" s="1" t="n">
        <v>2</v>
      </c>
      <c r="G2496" s="15" t="n">
        <v>340.74</v>
      </c>
      <c r="H2496" s="16" t="n">
        <v>0.25</v>
      </c>
      <c r="I2496" s="1" t="s">
        <v>31</v>
      </c>
      <c r="J2496" s="1" t="n">
        <v>11</v>
      </c>
      <c r="K2496" s="1" t="n">
        <v>2.5</v>
      </c>
      <c r="L2496" s="15" t="n">
        <v>511.11</v>
      </c>
      <c r="M2496" s="15" t="n">
        <f aca="false">F2496*G2496</f>
        <v>681.48</v>
      </c>
      <c r="N2496" s="15" t="n">
        <f aca="false">M2496-L2496</f>
        <v>170.37</v>
      </c>
      <c r="O2496" s="1" t="n">
        <f aca="false">YEAR(B2496)</f>
        <v>2028</v>
      </c>
      <c r="P2496" s="1" t="n">
        <f aca="false">MONTH(B2496)</f>
        <v>10</v>
      </c>
      <c r="Q2496" s="1" t="str">
        <f aca="false">TEXT(B2496,"mmm")</f>
        <v>Oct</v>
      </c>
      <c r="R2496" s="1" t="str">
        <f aca="false">"Q"&amp;ROUNDUP(MONTH(B2496)/3,0)</f>
        <v>Q4</v>
      </c>
    </row>
    <row r="2497" customFormat="false" ht="15" hidden="false" customHeight="true" outlineLevel="0" collapsed="false">
      <c r="A2497" s="1" t="n">
        <v>12496</v>
      </c>
      <c r="B2497" s="14" t="n">
        <v>47057</v>
      </c>
      <c r="C2497" s="1" t="n">
        <v>1659</v>
      </c>
      <c r="D2497" s="1" t="s">
        <v>37</v>
      </c>
      <c r="E2497" s="1" t="s">
        <v>32</v>
      </c>
      <c r="F2497" s="1" t="n">
        <v>1</v>
      </c>
      <c r="G2497" s="15" t="n">
        <v>531.53</v>
      </c>
      <c r="H2497" s="16" t="n">
        <v>0.21</v>
      </c>
      <c r="I2497" s="1" t="s">
        <v>29</v>
      </c>
      <c r="J2497" s="1" t="n">
        <v>5</v>
      </c>
      <c r="K2497" s="1" t="n">
        <v>3.8</v>
      </c>
      <c r="L2497" s="15" t="n">
        <v>419.91</v>
      </c>
      <c r="M2497" s="15" t="n">
        <f aca="false">F2497*G2497</f>
        <v>531.53</v>
      </c>
      <c r="N2497" s="15" t="n">
        <f aca="false">M2497-L2497</f>
        <v>111.62</v>
      </c>
      <c r="O2497" s="1" t="n">
        <f aca="false">YEAR(B2497)</f>
        <v>2028</v>
      </c>
      <c r="P2497" s="1" t="n">
        <f aca="false">MONTH(B2497)</f>
        <v>10</v>
      </c>
      <c r="Q2497" s="1" t="str">
        <f aca="false">TEXT(B2497,"mmm")</f>
        <v>Oct</v>
      </c>
      <c r="R2497" s="1" t="str">
        <f aca="false">"Q"&amp;ROUNDUP(MONTH(B2497)/3,0)</f>
        <v>Q4</v>
      </c>
    </row>
    <row r="2498" customFormat="false" ht="15" hidden="false" customHeight="true" outlineLevel="0" collapsed="false">
      <c r="A2498" s="1" t="n">
        <v>12497</v>
      </c>
      <c r="B2498" s="14" t="n">
        <v>47058</v>
      </c>
      <c r="C2498" s="1" t="n">
        <v>1672</v>
      </c>
      <c r="D2498" s="1" t="s">
        <v>34</v>
      </c>
      <c r="E2498" s="1" t="s">
        <v>35</v>
      </c>
      <c r="F2498" s="1" t="n">
        <v>4</v>
      </c>
      <c r="G2498" s="15" t="n">
        <v>194.81</v>
      </c>
      <c r="H2498" s="16" t="n">
        <v>0.18</v>
      </c>
      <c r="I2498" s="1" t="s">
        <v>31</v>
      </c>
      <c r="J2498" s="1" t="n">
        <v>3</v>
      </c>
      <c r="K2498" s="1" t="n">
        <v>4.7</v>
      </c>
      <c r="L2498" s="15" t="n">
        <v>638.98</v>
      </c>
      <c r="M2498" s="15" t="n">
        <f aca="false">F2498*G2498</f>
        <v>779.24</v>
      </c>
      <c r="N2498" s="15" t="n">
        <f aca="false">M2498-L2498</f>
        <v>140.26</v>
      </c>
      <c r="O2498" s="1" t="n">
        <f aca="false">YEAR(B2498)</f>
        <v>2028</v>
      </c>
      <c r="P2498" s="1" t="n">
        <f aca="false">MONTH(B2498)</f>
        <v>11</v>
      </c>
      <c r="Q2498" s="1" t="str">
        <f aca="false">TEXT(B2498,"mmm")</f>
        <v>Nov</v>
      </c>
      <c r="R2498" s="1" t="str">
        <f aca="false">"Q"&amp;ROUNDUP(MONTH(B2498)/3,0)</f>
        <v>Q4</v>
      </c>
    </row>
    <row r="2499" customFormat="false" ht="15" hidden="false" customHeight="true" outlineLevel="0" collapsed="false">
      <c r="A2499" s="1" t="n">
        <v>12498</v>
      </c>
      <c r="B2499" s="14" t="n">
        <v>47059</v>
      </c>
      <c r="C2499" s="1" t="n">
        <v>1713</v>
      </c>
      <c r="D2499" s="1" t="s">
        <v>30</v>
      </c>
      <c r="E2499" s="1" t="s">
        <v>32</v>
      </c>
      <c r="F2499" s="1" t="n">
        <v>6</v>
      </c>
      <c r="G2499" s="15" t="n">
        <v>419.82</v>
      </c>
      <c r="H2499" s="16" t="n">
        <v>0.22</v>
      </c>
      <c r="I2499" s="1" t="s">
        <v>33</v>
      </c>
      <c r="J2499" s="1" t="n">
        <v>11</v>
      </c>
      <c r="K2499" s="1" t="n">
        <v>3.5</v>
      </c>
      <c r="L2499" s="15" t="n">
        <v>1964.76</v>
      </c>
      <c r="M2499" s="15" t="n">
        <f aca="false">F2499*G2499</f>
        <v>2518.92</v>
      </c>
      <c r="N2499" s="15" t="n">
        <f aca="false">M2499-L2499</f>
        <v>554.16</v>
      </c>
      <c r="O2499" s="1" t="n">
        <f aca="false">YEAR(B2499)</f>
        <v>2028</v>
      </c>
      <c r="P2499" s="1" t="n">
        <f aca="false">MONTH(B2499)</f>
        <v>11</v>
      </c>
      <c r="Q2499" s="1" t="str">
        <f aca="false">TEXT(B2499,"mmm")</f>
        <v>Nov</v>
      </c>
      <c r="R2499" s="1" t="str">
        <f aca="false">"Q"&amp;ROUNDUP(MONTH(B2499)/3,0)</f>
        <v>Q4</v>
      </c>
    </row>
    <row r="2500" customFormat="false" ht="15" hidden="false" customHeight="true" outlineLevel="0" collapsed="false">
      <c r="A2500" s="1" t="n">
        <v>12499</v>
      </c>
      <c r="B2500" s="14" t="n">
        <v>47060</v>
      </c>
      <c r="C2500" s="1" t="n">
        <v>1935</v>
      </c>
      <c r="D2500" s="1" t="s">
        <v>34</v>
      </c>
      <c r="E2500" s="1" t="s">
        <v>35</v>
      </c>
      <c r="F2500" s="1" t="n">
        <v>5</v>
      </c>
      <c r="G2500" s="15" t="n">
        <v>455.47</v>
      </c>
      <c r="H2500" s="16" t="n">
        <v>0.07</v>
      </c>
      <c r="I2500" s="1" t="s">
        <v>31</v>
      </c>
      <c r="J2500" s="1" t="n">
        <v>8</v>
      </c>
      <c r="K2500" s="1" t="n">
        <v>4.7</v>
      </c>
      <c r="L2500" s="15" t="n">
        <v>2117.94</v>
      </c>
      <c r="M2500" s="15" t="n">
        <f aca="false">F2500*G2500</f>
        <v>2277.35</v>
      </c>
      <c r="N2500" s="15" t="n">
        <f aca="false">M2500-L2500</f>
        <v>159.41</v>
      </c>
      <c r="O2500" s="1" t="n">
        <f aca="false">YEAR(B2500)</f>
        <v>2028</v>
      </c>
      <c r="P2500" s="1" t="n">
        <f aca="false">MONTH(B2500)</f>
        <v>11</v>
      </c>
      <c r="Q2500" s="1" t="str">
        <f aca="false">TEXT(B2500,"mmm")</f>
        <v>Nov</v>
      </c>
      <c r="R2500" s="1" t="str">
        <f aca="false">"Q"&amp;ROUNDUP(MONTH(B2500)/3,0)</f>
        <v>Q4</v>
      </c>
    </row>
    <row r="2501" customFormat="false" ht="15" hidden="false" customHeight="true" outlineLevel="0" collapsed="false">
      <c r="A2501" s="1" t="n">
        <v>12500</v>
      </c>
      <c r="B2501" s="14" t="n">
        <v>47061</v>
      </c>
      <c r="C2501" s="1" t="n">
        <v>1927</v>
      </c>
      <c r="D2501" s="1" t="s">
        <v>27</v>
      </c>
      <c r="E2501" s="1" t="s">
        <v>35</v>
      </c>
      <c r="F2501" s="1" t="n">
        <v>3</v>
      </c>
      <c r="G2501" s="15" t="n">
        <v>103.62</v>
      </c>
      <c r="H2501" s="16" t="n">
        <v>0.28</v>
      </c>
      <c r="I2501" s="1" t="s">
        <v>31</v>
      </c>
      <c r="J2501" s="1" t="n">
        <v>5</v>
      </c>
      <c r="K2501" s="1" t="n">
        <v>1.9</v>
      </c>
      <c r="L2501" s="15" t="n">
        <v>223.82</v>
      </c>
      <c r="M2501" s="15" t="n">
        <f aca="false">F2501*G2501</f>
        <v>310.86</v>
      </c>
      <c r="N2501" s="15" t="n">
        <f aca="false">M2501-L2501</f>
        <v>87.04</v>
      </c>
      <c r="O2501" s="1" t="n">
        <f aca="false">YEAR(B2501)</f>
        <v>2028</v>
      </c>
      <c r="P2501" s="1" t="n">
        <f aca="false">MONTH(B2501)</f>
        <v>11</v>
      </c>
      <c r="Q2501" s="1" t="str">
        <f aca="false">TEXT(B2501,"mmm")</f>
        <v>Nov</v>
      </c>
      <c r="R2501" s="1" t="str">
        <f aca="false">"Q"&amp;ROUNDUP(MONTH(B2501)/3,0)</f>
        <v>Q4</v>
      </c>
    </row>
    <row r="2502" customFormat="false" ht="15" hidden="false" customHeight="true" outlineLevel="0" collapsed="false">
      <c r="A2502" s="1" t="n">
        <v>12501</v>
      </c>
      <c r="B2502" s="14" t="n">
        <v>47062</v>
      </c>
      <c r="C2502" s="1" t="n">
        <v>1241</v>
      </c>
      <c r="D2502" s="1" t="s">
        <v>34</v>
      </c>
      <c r="E2502" s="1" t="s">
        <v>32</v>
      </c>
      <c r="F2502" s="1" t="n">
        <v>1</v>
      </c>
      <c r="G2502" s="15" t="n">
        <v>249.34</v>
      </c>
      <c r="H2502" s="16" t="n">
        <v>0.33</v>
      </c>
      <c r="I2502" s="1" t="s">
        <v>29</v>
      </c>
      <c r="J2502" s="1" t="n">
        <v>3</v>
      </c>
      <c r="K2502" s="1" t="n">
        <v>4.9</v>
      </c>
      <c r="L2502" s="15" t="n">
        <v>167.06</v>
      </c>
      <c r="M2502" s="15" t="n">
        <f aca="false">F2502*G2502</f>
        <v>249.34</v>
      </c>
      <c r="N2502" s="15" t="n">
        <f aca="false">M2502-L2502</f>
        <v>82.28</v>
      </c>
      <c r="O2502" s="1" t="n">
        <f aca="false">YEAR(B2502)</f>
        <v>2028</v>
      </c>
      <c r="P2502" s="1" t="n">
        <f aca="false">MONTH(B2502)</f>
        <v>11</v>
      </c>
      <c r="Q2502" s="1" t="str">
        <f aca="false">TEXT(B2502,"mmm")</f>
        <v>Nov</v>
      </c>
      <c r="R2502" s="1" t="str">
        <f aca="false">"Q"&amp;ROUNDUP(MONTH(B2502)/3,0)</f>
        <v>Q4</v>
      </c>
    </row>
    <row r="2503" customFormat="false" ht="15" hidden="false" customHeight="true" outlineLevel="0" collapsed="false">
      <c r="A2503" s="1" t="n">
        <v>12502</v>
      </c>
      <c r="B2503" s="14" t="n">
        <v>47063</v>
      </c>
      <c r="C2503" s="1" t="n">
        <v>1864</v>
      </c>
      <c r="D2503" s="1" t="s">
        <v>30</v>
      </c>
      <c r="E2503" s="1" t="s">
        <v>32</v>
      </c>
      <c r="F2503" s="1" t="n">
        <v>2</v>
      </c>
      <c r="G2503" s="15" t="n">
        <v>297.45</v>
      </c>
      <c r="H2503" s="16" t="n">
        <v>0.31</v>
      </c>
      <c r="I2503" s="1" t="s">
        <v>33</v>
      </c>
      <c r="J2503" s="1" t="n">
        <v>9</v>
      </c>
      <c r="K2503" s="1" t="n">
        <v>4.5</v>
      </c>
      <c r="L2503" s="15" t="n">
        <v>410.48</v>
      </c>
      <c r="M2503" s="15" t="n">
        <f aca="false">F2503*G2503</f>
        <v>594.9</v>
      </c>
      <c r="N2503" s="15" t="n">
        <f aca="false">M2503-L2503</f>
        <v>184.42</v>
      </c>
      <c r="O2503" s="1" t="n">
        <f aca="false">YEAR(B2503)</f>
        <v>2028</v>
      </c>
      <c r="P2503" s="1" t="n">
        <f aca="false">MONTH(B2503)</f>
        <v>11</v>
      </c>
      <c r="Q2503" s="1" t="str">
        <f aca="false">TEXT(B2503,"mmm")</f>
        <v>Nov</v>
      </c>
      <c r="R2503" s="1" t="str">
        <f aca="false">"Q"&amp;ROUNDUP(MONTH(B2503)/3,0)</f>
        <v>Q4</v>
      </c>
    </row>
    <row r="2504" customFormat="false" ht="15" hidden="false" customHeight="true" outlineLevel="0" collapsed="false">
      <c r="A2504" s="1" t="n">
        <v>12503</v>
      </c>
      <c r="B2504" s="14" t="n">
        <v>47064</v>
      </c>
      <c r="C2504" s="1" t="n">
        <v>1001</v>
      </c>
      <c r="D2504" s="1" t="s">
        <v>37</v>
      </c>
      <c r="E2504" s="1" t="s">
        <v>36</v>
      </c>
      <c r="F2504" s="1" t="n">
        <v>6</v>
      </c>
      <c r="G2504" s="15" t="n">
        <v>223.08</v>
      </c>
      <c r="H2504" s="16" t="n">
        <v>0.11</v>
      </c>
      <c r="I2504" s="1" t="s">
        <v>29</v>
      </c>
      <c r="J2504" s="1" t="n">
        <v>9</v>
      </c>
      <c r="K2504" s="1" t="n">
        <v>1.4</v>
      </c>
      <c r="L2504" s="15" t="n">
        <v>1191.25</v>
      </c>
      <c r="M2504" s="15" t="n">
        <f aca="false">F2504*G2504</f>
        <v>1338.48</v>
      </c>
      <c r="N2504" s="15" t="n">
        <f aca="false">M2504-L2504</f>
        <v>147.23</v>
      </c>
      <c r="O2504" s="1" t="n">
        <f aca="false">YEAR(B2504)</f>
        <v>2028</v>
      </c>
      <c r="P2504" s="1" t="n">
        <f aca="false">MONTH(B2504)</f>
        <v>11</v>
      </c>
      <c r="Q2504" s="1" t="str">
        <f aca="false">TEXT(B2504,"mmm")</f>
        <v>Nov</v>
      </c>
      <c r="R2504" s="1" t="str">
        <f aca="false">"Q"&amp;ROUNDUP(MONTH(B2504)/3,0)</f>
        <v>Q4</v>
      </c>
    </row>
    <row r="2505" customFormat="false" ht="15" hidden="false" customHeight="true" outlineLevel="0" collapsed="false">
      <c r="A2505" s="1" t="n">
        <v>12504</v>
      </c>
      <c r="B2505" s="14" t="n">
        <v>47065</v>
      </c>
      <c r="C2505" s="1" t="n">
        <v>1224</v>
      </c>
      <c r="D2505" s="1" t="s">
        <v>30</v>
      </c>
      <c r="E2505" s="1" t="s">
        <v>35</v>
      </c>
      <c r="F2505" s="1" t="n">
        <v>6</v>
      </c>
      <c r="G2505" s="15" t="n">
        <v>203.44</v>
      </c>
      <c r="H2505" s="16" t="n">
        <v>0.14</v>
      </c>
      <c r="I2505" s="1" t="s">
        <v>29</v>
      </c>
      <c r="J2505" s="1" t="n">
        <v>7</v>
      </c>
      <c r="K2505" s="1" t="n">
        <v>2.7</v>
      </c>
      <c r="L2505" s="15" t="n">
        <v>1049.75</v>
      </c>
      <c r="M2505" s="15" t="n">
        <f aca="false">F2505*G2505</f>
        <v>1220.64</v>
      </c>
      <c r="N2505" s="15" t="n">
        <f aca="false">M2505-L2505</f>
        <v>170.89</v>
      </c>
      <c r="O2505" s="1" t="n">
        <f aca="false">YEAR(B2505)</f>
        <v>2028</v>
      </c>
      <c r="P2505" s="1" t="n">
        <f aca="false">MONTH(B2505)</f>
        <v>11</v>
      </c>
      <c r="Q2505" s="1" t="str">
        <f aca="false">TEXT(B2505,"mmm")</f>
        <v>Nov</v>
      </c>
      <c r="R2505" s="1" t="str">
        <f aca="false">"Q"&amp;ROUNDUP(MONTH(B2505)/3,0)</f>
        <v>Q4</v>
      </c>
    </row>
    <row r="2506" customFormat="false" ht="15" hidden="false" customHeight="true" outlineLevel="0" collapsed="false">
      <c r="A2506" s="1" t="n">
        <v>12505</v>
      </c>
      <c r="B2506" s="14" t="n">
        <v>47066</v>
      </c>
      <c r="C2506" s="1" t="n">
        <v>1800</v>
      </c>
      <c r="D2506" s="1" t="s">
        <v>34</v>
      </c>
      <c r="E2506" s="1" t="s">
        <v>28</v>
      </c>
      <c r="F2506" s="1" t="n">
        <v>5</v>
      </c>
      <c r="G2506" s="15" t="n">
        <v>416.56</v>
      </c>
      <c r="H2506" s="16" t="n">
        <v>0.28</v>
      </c>
      <c r="I2506" s="1" t="s">
        <v>29</v>
      </c>
      <c r="J2506" s="1" t="n">
        <v>8</v>
      </c>
      <c r="K2506" s="1" t="n">
        <v>4.7</v>
      </c>
      <c r="L2506" s="15" t="n">
        <v>1499.62</v>
      </c>
      <c r="M2506" s="15" t="n">
        <f aca="false">F2506*G2506</f>
        <v>2082.8</v>
      </c>
      <c r="N2506" s="15" t="n">
        <f aca="false">M2506-L2506</f>
        <v>583.18</v>
      </c>
      <c r="O2506" s="1" t="n">
        <f aca="false">YEAR(B2506)</f>
        <v>2028</v>
      </c>
      <c r="P2506" s="1" t="n">
        <f aca="false">MONTH(B2506)</f>
        <v>11</v>
      </c>
      <c r="Q2506" s="1" t="str">
        <f aca="false">TEXT(B2506,"mmm")</f>
        <v>Nov</v>
      </c>
      <c r="R2506" s="1" t="str">
        <f aca="false">"Q"&amp;ROUNDUP(MONTH(B2506)/3,0)</f>
        <v>Q4</v>
      </c>
    </row>
    <row r="2507" customFormat="false" ht="15" hidden="false" customHeight="true" outlineLevel="0" collapsed="false">
      <c r="A2507" s="1" t="n">
        <v>12506</v>
      </c>
      <c r="B2507" s="14" t="n">
        <v>47067</v>
      </c>
      <c r="C2507" s="1" t="n">
        <v>1744</v>
      </c>
      <c r="D2507" s="1" t="s">
        <v>27</v>
      </c>
      <c r="E2507" s="1" t="s">
        <v>28</v>
      </c>
      <c r="F2507" s="1" t="n">
        <v>1</v>
      </c>
      <c r="G2507" s="15" t="n">
        <v>141.28</v>
      </c>
      <c r="H2507" s="16" t="n">
        <v>0.21</v>
      </c>
      <c r="I2507" s="1" t="s">
        <v>29</v>
      </c>
      <c r="J2507" s="1" t="n">
        <v>5</v>
      </c>
      <c r="K2507" s="1" t="n">
        <v>1.3</v>
      </c>
      <c r="L2507" s="15" t="n">
        <v>111.61</v>
      </c>
      <c r="M2507" s="15" t="n">
        <f aca="false">F2507*G2507</f>
        <v>141.28</v>
      </c>
      <c r="N2507" s="15" t="n">
        <f aca="false">M2507-L2507</f>
        <v>29.67</v>
      </c>
      <c r="O2507" s="1" t="n">
        <f aca="false">YEAR(B2507)</f>
        <v>2028</v>
      </c>
      <c r="P2507" s="1" t="n">
        <f aca="false">MONTH(B2507)</f>
        <v>11</v>
      </c>
      <c r="Q2507" s="1" t="str">
        <f aca="false">TEXT(B2507,"mmm")</f>
        <v>Nov</v>
      </c>
      <c r="R2507" s="1" t="str">
        <f aca="false">"Q"&amp;ROUNDUP(MONTH(B2507)/3,0)</f>
        <v>Q4</v>
      </c>
    </row>
    <row r="2508" customFormat="false" ht="15" hidden="false" customHeight="true" outlineLevel="0" collapsed="false">
      <c r="A2508" s="1" t="n">
        <v>12507</v>
      </c>
      <c r="B2508" s="14" t="n">
        <v>47068</v>
      </c>
      <c r="C2508" s="1" t="n">
        <v>1972</v>
      </c>
      <c r="D2508" s="1" t="s">
        <v>30</v>
      </c>
      <c r="E2508" s="1" t="s">
        <v>35</v>
      </c>
      <c r="F2508" s="1" t="n">
        <v>1</v>
      </c>
      <c r="G2508" s="15" t="n">
        <v>429.99</v>
      </c>
      <c r="H2508" s="16" t="n">
        <v>0.19</v>
      </c>
      <c r="I2508" s="1" t="s">
        <v>31</v>
      </c>
      <c r="J2508" s="1" t="n">
        <v>5</v>
      </c>
      <c r="K2508" s="1" t="n">
        <v>2.8</v>
      </c>
      <c r="L2508" s="15" t="n">
        <v>348.29</v>
      </c>
      <c r="M2508" s="15" t="n">
        <f aca="false">F2508*G2508</f>
        <v>429.99</v>
      </c>
      <c r="N2508" s="15" t="n">
        <f aca="false">M2508-L2508</f>
        <v>81.7</v>
      </c>
      <c r="O2508" s="1" t="n">
        <f aca="false">YEAR(B2508)</f>
        <v>2028</v>
      </c>
      <c r="P2508" s="1" t="n">
        <f aca="false">MONTH(B2508)</f>
        <v>11</v>
      </c>
      <c r="Q2508" s="1" t="str">
        <f aca="false">TEXT(B2508,"mmm")</f>
        <v>Nov</v>
      </c>
      <c r="R2508" s="1" t="str">
        <f aca="false">"Q"&amp;ROUNDUP(MONTH(B2508)/3,0)</f>
        <v>Q4</v>
      </c>
    </row>
    <row r="2509" customFormat="false" ht="15" hidden="false" customHeight="true" outlineLevel="0" collapsed="false">
      <c r="A2509" s="1" t="n">
        <v>12508</v>
      </c>
      <c r="B2509" s="14" t="n">
        <v>47069</v>
      </c>
      <c r="C2509" s="1" t="n">
        <v>1925</v>
      </c>
      <c r="D2509" s="1" t="s">
        <v>30</v>
      </c>
      <c r="E2509" s="1" t="s">
        <v>35</v>
      </c>
      <c r="F2509" s="1" t="n">
        <v>3</v>
      </c>
      <c r="G2509" s="15" t="n">
        <v>562</v>
      </c>
      <c r="H2509" s="16" t="n">
        <v>0.32</v>
      </c>
      <c r="I2509" s="1" t="s">
        <v>29</v>
      </c>
      <c r="J2509" s="1" t="n">
        <v>5</v>
      </c>
      <c r="K2509" s="1" t="n">
        <v>3.9</v>
      </c>
      <c r="L2509" s="15" t="n">
        <v>1146.48</v>
      </c>
      <c r="M2509" s="15" t="n">
        <f aca="false">F2509*G2509</f>
        <v>1686</v>
      </c>
      <c r="N2509" s="15" t="n">
        <f aca="false">M2509-L2509</f>
        <v>539.52</v>
      </c>
      <c r="O2509" s="1" t="n">
        <f aca="false">YEAR(B2509)</f>
        <v>2028</v>
      </c>
      <c r="P2509" s="1" t="n">
        <f aca="false">MONTH(B2509)</f>
        <v>11</v>
      </c>
      <c r="Q2509" s="1" t="str">
        <f aca="false">TEXT(B2509,"mmm")</f>
        <v>Nov</v>
      </c>
      <c r="R2509" s="1" t="str">
        <f aca="false">"Q"&amp;ROUNDUP(MONTH(B2509)/3,0)</f>
        <v>Q4</v>
      </c>
    </row>
    <row r="2510" customFormat="false" ht="15" hidden="false" customHeight="true" outlineLevel="0" collapsed="false">
      <c r="A2510" s="1" t="n">
        <v>12509</v>
      </c>
      <c r="B2510" s="14" t="n">
        <v>47070</v>
      </c>
      <c r="C2510" s="1" t="n">
        <v>1928</v>
      </c>
      <c r="D2510" s="1" t="s">
        <v>34</v>
      </c>
      <c r="E2510" s="1" t="s">
        <v>35</v>
      </c>
      <c r="F2510" s="1" t="n">
        <v>4</v>
      </c>
      <c r="G2510" s="15" t="n">
        <v>345.64</v>
      </c>
      <c r="H2510" s="16" t="n">
        <v>0.19</v>
      </c>
      <c r="I2510" s="1" t="s">
        <v>31</v>
      </c>
      <c r="J2510" s="1" t="n">
        <v>2</v>
      </c>
      <c r="K2510" s="1" t="n">
        <v>1.1</v>
      </c>
      <c r="L2510" s="15" t="n">
        <v>1119.87</v>
      </c>
      <c r="M2510" s="15" t="n">
        <f aca="false">F2510*G2510</f>
        <v>1382.56</v>
      </c>
      <c r="N2510" s="15" t="n">
        <f aca="false">M2510-L2510</f>
        <v>262.69</v>
      </c>
      <c r="O2510" s="1" t="n">
        <f aca="false">YEAR(B2510)</f>
        <v>2028</v>
      </c>
      <c r="P2510" s="1" t="n">
        <f aca="false">MONTH(B2510)</f>
        <v>11</v>
      </c>
      <c r="Q2510" s="1" t="str">
        <f aca="false">TEXT(B2510,"mmm")</f>
        <v>Nov</v>
      </c>
      <c r="R2510" s="1" t="str">
        <f aca="false">"Q"&amp;ROUNDUP(MONTH(B2510)/3,0)</f>
        <v>Q4</v>
      </c>
    </row>
    <row r="2511" customFormat="false" ht="15" hidden="false" customHeight="true" outlineLevel="0" collapsed="false">
      <c r="A2511" s="1" t="n">
        <v>12510</v>
      </c>
      <c r="B2511" s="14" t="n">
        <v>47071</v>
      </c>
      <c r="C2511" s="1" t="n">
        <v>1588</v>
      </c>
      <c r="D2511" s="1" t="s">
        <v>30</v>
      </c>
      <c r="E2511" s="1" t="s">
        <v>32</v>
      </c>
      <c r="F2511" s="1" t="n">
        <v>4</v>
      </c>
      <c r="G2511" s="15" t="n">
        <v>372.69</v>
      </c>
      <c r="H2511" s="16" t="n">
        <v>0.18</v>
      </c>
      <c r="I2511" s="1" t="s">
        <v>31</v>
      </c>
      <c r="J2511" s="1" t="n">
        <v>3</v>
      </c>
      <c r="K2511" s="1" t="n">
        <v>4</v>
      </c>
      <c r="L2511" s="15" t="n">
        <v>1222.42</v>
      </c>
      <c r="M2511" s="15" t="n">
        <f aca="false">F2511*G2511</f>
        <v>1490.76</v>
      </c>
      <c r="N2511" s="15" t="n">
        <f aca="false">M2511-L2511</f>
        <v>268.34</v>
      </c>
      <c r="O2511" s="1" t="n">
        <f aca="false">YEAR(B2511)</f>
        <v>2028</v>
      </c>
      <c r="P2511" s="1" t="n">
        <f aca="false">MONTH(B2511)</f>
        <v>11</v>
      </c>
      <c r="Q2511" s="1" t="str">
        <f aca="false">TEXT(B2511,"mmm")</f>
        <v>Nov</v>
      </c>
      <c r="R2511" s="1" t="str">
        <f aca="false">"Q"&amp;ROUNDUP(MONTH(B2511)/3,0)</f>
        <v>Q4</v>
      </c>
    </row>
    <row r="2512" customFormat="false" ht="15" hidden="false" customHeight="true" outlineLevel="0" collapsed="false">
      <c r="A2512" s="1" t="n">
        <v>12511</v>
      </c>
      <c r="B2512" s="14" t="n">
        <v>47072</v>
      </c>
      <c r="C2512" s="1" t="n">
        <v>1115</v>
      </c>
      <c r="D2512" s="1" t="s">
        <v>30</v>
      </c>
      <c r="E2512" s="1" t="s">
        <v>28</v>
      </c>
      <c r="F2512" s="1" t="n">
        <v>7</v>
      </c>
      <c r="G2512" s="15" t="n">
        <v>55.33</v>
      </c>
      <c r="H2512" s="16" t="n">
        <v>0.01</v>
      </c>
      <c r="I2512" s="1" t="s">
        <v>31</v>
      </c>
      <c r="J2512" s="1" t="n">
        <v>8</v>
      </c>
      <c r="K2512" s="1" t="n">
        <v>2.4</v>
      </c>
      <c r="L2512" s="15" t="n">
        <v>383.44</v>
      </c>
      <c r="M2512" s="15" t="n">
        <f aca="false">F2512*G2512</f>
        <v>387.31</v>
      </c>
      <c r="N2512" s="15" t="n">
        <f aca="false">M2512-L2512</f>
        <v>3.87</v>
      </c>
      <c r="O2512" s="1" t="n">
        <f aca="false">YEAR(B2512)</f>
        <v>2028</v>
      </c>
      <c r="P2512" s="1" t="n">
        <f aca="false">MONTH(B2512)</f>
        <v>11</v>
      </c>
      <c r="Q2512" s="1" t="str">
        <f aca="false">TEXT(B2512,"mmm")</f>
        <v>Nov</v>
      </c>
      <c r="R2512" s="1" t="str">
        <f aca="false">"Q"&amp;ROUNDUP(MONTH(B2512)/3,0)</f>
        <v>Q4</v>
      </c>
    </row>
    <row r="2513" customFormat="false" ht="15" hidden="false" customHeight="true" outlineLevel="0" collapsed="false">
      <c r="A2513" s="1" t="n">
        <v>12512</v>
      </c>
      <c r="B2513" s="14" t="n">
        <v>47073</v>
      </c>
      <c r="C2513" s="1" t="n">
        <v>1665</v>
      </c>
      <c r="D2513" s="1" t="s">
        <v>34</v>
      </c>
      <c r="E2513" s="1" t="s">
        <v>28</v>
      </c>
      <c r="F2513" s="1" t="n">
        <v>4</v>
      </c>
      <c r="G2513" s="15" t="n">
        <v>520.72</v>
      </c>
      <c r="H2513" s="16" t="n">
        <v>0.02</v>
      </c>
      <c r="I2513" s="1" t="s">
        <v>31</v>
      </c>
      <c r="J2513" s="1" t="n">
        <v>6</v>
      </c>
      <c r="K2513" s="1" t="n">
        <v>2</v>
      </c>
      <c r="L2513" s="15" t="n">
        <v>2041.22</v>
      </c>
      <c r="M2513" s="15" t="n">
        <f aca="false">F2513*G2513</f>
        <v>2082.88</v>
      </c>
      <c r="N2513" s="15" t="n">
        <f aca="false">M2513-L2513</f>
        <v>41.6600000000001</v>
      </c>
      <c r="O2513" s="1" t="n">
        <f aca="false">YEAR(B2513)</f>
        <v>2028</v>
      </c>
      <c r="P2513" s="1" t="n">
        <f aca="false">MONTH(B2513)</f>
        <v>11</v>
      </c>
      <c r="Q2513" s="1" t="str">
        <f aca="false">TEXT(B2513,"mmm")</f>
        <v>Nov</v>
      </c>
      <c r="R2513" s="1" t="str">
        <f aca="false">"Q"&amp;ROUNDUP(MONTH(B2513)/3,0)</f>
        <v>Q4</v>
      </c>
    </row>
    <row r="2514" customFormat="false" ht="15" hidden="false" customHeight="true" outlineLevel="0" collapsed="false">
      <c r="A2514" s="1" t="n">
        <v>12513</v>
      </c>
      <c r="B2514" s="14" t="n">
        <v>47074</v>
      </c>
      <c r="C2514" s="1" t="n">
        <v>1917</v>
      </c>
      <c r="D2514" s="1" t="s">
        <v>34</v>
      </c>
      <c r="E2514" s="1" t="s">
        <v>28</v>
      </c>
      <c r="F2514" s="1" t="n">
        <v>7</v>
      </c>
      <c r="G2514" s="15" t="n">
        <v>181.99</v>
      </c>
      <c r="H2514" s="16" t="n">
        <v>0</v>
      </c>
      <c r="I2514" s="1" t="s">
        <v>33</v>
      </c>
      <c r="J2514" s="1" t="n">
        <v>9</v>
      </c>
      <c r="K2514" s="1" t="n">
        <v>3.3</v>
      </c>
      <c r="L2514" s="15" t="n">
        <v>1273.93</v>
      </c>
      <c r="M2514" s="15" t="n">
        <f aca="false">F2514*G2514</f>
        <v>1273.93</v>
      </c>
      <c r="N2514" s="15" t="n">
        <f aca="false">M2514-L2514</f>
        <v>0</v>
      </c>
      <c r="O2514" s="1" t="n">
        <f aca="false">YEAR(B2514)</f>
        <v>2028</v>
      </c>
      <c r="P2514" s="1" t="n">
        <f aca="false">MONTH(B2514)</f>
        <v>11</v>
      </c>
      <c r="Q2514" s="1" t="str">
        <f aca="false">TEXT(B2514,"mmm")</f>
        <v>Nov</v>
      </c>
      <c r="R2514" s="1" t="str">
        <f aca="false">"Q"&amp;ROUNDUP(MONTH(B2514)/3,0)</f>
        <v>Q4</v>
      </c>
    </row>
    <row r="2515" customFormat="false" ht="15" hidden="false" customHeight="true" outlineLevel="0" collapsed="false">
      <c r="A2515" s="1" t="n">
        <v>12514</v>
      </c>
      <c r="B2515" s="14" t="n">
        <v>47075</v>
      </c>
      <c r="C2515" s="1" t="n">
        <v>1102</v>
      </c>
      <c r="D2515" s="1" t="s">
        <v>37</v>
      </c>
      <c r="E2515" s="1" t="s">
        <v>35</v>
      </c>
      <c r="F2515" s="1" t="n">
        <v>6</v>
      </c>
      <c r="G2515" s="15" t="n">
        <v>374.8</v>
      </c>
      <c r="H2515" s="16" t="n">
        <v>0.32</v>
      </c>
      <c r="I2515" s="1" t="s">
        <v>31</v>
      </c>
      <c r="J2515" s="1" t="n">
        <v>7</v>
      </c>
      <c r="K2515" s="1" t="n">
        <v>3.2</v>
      </c>
      <c r="L2515" s="15" t="n">
        <v>1529.18</v>
      </c>
      <c r="M2515" s="15" t="n">
        <f aca="false">F2515*G2515</f>
        <v>2248.8</v>
      </c>
      <c r="N2515" s="15" t="n">
        <f aca="false">M2515-L2515</f>
        <v>719.62</v>
      </c>
      <c r="O2515" s="1" t="n">
        <f aca="false">YEAR(B2515)</f>
        <v>2028</v>
      </c>
      <c r="P2515" s="1" t="n">
        <f aca="false">MONTH(B2515)</f>
        <v>11</v>
      </c>
      <c r="Q2515" s="1" t="str">
        <f aca="false">TEXT(B2515,"mmm")</f>
        <v>Nov</v>
      </c>
      <c r="R2515" s="1" t="str">
        <f aca="false">"Q"&amp;ROUNDUP(MONTH(B2515)/3,0)</f>
        <v>Q4</v>
      </c>
    </row>
    <row r="2516" customFormat="false" ht="15" hidden="false" customHeight="true" outlineLevel="0" collapsed="false">
      <c r="A2516" s="1" t="n">
        <v>12515</v>
      </c>
      <c r="B2516" s="14" t="n">
        <v>47076</v>
      </c>
      <c r="C2516" s="1" t="n">
        <v>1193</v>
      </c>
      <c r="D2516" s="1" t="s">
        <v>34</v>
      </c>
      <c r="E2516" s="1" t="s">
        <v>32</v>
      </c>
      <c r="F2516" s="1" t="n">
        <v>6</v>
      </c>
      <c r="G2516" s="15" t="n">
        <v>587.78</v>
      </c>
      <c r="H2516" s="16" t="n">
        <v>0.14</v>
      </c>
      <c r="I2516" s="1" t="s">
        <v>31</v>
      </c>
      <c r="J2516" s="1" t="n">
        <v>6</v>
      </c>
      <c r="K2516" s="1" t="n">
        <v>4.5</v>
      </c>
      <c r="L2516" s="15" t="n">
        <v>3032.94</v>
      </c>
      <c r="M2516" s="15" t="n">
        <f aca="false">F2516*G2516</f>
        <v>3526.68</v>
      </c>
      <c r="N2516" s="15" t="n">
        <f aca="false">M2516-L2516</f>
        <v>493.74</v>
      </c>
      <c r="O2516" s="1" t="n">
        <f aca="false">YEAR(B2516)</f>
        <v>2028</v>
      </c>
      <c r="P2516" s="1" t="n">
        <f aca="false">MONTH(B2516)</f>
        <v>11</v>
      </c>
      <c r="Q2516" s="1" t="str">
        <f aca="false">TEXT(B2516,"mmm")</f>
        <v>Nov</v>
      </c>
      <c r="R2516" s="1" t="str">
        <f aca="false">"Q"&amp;ROUNDUP(MONTH(B2516)/3,0)</f>
        <v>Q4</v>
      </c>
    </row>
    <row r="2517" customFormat="false" ht="15" hidden="false" customHeight="true" outlineLevel="0" collapsed="false">
      <c r="A2517" s="1" t="n">
        <v>12516</v>
      </c>
      <c r="B2517" s="14" t="n">
        <v>47077</v>
      </c>
      <c r="C2517" s="1" t="n">
        <v>1165</v>
      </c>
      <c r="D2517" s="1" t="s">
        <v>34</v>
      </c>
      <c r="E2517" s="1" t="s">
        <v>35</v>
      </c>
      <c r="F2517" s="1" t="n">
        <v>2</v>
      </c>
      <c r="G2517" s="15" t="n">
        <v>363.37</v>
      </c>
      <c r="H2517" s="16" t="n">
        <v>0.16</v>
      </c>
      <c r="I2517" s="1" t="s">
        <v>33</v>
      </c>
      <c r="J2517" s="1" t="n">
        <v>11</v>
      </c>
      <c r="K2517" s="1" t="n">
        <v>3.7</v>
      </c>
      <c r="L2517" s="15" t="n">
        <v>610.46</v>
      </c>
      <c r="M2517" s="15" t="n">
        <f aca="false">F2517*G2517</f>
        <v>726.74</v>
      </c>
      <c r="N2517" s="15" t="n">
        <f aca="false">M2517-L2517</f>
        <v>116.28</v>
      </c>
      <c r="O2517" s="1" t="n">
        <f aca="false">YEAR(B2517)</f>
        <v>2028</v>
      </c>
      <c r="P2517" s="1" t="n">
        <f aca="false">MONTH(B2517)</f>
        <v>11</v>
      </c>
      <c r="Q2517" s="1" t="str">
        <f aca="false">TEXT(B2517,"mmm")</f>
        <v>Nov</v>
      </c>
      <c r="R2517" s="1" t="str">
        <f aca="false">"Q"&amp;ROUNDUP(MONTH(B2517)/3,0)</f>
        <v>Q4</v>
      </c>
    </row>
    <row r="2518" customFormat="false" ht="15" hidden="false" customHeight="true" outlineLevel="0" collapsed="false">
      <c r="A2518" s="1" t="n">
        <v>12517</v>
      </c>
      <c r="B2518" s="14" t="n">
        <v>47078</v>
      </c>
      <c r="C2518" s="1" t="n">
        <v>1870</v>
      </c>
      <c r="D2518" s="1" t="s">
        <v>30</v>
      </c>
      <c r="E2518" s="1" t="s">
        <v>36</v>
      </c>
      <c r="F2518" s="1" t="n">
        <v>6</v>
      </c>
      <c r="G2518" s="15" t="n">
        <v>438.96</v>
      </c>
      <c r="H2518" s="16" t="n">
        <v>0.3</v>
      </c>
      <c r="I2518" s="1" t="s">
        <v>31</v>
      </c>
      <c r="J2518" s="1" t="n">
        <v>4</v>
      </c>
      <c r="K2518" s="1" t="n">
        <v>2.7</v>
      </c>
      <c r="L2518" s="15" t="n">
        <v>1843.63</v>
      </c>
      <c r="M2518" s="15" t="n">
        <f aca="false">F2518*G2518</f>
        <v>2633.76</v>
      </c>
      <c r="N2518" s="15" t="n">
        <f aca="false">M2518-L2518</f>
        <v>790.13</v>
      </c>
      <c r="O2518" s="1" t="n">
        <f aca="false">YEAR(B2518)</f>
        <v>2028</v>
      </c>
      <c r="P2518" s="1" t="n">
        <f aca="false">MONTH(B2518)</f>
        <v>11</v>
      </c>
      <c r="Q2518" s="1" t="str">
        <f aca="false">TEXT(B2518,"mmm")</f>
        <v>Nov</v>
      </c>
      <c r="R2518" s="1" t="str">
        <f aca="false">"Q"&amp;ROUNDUP(MONTH(B2518)/3,0)</f>
        <v>Q4</v>
      </c>
    </row>
    <row r="2519" customFormat="false" ht="15" hidden="false" customHeight="true" outlineLevel="0" collapsed="false">
      <c r="A2519" s="1" t="n">
        <v>12518</v>
      </c>
      <c r="B2519" s="14" t="n">
        <v>47079</v>
      </c>
      <c r="C2519" s="1" t="n">
        <v>1089</v>
      </c>
      <c r="D2519" s="1" t="s">
        <v>37</v>
      </c>
      <c r="E2519" s="1" t="s">
        <v>36</v>
      </c>
      <c r="F2519" s="1" t="n">
        <v>6</v>
      </c>
      <c r="G2519" s="15" t="n">
        <v>275.51</v>
      </c>
      <c r="H2519" s="16" t="n">
        <v>0.21</v>
      </c>
      <c r="I2519" s="1" t="s">
        <v>33</v>
      </c>
      <c r="J2519" s="1" t="n">
        <v>7</v>
      </c>
      <c r="K2519" s="1" t="n">
        <v>3.6</v>
      </c>
      <c r="L2519" s="15" t="n">
        <v>1305.92</v>
      </c>
      <c r="M2519" s="15" t="n">
        <f aca="false">F2519*G2519</f>
        <v>1653.06</v>
      </c>
      <c r="N2519" s="15" t="n">
        <f aca="false">M2519-L2519</f>
        <v>347.14</v>
      </c>
      <c r="O2519" s="1" t="n">
        <f aca="false">YEAR(B2519)</f>
        <v>2028</v>
      </c>
      <c r="P2519" s="1" t="n">
        <f aca="false">MONTH(B2519)</f>
        <v>11</v>
      </c>
      <c r="Q2519" s="1" t="str">
        <f aca="false">TEXT(B2519,"mmm")</f>
        <v>Nov</v>
      </c>
      <c r="R2519" s="1" t="str">
        <f aca="false">"Q"&amp;ROUNDUP(MONTH(B2519)/3,0)</f>
        <v>Q4</v>
      </c>
    </row>
    <row r="2520" customFormat="false" ht="15" hidden="false" customHeight="true" outlineLevel="0" collapsed="false">
      <c r="A2520" s="1" t="n">
        <v>12519</v>
      </c>
      <c r="B2520" s="14" t="n">
        <v>47080</v>
      </c>
      <c r="C2520" s="1" t="n">
        <v>1685</v>
      </c>
      <c r="D2520" s="1" t="s">
        <v>34</v>
      </c>
      <c r="E2520" s="1" t="s">
        <v>28</v>
      </c>
      <c r="F2520" s="1" t="n">
        <v>1</v>
      </c>
      <c r="G2520" s="15" t="n">
        <v>50.31</v>
      </c>
      <c r="H2520" s="16" t="n">
        <v>0.21</v>
      </c>
      <c r="I2520" s="1" t="s">
        <v>31</v>
      </c>
      <c r="J2520" s="1" t="n">
        <v>4</v>
      </c>
      <c r="K2520" s="1" t="n">
        <v>4</v>
      </c>
      <c r="L2520" s="15" t="n">
        <v>39.74</v>
      </c>
      <c r="M2520" s="15" t="n">
        <f aca="false">F2520*G2520</f>
        <v>50.31</v>
      </c>
      <c r="N2520" s="15" t="n">
        <f aca="false">M2520-L2520</f>
        <v>10.57</v>
      </c>
      <c r="O2520" s="1" t="n">
        <f aca="false">YEAR(B2520)</f>
        <v>2028</v>
      </c>
      <c r="P2520" s="1" t="n">
        <f aca="false">MONTH(B2520)</f>
        <v>11</v>
      </c>
      <c r="Q2520" s="1" t="str">
        <f aca="false">TEXT(B2520,"mmm")</f>
        <v>Nov</v>
      </c>
      <c r="R2520" s="1" t="str">
        <f aca="false">"Q"&amp;ROUNDUP(MONTH(B2520)/3,0)</f>
        <v>Q4</v>
      </c>
    </row>
    <row r="2521" customFormat="false" ht="15" hidden="false" customHeight="true" outlineLevel="0" collapsed="false">
      <c r="A2521" s="1" t="n">
        <v>12520</v>
      </c>
      <c r="B2521" s="14" t="n">
        <v>47081</v>
      </c>
      <c r="C2521" s="1" t="n">
        <v>1121</v>
      </c>
      <c r="D2521" s="1" t="s">
        <v>30</v>
      </c>
      <c r="E2521" s="1" t="s">
        <v>35</v>
      </c>
      <c r="F2521" s="1" t="n">
        <v>2</v>
      </c>
      <c r="G2521" s="15" t="n">
        <v>481.6</v>
      </c>
      <c r="H2521" s="16" t="n">
        <v>0.1</v>
      </c>
      <c r="I2521" s="1" t="s">
        <v>31</v>
      </c>
      <c r="J2521" s="1" t="n">
        <v>7</v>
      </c>
      <c r="K2521" s="1" t="n">
        <v>4.7</v>
      </c>
      <c r="L2521" s="15" t="n">
        <v>866.88</v>
      </c>
      <c r="M2521" s="15" t="n">
        <f aca="false">F2521*G2521</f>
        <v>963.2</v>
      </c>
      <c r="N2521" s="15" t="n">
        <f aca="false">M2521-L2521</f>
        <v>96.3200000000001</v>
      </c>
      <c r="O2521" s="1" t="n">
        <f aca="false">YEAR(B2521)</f>
        <v>2028</v>
      </c>
      <c r="P2521" s="1" t="n">
        <f aca="false">MONTH(B2521)</f>
        <v>11</v>
      </c>
      <c r="Q2521" s="1" t="str">
        <f aca="false">TEXT(B2521,"mmm")</f>
        <v>Nov</v>
      </c>
      <c r="R2521" s="1" t="str">
        <f aca="false">"Q"&amp;ROUNDUP(MONTH(B2521)/3,0)</f>
        <v>Q4</v>
      </c>
    </row>
    <row r="2522" customFormat="false" ht="15" hidden="false" customHeight="true" outlineLevel="0" collapsed="false">
      <c r="A2522" s="1" t="n">
        <v>12521</v>
      </c>
      <c r="B2522" s="14" t="n">
        <v>47082</v>
      </c>
      <c r="C2522" s="1" t="n">
        <v>1142</v>
      </c>
      <c r="D2522" s="1" t="s">
        <v>34</v>
      </c>
      <c r="E2522" s="1" t="s">
        <v>36</v>
      </c>
      <c r="F2522" s="1" t="n">
        <v>1</v>
      </c>
      <c r="G2522" s="15" t="n">
        <v>35.47</v>
      </c>
      <c r="H2522" s="16" t="n">
        <v>0.29</v>
      </c>
      <c r="I2522" s="1" t="s">
        <v>31</v>
      </c>
      <c r="J2522" s="1" t="n">
        <v>5</v>
      </c>
      <c r="K2522" s="1" t="n">
        <v>3.8</v>
      </c>
      <c r="L2522" s="15" t="n">
        <v>25.18</v>
      </c>
      <c r="M2522" s="15" t="n">
        <f aca="false">F2522*G2522</f>
        <v>35.47</v>
      </c>
      <c r="N2522" s="15" t="n">
        <f aca="false">M2522-L2522</f>
        <v>10.29</v>
      </c>
      <c r="O2522" s="1" t="n">
        <f aca="false">YEAR(B2522)</f>
        <v>2028</v>
      </c>
      <c r="P2522" s="1" t="n">
        <f aca="false">MONTH(B2522)</f>
        <v>11</v>
      </c>
      <c r="Q2522" s="1" t="str">
        <f aca="false">TEXT(B2522,"mmm")</f>
        <v>Nov</v>
      </c>
      <c r="R2522" s="1" t="str">
        <f aca="false">"Q"&amp;ROUNDUP(MONTH(B2522)/3,0)</f>
        <v>Q4</v>
      </c>
    </row>
    <row r="2523" customFormat="false" ht="15" hidden="false" customHeight="true" outlineLevel="0" collapsed="false">
      <c r="A2523" s="1" t="n">
        <v>12522</v>
      </c>
      <c r="B2523" s="14" t="n">
        <v>47083</v>
      </c>
      <c r="C2523" s="1" t="n">
        <v>1993</v>
      </c>
      <c r="D2523" s="1" t="s">
        <v>34</v>
      </c>
      <c r="E2523" s="1" t="s">
        <v>36</v>
      </c>
      <c r="F2523" s="1" t="n">
        <v>3</v>
      </c>
      <c r="G2523" s="15" t="n">
        <v>424.88</v>
      </c>
      <c r="H2523" s="16" t="n">
        <v>0.06</v>
      </c>
      <c r="I2523" s="1" t="s">
        <v>31</v>
      </c>
      <c r="J2523" s="1" t="n">
        <v>2</v>
      </c>
      <c r="K2523" s="1" t="n">
        <v>3.2</v>
      </c>
      <c r="L2523" s="15" t="n">
        <v>1198.16</v>
      </c>
      <c r="M2523" s="15" t="n">
        <f aca="false">F2523*G2523</f>
        <v>1274.64</v>
      </c>
      <c r="N2523" s="15" t="n">
        <f aca="false">M2523-L2523</f>
        <v>76.4799999999998</v>
      </c>
      <c r="O2523" s="1" t="n">
        <f aca="false">YEAR(B2523)</f>
        <v>2028</v>
      </c>
      <c r="P2523" s="1" t="n">
        <f aca="false">MONTH(B2523)</f>
        <v>11</v>
      </c>
      <c r="Q2523" s="1" t="str">
        <f aca="false">TEXT(B2523,"mmm")</f>
        <v>Nov</v>
      </c>
      <c r="R2523" s="1" t="str">
        <f aca="false">"Q"&amp;ROUNDUP(MONTH(B2523)/3,0)</f>
        <v>Q4</v>
      </c>
    </row>
    <row r="2524" customFormat="false" ht="15" hidden="false" customHeight="true" outlineLevel="0" collapsed="false">
      <c r="A2524" s="1" t="n">
        <v>12523</v>
      </c>
      <c r="B2524" s="14" t="n">
        <v>47084</v>
      </c>
      <c r="C2524" s="1" t="n">
        <v>1105</v>
      </c>
      <c r="D2524" s="1" t="s">
        <v>34</v>
      </c>
      <c r="E2524" s="1" t="s">
        <v>35</v>
      </c>
      <c r="F2524" s="1" t="n">
        <v>7</v>
      </c>
      <c r="G2524" s="15" t="n">
        <v>28.41</v>
      </c>
      <c r="H2524" s="16" t="n">
        <v>0.02</v>
      </c>
      <c r="I2524" s="1" t="s">
        <v>33</v>
      </c>
      <c r="J2524" s="1" t="n">
        <v>7</v>
      </c>
      <c r="K2524" s="1" t="n">
        <v>2.5</v>
      </c>
      <c r="L2524" s="15" t="n">
        <v>194.89</v>
      </c>
      <c r="M2524" s="15" t="n">
        <f aca="false">F2524*G2524</f>
        <v>198.87</v>
      </c>
      <c r="N2524" s="15" t="n">
        <f aca="false">M2524-L2524</f>
        <v>3.98000000000002</v>
      </c>
      <c r="O2524" s="1" t="n">
        <f aca="false">YEAR(B2524)</f>
        <v>2028</v>
      </c>
      <c r="P2524" s="1" t="n">
        <f aca="false">MONTH(B2524)</f>
        <v>11</v>
      </c>
      <c r="Q2524" s="1" t="str">
        <f aca="false">TEXT(B2524,"mmm")</f>
        <v>Nov</v>
      </c>
      <c r="R2524" s="1" t="str">
        <f aca="false">"Q"&amp;ROUNDUP(MONTH(B2524)/3,0)</f>
        <v>Q4</v>
      </c>
    </row>
    <row r="2525" customFormat="false" ht="15" hidden="false" customHeight="true" outlineLevel="0" collapsed="false">
      <c r="A2525" s="1" t="n">
        <v>12524</v>
      </c>
      <c r="B2525" s="14" t="n">
        <v>47085</v>
      </c>
      <c r="C2525" s="1" t="n">
        <v>1886</v>
      </c>
      <c r="D2525" s="1" t="s">
        <v>37</v>
      </c>
      <c r="E2525" s="1" t="s">
        <v>32</v>
      </c>
      <c r="F2525" s="1" t="n">
        <v>7</v>
      </c>
      <c r="G2525" s="15" t="n">
        <v>519.45</v>
      </c>
      <c r="H2525" s="16" t="n">
        <v>0.07</v>
      </c>
      <c r="I2525" s="1" t="s">
        <v>33</v>
      </c>
      <c r="J2525" s="1" t="n">
        <v>8</v>
      </c>
      <c r="K2525" s="1" t="n">
        <v>4.6</v>
      </c>
      <c r="L2525" s="15" t="n">
        <v>3381.62</v>
      </c>
      <c r="M2525" s="15" t="n">
        <f aca="false">F2525*G2525</f>
        <v>3636.15</v>
      </c>
      <c r="N2525" s="15" t="n">
        <f aca="false">M2525-L2525</f>
        <v>254.530000000001</v>
      </c>
      <c r="O2525" s="1" t="n">
        <f aca="false">YEAR(B2525)</f>
        <v>2028</v>
      </c>
      <c r="P2525" s="1" t="n">
        <f aca="false">MONTH(B2525)</f>
        <v>11</v>
      </c>
      <c r="Q2525" s="1" t="str">
        <f aca="false">TEXT(B2525,"mmm")</f>
        <v>Nov</v>
      </c>
      <c r="R2525" s="1" t="str">
        <f aca="false">"Q"&amp;ROUNDUP(MONTH(B2525)/3,0)</f>
        <v>Q4</v>
      </c>
    </row>
    <row r="2526" customFormat="false" ht="15" hidden="false" customHeight="true" outlineLevel="0" collapsed="false">
      <c r="A2526" s="1" t="n">
        <v>12525</v>
      </c>
      <c r="B2526" s="14" t="n">
        <v>47086</v>
      </c>
      <c r="C2526" s="1" t="n">
        <v>1427</v>
      </c>
      <c r="D2526" s="1" t="s">
        <v>34</v>
      </c>
      <c r="E2526" s="1" t="s">
        <v>35</v>
      </c>
      <c r="F2526" s="1" t="n">
        <v>3</v>
      </c>
      <c r="G2526" s="15" t="n">
        <v>107.22</v>
      </c>
      <c r="H2526" s="16" t="n">
        <v>0.09</v>
      </c>
      <c r="I2526" s="1" t="s">
        <v>31</v>
      </c>
      <c r="J2526" s="1" t="n">
        <v>10</v>
      </c>
      <c r="K2526" s="1" t="n">
        <v>4.2</v>
      </c>
      <c r="L2526" s="15" t="n">
        <v>292.71</v>
      </c>
      <c r="M2526" s="15" t="n">
        <f aca="false">F2526*G2526</f>
        <v>321.66</v>
      </c>
      <c r="N2526" s="15" t="n">
        <f aca="false">M2526-L2526</f>
        <v>28.95</v>
      </c>
      <c r="O2526" s="1" t="n">
        <f aca="false">YEAR(B2526)</f>
        <v>2028</v>
      </c>
      <c r="P2526" s="1" t="n">
        <f aca="false">MONTH(B2526)</f>
        <v>11</v>
      </c>
      <c r="Q2526" s="1" t="str">
        <f aca="false">TEXT(B2526,"mmm")</f>
        <v>Nov</v>
      </c>
      <c r="R2526" s="1" t="str">
        <f aca="false">"Q"&amp;ROUNDUP(MONTH(B2526)/3,0)</f>
        <v>Q4</v>
      </c>
    </row>
    <row r="2527" customFormat="false" ht="15" hidden="false" customHeight="true" outlineLevel="0" collapsed="false">
      <c r="A2527" s="1" t="n">
        <v>12526</v>
      </c>
      <c r="B2527" s="14" t="n">
        <v>47087</v>
      </c>
      <c r="C2527" s="1" t="n">
        <v>1304</v>
      </c>
      <c r="D2527" s="1" t="s">
        <v>34</v>
      </c>
      <c r="E2527" s="1" t="s">
        <v>35</v>
      </c>
      <c r="F2527" s="1" t="n">
        <v>7</v>
      </c>
      <c r="G2527" s="15" t="n">
        <v>315.85</v>
      </c>
      <c r="H2527" s="16" t="n">
        <v>0.1</v>
      </c>
      <c r="I2527" s="1" t="s">
        <v>31</v>
      </c>
      <c r="J2527" s="1" t="n">
        <v>11</v>
      </c>
      <c r="K2527" s="1" t="n">
        <v>1.3</v>
      </c>
      <c r="L2527" s="15" t="n">
        <v>1989.86</v>
      </c>
      <c r="M2527" s="15" t="n">
        <f aca="false">F2527*G2527</f>
        <v>2210.95</v>
      </c>
      <c r="N2527" s="15" t="n">
        <f aca="false">M2527-L2527</f>
        <v>221.09</v>
      </c>
      <c r="O2527" s="1" t="n">
        <f aca="false">YEAR(B2527)</f>
        <v>2028</v>
      </c>
      <c r="P2527" s="1" t="n">
        <f aca="false">MONTH(B2527)</f>
        <v>11</v>
      </c>
      <c r="Q2527" s="1" t="str">
        <f aca="false">TEXT(B2527,"mmm")</f>
        <v>Nov</v>
      </c>
      <c r="R2527" s="1" t="str">
        <f aca="false">"Q"&amp;ROUNDUP(MONTH(B2527)/3,0)</f>
        <v>Q4</v>
      </c>
    </row>
    <row r="2528" customFormat="false" ht="15" hidden="false" customHeight="true" outlineLevel="0" collapsed="false">
      <c r="A2528" s="1" t="n">
        <v>12527</v>
      </c>
      <c r="B2528" s="14" t="n">
        <v>47088</v>
      </c>
      <c r="C2528" s="1" t="n">
        <v>1871</v>
      </c>
      <c r="D2528" s="1" t="s">
        <v>30</v>
      </c>
      <c r="E2528" s="1" t="s">
        <v>32</v>
      </c>
      <c r="F2528" s="1" t="n">
        <v>2</v>
      </c>
      <c r="G2528" s="15" t="n">
        <v>364.33</v>
      </c>
      <c r="H2528" s="16" t="n">
        <v>0.23</v>
      </c>
      <c r="I2528" s="1" t="s">
        <v>31</v>
      </c>
      <c r="J2528" s="1" t="n">
        <v>2</v>
      </c>
      <c r="K2528" s="1" t="n">
        <v>3.8</v>
      </c>
      <c r="L2528" s="15" t="n">
        <v>561.07</v>
      </c>
      <c r="M2528" s="15" t="n">
        <f aca="false">F2528*G2528</f>
        <v>728.66</v>
      </c>
      <c r="N2528" s="15" t="n">
        <f aca="false">M2528-L2528</f>
        <v>167.59</v>
      </c>
      <c r="O2528" s="1" t="n">
        <f aca="false">YEAR(B2528)</f>
        <v>2028</v>
      </c>
      <c r="P2528" s="1" t="n">
        <f aca="false">MONTH(B2528)</f>
        <v>12</v>
      </c>
      <c r="Q2528" s="1" t="str">
        <f aca="false">TEXT(B2528,"mmm")</f>
        <v>Dec</v>
      </c>
      <c r="R2528" s="1" t="str">
        <f aca="false">"Q"&amp;ROUNDUP(MONTH(B2528)/3,0)</f>
        <v>Q4</v>
      </c>
    </row>
    <row r="2529" customFormat="false" ht="15" hidden="false" customHeight="true" outlineLevel="0" collapsed="false">
      <c r="A2529" s="1" t="n">
        <v>12528</v>
      </c>
      <c r="B2529" s="14" t="n">
        <v>47089</v>
      </c>
      <c r="C2529" s="1" t="n">
        <v>1970</v>
      </c>
      <c r="D2529" s="1" t="s">
        <v>37</v>
      </c>
      <c r="E2529" s="1" t="s">
        <v>28</v>
      </c>
      <c r="F2529" s="1" t="n">
        <v>2</v>
      </c>
      <c r="G2529" s="15" t="n">
        <v>282.66</v>
      </c>
      <c r="H2529" s="16" t="n">
        <v>0.08</v>
      </c>
      <c r="I2529" s="1" t="s">
        <v>29</v>
      </c>
      <c r="J2529" s="1" t="n">
        <v>6</v>
      </c>
      <c r="K2529" s="1" t="n">
        <v>3.2</v>
      </c>
      <c r="L2529" s="15" t="n">
        <v>520.09</v>
      </c>
      <c r="M2529" s="15" t="n">
        <f aca="false">F2529*G2529</f>
        <v>565.32</v>
      </c>
      <c r="N2529" s="15" t="n">
        <f aca="false">M2529-L2529</f>
        <v>45.23</v>
      </c>
      <c r="O2529" s="1" t="n">
        <f aca="false">YEAR(B2529)</f>
        <v>2028</v>
      </c>
      <c r="P2529" s="1" t="n">
        <f aca="false">MONTH(B2529)</f>
        <v>12</v>
      </c>
      <c r="Q2529" s="1" t="str">
        <f aca="false">TEXT(B2529,"mmm")</f>
        <v>Dec</v>
      </c>
      <c r="R2529" s="1" t="str">
        <f aca="false">"Q"&amp;ROUNDUP(MONTH(B2529)/3,0)</f>
        <v>Q4</v>
      </c>
    </row>
    <row r="2530" customFormat="false" ht="15" hidden="false" customHeight="true" outlineLevel="0" collapsed="false">
      <c r="A2530" s="1" t="n">
        <v>12529</v>
      </c>
      <c r="B2530" s="14" t="n">
        <v>47090</v>
      </c>
      <c r="C2530" s="1" t="n">
        <v>1316</v>
      </c>
      <c r="D2530" s="1" t="s">
        <v>34</v>
      </c>
      <c r="E2530" s="1" t="s">
        <v>28</v>
      </c>
      <c r="F2530" s="1" t="n">
        <v>6</v>
      </c>
      <c r="G2530" s="15" t="n">
        <v>214.35</v>
      </c>
      <c r="H2530" s="16" t="n">
        <v>0.24</v>
      </c>
      <c r="I2530" s="1" t="s">
        <v>31</v>
      </c>
      <c r="J2530" s="1" t="n">
        <v>4</v>
      </c>
      <c r="K2530" s="1" t="n">
        <v>1.4</v>
      </c>
      <c r="L2530" s="15" t="n">
        <v>977.44</v>
      </c>
      <c r="M2530" s="15" t="n">
        <f aca="false">F2530*G2530</f>
        <v>1286.1</v>
      </c>
      <c r="N2530" s="15" t="n">
        <f aca="false">M2530-L2530</f>
        <v>308.66</v>
      </c>
      <c r="O2530" s="1" t="n">
        <f aca="false">YEAR(B2530)</f>
        <v>2028</v>
      </c>
      <c r="P2530" s="1" t="n">
        <f aca="false">MONTH(B2530)</f>
        <v>12</v>
      </c>
      <c r="Q2530" s="1" t="str">
        <f aca="false">TEXT(B2530,"mmm")</f>
        <v>Dec</v>
      </c>
      <c r="R2530" s="1" t="str">
        <f aca="false">"Q"&amp;ROUNDUP(MONTH(B2530)/3,0)</f>
        <v>Q4</v>
      </c>
    </row>
    <row r="2531" customFormat="false" ht="15" hidden="false" customHeight="true" outlineLevel="0" collapsed="false">
      <c r="A2531" s="1" t="n">
        <v>12530</v>
      </c>
      <c r="B2531" s="14" t="n">
        <v>47091</v>
      </c>
      <c r="C2531" s="1" t="n">
        <v>1962</v>
      </c>
      <c r="D2531" s="1" t="s">
        <v>30</v>
      </c>
      <c r="E2531" s="1" t="s">
        <v>28</v>
      </c>
      <c r="F2531" s="1" t="n">
        <v>7</v>
      </c>
      <c r="G2531" s="15" t="n">
        <v>288.67</v>
      </c>
      <c r="H2531" s="16" t="n">
        <v>0.03</v>
      </c>
      <c r="I2531" s="1" t="s">
        <v>29</v>
      </c>
      <c r="J2531" s="1" t="n">
        <v>5</v>
      </c>
      <c r="K2531" s="1" t="n">
        <v>3.3</v>
      </c>
      <c r="L2531" s="15" t="n">
        <v>1960.07</v>
      </c>
      <c r="M2531" s="15" t="n">
        <f aca="false">F2531*G2531</f>
        <v>2020.69</v>
      </c>
      <c r="N2531" s="15" t="n">
        <f aca="false">M2531-L2531</f>
        <v>60.6200000000001</v>
      </c>
      <c r="O2531" s="1" t="n">
        <f aca="false">YEAR(B2531)</f>
        <v>2028</v>
      </c>
      <c r="P2531" s="1" t="n">
        <f aca="false">MONTH(B2531)</f>
        <v>12</v>
      </c>
      <c r="Q2531" s="1" t="str">
        <f aca="false">TEXT(B2531,"mmm")</f>
        <v>Dec</v>
      </c>
      <c r="R2531" s="1" t="str">
        <f aca="false">"Q"&amp;ROUNDUP(MONTH(B2531)/3,0)</f>
        <v>Q4</v>
      </c>
    </row>
    <row r="2532" customFormat="false" ht="15" hidden="false" customHeight="true" outlineLevel="0" collapsed="false">
      <c r="A2532" s="1" t="n">
        <v>12531</v>
      </c>
      <c r="B2532" s="14" t="n">
        <v>47092</v>
      </c>
      <c r="C2532" s="1" t="n">
        <v>1634</v>
      </c>
      <c r="D2532" s="1" t="s">
        <v>34</v>
      </c>
      <c r="E2532" s="1" t="s">
        <v>32</v>
      </c>
      <c r="F2532" s="1" t="n">
        <v>3</v>
      </c>
      <c r="G2532" s="15" t="n">
        <v>197.18</v>
      </c>
      <c r="H2532" s="16" t="n">
        <v>0.05</v>
      </c>
      <c r="I2532" s="1" t="s">
        <v>33</v>
      </c>
      <c r="J2532" s="1" t="n">
        <v>1</v>
      </c>
      <c r="K2532" s="1" t="n">
        <v>1.8</v>
      </c>
      <c r="L2532" s="15" t="n">
        <v>561.96</v>
      </c>
      <c r="M2532" s="15" t="n">
        <f aca="false">F2532*G2532</f>
        <v>591.54</v>
      </c>
      <c r="N2532" s="15" t="n">
        <f aca="false">M2532-L2532</f>
        <v>29.5799999999999</v>
      </c>
      <c r="O2532" s="1" t="n">
        <f aca="false">YEAR(B2532)</f>
        <v>2028</v>
      </c>
      <c r="P2532" s="1" t="n">
        <f aca="false">MONTH(B2532)</f>
        <v>12</v>
      </c>
      <c r="Q2532" s="1" t="str">
        <f aca="false">TEXT(B2532,"mmm")</f>
        <v>Dec</v>
      </c>
      <c r="R2532" s="1" t="str">
        <f aca="false">"Q"&amp;ROUNDUP(MONTH(B2532)/3,0)</f>
        <v>Q4</v>
      </c>
    </row>
    <row r="2533" customFormat="false" ht="15" hidden="false" customHeight="true" outlineLevel="0" collapsed="false">
      <c r="A2533" s="1" t="n">
        <v>12532</v>
      </c>
      <c r="B2533" s="14" t="n">
        <v>47093</v>
      </c>
      <c r="C2533" s="1" t="n">
        <v>1901</v>
      </c>
      <c r="D2533" s="1" t="s">
        <v>30</v>
      </c>
      <c r="E2533" s="1" t="s">
        <v>36</v>
      </c>
      <c r="F2533" s="1" t="n">
        <v>5</v>
      </c>
      <c r="G2533" s="15" t="n">
        <v>271.3</v>
      </c>
      <c r="H2533" s="16" t="n">
        <v>0.18</v>
      </c>
      <c r="I2533" s="1" t="s">
        <v>31</v>
      </c>
      <c r="J2533" s="1" t="n">
        <v>6</v>
      </c>
      <c r="K2533" s="1" t="n">
        <v>3.8</v>
      </c>
      <c r="L2533" s="15" t="n">
        <v>1112.33</v>
      </c>
      <c r="M2533" s="15" t="n">
        <f aca="false">F2533*G2533</f>
        <v>1356.5</v>
      </c>
      <c r="N2533" s="15" t="n">
        <f aca="false">M2533-L2533</f>
        <v>244.17</v>
      </c>
      <c r="O2533" s="1" t="n">
        <f aca="false">YEAR(B2533)</f>
        <v>2028</v>
      </c>
      <c r="P2533" s="1" t="n">
        <f aca="false">MONTH(B2533)</f>
        <v>12</v>
      </c>
      <c r="Q2533" s="1" t="str">
        <f aca="false">TEXT(B2533,"mmm")</f>
        <v>Dec</v>
      </c>
      <c r="R2533" s="1" t="str">
        <f aca="false">"Q"&amp;ROUNDUP(MONTH(B2533)/3,0)</f>
        <v>Q4</v>
      </c>
    </row>
    <row r="2534" customFormat="false" ht="15" hidden="false" customHeight="true" outlineLevel="0" collapsed="false">
      <c r="A2534" s="1" t="n">
        <v>12533</v>
      </c>
      <c r="B2534" s="14" t="n">
        <v>47094</v>
      </c>
      <c r="C2534" s="1" t="n">
        <v>1008</v>
      </c>
      <c r="D2534" s="1" t="s">
        <v>30</v>
      </c>
      <c r="E2534" s="1" t="s">
        <v>32</v>
      </c>
      <c r="F2534" s="1" t="n">
        <v>4</v>
      </c>
      <c r="G2534" s="15" t="n">
        <v>224.96</v>
      </c>
      <c r="H2534" s="16" t="n">
        <v>0.32</v>
      </c>
      <c r="I2534" s="1" t="s">
        <v>29</v>
      </c>
      <c r="J2534" s="1" t="n">
        <v>11</v>
      </c>
      <c r="K2534" s="1" t="n">
        <v>2.1</v>
      </c>
      <c r="L2534" s="15" t="n">
        <v>611.89</v>
      </c>
      <c r="M2534" s="15" t="n">
        <f aca="false">F2534*G2534</f>
        <v>899.84</v>
      </c>
      <c r="N2534" s="15" t="n">
        <f aca="false">M2534-L2534</f>
        <v>287.95</v>
      </c>
      <c r="O2534" s="1" t="n">
        <f aca="false">YEAR(B2534)</f>
        <v>2028</v>
      </c>
      <c r="P2534" s="1" t="n">
        <f aca="false">MONTH(B2534)</f>
        <v>12</v>
      </c>
      <c r="Q2534" s="1" t="str">
        <f aca="false">TEXT(B2534,"mmm")</f>
        <v>Dec</v>
      </c>
      <c r="R2534" s="1" t="str">
        <f aca="false">"Q"&amp;ROUNDUP(MONTH(B2534)/3,0)</f>
        <v>Q4</v>
      </c>
    </row>
    <row r="2535" customFormat="false" ht="15" hidden="false" customHeight="true" outlineLevel="0" collapsed="false">
      <c r="A2535" s="1" t="n">
        <v>12534</v>
      </c>
      <c r="B2535" s="14" t="n">
        <v>47095</v>
      </c>
      <c r="C2535" s="1" t="n">
        <v>1773</v>
      </c>
      <c r="D2535" s="1" t="s">
        <v>30</v>
      </c>
      <c r="E2535" s="1" t="s">
        <v>35</v>
      </c>
      <c r="F2535" s="1" t="n">
        <v>6</v>
      </c>
      <c r="G2535" s="15" t="n">
        <v>346.23</v>
      </c>
      <c r="H2535" s="16" t="n">
        <v>0.3</v>
      </c>
      <c r="I2535" s="1" t="s">
        <v>33</v>
      </c>
      <c r="J2535" s="1" t="n">
        <v>8</v>
      </c>
      <c r="K2535" s="1" t="n">
        <v>1.6</v>
      </c>
      <c r="L2535" s="15" t="n">
        <v>1454.17</v>
      </c>
      <c r="M2535" s="15" t="n">
        <f aca="false">F2535*G2535</f>
        <v>2077.38</v>
      </c>
      <c r="N2535" s="15" t="n">
        <f aca="false">M2535-L2535</f>
        <v>623.21</v>
      </c>
      <c r="O2535" s="1" t="n">
        <f aca="false">YEAR(B2535)</f>
        <v>2028</v>
      </c>
      <c r="P2535" s="1" t="n">
        <f aca="false">MONTH(B2535)</f>
        <v>12</v>
      </c>
      <c r="Q2535" s="1" t="str">
        <f aca="false">TEXT(B2535,"mmm")</f>
        <v>Dec</v>
      </c>
      <c r="R2535" s="1" t="str">
        <f aca="false">"Q"&amp;ROUNDUP(MONTH(B2535)/3,0)</f>
        <v>Q4</v>
      </c>
    </row>
    <row r="2536" customFormat="false" ht="15" hidden="false" customHeight="true" outlineLevel="0" collapsed="false">
      <c r="A2536" s="1" t="n">
        <v>12535</v>
      </c>
      <c r="B2536" s="14" t="n">
        <v>47096</v>
      </c>
      <c r="C2536" s="1" t="n">
        <v>1072</v>
      </c>
      <c r="D2536" s="1" t="s">
        <v>34</v>
      </c>
      <c r="E2536" s="1" t="s">
        <v>32</v>
      </c>
      <c r="F2536" s="1" t="n">
        <v>4</v>
      </c>
      <c r="G2536" s="15" t="n">
        <v>154.19</v>
      </c>
      <c r="H2536" s="16" t="n">
        <v>0.34</v>
      </c>
      <c r="I2536" s="1" t="s">
        <v>33</v>
      </c>
      <c r="J2536" s="1" t="n">
        <v>2</v>
      </c>
      <c r="K2536" s="1" t="n">
        <v>1.3</v>
      </c>
      <c r="L2536" s="15" t="n">
        <v>407.06</v>
      </c>
      <c r="M2536" s="15" t="n">
        <f aca="false">F2536*G2536</f>
        <v>616.76</v>
      </c>
      <c r="N2536" s="15" t="n">
        <f aca="false">M2536-L2536</f>
        <v>209.7</v>
      </c>
      <c r="O2536" s="1" t="n">
        <f aca="false">YEAR(B2536)</f>
        <v>2028</v>
      </c>
      <c r="P2536" s="1" t="n">
        <f aca="false">MONTH(B2536)</f>
        <v>12</v>
      </c>
      <c r="Q2536" s="1" t="str">
        <f aca="false">TEXT(B2536,"mmm")</f>
        <v>Dec</v>
      </c>
      <c r="R2536" s="1" t="str">
        <f aca="false">"Q"&amp;ROUNDUP(MONTH(B2536)/3,0)</f>
        <v>Q4</v>
      </c>
    </row>
    <row r="2537" customFormat="false" ht="15" hidden="false" customHeight="true" outlineLevel="0" collapsed="false">
      <c r="A2537" s="1" t="n">
        <v>12536</v>
      </c>
      <c r="B2537" s="14" t="n">
        <v>47097</v>
      </c>
      <c r="C2537" s="1" t="n">
        <v>1358</v>
      </c>
      <c r="D2537" s="1" t="s">
        <v>34</v>
      </c>
      <c r="E2537" s="1" t="s">
        <v>36</v>
      </c>
      <c r="F2537" s="1" t="n">
        <v>3</v>
      </c>
      <c r="G2537" s="15" t="n">
        <v>593.36</v>
      </c>
      <c r="H2537" s="16" t="n">
        <v>0.23</v>
      </c>
      <c r="I2537" s="1" t="s">
        <v>31</v>
      </c>
      <c r="J2537" s="1" t="n">
        <v>1</v>
      </c>
      <c r="K2537" s="1" t="n">
        <v>3</v>
      </c>
      <c r="L2537" s="15" t="n">
        <v>1370.66</v>
      </c>
      <c r="M2537" s="15" t="n">
        <f aca="false">F2537*G2537</f>
        <v>1780.08</v>
      </c>
      <c r="N2537" s="15" t="n">
        <f aca="false">M2537-L2537</f>
        <v>409.42</v>
      </c>
      <c r="O2537" s="1" t="n">
        <f aca="false">YEAR(B2537)</f>
        <v>2028</v>
      </c>
      <c r="P2537" s="1" t="n">
        <f aca="false">MONTH(B2537)</f>
        <v>12</v>
      </c>
      <c r="Q2537" s="1" t="str">
        <f aca="false">TEXT(B2537,"mmm")</f>
        <v>Dec</v>
      </c>
      <c r="R2537" s="1" t="str">
        <f aca="false">"Q"&amp;ROUNDUP(MONTH(B2537)/3,0)</f>
        <v>Q4</v>
      </c>
    </row>
    <row r="2538" customFormat="false" ht="15" hidden="false" customHeight="true" outlineLevel="0" collapsed="false">
      <c r="A2538" s="1" t="n">
        <v>12537</v>
      </c>
      <c r="B2538" s="14" t="n">
        <v>47098</v>
      </c>
      <c r="C2538" s="1" t="n">
        <v>1222</v>
      </c>
      <c r="D2538" s="1" t="s">
        <v>34</v>
      </c>
      <c r="E2538" s="1" t="s">
        <v>36</v>
      </c>
      <c r="F2538" s="1" t="n">
        <v>7</v>
      </c>
      <c r="G2538" s="15" t="n">
        <v>308.01</v>
      </c>
      <c r="H2538" s="16" t="n">
        <v>0.24</v>
      </c>
      <c r="I2538" s="1" t="s">
        <v>33</v>
      </c>
      <c r="J2538" s="1" t="n">
        <v>9</v>
      </c>
      <c r="K2538" s="1" t="n">
        <v>1.8</v>
      </c>
      <c r="L2538" s="15" t="n">
        <v>1638.61</v>
      </c>
      <c r="M2538" s="15" t="n">
        <f aca="false">F2538*G2538</f>
        <v>2156.07</v>
      </c>
      <c r="N2538" s="15" t="n">
        <f aca="false">M2538-L2538</f>
        <v>517.46</v>
      </c>
      <c r="O2538" s="1" t="n">
        <f aca="false">YEAR(B2538)</f>
        <v>2028</v>
      </c>
      <c r="P2538" s="1" t="n">
        <f aca="false">MONTH(B2538)</f>
        <v>12</v>
      </c>
      <c r="Q2538" s="1" t="str">
        <f aca="false">TEXT(B2538,"mmm")</f>
        <v>Dec</v>
      </c>
      <c r="R2538" s="1" t="str">
        <f aca="false">"Q"&amp;ROUNDUP(MONTH(B2538)/3,0)</f>
        <v>Q4</v>
      </c>
    </row>
    <row r="2539" customFormat="false" ht="15" hidden="false" customHeight="true" outlineLevel="0" collapsed="false">
      <c r="A2539" s="1" t="n">
        <v>12538</v>
      </c>
      <c r="B2539" s="14" t="n">
        <v>47099</v>
      </c>
      <c r="C2539" s="1" t="n">
        <v>1415</v>
      </c>
      <c r="D2539" s="1" t="s">
        <v>30</v>
      </c>
      <c r="E2539" s="1" t="s">
        <v>35</v>
      </c>
      <c r="F2539" s="1" t="n">
        <v>7</v>
      </c>
      <c r="G2539" s="15" t="n">
        <v>128.58</v>
      </c>
      <c r="H2539" s="16" t="n">
        <v>0.22</v>
      </c>
      <c r="I2539" s="1" t="s">
        <v>31</v>
      </c>
      <c r="J2539" s="1" t="n">
        <v>2</v>
      </c>
      <c r="K2539" s="1" t="n">
        <v>4.4</v>
      </c>
      <c r="L2539" s="15" t="n">
        <v>702.05</v>
      </c>
      <c r="M2539" s="15" t="n">
        <f aca="false">F2539*G2539</f>
        <v>900.06</v>
      </c>
      <c r="N2539" s="15" t="n">
        <f aca="false">M2539-L2539</f>
        <v>198.01</v>
      </c>
      <c r="O2539" s="1" t="n">
        <f aca="false">YEAR(B2539)</f>
        <v>2028</v>
      </c>
      <c r="P2539" s="1" t="n">
        <f aca="false">MONTH(B2539)</f>
        <v>12</v>
      </c>
      <c r="Q2539" s="1" t="str">
        <f aca="false">TEXT(B2539,"mmm")</f>
        <v>Dec</v>
      </c>
      <c r="R2539" s="1" t="str">
        <f aca="false">"Q"&amp;ROUNDUP(MONTH(B2539)/3,0)</f>
        <v>Q4</v>
      </c>
    </row>
    <row r="2540" customFormat="false" ht="15" hidden="false" customHeight="true" outlineLevel="0" collapsed="false">
      <c r="A2540" s="1" t="n">
        <v>12539</v>
      </c>
      <c r="B2540" s="14" t="n">
        <v>47100</v>
      </c>
      <c r="C2540" s="1" t="n">
        <v>1552</v>
      </c>
      <c r="D2540" s="1" t="s">
        <v>34</v>
      </c>
      <c r="E2540" s="1" t="s">
        <v>28</v>
      </c>
      <c r="F2540" s="1" t="n">
        <v>4</v>
      </c>
      <c r="G2540" s="15" t="n">
        <v>294.08</v>
      </c>
      <c r="H2540" s="16" t="n">
        <v>0.22</v>
      </c>
      <c r="I2540" s="1" t="s">
        <v>31</v>
      </c>
      <c r="J2540" s="1" t="n">
        <v>8</v>
      </c>
      <c r="K2540" s="1" t="n">
        <v>1</v>
      </c>
      <c r="L2540" s="15" t="n">
        <v>917.53</v>
      </c>
      <c r="M2540" s="15" t="n">
        <f aca="false">F2540*G2540</f>
        <v>1176.32</v>
      </c>
      <c r="N2540" s="15" t="n">
        <f aca="false">M2540-L2540</f>
        <v>258.79</v>
      </c>
      <c r="O2540" s="1" t="n">
        <f aca="false">YEAR(B2540)</f>
        <v>2028</v>
      </c>
      <c r="P2540" s="1" t="n">
        <f aca="false">MONTH(B2540)</f>
        <v>12</v>
      </c>
      <c r="Q2540" s="1" t="str">
        <f aca="false">TEXT(B2540,"mmm")</f>
        <v>Dec</v>
      </c>
      <c r="R2540" s="1" t="str">
        <f aca="false">"Q"&amp;ROUNDUP(MONTH(B2540)/3,0)</f>
        <v>Q4</v>
      </c>
    </row>
    <row r="2541" customFormat="false" ht="15" hidden="false" customHeight="true" outlineLevel="0" collapsed="false">
      <c r="A2541" s="1" t="n">
        <v>12540</v>
      </c>
      <c r="B2541" s="14" t="n">
        <v>47101</v>
      </c>
      <c r="C2541" s="1" t="n">
        <v>1369</v>
      </c>
      <c r="D2541" s="1" t="s">
        <v>37</v>
      </c>
      <c r="E2541" s="1" t="s">
        <v>36</v>
      </c>
      <c r="F2541" s="1" t="n">
        <v>5</v>
      </c>
      <c r="G2541" s="15" t="n">
        <v>521.85</v>
      </c>
      <c r="H2541" s="16" t="n">
        <v>0.05</v>
      </c>
      <c r="I2541" s="1" t="s">
        <v>29</v>
      </c>
      <c r="J2541" s="1" t="n">
        <v>5</v>
      </c>
      <c r="K2541" s="1" t="n">
        <v>4.4</v>
      </c>
      <c r="L2541" s="15" t="n">
        <v>2478.79</v>
      </c>
      <c r="M2541" s="15" t="n">
        <f aca="false">F2541*G2541</f>
        <v>2609.25</v>
      </c>
      <c r="N2541" s="15" t="n">
        <f aca="false">M2541-L2541</f>
        <v>130.46</v>
      </c>
      <c r="O2541" s="1" t="n">
        <f aca="false">YEAR(B2541)</f>
        <v>2028</v>
      </c>
      <c r="P2541" s="1" t="n">
        <f aca="false">MONTH(B2541)</f>
        <v>12</v>
      </c>
      <c r="Q2541" s="1" t="str">
        <f aca="false">TEXT(B2541,"mmm")</f>
        <v>Dec</v>
      </c>
      <c r="R2541" s="1" t="str">
        <f aca="false">"Q"&amp;ROUNDUP(MONTH(B2541)/3,0)</f>
        <v>Q4</v>
      </c>
    </row>
    <row r="2542" customFormat="false" ht="15" hidden="false" customHeight="true" outlineLevel="0" collapsed="false">
      <c r="A2542" s="1" t="n">
        <v>12541</v>
      </c>
      <c r="B2542" s="14" t="n">
        <v>47102</v>
      </c>
      <c r="C2542" s="1" t="n">
        <v>1715</v>
      </c>
      <c r="D2542" s="1" t="s">
        <v>27</v>
      </c>
      <c r="E2542" s="1" t="s">
        <v>36</v>
      </c>
      <c r="F2542" s="1" t="n">
        <v>7</v>
      </c>
      <c r="G2542" s="15" t="n">
        <v>27.76</v>
      </c>
      <c r="H2542" s="16" t="n">
        <v>0.19</v>
      </c>
      <c r="I2542" s="1" t="s">
        <v>29</v>
      </c>
      <c r="J2542" s="1" t="n">
        <v>2</v>
      </c>
      <c r="K2542" s="1" t="n">
        <v>3.1</v>
      </c>
      <c r="L2542" s="15" t="n">
        <v>157.4</v>
      </c>
      <c r="M2542" s="15" t="n">
        <f aca="false">F2542*G2542</f>
        <v>194.32</v>
      </c>
      <c r="N2542" s="15" t="n">
        <f aca="false">M2542-L2542</f>
        <v>36.92</v>
      </c>
      <c r="O2542" s="1" t="n">
        <f aca="false">YEAR(B2542)</f>
        <v>2028</v>
      </c>
      <c r="P2542" s="1" t="n">
        <f aca="false">MONTH(B2542)</f>
        <v>12</v>
      </c>
      <c r="Q2542" s="1" t="str">
        <f aca="false">TEXT(B2542,"mmm")</f>
        <v>Dec</v>
      </c>
      <c r="R2542" s="1" t="str">
        <f aca="false">"Q"&amp;ROUNDUP(MONTH(B2542)/3,0)</f>
        <v>Q4</v>
      </c>
    </row>
    <row r="2543" customFormat="false" ht="15" hidden="false" customHeight="true" outlineLevel="0" collapsed="false">
      <c r="A2543" s="1" t="n">
        <v>12542</v>
      </c>
      <c r="B2543" s="14" t="n">
        <v>47103</v>
      </c>
      <c r="C2543" s="1" t="n">
        <v>1263</v>
      </c>
      <c r="D2543" s="1" t="s">
        <v>27</v>
      </c>
      <c r="E2543" s="1" t="s">
        <v>36</v>
      </c>
      <c r="F2543" s="1" t="n">
        <v>5</v>
      </c>
      <c r="G2543" s="15" t="n">
        <v>412.54</v>
      </c>
      <c r="H2543" s="16" t="n">
        <v>0.14</v>
      </c>
      <c r="I2543" s="1" t="s">
        <v>31</v>
      </c>
      <c r="J2543" s="1" t="n">
        <v>5</v>
      </c>
      <c r="K2543" s="1" t="n">
        <v>4.7</v>
      </c>
      <c r="L2543" s="15" t="n">
        <v>1773.92</v>
      </c>
      <c r="M2543" s="15" t="n">
        <f aca="false">F2543*G2543</f>
        <v>2062.7</v>
      </c>
      <c r="N2543" s="15" t="n">
        <f aca="false">M2543-L2543</f>
        <v>288.78</v>
      </c>
      <c r="O2543" s="1" t="n">
        <f aca="false">YEAR(B2543)</f>
        <v>2028</v>
      </c>
      <c r="P2543" s="1" t="n">
        <f aca="false">MONTH(B2543)</f>
        <v>12</v>
      </c>
      <c r="Q2543" s="1" t="str">
        <f aca="false">TEXT(B2543,"mmm")</f>
        <v>Dec</v>
      </c>
      <c r="R2543" s="1" t="str">
        <f aca="false">"Q"&amp;ROUNDUP(MONTH(B2543)/3,0)</f>
        <v>Q4</v>
      </c>
    </row>
    <row r="2544" customFormat="false" ht="15" hidden="false" customHeight="true" outlineLevel="0" collapsed="false">
      <c r="A2544" s="1" t="n">
        <v>12543</v>
      </c>
      <c r="B2544" s="14" t="n">
        <v>47104</v>
      </c>
      <c r="C2544" s="1" t="n">
        <v>1839</v>
      </c>
      <c r="D2544" s="1" t="s">
        <v>27</v>
      </c>
      <c r="E2544" s="1" t="s">
        <v>35</v>
      </c>
      <c r="F2544" s="1" t="n">
        <v>1</v>
      </c>
      <c r="G2544" s="15" t="n">
        <v>335.56</v>
      </c>
      <c r="H2544" s="16" t="n">
        <v>0.15</v>
      </c>
      <c r="I2544" s="1" t="s">
        <v>33</v>
      </c>
      <c r="J2544" s="1" t="n">
        <v>9</v>
      </c>
      <c r="K2544" s="1" t="n">
        <v>1.8</v>
      </c>
      <c r="L2544" s="15" t="n">
        <v>285.23</v>
      </c>
      <c r="M2544" s="15" t="n">
        <f aca="false">F2544*G2544</f>
        <v>335.56</v>
      </c>
      <c r="N2544" s="15" t="n">
        <f aca="false">M2544-L2544</f>
        <v>50.33</v>
      </c>
      <c r="O2544" s="1" t="n">
        <f aca="false">YEAR(B2544)</f>
        <v>2028</v>
      </c>
      <c r="P2544" s="1" t="n">
        <f aca="false">MONTH(B2544)</f>
        <v>12</v>
      </c>
      <c r="Q2544" s="1" t="str">
        <f aca="false">TEXT(B2544,"mmm")</f>
        <v>Dec</v>
      </c>
      <c r="R2544" s="1" t="str">
        <f aca="false">"Q"&amp;ROUNDUP(MONTH(B2544)/3,0)</f>
        <v>Q4</v>
      </c>
    </row>
    <row r="2545" customFormat="false" ht="15" hidden="false" customHeight="true" outlineLevel="0" collapsed="false">
      <c r="A2545" s="1" t="n">
        <v>12544</v>
      </c>
      <c r="B2545" s="14" t="n">
        <v>47105</v>
      </c>
      <c r="C2545" s="1" t="n">
        <v>1689</v>
      </c>
      <c r="D2545" s="1" t="s">
        <v>30</v>
      </c>
      <c r="E2545" s="1" t="s">
        <v>36</v>
      </c>
      <c r="F2545" s="1" t="n">
        <v>2</v>
      </c>
      <c r="G2545" s="15" t="n">
        <v>114.19</v>
      </c>
      <c r="H2545" s="16" t="n">
        <v>0.18</v>
      </c>
      <c r="I2545" s="1" t="s">
        <v>33</v>
      </c>
      <c r="J2545" s="1" t="n">
        <v>6</v>
      </c>
      <c r="K2545" s="1" t="n">
        <v>1.4</v>
      </c>
      <c r="L2545" s="15" t="n">
        <v>187.27</v>
      </c>
      <c r="M2545" s="15" t="n">
        <f aca="false">F2545*G2545</f>
        <v>228.38</v>
      </c>
      <c r="N2545" s="15" t="n">
        <f aca="false">M2545-L2545</f>
        <v>41.11</v>
      </c>
      <c r="O2545" s="1" t="n">
        <f aca="false">YEAR(B2545)</f>
        <v>2028</v>
      </c>
      <c r="P2545" s="1" t="n">
        <f aca="false">MONTH(B2545)</f>
        <v>12</v>
      </c>
      <c r="Q2545" s="1" t="str">
        <f aca="false">TEXT(B2545,"mmm")</f>
        <v>Dec</v>
      </c>
      <c r="R2545" s="1" t="str">
        <f aca="false">"Q"&amp;ROUNDUP(MONTH(B2545)/3,0)</f>
        <v>Q4</v>
      </c>
    </row>
    <row r="2546" customFormat="false" ht="15" hidden="false" customHeight="true" outlineLevel="0" collapsed="false">
      <c r="A2546" s="1" t="n">
        <v>12545</v>
      </c>
      <c r="B2546" s="14" t="n">
        <v>47106</v>
      </c>
      <c r="C2546" s="1" t="n">
        <v>1859</v>
      </c>
      <c r="D2546" s="1" t="s">
        <v>37</v>
      </c>
      <c r="E2546" s="1" t="s">
        <v>28</v>
      </c>
      <c r="F2546" s="1" t="n">
        <v>4</v>
      </c>
      <c r="G2546" s="15" t="n">
        <v>493.22</v>
      </c>
      <c r="H2546" s="16" t="n">
        <v>0.04</v>
      </c>
      <c r="I2546" s="1" t="s">
        <v>31</v>
      </c>
      <c r="J2546" s="1" t="n">
        <v>3</v>
      </c>
      <c r="K2546" s="1" t="n">
        <v>3.5</v>
      </c>
      <c r="L2546" s="15" t="n">
        <v>1893.96</v>
      </c>
      <c r="M2546" s="15" t="n">
        <f aca="false">F2546*G2546</f>
        <v>1972.88</v>
      </c>
      <c r="N2546" s="15" t="n">
        <f aca="false">M2546-L2546</f>
        <v>78.9200000000001</v>
      </c>
      <c r="O2546" s="1" t="n">
        <f aca="false">YEAR(B2546)</f>
        <v>2028</v>
      </c>
      <c r="P2546" s="1" t="n">
        <f aca="false">MONTH(B2546)</f>
        <v>12</v>
      </c>
      <c r="Q2546" s="1" t="str">
        <f aca="false">TEXT(B2546,"mmm")</f>
        <v>Dec</v>
      </c>
      <c r="R2546" s="1" t="str">
        <f aca="false">"Q"&amp;ROUNDUP(MONTH(B2546)/3,0)</f>
        <v>Q4</v>
      </c>
    </row>
    <row r="2547" customFormat="false" ht="15" hidden="false" customHeight="true" outlineLevel="0" collapsed="false">
      <c r="A2547" s="1" t="n">
        <v>12546</v>
      </c>
      <c r="B2547" s="14" t="n">
        <v>47107</v>
      </c>
      <c r="C2547" s="1" t="n">
        <v>1317</v>
      </c>
      <c r="D2547" s="1" t="s">
        <v>34</v>
      </c>
      <c r="E2547" s="1" t="s">
        <v>35</v>
      </c>
      <c r="F2547" s="1" t="n">
        <v>7</v>
      </c>
      <c r="G2547" s="15" t="n">
        <v>230.8</v>
      </c>
      <c r="H2547" s="16" t="n">
        <v>0.13</v>
      </c>
      <c r="I2547" s="1" t="s">
        <v>31</v>
      </c>
      <c r="J2547" s="1" t="n">
        <v>8</v>
      </c>
      <c r="K2547" s="1" t="n">
        <v>3.8</v>
      </c>
      <c r="L2547" s="15" t="n">
        <v>1405.57</v>
      </c>
      <c r="M2547" s="15" t="n">
        <f aca="false">F2547*G2547</f>
        <v>1615.6</v>
      </c>
      <c r="N2547" s="15" t="n">
        <f aca="false">M2547-L2547</f>
        <v>210.03</v>
      </c>
      <c r="O2547" s="1" t="n">
        <f aca="false">YEAR(B2547)</f>
        <v>2028</v>
      </c>
      <c r="P2547" s="1" t="n">
        <f aca="false">MONTH(B2547)</f>
        <v>12</v>
      </c>
      <c r="Q2547" s="1" t="str">
        <f aca="false">TEXT(B2547,"mmm")</f>
        <v>Dec</v>
      </c>
      <c r="R2547" s="1" t="str">
        <f aca="false">"Q"&amp;ROUNDUP(MONTH(B2547)/3,0)</f>
        <v>Q4</v>
      </c>
    </row>
    <row r="2548" customFormat="false" ht="15" hidden="false" customHeight="true" outlineLevel="0" collapsed="false">
      <c r="A2548" s="1" t="n">
        <v>12547</v>
      </c>
      <c r="B2548" s="14" t="n">
        <v>47108</v>
      </c>
      <c r="C2548" s="1" t="n">
        <v>1083</v>
      </c>
      <c r="D2548" s="1" t="s">
        <v>30</v>
      </c>
      <c r="E2548" s="1" t="s">
        <v>28</v>
      </c>
      <c r="F2548" s="1" t="n">
        <v>5</v>
      </c>
      <c r="G2548" s="15" t="n">
        <v>186.87</v>
      </c>
      <c r="H2548" s="16" t="n">
        <v>0.02</v>
      </c>
      <c r="I2548" s="1" t="s">
        <v>31</v>
      </c>
      <c r="J2548" s="1" t="n">
        <v>1</v>
      </c>
      <c r="K2548" s="1" t="n">
        <v>2.5</v>
      </c>
      <c r="L2548" s="15" t="n">
        <v>915.66</v>
      </c>
      <c r="M2548" s="15" t="n">
        <f aca="false">F2548*G2548</f>
        <v>934.35</v>
      </c>
      <c r="N2548" s="15" t="n">
        <f aca="false">M2548-L2548</f>
        <v>18.6900000000001</v>
      </c>
      <c r="O2548" s="1" t="n">
        <f aca="false">YEAR(B2548)</f>
        <v>2028</v>
      </c>
      <c r="P2548" s="1" t="n">
        <f aca="false">MONTH(B2548)</f>
        <v>12</v>
      </c>
      <c r="Q2548" s="1" t="str">
        <f aca="false">TEXT(B2548,"mmm")</f>
        <v>Dec</v>
      </c>
      <c r="R2548" s="1" t="str">
        <f aca="false">"Q"&amp;ROUNDUP(MONTH(B2548)/3,0)</f>
        <v>Q4</v>
      </c>
    </row>
    <row r="2549" customFormat="false" ht="15" hidden="false" customHeight="true" outlineLevel="0" collapsed="false">
      <c r="A2549" s="1" t="n">
        <v>12548</v>
      </c>
      <c r="B2549" s="14" t="n">
        <v>47109</v>
      </c>
      <c r="C2549" s="1" t="n">
        <v>1317</v>
      </c>
      <c r="D2549" s="1" t="s">
        <v>30</v>
      </c>
      <c r="E2549" s="1" t="s">
        <v>36</v>
      </c>
      <c r="F2549" s="1" t="n">
        <v>7</v>
      </c>
      <c r="G2549" s="15" t="n">
        <v>499.45</v>
      </c>
      <c r="H2549" s="16" t="n">
        <v>0.34</v>
      </c>
      <c r="I2549" s="1" t="s">
        <v>33</v>
      </c>
      <c r="J2549" s="1" t="n">
        <v>9</v>
      </c>
      <c r="K2549" s="1" t="n">
        <v>1.1</v>
      </c>
      <c r="L2549" s="15" t="n">
        <v>2307.46</v>
      </c>
      <c r="M2549" s="15" t="n">
        <f aca="false">F2549*G2549</f>
        <v>3496.15</v>
      </c>
      <c r="N2549" s="15" t="n">
        <f aca="false">M2549-L2549</f>
        <v>1188.69</v>
      </c>
      <c r="O2549" s="1" t="n">
        <f aca="false">YEAR(B2549)</f>
        <v>2028</v>
      </c>
      <c r="P2549" s="1" t="n">
        <f aca="false">MONTH(B2549)</f>
        <v>12</v>
      </c>
      <c r="Q2549" s="1" t="str">
        <f aca="false">TEXT(B2549,"mmm")</f>
        <v>Dec</v>
      </c>
      <c r="R2549" s="1" t="str">
        <f aca="false">"Q"&amp;ROUNDUP(MONTH(B2549)/3,0)</f>
        <v>Q4</v>
      </c>
    </row>
    <row r="2550" customFormat="false" ht="15" hidden="false" customHeight="true" outlineLevel="0" collapsed="false">
      <c r="A2550" s="1" t="n">
        <v>12549</v>
      </c>
      <c r="B2550" s="14" t="n">
        <v>47110</v>
      </c>
      <c r="C2550" s="1" t="n">
        <v>1110</v>
      </c>
      <c r="D2550" s="1" t="s">
        <v>30</v>
      </c>
      <c r="E2550" s="1" t="s">
        <v>36</v>
      </c>
      <c r="F2550" s="1" t="n">
        <v>2</v>
      </c>
      <c r="G2550" s="15" t="n">
        <v>388.54</v>
      </c>
      <c r="H2550" s="16" t="n">
        <v>0.04</v>
      </c>
      <c r="I2550" s="1" t="s">
        <v>29</v>
      </c>
      <c r="J2550" s="1" t="n">
        <v>9</v>
      </c>
      <c r="K2550" s="1" t="n">
        <v>2.6</v>
      </c>
      <c r="L2550" s="15" t="n">
        <v>746</v>
      </c>
      <c r="M2550" s="15" t="n">
        <f aca="false">F2550*G2550</f>
        <v>777.08</v>
      </c>
      <c r="N2550" s="15" t="n">
        <f aca="false">M2550-L2550</f>
        <v>31.08</v>
      </c>
      <c r="O2550" s="1" t="n">
        <f aca="false">YEAR(B2550)</f>
        <v>2028</v>
      </c>
      <c r="P2550" s="1" t="n">
        <f aca="false">MONTH(B2550)</f>
        <v>12</v>
      </c>
      <c r="Q2550" s="1" t="str">
        <f aca="false">TEXT(B2550,"mmm")</f>
        <v>Dec</v>
      </c>
      <c r="R2550" s="1" t="str">
        <f aca="false">"Q"&amp;ROUNDUP(MONTH(B2550)/3,0)</f>
        <v>Q4</v>
      </c>
    </row>
    <row r="2551" customFormat="false" ht="15" hidden="false" customHeight="true" outlineLevel="0" collapsed="false">
      <c r="A2551" s="1" t="n">
        <v>12550</v>
      </c>
      <c r="B2551" s="14" t="n">
        <v>47111</v>
      </c>
      <c r="C2551" s="1" t="n">
        <v>1250</v>
      </c>
      <c r="D2551" s="1" t="s">
        <v>37</v>
      </c>
      <c r="E2551" s="1" t="s">
        <v>28</v>
      </c>
      <c r="F2551" s="1" t="n">
        <v>2</v>
      </c>
      <c r="G2551" s="15" t="n">
        <v>540.48</v>
      </c>
      <c r="H2551" s="16" t="n">
        <v>0.09</v>
      </c>
      <c r="I2551" s="1" t="s">
        <v>31</v>
      </c>
      <c r="J2551" s="1" t="n">
        <v>4</v>
      </c>
      <c r="K2551" s="1" t="n">
        <v>1.9</v>
      </c>
      <c r="L2551" s="15" t="n">
        <v>983.67</v>
      </c>
      <c r="M2551" s="15" t="n">
        <f aca="false">F2551*G2551</f>
        <v>1080.96</v>
      </c>
      <c r="N2551" s="15" t="n">
        <f aca="false">M2551-L2551</f>
        <v>97.2900000000001</v>
      </c>
      <c r="O2551" s="1" t="n">
        <f aca="false">YEAR(B2551)</f>
        <v>2028</v>
      </c>
      <c r="P2551" s="1" t="n">
        <f aca="false">MONTH(B2551)</f>
        <v>12</v>
      </c>
      <c r="Q2551" s="1" t="str">
        <f aca="false">TEXT(B2551,"mmm")</f>
        <v>Dec</v>
      </c>
      <c r="R2551" s="1" t="str">
        <f aca="false">"Q"&amp;ROUNDUP(MONTH(B2551)/3,0)</f>
        <v>Q4</v>
      </c>
    </row>
    <row r="2552" customFormat="false" ht="15" hidden="false" customHeight="true" outlineLevel="0" collapsed="false">
      <c r="A2552" s="1" t="n">
        <v>12551</v>
      </c>
      <c r="B2552" s="14" t="n">
        <v>47112</v>
      </c>
      <c r="C2552" s="1" t="n">
        <v>1382</v>
      </c>
      <c r="D2552" s="1" t="s">
        <v>34</v>
      </c>
      <c r="E2552" s="1" t="s">
        <v>35</v>
      </c>
      <c r="F2552" s="1" t="n">
        <v>1</v>
      </c>
      <c r="G2552" s="15" t="n">
        <v>383.48</v>
      </c>
      <c r="H2552" s="16" t="n">
        <v>0.31</v>
      </c>
      <c r="I2552" s="1" t="s">
        <v>33</v>
      </c>
      <c r="J2552" s="1" t="n">
        <v>8</v>
      </c>
      <c r="K2552" s="1" t="n">
        <v>2.4</v>
      </c>
      <c r="L2552" s="15" t="n">
        <v>264.6</v>
      </c>
      <c r="M2552" s="15" t="n">
        <f aca="false">F2552*G2552</f>
        <v>383.48</v>
      </c>
      <c r="N2552" s="15" t="n">
        <f aca="false">M2552-L2552</f>
        <v>118.88</v>
      </c>
      <c r="O2552" s="1" t="n">
        <f aca="false">YEAR(B2552)</f>
        <v>2028</v>
      </c>
      <c r="P2552" s="1" t="n">
        <f aca="false">MONTH(B2552)</f>
        <v>12</v>
      </c>
      <c r="Q2552" s="1" t="str">
        <f aca="false">TEXT(B2552,"mmm")</f>
        <v>Dec</v>
      </c>
      <c r="R2552" s="1" t="str">
        <f aca="false">"Q"&amp;ROUNDUP(MONTH(B2552)/3,0)</f>
        <v>Q4</v>
      </c>
    </row>
    <row r="2553" customFormat="false" ht="15" hidden="false" customHeight="true" outlineLevel="0" collapsed="false">
      <c r="A2553" s="1" t="n">
        <v>12552</v>
      </c>
      <c r="B2553" s="14" t="n">
        <v>47113</v>
      </c>
      <c r="C2553" s="1" t="n">
        <v>1006</v>
      </c>
      <c r="D2553" s="1" t="s">
        <v>34</v>
      </c>
      <c r="E2553" s="1" t="s">
        <v>35</v>
      </c>
      <c r="F2553" s="1" t="n">
        <v>2</v>
      </c>
      <c r="G2553" s="15" t="n">
        <v>448.38</v>
      </c>
      <c r="H2553" s="16" t="n">
        <v>0.17</v>
      </c>
      <c r="I2553" s="1" t="s">
        <v>33</v>
      </c>
      <c r="J2553" s="1" t="n">
        <v>11</v>
      </c>
      <c r="K2553" s="1" t="n">
        <v>3</v>
      </c>
      <c r="L2553" s="15" t="n">
        <v>744.31</v>
      </c>
      <c r="M2553" s="15" t="n">
        <f aca="false">F2553*G2553</f>
        <v>896.76</v>
      </c>
      <c r="N2553" s="15" t="n">
        <f aca="false">M2553-L2553</f>
        <v>152.45</v>
      </c>
      <c r="O2553" s="1" t="n">
        <f aca="false">YEAR(B2553)</f>
        <v>2028</v>
      </c>
      <c r="P2553" s="1" t="n">
        <f aca="false">MONTH(B2553)</f>
        <v>12</v>
      </c>
      <c r="Q2553" s="1" t="str">
        <f aca="false">TEXT(B2553,"mmm")</f>
        <v>Dec</v>
      </c>
      <c r="R2553" s="1" t="str">
        <f aca="false">"Q"&amp;ROUNDUP(MONTH(B2553)/3,0)</f>
        <v>Q4</v>
      </c>
    </row>
    <row r="2554" customFormat="false" ht="15" hidden="false" customHeight="true" outlineLevel="0" collapsed="false">
      <c r="A2554" s="1" t="n">
        <v>12553</v>
      </c>
      <c r="B2554" s="14" t="n">
        <v>47114</v>
      </c>
      <c r="C2554" s="1" t="n">
        <v>1458</v>
      </c>
      <c r="D2554" s="1" t="s">
        <v>27</v>
      </c>
      <c r="E2554" s="1" t="s">
        <v>28</v>
      </c>
      <c r="F2554" s="1" t="n">
        <v>2</v>
      </c>
      <c r="G2554" s="15" t="n">
        <v>504.32</v>
      </c>
      <c r="H2554" s="16" t="n">
        <v>0.05</v>
      </c>
      <c r="I2554" s="1" t="s">
        <v>33</v>
      </c>
      <c r="J2554" s="1" t="n">
        <v>11</v>
      </c>
      <c r="K2554" s="1" t="n">
        <v>3.8</v>
      </c>
      <c r="L2554" s="15" t="n">
        <v>958.21</v>
      </c>
      <c r="M2554" s="15" t="n">
        <f aca="false">F2554*G2554</f>
        <v>1008.64</v>
      </c>
      <c r="N2554" s="15" t="n">
        <f aca="false">M2554-L2554</f>
        <v>50.43</v>
      </c>
      <c r="O2554" s="1" t="n">
        <f aca="false">YEAR(B2554)</f>
        <v>2028</v>
      </c>
      <c r="P2554" s="1" t="n">
        <f aca="false">MONTH(B2554)</f>
        <v>12</v>
      </c>
      <c r="Q2554" s="1" t="str">
        <f aca="false">TEXT(B2554,"mmm")</f>
        <v>Dec</v>
      </c>
      <c r="R2554" s="1" t="str">
        <f aca="false">"Q"&amp;ROUNDUP(MONTH(B2554)/3,0)</f>
        <v>Q4</v>
      </c>
    </row>
    <row r="2555" customFormat="false" ht="15" hidden="false" customHeight="true" outlineLevel="0" collapsed="false">
      <c r="A2555" s="1" t="n">
        <v>12554</v>
      </c>
      <c r="B2555" s="14" t="n">
        <v>47115</v>
      </c>
      <c r="C2555" s="1" t="n">
        <v>1083</v>
      </c>
      <c r="D2555" s="1" t="s">
        <v>34</v>
      </c>
      <c r="E2555" s="1" t="s">
        <v>36</v>
      </c>
      <c r="F2555" s="1" t="n">
        <v>6</v>
      </c>
      <c r="G2555" s="15" t="n">
        <v>47.02</v>
      </c>
      <c r="H2555" s="16" t="n">
        <v>0.13</v>
      </c>
      <c r="I2555" s="1" t="s">
        <v>31</v>
      </c>
      <c r="J2555" s="1" t="n">
        <v>3</v>
      </c>
      <c r="K2555" s="1" t="n">
        <v>4.9</v>
      </c>
      <c r="L2555" s="15" t="n">
        <v>245.44</v>
      </c>
      <c r="M2555" s="15" t="n">
        <f aca="false">F2555*G2555</f>
        <v>282.12</v>
      </c>
      <c r="N2555" s="15" t="n">
        <f aca="false">M2555-L2555</f>
        <v>36.68</v>
      </c>
      <c r="O2555" s="1" t="n">
        <f aca="false">YEAR(B2555)</f>
        <v>2028</v>
      </c>
      <c r="P2555" s="1" t="n">
        <f aca="false">MONTH(B2555)</f>
        <v>12</v>
      </c>
      <c r="Q2555" s="1" t="str">
        <f aca="false">TEXT(B2555,"mmm")</f>
        <v>Dec</v>
      </c>
      <c r="R2555" s="1" t="str">
        <f aca="false">"Q"&amp;ROUNDUP(MONTH(B2555)/3,0)</f>
        <v>Q4</v>
      </c>
    </row>
    <row r="2556" customFormat="false" ht="15" hidden="false" customHeight="true" outlineLevel="0" collapsed="false">
      <c r="A2556" s="1" t="n">
        <v>12555</v>
      </c>
      <c r="B2556" s="14" t="n">
        <v>47116</v>
      </c>
      <c r="C2556" s="1" t="n">
        <v>1207</v>
      </c>
      <c r="D2556" s="1" t="s">
        <v>30</v>
      </c>
      <c r="E2556" s="1" t="s">
        <v>32</v>
      </c>
      <c r="F2556" s="1" t="n">
        <v>3</v>
      </c>
      <c r="G2556" s="15" t="n">
        <v>468.99</v>
      </c>
      <c r="H2556" s="16" t="n">
        <v>0.04</v>
      </c>
      <c r="I2556" s="1" t="s">
        <v>33</v>
      </c>
      <c r="J2556" s="1" t="n">
        <v>6</v>
      </c>
      <c r="K2556" s="1" t="n">
        <v>1.6</v>
      </c>
      <c r="L2556" s="15" t="n">
        <v>1350.69</v>
      </c>
      <c r="M2556" s="15" t="n">
        <f aca="false">F2556*G2556</f>
        <v>1406.97</v>
      </c>
      <c r="N2556" s="15" t="n">
        <f aca="false">M2556-L2556</f>
        <v>56.28</v>
      </c>
      <c r="O2556" s="1" t="n">
        <f aca="false">YEAR(B2556)</f>
        <v>2028</v>
      </c>
      <c r="P2556" s="1" t="n">
        <f aca="false">MONTH(B2556)</f>
        <v>12</v>
      </c>
      <c r="Q2556" s="1" t="str">
        <f aca="false">TEXT(B2556,"mmm")</f>
        <v>Dec</v>
      </c>
      <c r="R2556" s="1" t="str">
        <f aca="false">"Q"&amp;ROUNDUP(MONTH(B2556)/3,0)</f>
        <v>Q4</v>
      </c>
    </row>
    <row r="2557" customFormat="false" ht="15" hidden="false" customHeight="true" outlineLevel="0" collapsed="false">
      <c r="A2557" s="1" t="n">
        <v>12556</v>
      </c>
      <c r="B2557" s="14" t="n">
        <v>47117</v>
      </c>
      <c r="C2557" s="1" t="n">
        <v>1899</v>
      </c>
      <c r="D2557" s="1" t="s">
        <v>27</v>
      </c>
      <c r="E2557" s="1" t="s">
        <v>28</v>
      </c>
      <c r="F2557" s="1" t="n">
        <v>7</v>
      </c>
      <c r="G2557" s="15" t="n">
        <v>374.02</v>
      </c>
      <c r="H2557" s="16" t="n">
        <v>0.07</v>
      </c>
      <c r="I2557" s="1" t="s">
        <v>29</v>
      </c>
      <c r="J2557" s="1" t="n">
        <v>10</v>
      </c>
      <c r="K2557" s="1" t="n">
        <v>3.7</v>
      </c>
      <c r="L2557" s="15" t="n">
        <v>2434.87</v>
      </c>
      <c r="M2557" s="15" t="n">
        <f aca="false">F2557*G2557</f>
        <v>2618.14</v>
      </c>
      <c r="N2557" s="15" t="n">
        <f aca="false">M2557-L2557</f>
        <v>183.27</v>
      </c>
      <c r="O2557" s="1" t="n">
        <f aca="false">YEAR(B2557)</f>
        <v>2028</v>
      </c>
      <c r="P2557" s="1" t="n">
        <f aca="false">MONTH(B2557)</f>
        <v>12</v>
      </c>
      <c r="Q2557" s="1" t="str">
        <f aca="false">TEXT(B2557,"mmm")</f>
        <v>Dec</v>
      </c>
      <c r="R2557" s="1" t="str">
        <f aca="false">"Q"&amp;ROUNDUP(MONTH(B2557)/3,0)</f>
        <v>Q4</v>
      </c>
    </row>
    <row r="2558" customFormat="false" ht="15" hidden="false" customHeight="true" outlineLevel="0" collapsed="false">
      <c r="A2558" s="1" t="n">
        <v>12557</v>
      </c>
      <c r="B2558" s="14" t="n">
        <v>47118</v>
      </c>
      <c r="C2558" s="1" t="n">
        <v>1389</v>
      </c>
      <c r="D2558" s="1" t="s">
        <v>30</v>
      </c>
      <c r="E2558" s="1" t="s">
        <v>28</v>
      </c>
      <c r="F2558" s="1" t="n">
        <v>1</v>
      </c>
      <c r="G2558" s="15" t="n">
        <v>55.66</v>
      </c>
      <c r="H2558" s="16" t="n">
        <v>0.02</v>
      </c>
      <c r="I2558" s="1" t="s">
        <v>31</v>
      </c>
      <c r="J2558" s="1" t="n">
        <v>10</v>
      </c>
      <c r="K2558" s="1" t="n">
        <v>1.9</v>
      </c>
      <c r="L2558" s="15" t="n">
        <v>54.55</v>
      </c>
      <c r="M2558" s="15" t="n">
        <f aca="false">F2558*G2558</f>
        <v>55.66</v>
      </c>
      <c r="N2558" s="15" t="n">
        <f aca="false">M2558-L2558</f>
        <v>1.11</v>
      </c>
      <c r="O2558" s="1" t="n">
        <f aca="false">YEAR(B2558)</f>
        <v>2028</v>
      </c>
      <c r="P2558" s="1" t="n">
        <f aca="false">MONTH(B2558)</f>
        <v>12</v>
      </c>
      <c r="Q2558" s="1" t="str">
        <f aca="false">TEXT(B2558,"mmm")</f>
        <v>Dec</v>
      </c>
      <c r="R2558" s="1" t="str">
        <f aca="false">"Q"&amp;ROUNDUP(MONTH(B2558)/3,0)</f>
        <v>Q4</v>
      </c>
    </row>
    <row r="2559" customFormat="false" ht="15" hidden="false" customHeight="true" outlineLevel="0" collapsed="false">
      <c r="A2559" s="1" t="n">
        <v>12558</v>
      </c>
      <c r="B2559" s="14" t="n">
        <v>47119</v>
      </c>
      <c r="C2559" s="1" t="n">
        <v>1313</v>
      </c>
      <c r="D2559" s="1" t="s">
        <v>30</v>
      </c>
      <c r="E2559" s="1" t="s">
        <v>28</v>
      </c>
      <c r="F2559" s="1" t="n">
        <v>1</v>
      </c>
      <c r="G2559" s="15" t="n">
        <v>312.52</v>
      </c>
      <c r="H2559" s="16" t="n">
        <v>0.15</v>
      </c>
      <c r="I2559" s="1" t="s">
        <v>31</v>
      </c>
      <c r="J2559" s="1" t="n">
        <v>8</v>
      </c>
      <c r="K2559" s="1" t="n">
        <v>1.9</v>
      </c>
      <c r="L2559" s="15" t="n">
        <v>265.64</v>
      </c>
      <c r="M2559" s="15" t="n">
        <f aca="false">F2559*G2559</f>
        <v>312.52</v>
      </c>
      <c r="N2559" s="15" t="n">
        <f aca="false">M2559-L2559</f>
        <v>46.88</v>
      </c>
      <c r="O2559" s="1" t="n">
        <f aca="false">YEAR(B2559)</f>
        <v>2029</v>
      </c>
      <c r="P2559" s="1" t="n">
        <f aca="false">MONTH(B2559)</f>
        <v>1</v>
      </c>
      <c r="Q2559" s="1" t="str">
        <f aca="false">TEXT(B2559,"mmm")</f>
        <v>Jan</v>
      </c>
      <c r="R2559" s="1" t="str">
        <f aca="false">"Q"&amp;ROUNDUP(MONTH(B2559)/3,0)</f>
        <v>Q1</v>
      </c>
    </row>
    <row r="2560" customFormat="false" ht="15" hidden="false" customHeight="true" outlineLevel="0" collapsed="false">
      <c r="A2560" s="1" t="n">
        <v>12559</v>
      </c>
      <c r="B2560" s="14" t="n">
        <v>47120</v>
      </c>
      <c r="C2560" s="1" t="n">
        <v>1021</v>
      </c>
      <c r="D2560" s="1" t="s">
        <v>34</v>
      </c>
      <c r="E2560" s="1" t="s">
        <v>36</v>
      </c>
      <c r="F2560" s="1" t="n">
        <v>4</v>
      </c>
      <c r="G2560" s="15" t="n">
        <v>63.24</v>
      </c>
      <c r="H2560" s="16" t="n">
        <v>0.28</v>
      </c>
      <c r="I2560" s="1" t="s">
        <v>29</v>
      </c>
      <c r="J2560" s="1" t="n">
        <v>11</v>
      </c>
      <c r="K2560" s="1" t="n">
        <v>3.5</v>
      </c>
      <c r="L2560" s="15" t="n">
        <v>182.13</v>
      </c>
      <c r="M2560" s="15" t="n">
        <f aca="false">F2560*G2560</f>
        <v>252.96</v>
      </c>
      <c r="N2560" s="15" t="n">
        <f aca="false">M2560-L2560</f>
        <v>70.83</v>
      </c>
      <c r="O2560" s="1" t="n">
        <f aca="false">YEAR(B2560)</f>
        <v>2029</v>
      </c>
      <c r="P2560" s="1" t="n">
        <f aca="false">MONTH(B2560)</f>
        <v>1</v>
      </c>
      <c r="Q2560" s="1" t="str">
        <f aca="false">TEXT(B2560,"mmm")</f>
        <v>Jan</v>
      </c>
      <c r="R2560" s="1" t="str">
        <f aca="false">"Q"&amp;ROUNDUP(MONTH(B2560)/3,0)</f>
        <v>Q1</v>
      </c>
    </row>
    <row r="2561" customFormat="false" ht="15" hidden="false" customHeight="true" outlineLevel="0" collapsed="false">
      <c r="A2561" s="1" t="n">
        <v>12560</v>
      </c>
      <c r="B2561" s="14" t="n">
        <v>47121</v>
      </c>
      <c r="C2561" s="1" t="n">
        <v>1409</v>
      </c>
      <c r="D2561" s="1" t="s">
        <v>34</v>
      </c>
      <c r="E2561" s="1" t="s">
        <v>35</v>
      </c>
      <c r="F2561" s="1" t="n">
        <v>2</v>
      </c>
      <c r="G2561" s="15" t="n">
        <v>445.53</v>
      </c>
      <c r="H2561" s="16" t="n">
        <v>0.21</v>
      </c>
      <c r="I2561" s="1" t="s">
        <v>31</v>
      </c>
      <c r="J2561" s="1" t="n">
        <v>9</v>
      </c>
      <c r="K2561" s="1" t="n">
        <v>4.1</v>
      </c>
      <c r="L2561" s="15" t="n">
        <v>703.94</v>
      </c>
      <c r="M2561" s="15" t="n">
        <f aca="false">F2561*G2561</f>
        <v>891.06</v>
      </c>
      <c r="N2561" s="15" t="n">
        <f aca="false">M2561-L2561</f>
        <v>187.12</v>
      </c>
      <c r="O2561" s="1" t="n">
        <f aca="false">YEAR(B2561)</f>
        <v>2029</v>
      </c>
      <c r="P2561" s="1" t="n">
        <f aca="false">MONTH(B2561)</f>
        <v>1</v>
      </c>
      <c r="Q2561" s="1" t="str">
        <f aca="false">TEXT(B2561,"mmm")</f>
        <v>Jan</v>
      </c>
      <c r="R2561" s="1" t="str">
        <f aca="false">"Q"&amp;ROUNDUP(MONTH(B2561)/3,0)</f>
        <v>Q1</v>
      </c>
    </row>
    <row r="2562" customFormat="false" ht="15" hidden="false" customHeight="true" outlineLevel="0" collapsed="false">
      <c r="A2562" s="1" t="n">
        <v>12561</v>
      </c>
      <c r="B2562" s="14" t="n">
        <v>47122</v>
      </c>
      <c r="C2562" s="1" t="n">
        <v>1894</v>
      </c>
      <c r="D2562" s="1" t="s">
        <v>27</v>
      </c>
      <c r="E2562" s="1" t="s">
        <v>36</v>
      </c>
      <c r="F2562" s="1" t="n">
        <v>4</v>
      </c>
      <c r="G2562" s="15" t="n">
        <v>334.7</v>
      </c>
      <c r="H2562" s="16" t="n">
        <v>0.21</v>
      </c>
      <c r="I2562" s="1" t="s">
        <v>29</v>
      </c>
      <c r="J2562" s="1" t="n">
        <v>8</v>
      </c>
      <c r="K2562" s="1" t="n">
        <v>4.9</v>
      </c>
      <c r="L2562" s="15" t="n">
        <v>1057.65</v>
      </c>
      <c r="M2562" s="15" t="n">
        <f aca="false">F2562*G2562</f>
        <v>1338.8</v>
      </c>
      <c r="N2562" s="15" t="n">
        <f aca="false">M2562-L2562</f>
        <v>281.15</v>
      </c>
      <c r="O2562" s="1" t="n">
        <f aca="false">YEAR(B2562)</f>
        <v>2029</v>
      </c>
      <c r="P2562" s="1" t="n">
        <f aca="false">MONTH(B2562)</f>
        <v>1</v>
      </c>
      <c r="Q2562" s="1" t="str">
        <f aca="false">TEXT(B2562,"mmm")</f>
        <v>Jan</v>
      </c>
      <c r="R2562" s="1" t="str">
        <f aca="false">"Q"&amp;ROUNDUP(MONTH(B2562)/3,0)</f>
        <v>Q1</v>
      </c>
    </row>
    <row r="2563" customFormat="false" ht="15" hidden="false" customHeight="true" outlineLevel="0" collapsed="false">
      <c r="A2563" s="1" t="n">
        <v>12562</v>
      </c>
      <c r="B2563" s="14" t="n">
        <v>47123</v>
      </c>
      <c r="C2563" s="1" t="n">
        <v>1514</v>
      </c>
      <c r="D2563" s="1" t="s">
        <v>30</v>
      </c>
      <c r="E2563" s="1" t="s">
        <v>28</v>
      </c>
      <c r="F2563" s="1" t="n">
        <v>6</v>
      </c>
      <c r="G2563" s="15" t="n">
        <v>572.84</v>
      </c>
      <c r="H2563" s="16" t="n">
        <v>0.07</v>
      </c>
      <c r="I2563" s="1" t="s">
        <v>31</v>
      </c>
      <c r="J2563" s="1" t="n">
        <v>9</v>
      </c>
      <c r="K2563" s="1" t="n">
        <v>4.1</v>
      </c>
      <c r="L2563" s="15" t="n">
        <v>3196.45</v>
      </c>
      <c r="M2563" s="15" t="n">
        <f aca="false">F2563*G2563</f>
        <v>3437.04</v>
      </c>
      <c r="N2563" s="15" t="n">
        <f aca="false">M2563-L2563</f>
        <v>240.59</v>
      </c>
      <c r="O2563" s="1" t="n">
        <f aca="false">YEAR(B2563)</f>
        <v>2029</v>
      </c>
      <c r="P2563" s="1" t="n">
        <f aca="false">MONTH(B2563)</f>
        <v>1</v>
      </c>
      <c r="Q2563" s="1" t="str">
        <f aca="false">TEXT(B2563,"mmm")</f>
        <v>Jan</v>
      </c>
      <c r="R2563" s="1" t="str">
        <f aca="false">"Q"&amp;ROUNDUP(MONTH(B2563)/3,0)</f>
        <v>Q1</v>
      </c>
    </row>
    <row r="2564" customFormat="false" ht="15" hidden="false" customHeight="true" outlineLevel="0" collapsed="false">
      <c r="A2564" s="1" t="n">
        <v>12563</v>
      </c>
      <c r="B2564" s="14" t="n">
        <v>47124</v>
      </c>
      <c r="C2564" s="1" t="n">
        <v>1126</v>
      </c>
      <c r="D2564" s="1" t="s">
        <v>30</v>
      </c>
      <c r="E2564" s="1" t="s">
        <v>36</v>
      </c>
      <c r="F2564" s="1" t="n">
        <v>5</v>
      </c>
      <c r="G2564" s="15" t="n">
        <v>122.13</v>
      </c>
      <c r="H2564" s="16" t="n">
        <v>0.12</v>
      </c>
      <c r="I2564" s="1" t="s">
        <v>31</v>
      </c>
      <c r="J2564" s="1" t="n">
        <v>4</v>
      </c>
      <c r="K2564" s="1" t="n">
        <v>1.6</v>
      </c>
      <c r="L2564" s="15" t="n">
        <v>537.37</v>
      </c>
      <c r="M2564" s="15" t="n">
        <f aca="false">F2564*G2564</f>
        <v>610.65</v>
      </c>
      <c r="N2564" s="15" t="n">
        <f aca="false">M2564-L2564</f>
        <v>73.28</v>
      </c>
      <c r="O2564" s="1" t="n">
        <f aca="false">YEAR(B2564)</f>
        <v>2029</v>
      </c>
      <c r="P2564" s="1" t="n">
        <f aca="false">MONTH(B2564)</f>
        <v>1</v>
      </c>
      <c r="Q2564" s="1" t="str">
        <f aca="false">TEXT(B2564,"mmm")</f>
        <v>Jan</v>
      </c>
      <c r="R2564" s="1" t="str">
        <f aca="false">"Q"&amp;ROUNDUP(MONTH(B2564)/3,0)</f>
        <v>Q1</v>
      </c>
    </row>
    <row r="2565" customFormat="false" ht="15" hidden="false" customHeight="true" outlineLevel="0" collapsed="false">
      <c r="A2565" s="1" t="n">
        <v>12564</v>
      </c>
      <c r="B2565" s="14" t="n">
        <v>47125</v>
      </c>
      <c r="C2565" s="1" t="n">
        <v>1808</v>
      </c>
      <c r="D2565" s="1" t="s">
        <v>34</v>
      </c>
      <c r="E2565" s="1" t="s">
        <v>36</v>
      </c>
      <c r="F2565" s="1" t="n">
        <v>2</v>
      </c>
      <c r="G2565" s="15" t="n">
        <v>369.53</v>
      </c>
      <c r="H2565" s="16" t="n">
        <v>0.3</v>
      </c>
      <c r="I2565" s="1" t="s">
        <v>31</v>
      </c>
      <c r="J2565" s="1" t="n">
        <v>10</v>
      </c>
      <c r="K2565" s="1" t="n">
        <v>1.9</v>
      </c>
      <c r="L2565" s="15" t="n">
        <v>517.34</v>
      </c>
      <c r="M2565" s="15" t="n">
        <f aca="false">F2565*G2565</f>
        <v>739.06</v>
      </c>
      <c r="N2565" s="15" t="n">
        <f aca="false">M2565-L2565</f>
        <v>221.72</v>
      </c>
      <c r="O2565" s="1" t="n">
        <f aca="false">YEAR(B2565)</f>
        <v>2029</v>
      </c>
      <c r="P2565" s="1" t="n">
        <f aca="false">MONTH(B2565)</f>
        <v>1</v>
      </c>
      <c r="Q2565" s="1" t="str">
        <f aca="false">TEXT(B2565,"mmm")</f>
        <v>Jan</v>
      </c>
      <c r="R2565" s="1" t="str">
        <f aca="false">"Q"&amp;ROUNDUP(MONTH(B2565)/3,0)</f>
        <v>Q1</v>
      </c>
    </row>
    <row r="2566" customFormat="false" ht="15" hidden="false" customHeight="true" outlineLevel="0" collapsed="false">
      <c r="A2566" s="1" t="n">
        <v>12565</v>
      </c>
      <c r="B2566" s="14" t="n">
        <v>47126</v>
      </c>
      <c r="C2566" s="1" t="n">
        <v>1699</v>
      </c>
      <c r="D2566" s="1" t="s">
        <v>34</v>
      </c>
      <c r="E2566" s="1" t="s">
        <v>28</v>
      </c>
      <c r="F2566" s="1" t="n">
        <v>5</v>
      </c>
      <c r="G2566" s="15" t="n">
        <v>138.78</v>
      </c>
      <c r="H2566" s="16" t="n">
        <v>0.03</v>
      </c>
      <c r="I2566" s="1" t="s">
        <v>31</v>
      </c>
      <c r="J2566" s="1" t="n">
        <v>1</v>
      </c>
      <c r="K2566" s="1" t="n">
        <v>4</v>
      </c>
      <c r="L2566" s="15" t="n">
        <v>673.08</v>
      </c>
      <c r="M2566" s="15" t="n">
        <f aca="false">F2566*G2566</f>
        <v>693.9</v>
      </c>
      <c r="N2566" s="15" t="n">
        <f aca="false">M2566-L2566</f>
        <v>20.8199999999999</v>
      </c>
      <c r="O2566" s="1" t="n">
        <f aca="false">YEAR(B2566)</f>
        <v>2029</v>
      </c>
      <c r="P2566" s="1" t="n">
        <f aca="false">MONTH(B2566)</f>
        <v>1</v>
      </c>
      <c r="Q2566" s="1" t="str">
        <f aca="false">TEXT(B2566,"mmm")</f>
        <v>Jan</v>
      </c>
      <c r="R2566" s="1" t="str">
        <f aca="false">"Q"&amp;ROUNDUP(MONTH(B2566)/3,0)</f>
        <v>Q1</v>
      </c>
    </row>
    <row r="2567" customFormat="false" ht="15" hidden="false" customHeight="true" outlineLevel="0" collapsed="false">
      <c r="A2567" s="1" t="n">
        <v>12566</v>
      </c>
      <c r="B2567" s="14" t="n">
        <v>47127</v>
      </c>
      <c r="C2567" s="1" t="n">
        <v>1873</v>
      </c>
      <c r="D2567" s="1" t="s">
        <v>27</v>
      </c>
      <c r="E2567" s="1" t="s">
        <v>36</v>
      </c>
      <c r="F2567" s="1" t="n">
        <v>3</v>
      </c>
      <c r="G2567" s="15" t="n">
        <v>374.23</v>
      </c>
      <c r="H2567" s="16" t="n">
        <v>0.3</v>
      </c>
      <c r="I2567" s="1" t="s">
        <v>31</v>
      </c>
      <c r="J2567" s="1" t="n">
        <v>7</v>
      </c>
      <c r="K2567" s="1" t="n">
        <v>3.1</v>
      </c>
      <c r="L2567" s="15" t="n">
        <v>785.88</v>
      </c>
      <c r="M2567" s="15" t="n">
        <f aca="false">F2567*G2567</f>
        <v>1122.69</v>
      </c>
      <c r="N2567" s="15" t="n">
        <f aca="false">M2567-L2567</f>
        <v>336.81</v>
      </c>
      <c r="O2567" s="1" t="n">
        <f aca="false">YEAR(B2567)</f>
        <v>2029</v>
      </c>
      <c r="P2567" s="1" t="n">
        <f aca="false">MONTH(B2567)</f>
        <v>1</v>
      </c>
      <c r="Q2567" s="1" t="str">
        <f aca="false">TEXT(B2567,"mmm")</f>
        <v>Jan</v>
      </c>
      <c r="R2567" s="1" t="str">
        <f aca="false">"Q"&amp;ROUNDUP(MONTH(B2567)/3,0)</f>
        <v>Q1</v>
      </c>
    </row>
    <row r="2568" customFormat="false" ht="15" hidden="false" customHeight="true" outlineLevel="0" collapsed="false">
      <c r="A2568" s="1" t="n">
        <v>12567</v>
      </c>
      <c r="B2568" s="14" t="n">
        <v>47128</v>
      </c>
      <c r="C2568" s="1" t="n">
        <v>1013</v>
      </c>
      <c r="D2568" s="1" t="s">
        <v>30</v>
      </c>
      <c r="E2568" s="1" t="s">
        <v>32</v>
      </c>
      <c r="F2568" s="1" t="n">
        <v>6</v>
      </c>
      <c r="G2568" s="15" t="n">
        <v>437.75</v>
      </c>
      <c r="H2568" s="16" t="n">
        <v>0.17</v>
      </c>
      <c r="I2568" s="1" t="s">
        <v>33</v>
      </c>
      <c r="J2568" s="1" t="n">
        <v>11</v>
      </c>
      <c r="K2568" s="1" t="n">
        <v>2.2</v>
      </c>
      <c r="L2568" s="15" t="n">
        <v>2180</v>
      </c>
      <c r="M2568" s="15" t="n">
        <f aca="false">F2568*G2568</f>
        <v>2626.5</v>
      </c>
      <c r="N2568" s="15" t="n">
        <f aca="false">M2568-L2568</f>
        <v>446.5</v>
      </c>
      <c r="O2568" s="1" t="n">
        <f aca="false">YEAR(B2568)</f>
        <v>2029</v>
      </c>
      <c r="P2568" s="1" t="n">
        <f aca="false">MONTH(B2568)</f>
        <v>1</v>
      </c>
      <c r="Q2568" s="1" t="str">
        <f aca="false">TEXT(B2568,"mmm")</f>
        <v>Jan</v>
      </c>
      <c r="R2568" s="1" t="str">
        <f aca="false">"Q"&amp;ROUNDUP(MONTH(B2568)/3,0)</f>
        <v>Q1</v>
      </c>
    </row>
    <row r="2569" customFormat="false" ht="15" hidden="false" customHeight="true" outlineLevel="0" collapsed="false">
      <c r="A2569" s="1" t="n">
        <v>12568</v>
      </c>
      <c r="B2569" s="14" t="n">
        <v>47129</v>
      </c>
      <c r="C2569" s="1" t="n">
        <v>1970</v>
      </c>
      <c r="D2569" s="1" t="s">
        <v>30</v>
      </c>
      <c r="E2569" s="1" t="s">
        <v>36</v>
      </c>
      <c r="F2569" s="1" t="n">
        <v>2</v>
      </c>
      <c r="G2569" s="15" t="n">
        <v>437.55</v>
      </c>
      <c r="H2569" s="16" t="n">
        <v>0.29</v>
      </c>
      <c r="I2569" s="1" t="s">
        <v>31</v>
      </c>
      <c r="J2569" s="1" t="n">
        <v>10</v>
      </c>
      <c r="K2569" s="1" t="n">
        <v>2.9</v>
      </c>
      <c r="L2569" s="15" t="n">
        <v>621.32</v>
      </c>
      <c r="M2569" s="15" t="n">
        <f aca="false">F2569*G2569</f>
        <v>875.1</v>
      </c>
      <c r="N2569" s="15" t="n">
        <f aca="false">M2569-L2569</f>
        <v>253.78</v>
      </c>
      <c r="O2569" s="1" t="n">
        <f aca="false">YEAR(B2569)</f>
        <v>2029</v>
      </c>
      <c r="P2569" s="1" t="n">
        <f aca="false">MONTH(B2569)</f>
        <v>1</v>
      </c>
      <c r="Q2569" s="1" t="str">
        <f aca="false">TEXT(B2569,"mmm")</f>
        <v>Jan</v>
      </c>
      <c r="R2569" s="1" t="str">
        <f aca="false">"Q"&amp;ROUNDUP(MONTH(B2569)/3,0)</f>
        <v>Q1</v>
      </c>
    </row>
    <row r="2570" customFormat="false" ht="15" hidden="false" customHeight="true" outlineLevel="0" collapsed="false">
      <c r="A2570" s="1" t="n">
        <v>12569</v>
      </c>
      <c r="B2570" s="14" t="n">
        <v>47130</v>
      </c>
      <c r="C2570" s="1" t="n">
        <v>1977</v>
      </c>
      <c r="D2570" s="1" t="s">
        <v>34</v>
      </c>
      <c r="E2570" s="1" t="s">
        <v>36</v>
      </c>
      <c r="F2570" s="1" t="n">
        <v>4</v>
      </c>
      <c r="G2570" s="15" t="n">
        <v>491.82</v>
      </c>
      <c r="H2570" s="16" t="n">
        <v>0.11</v>
      </c>
      <c r="I2570" s="1" t="s">
        <v>29</v>
      </c>
      <c r="J2570" s="1" t="n">
        <v>4</v>
      </c>
      <c r="K2570" s="1" t="n">
        <v>4.7</v>
      </c>
      <c r="L2570" s="15" t="n">
        <v>1750.88</v>
      </c>
      <c r="M2570" s="15" t="n">
        <f aca="false">F2570*G2570</f>
        <v>1967.28</v>
      </c>
      <c r="N2570" s="15" t="n">
        <f aca="false">M2570-L2570</f>
        <v>216.4</v>
      </c>
      <c r="O2570" s="1" t="n">
        <f aca="false">YEAR(B2570)</f>
        <v>2029</v>
      </c>
      <c r="P2570" s="1" t="n">
        <f aca="false">MONTH(B2570)</f>
        <v>1</v>
      </c>
      <c r="Q2570" s="1" t="str">
        <f aca="false">TEXT(B2570,"mmm")</f>
        <v>Jan</v>
      </c>
      <c r="R2570" s="1" t="str">
        <f aca="false">"Q"&amp;ROUNDUP(MONTH(B2570)/3,0)</f>
        <v>Q1</v>
      </c>
    </row>
    <row r="2571" customFormat="false" ht="15" hidden="false" customHeight="true" outlineLevel="0" collapsed="false">
      <c r="A2571" s="1" t="n">
        <v>12570</v>
      </c>
      <c r="B2571" s="14" t="n">
        <v>47131</v>
      </c>
      <c r="C2571" s="1" t="n">
        <v>1011</v>
      </c>
      <c r="D2571" s="1" t="s">
        <v>37</v>
      </c>
      <c r="E2571" s="1" t="s">
        <v>35</v>
      </c>
      <c r="F2571" s="1" t="n">
        <v>4</v>
      </c>
      <c r="G2571" s="15" t="n">
        <v>514.33</v>
      </c>
      <c r="H2571" s="16" t="n">
        <v>0.12</v>
      </c>
      <c r="I2571" s="1" t="s">
        <v>33</v>
      </c>
      <c r="J2571" s="1" t="n">
        <v>1</v>
      </c>
      <c r="K2571" s="1" t="n">
        <v>4</v>
      </c>
      <c r="L2571" s="15" t="n">
        <v>1810.44</v>
      </c>
      <c r="M2571" s="15" t="n">
        <f aca="false">F2571*G2571</f>
        <v>2057.32</v>
      </c>
      <c r="N2571" s="15" t="n">
        <f aca="false">M2571-L2571</f>
        <v>246.88</v>
      </c>
      <c r="O2571" s="1" t="n">
        <f aca="false">YEAR(B2571)</f>
        <v>2029</v>
      </c>
      <c r="P2571" s="1" t="n">
        <f aca="false">MONTH(B2571)</f>
        <v>1</v>
      </c>
      <c r="Q2571" s="1" t="str">
        <f aca="false">TEXT(B2571,"mmm")</f>
        <v>Jan</v>
      </c>
      <c r="R2571" s="1" t="str">
        <f aca="false">"Q"&amp;ROUNDUP(MONTH(B2571)/3,0)</f>
        <v>Q1</v>
      </c>
    </row>
    <row r="2572" customFormat="false" ht="15" hidden="false" customHeight="true" outlineLevel="0" collapsed="false">
      <c r="A2572" s="1" t="n">
        <v>12571</v>
      </c>
      <c r="B2572" s="14" t="n">
        <v>47132</v>
      </c>
      <c r="C2572" s="1" t="n">
        <v>1086</v>
      </c>
      <c r="D2572" s="1" t="s">
        <v>27</v>
      </c>
      <c r="E2572" s="1" t="s">
        <v>35</v>
      </c>
      <c r="F2572" s="1" t="n">
        <v>2</v>
      </c>
      <c r="G2572" s="15" t="n">
        <v>60.2</v>
      </c>
      <c r="H2572" s="16" t="n">
        <v>0.26</v>
      </c>
      <c r="I2572" s="1" t="s">
        <v>33</v>
      </c>
      <c r="J2572" s="1" t="n">
        <v>3</v>
      </c>
      <c r="K2572" s="1" t="n">
        <v>2.8</v>
      </c>
      <c r="L2572" s="15" t="n">
        <v>89.1</v>
      </c>
      <c r="M2572" s="15" t="n">
        <f aca="false">F2572*G2572</f>
        <v>120.4</v>
      </c>
      <c r="N2572" s="15" t="n">
        <f aca="false">M2572-L2572</f>
        <v>31.3</v>
      </c>
      <c r="O2572" s="1" t="n">
        <f aca="false">YEAR(B2572)</f>
        <v>2029</v>
      </c>
      <c r="P2572" s="1" t="n">
        <f aca="false">MONTH(B2572)</f>
        <v>1</v>
      </c>
      <c r="Q2572" s="1" t="str">
        <f aca="false">TEXT(B2572,"mmm")</f>
        <v>Jan</v>
      </c>
      <c r="R2572" s="1" t="str">
        <f aca="false">"Q"&amp;ROUNDUP(MONTH(B2572)/3,0)</f>
        <v>Q1</v>
      </c>
    </row>
    <row r="2573" customFormat="false" ht="15" hidden="false" customHeight="true" outlineLevel="0" collapsed="false">
      <c r="A2573" s="1" t="n">
        <v>12572</v>
      </c>
      <c r="B2573" s="14" t="n">
        <v>47133</v>
      </c>
      <c r="C2573" s="1" t="n">
        <v>1523</v>
      </c>
      <c r="D2573" s="1" t="s">
        <v>30</v>
      </c>
      <c r="E2573" s="1" t="s">
        <v>28</v>
      </c>
      <c r="F2573" s="1" t="n">
        <v>7</v>
      </c>
      <c r="G2573" s="15" t="n">
        <v>215.81</v>
      </c>
      <c r="H2573" s="16" t="n">
        <v>0.27</v>
      </c>
      <c r="I2573" s="1" t="s">
        <v>31</v>
      </c>
      <c r="J2573" s="1" t="n">
        <v>7</v>
      </c>
      <c r="K2573" s="1" t="n">
        <v>4.9</v>
      </c>
      <c r="L2573" s="15" t="n">
        <v>1102.79</v>
      </c>
      <c r="M2573" s="15" t="n">
        <f aca="false">F2573*G2573</f>
        <v>1510.67</v>
      </c>
      <c r="N2573" s="15" t="n">
        <f aca="false">M2573-L2573</f>
        <v>407.88</v>
      </c>
      <c r="O2573" s="1" t="n">
        <f aca="false">YEAR(B2573)</f>
        <v>2029</v>
      </c>
      <c r="P2573" s="1" t="n">
        <f aca="false">MONTH(B2573)</f>
        <v>1</v>
      </c>
      <c r="Q2573" s="1" t="str">
        <f aca="false">TEXT(B2573,"mmm")</f>
        <v>Jan</v>
      </c>
      <c r="R2573" s="1" t="str">
        <f aca="false">"Q"&amp;ROUNDUP(MONTH(B2573)/3,0)</f>
        <v>Q1</v>
      </c>
    </row>
    <row r="2574" customFormat="false" ht="15" hidden="false" customHeight="true" outlineLevel="0" collapsed="false">
      <c r="A2574" s="1" t="n">
        <v>12573</v>
      </c>
      <c r="B2574" s="14" t="n">
        <v>47134</v>
      </c>
      <c r="C2574" s="1" t="n">
        <v>1908</v>
      </c>
      <c r="D2574" s="1" t="s">
        <v>34</v>
      </c>
      <c r="E2574" s="1" t="s">
        <v>28</v>
      </c>
      <c r="F2574" s="1" t="n">
        <v>4</v>
      </c>
      <c r="G2574" s="15" t="n">
        <v>416.97</v>
      </c>
      <c r="H2574" s="16" t="n">
        <v>0.08</v>
      </c>
      <c r="I2574" s="1" t="s">
        <v>33</v>
      </c>
      <c r="J2574" s="1" t="n">
        <v>11</v>
      </c>
      <c r="K2574" s="1" t="n">
        <v>4.2</v>
      </c>
      <c r="L2574" s="15" t="n">
        <v>1534.45</v>
      </c>
      <c r="M2574" s="15" t="n">
        <f aca="false">F2574*G2574</f>
        <v>1667.88</v>
      </c>
      <c r="N2574" s="15" t="n">
        <f aca="false">M2574-L2574</f>
        <v>133.43</v>
      </c>
      <c r="O2574" s="1" t="n">
        <f aca="false">YEAR(B2574)</f>
        <v>2029</v>
      </c>
      <c r="P2574" s="1" t="n">
        <f aca="false">MONTH(B2574)</f>
        <v>1</v>
      </c>
      <c r="Q2574" s="1" t="str">
        <f aca="false">TEXT(B2574,"mmm")</f>
        <v>Jan</v>
      </c>
      <c r="R2574" s="1" t="str">
        <f aca="false">"Q"&amp;ROUNDUP(MONTH(B2574)/3,0)</f>
        <v>Q1</v>
      </c>
    </row>
    <row r="2575" customFormat="false" ht="15" hidden="false" customHeight="true" outlineLevel="0" collapsed="false">
      <c r="A2575" s="1" t="n">
        <v>12574</v>
      </c>
      <c r="B2575" s="14" t="n">
        <v>47135</v>
      </c>
      <c r="C2575" s="1" t="n">
        <v>1536</v>
      </c>
      <c r="D2575" s="1" t="s">
        <v>30</v>
      </c>
      <c r="E2575" s="1" t="s">
        <v>35</v>
      </c>
      <c r="F2575" s="1" t="n">
        <v>7</v>
      </c>
      <c r="G2575" s="15" t="n">
        <v>306.67</v>
      </c>
      <c r="H2575" s="16" t="n">
        <v>0.34</v>
      </c>
      <c r="I2575" s="1" t="s">
        <v>33</v>
      </c>
      <c r="J2575" s="1" t="n">
        <v>3</v>
      </c>
      <c r="K2575" s="1" t="n">
        <v>1</v>
      </c>
      <c r="L2575" s="15" t="n">
        <v>1416.82</v>
      </c>
      <c r="M2575" s="15" t="n">
        <f aca="false">F2575*G2575</f>
        <v>2146.69</v>
      </c>
      <c r="N2575" s="15" t="n">
        <f aca="false">M2575-L2575</f>
        <v>729.87</v>
      </c>
      <c r="O2575" s="1" t="n">
        <f aca="false">YEAR(B2575)</f>
        <v>2029</v>
      </c>
      <c r="P2575" s="1" t="n">
        <f aca="false">MONTH(B2575)</f>
        <v>1</v>
      </c>
      <c r="Q2575" s="1" t="str">
        <f aca="false">TEXT(B2575,"mmm")</f>
        <v>Jan</v>
      </c>
      <c r="R2575" s="1" t="str">
        <f aca="false">"Q"&amp;ROUNDUP(MONTH(B2575)/3,0)</f>
        <v>Q1</v>
      </c>
    </row>
    <row r="2576" customFormat="false" ht="15" hidden="false" customHeight="true" outlineLevel="0" collapsed="false">
      <c r="A2576" s="1" t="n">
        <v>12575</v>
      </c>
      <c r="B2576" s="14" t="n">
        <v>47136</v>
      </c>
      <c r="C2576" s="1" t="n">
        <v>1300</v>
      </c>
      <c r="D2576" s="1" t="s">
        <v>37</v>
      </c>
      <c r="E2576" s="1" t="s">
        <v>32</v>
      </c>
      <c r="F2576" s="1" t="n">
        <v>2</v>
      </c>
      <c r="G2576" s="15" t="n">
        <v>126.55</v>
      </c>
      <c r="H2576" s="16" t="n">
        <v>0.03</v>
      </c>
      <c r="I2576" s="1" t="s">
        <v>31</v>
      </c>
      <c r="J2576" s="1" t="n">
        <v>1</v>
      </c>
      <c r="K2576" s="1" t="n">
        <v>1.4</v>
      </c>
      <c r="L2576" s="15" t="n">
        <v>245.51</v>
      </c>
      <c r="M2576" s="15" t="n">
        <f aca="false">F2576*G2576</f>
        <v>253.1</v>
      </c>
      <c r="N2576" s="15" t="n">
        <f aca="false">M2576-L2576</f>
        <v>7.59</v>
      </c>
      <c r="O2576" s="1" t="n">
        <f aca="false">YEAR(B2576)</f>
        <v>2029</v>
      </c>
      <c r="P2576" s="1" t="n">
        <f aca="false">MONTH(B2576)</f>
        <v>1</v>
      </c>
      <c r="Q2576" s="1" t="str">
        <f aca="false">TEXT(B2576,"mmm")</f>
        <v>Jan</v>
      </c>
      <c r="R2576" s="1" t="str">
        <f aca="false">"Q"&amp;ROUNDUP(MONTH(B2576)/3,0)</f>
        <v>Q1</v>
      </c>
    </row>
    <row r="2577" customFormat="false" ht="15" hidden="false" customHeight="true" outlineLevel="0" collapsed="false">
      <c r="A2577" s="1" t="n">
        <v>12576</v>
      </c>
      <c r="B2577" s="14" t="n">
        <v>47137</v>
      </c>
      <c r="C2577" s="1" t="n">
        <v>1242</v>
      </c>
      <c r="D2577" s="1" t="s">
        <v>30</v>
      </c>
      <c r="E2577" s="1" t="s">
        <v>36</v>
      </c>
      <c r="F2577" s="1" t="n">
        <v>1</v>
      </c>
      <c r="G2577" s="15" t="n">
        <v>338.34</v>
      </c>
      <c r="H2577" s="16" t="n">
        <v>0.02</v>
      </c>
      <c r="I2577" s="1" t="s">
        <v>29</v>
      </c>
      <c r="J2577" s="1" t="n">
        <v>7</v>
      </c>
      <c r="K2577" s="1" t="n">
        <v>3.2</v>
      </c>
      <c r="L2577" s="15" t="n">
        <v>331.57</v>
      </c>
      <c r="M2577" s="15" t="n">
        <f aca="false">F2577*G2577</f>
        <v>338.34</v>
      </c>
      <c r="N2577" s="15" t="n">
        <f aca="false">M2577-L2577</f>
        <v>6.76999999999998</v>
      </c>
      <c r="O2577" s="1" t="n">
        <f aca="false">YEAR(B2577)</f>
        <v>2029</v>
      </c>
      <c r="P2577" s="1" t="n">
        <f aca="false">MONTH(B2577)</f>
        <v>1</v>
      </c>
      <c r="Q2577" s="1" t="str">
        <f aca="false">TEXT(B2577,"mmm")</f>
        <v>Jan</v>
      </c>
      <c r="R2577" s="1" t="str">
        <f aca="false">"Q"&amp;ROUNDUP(MONTH(B2577)/3,0)</f>
        <v>Q1</v>
      </c>
    </row>
    <row r="2578" customFormat="false" ht="15" hidden="false" customHeight="true" outlineLevel="0" collapsed="false">
      <c r="A2578" s="1" t="n">
        <v>12577</v>
      </c>
      <c r="B2578" s="14" t="n">
        <v>47138</v>
      </c>
      <c r="C2578" s="1" t="n">
        <v>1121</v>
      </c>
      <c r="D2578" s="1" t="s">
        <v>27</v>
      </c>
      <c r="E2578" s="1" t="s">
        <v>32</v>
      </c>
      <c r="F2578" s="1" t="n">
        <v>4</v>
      </c>
      <c r="G2578" s="15" t="n">
        <v>253.35</v>
      </c>
      <c r="H2578" s="16" t="n">
        <v>0.21</v>
      </c>
      <c r="I2578" s="1" t="s">
        <v>31</v>
      </c>
      <c r="J2578" s="1" t="n">
        <v>8</v>
      </c>
      <c r="K2578" s="1" t="n">
        <v>2.4</v>
      </c>
      <c r="L2578" s="15" t="n">
        <v>800.59</v>
      </c>
      <c r="M2578" s="15" t="n">
        <f aca="false">F2578*G2578</f>
        <v>1013.4</v>
      </c>
      <c r="N2578" s="15" t="n">
        <f aca="false">M2578-L2578</f>
        <v>212.81</v>
      </c>
      <c r="O2578" s="1" t="n">
        <f aca="false">YEAR(B2578)</f>
        <v>2029</v>
      </c>
      <c r="P2578" s="1" t="n">
        <f aca="false">MONTH(B2578)</f>
        <v>1</v>
      </c>
      <c r="Q2578" s="1" t="str">
        <f aca="false">TEXT(B2578,"mmm")</f>
        <v>Jan</v>
      </c>
      <c r="R2578" s="1" t="str">
        <f aca="false">"Q"&amp;ROUNDUP(MONTH(B2578)/3,0)</f>
        <v>Q1</v>
      </c>
    </row>
    <row r="2579" customFormat="false" ht="15" hidden="false" customHeight="true" outlineLevel="0" collapsed="false">
      <c r="A2579" s="1" t="n">
        <v>12578</v>
      </c>
      <c r="B2579" s="14" t="n">
        <v>47139</v>
      </c>
      <c r="C2579" s="1" t="n">
        <v>1146</v>
      </c>
      <c r="D2579" s="1" t="s">
        <v>30</v>
      </c>
      <c r="E2579" s="1" t="s">
        <v>32</v>
      </c>
      <c r="F2579" s="1" t="n">
        <v>7</v>
      </c>
      <c r="G2579" s="15" t="n">
        <v>243.17</v>
      </c>
      <c r="H2579" s="16" t="n">
        <v>0.25</v>
      </c>
      <c r="I2579" s="1" t="s">
        <v>31</v>
      </c>
      <c r="J2579" s="1" t="n">
        <v>5</v>
      </c>
      <c r="K2579" s="1" t="n">
        <v>4.3</v>
      </c>
      <c r="L2579" s="15" t="n">
        <v>1276.64</v>
      </c>
      <c r="M2579" s="15" t="n">
        <f aca="false">F2579*G2579</f>
        <v>1702.19</v>
      </c>
      <c r="N2579" s="15" t="n">
        <f aca="false">M2579-L2579</f>
        <v>425.55</v>
      </c>
      <c r="O2579" s="1" t="n">
        <f aca="false">YEAR(B2579)</f>
        <v>2029</v>
      </c>
      <c r="P2579" s="1" t="n">
        <f aca="false">MONTH(B2579)</f>
        <v>1</v>
      </c>
      <c r="Q2579" s="1" t="str">
        <f aca="false">TEXT(B2579,"mmm")</f>
        <v>Jan</v>
      </c>
      <c r="R2579" s="1" t="str">
        <f aca="false">"Q"&amp;ROUNDUP(MONTH(B2579)/3,0)</f>
        <v>Q1</v>
      </c>
    </row>
    <row r="2580" customFormat="false" ht="15" hidden="false" customHeight="true" outlineLevel="0" collapsed="false">
      <c r="A2580" s="1" t="n">
        <v>12579</v>
      </c>
      <c r="B2580" s="14" t="n">
        <v>47140</v>
      </c>
      <c r="C2580" s="1" t="n">
        <v>1566</v>
      </c>
      <c r="D2580" s="1" t="s">
        <v>27</v>
      </c>
      <c r="E2580" s="1" t="s">
        <v>35</v>
      </c>
      <c r="F2580" s="1" t="n">
        <v>2</v>
      </c>
      <c r="G2580" s="15" t="n">
        <v>488.71</v>
      </c>
      <c r="H2580" s="16" t="n">
        <v>0.34</v>
      </c>
      <c r="I2580" s="1" t="s">
        <v>33</v>
      </c>
      <c r="J2580" s="1" t="n">
        <v>6</v>
      </c>
      <c r="K2580" s="1" t="n">
        <v>4.6</v>
      </c>
      <c r="L2580" s="15" t="n">
        <v>645.1</v>
      </c>
      <c r="M2580" s="15" t="n">
        <f aca="false">F2580*G2580</f>
        <v>977.42</v>
      </c>
      <c r="N2580" s="15" t="n">
        <f aca="false">M2580-L2580</f>
        <v>332.32</v>
      </c>
      <c r="O2580" s="1" t="n">
        <f aca="false">YEAR(B2580)</f>
        <v>2029</v>
      </c>
      <c r="P2580" s="1" t="n">
        <f aca="false">MONTH(B2580)</f>
        <v>1</v>
      </c>
      <c r="Q2580" s="1" t="str">
        <f aca="false">TEXT(B2580,"mmm")</f>
        <v>Jan</v>
      </c>
      <c r="R2580" s="1" t="str">
        <f aca="false">"Q"&amp;ROUNDUP(MONTH(B2580)/3,0)</f>
        <v>Q1</v>
      </c>
    </row>
    <row r="2581" customFormat="false" ht="15" hidden="false" customHeight="true" outlineLevel="0" collapsed="false">
      <c r="A2581" s="1" t="n">
        <v>12580</v>
      </c>
      <c r="B2581" s="14" t="n">
        <v>47141</v>
      </c>
      <c r="C2581" s="1" t="n">
        <v>1749</v>
      </c>
      <c r="D2581" s="1" t="s">
        <v>30</v>
      </c>
      <c r="E2581" s="1" t="s">
        <v>28</v>
      </c>
      <c r="F2581" s="1" t="n">
        <v>2</v>
      </c>
      <c r="G2581" s="15" t="n">
        <v>253.45</v>
      </c>
      <c r="H2581" s="16" t="n">
        <v>0.14</v>
      </c>
      <c r="I2581" s="1" t="s">
        <v>33</v>
      </c>
      <c r="J2581" s="1" t="n">
        <v>3</v>
      </c>
      <c r="K2581" s="1" t="n">
        <v>2</v>
      </c>
      <c r="L2581" s="15" t="n">
        <v>435.93</v>
      </c>
      <c r="M2581" s="15" t="n">
        <f aca="false">F2581*G2581</f>
        <v>506.9</v>
      </c>
      <c r="N2581" s="15" t="n">
        <f aca="false">M2581-L2581</f>
        <v>70.97</v>
      </c>
      <c r="O2581" s="1" t="n">
        <f aca="false">YEAR(B2581)</f>
        <v>2029</v>
      </c>
      <c r="P2581" s="1" t="n">
        <f aca="false">MONTH(B2581)</f>
        <v>1</v>
      </c>
      <c r="Q2581" s="1" t="str">
        <f aca="false">TEXT(B2581,"mmm")</f>
        <v>Jan</v>
      </c>
      <c r="R2581" s="1" t="str">
        <f aca="false">"Q"&amp;ROUNDUP(MONTH(B2581)/3,0)</f>
        <v>Q1</v>
      </c>
    </row>
    <row r="2582" customFormat="false" ht="15" hidden="false" customHeight="true" outlineLevel="0" collapsed="false">
      <c r="A2582" s="1" t="n">
        <v>12581</v>
      </c>
      <c r="B2582" s="14" t="n">
        <v>47142</v>
      </c>
      <c r="C2582" s="1" t="n">
        <v>1355</v>
      </c>
      <c r="D2582" s="1" t="s">
        <v>34</v>
      </c>
      <c r="E2582" s="1" t="s">
        <v>36</v>
      </c>
      <c r="F2582" s="1" t="n">
        <v>7</v>
      </c>
      <c r="G2582" s="15" t="n">
        <v>30.48</v>
      </c>
      <c r="H2582" s="16" t="n">
        <v>0.01</v>
      </c>
      <c r="I2582" s="1" t="s">
        <v>31</v>
      </c>
      <c r="J2582" s="1" t="n">
        <v>5</v>
      </c>
      <c r="K2582" s="1" t="n">
        <v>4.1</v>
      </c>
      <c r="L2582" s="15" t="n">
        <v>211.23</v>
      </c>
      <c r="M2582" s="15" t="n">
        <f aca="false">F2582*G2582</f>
        <v>213.36</v>
      </c>
      <c r="N2582" s="15" t="n">
        <f aca="false">M2582-L2582</f>
        <v>2.13000000000002</v>
      </c>
      <c r="O2582" s="1" t="n">
        <f aca="false">YEAR(B2582)</f>
        <v>2029</v>
      </c>
      <c r="P2582" s="1" t="n">
        <f aca="false">MONTH(B2582)</f>
        <v>1</v>
      </c>
      <c r="Q2582" s="1" t="str">
        <f aca="false">TEXT(B2582,"mmm")</f>
        <v>Jan</v>
      </c>
      <c r="R2582" s="1" t="str">
        <f aca="false">"Q"&amp;ROUNDUP(MONTH(B2582)/3,0)</f>
        <v>Q1</v>
      </c>
    </row>
    <row r="2583" customFormat="false" ht="15" hidden="false" customHeight="true" outlineLevel="0" collapsed="false">
      <c r="A2583" s="1" t="n">
        <v>12582</v>
      </c>
      <c r="B2583" s="14" t="n">
        <v>47143</v>
      </c>
      <c r="C2583" s="1" t="n">
        <v>1684</v>
      </c>
      <c r="D2583" s="1" t="s">
        <v>34</v>
      </c>
      <c r="E2583" s="1" t="s">
        <v>28</v>
      </c>
      <c r="F2583" s="1" t="n">
        <v>4</v>
      </c>
      <c r="G2583" s="15" t="n">
        <v>48.97</v>
      </c>
      <c r="H2583" s="16" t="n">
        <v>0.21</v>
      </c>
      <c r="I2583" s="1" t="s">
        <v>29</v>
      </c>
      <c r="J2583" s="1" t="n">
        <v>3</v>
      </c>
      <c r="K2583" s="1" t="n">
        <v>3.1</v>
      </c>
      <c r="L2583" s="15" t="n">
        <v>154.75</v>
      </c>
      <c r="M2583" s="15" t="n">
        <f aca="false">F2583*G2583</f>
        <v>195.88</v>
      </c>
      <c r="N2583" s="15" t="n">
        <f aca="false">M2583-L2583</f>
        <v>41.13</v>
      </c>
      <c r="O2583" s="1" t="n">
        <f aca="false">YEAR(B2583)</f>
        <v>2029</v>
      </c>
      <c r="P2583" s="1" t="n">
        <f aca="false">MONTH(B2583)</f>
        <v>1</v>
      </c>
      <c r="Q2583" s="1" t="str">
        <f aca="false">TEXT(B2583,"mmm")</f>
        <v>Jan</v>
      </c>
      <c r="R2583" s="1" t="str">
        <f aca="false">"Q"&amp;ROUNDUP(MONTH(B2583)/3,0)</f>
        <v>Q1</v>
      </c>
    </row>
    <row r="2584" customFormat="false" ht="15" hidden="false" customHeight="true" outlineLevel="0" collapsed="false">
      <c r="A2584" s="1" t="n">
        <v>12583</v>
      </c>
      <c r="B2584" s="14" t="n">
        <v>47144</v>
      </c>
      <c r="C2584" s="1" t="n">
        <v>1903</v>
      </c>
      <c r="D2584" s="1" t="s">
        <v>34</v>
      </c>
      <c r="E2584" s="1" t="s">
        <v>32</v>
      </c>
      <c r="F2584" s="1" t="n">
        <v>1</v>
      </c>
      <c r="G2584" s="15" t="n">
        <v>515.9</v>
      </c>
      <c r="H2584" s="16" t="n">
        <v>0.1</v>
      </c>
      <c r="I2584" s="1" t="s">
        <v>33</v>
      </c>
      <c r="J2584" s="1" t="n">
        <v>2</v>
      </c>
      <c r="K2584" s="1" t="n">
        <v>2.6</v>
      </c>
      <c r="L2584" s="15" t="n">
        <v>464.31</v>
      </c>
      <c r="M2584" s="15" t="n">
        <f aca="false">F2584*G2584</f>
        <v>515.9</v>
      </c>
      <c r="N2584" s="15" t="n">
        <f aca="false">M2584-L2584</f>
        <v>51.59</v>
      </c>
      <c r="O2584" s="1" t="n">
        <f aca="false">YEAR(B2584)</f>
        <v>2029</v>
      </c>
      <c r="P2584" s="1" t="n">
        <f aca="false">MONTH(B2584)</f>
        <v>1</v>
      </c>
      <c r="Q2584" s="1" t="str">
        <f aca="false">TEXT(B2584,"mmm")</f>
        <v>Jan</v>
      </c>
      <c r="R2584" s="1" t="str">
        <f aca="false">"Q"&amp;ROUNDUP(MONTH(B2584)/3,0)</f>
        <v>Q1</v>
      </c>
    </row>
    <row r="2585" customFormat="false" ht="15" hidden="false" customHeight="true" outlineLevel="0" collapsed="false">
      <c r="A2585" s="1" t="n">
        <v>12584</v>
      </c>
      <c r="B2585" s="14" t="n">
        <v>47145</v>
      </c>
      <c r="C2585" s="1" t="n">
        <v>1732</v>
      </c>
      <c r="D2585" s="1" t="s">
        <v>27</v>
      </c>
      <c r="E2585" s="1" t="s">
        <v>32</v>
      </c>
      <c r="F2585" s="1" t="n">
        <v>4</v>
      </c>
      <c r="G2585" s="15" t="n">
        <v>576.95</v>
      </c>
      <c r="H2585" s="16" t="n">
        <v>0.15</v>
      </c>
      <c r="I2585" s="1" t="s">
        <v>33</v>
      </c>
      <c r="J2585" s="1" t="n">
        <v>7</v>
      </c>
      <c r="K2585" s="1" t="n">
        <v>4.1</v>
      </c>
      <c r="L2585" s="15" t="n">
        <v>1961.63</v>
      </c>
      <c r="M2585" s="15" t="n">
        <f aca="false">F2585*G2585</f>
        <v>2307.8</v>
      </c>
      <c r="N2585" s="15" t="n">
        <f aca="false">M2585-L2585</f>
        <v>346.17</v>
      </c>
      <c r="O2585" s="1" t="n">
        <f aca="false">YEAR(B2585)</f>
        <v>2029</v>
      </c>
      <c r="P2585" s="1" t="n">
        <f aca="false">MONTH(B2585)</f>
        <v>1</v>
      </c>
      <c r="Q2585" s="1" t="str">
        <f aca="false">TEXT(B2585,"mmm")</f>
        <v>Jan</v>
      </c>
      <c r="R2585" s="1" t="str">
        <f aca="false">"Q"&amp;ROUNDUP(MONTH(B2585)/3,0)</f>
        <v>Q1</v>
      </c>
    </row>
    <row r="2586" customFormat="false" ht="15" hidden="false" customHeight="true" outlineLevel="0" collapsed="false">
      <c r="A2586" s="1" t="n">
        <v>12585</v>
      </c>
      <c r="B2586" s="14" t="n">
        <v>47146</v>
      </c>
      <c r="C2586" s="1" t="n">
        <v>1630</v>
      </c>
      <c r="D2586" s="1" t="s">
        <v>37</v>
      </c>
      <c r="E2586" s="1" t="s">
        <v>28</v>
      </c>
      <c r="F2586" s="1" t="n">
        <v>2</v>
      </c>
      <c r="G2586" s="15" t="n">
        <v>417.72</v>
      </c>
      <c r="H2586" s="16" t="n">
        <v>0.17</v>
      </c>
      <c r="I2586" s="1" t="s">
        <v>31</v>
      </c>
      <c r="J2586" s="1" t="n">
        <v>10</v>
      </c>
      <c r="K2586" s="1" t="n">
        <v>3.3</v>
      </c>
      <c r="L2586" s="15" t="n">
        <v>693.42</v>
      </c>
      <c r="M2586" s="15" t="n">
        <f aca="false">F2586*G2586</f>
        <v>835.44</v>
      </c>
      <c r="N2586" s="15" t="n">
        <f aca="false">M2586-L2586</f>
        <v>142.02</v>
      </c>
      <c r="O2586" s="1" t="n">
        <f aca="false">YEAR(B2586)</f>
        <v>2029</v>
      </c>
      <c r="P2586" s="1" t="n">
        <f aca="false">MONTH(B2586)</f>
        <v>1</v>
      </c>
      <c r="Q2586" s="1" t="str">
        <f aca="false">TEXT(B2586,"mmm")</f>
        <v>Jan</v>
      </c>
      <c r="R2586" s="1" t="str">
        <f aca="false">"Q"&amp;ROUNDUP(MONTH(B2586)/3,0)</f>
        <v>Q1</v>
      </c>
    </row>
    <row r="2587" customFormat="false" ht="15" hidden="false" customHeight="true" outlineLevel="0" collapsed="false">
      <c r="A2587" s="1" t="n">
        <v>12586</v>
      </c>
      <c r="B2587" s="14" t="n">
        <v>47147</v>
      </c>
      <c r="C2587" s="1" t="n">
        <v>1308</v>
      </c>
      <c r="D2587" s="1" t="s">
        <v>37</v>
      </c>
      <c r="E2587" s="1" t="s">
        <v>28</v>
      </c>
      <c r="F2587" s="1" t="n">
        <v>1</v>
      </c>
      <c r="G2587" s="15" t="n">
        <v>228.16</v>
      </c>
      <c r="H2587" s="16" t="n">
        <v>0.02</v>
      </c>
      <c r="I2587" s="1" t="s">
        <v>29</v>
      </c>
      <c r="J2587" s="1" t="n">
        <v>11</v>
      </c>
      <c r="K2587" s="1" t="n">
        <v>3.5</v>
      </c>
      <c r="L2587" s="15" t="n">
        <v>223.6</v>
      </c>
      <c r="M2587" s="15" t="n">
        <f aca="false">F2587*G2587</f>
        <v>228.16</v>
      </c>
      <c r="N2587" s="15" t="n">
        <f aca="false">M2587-L2587</f>
        <v>4.56</v>
      </c>
      <c r="O2587" s="1" t="n">
        <f aca="false">YEAR(B2587)</f>
        <v>2029</v>
      </c>
      <c r="P2587" s="1" t="n">
        <f aca="false">MONTH(B2587)</f>
        <v>1</v>
      </c>
      <c r="Q2587" s="1" t="str">
        <f aca="false">TEXT(B2587,"mmm")</f>
        <v>Jan</v>
      </c>
      <c r="R2587" s="1" t="str">
        <f aca="false">"Q"&amp;ROUNDUP(MONTH(B2587)/3,0)</f>
        <v>Q1</v>
      </c>
    </row>
    <row r="2588" customFormat="false" ht="15" hidden="false" customHeight="true" outlineLevel="0" collapsed="false">
      <c r="A2588" s="1" t="n">
        <v>12587</v>
      </c>
      <c r="B2588" s="14" t="n">
        <v>47148</v>
      </c>
      <c r="C2588" s="1" t="n">
        <v>1694</v>
      </c>
      <c r="D2588" s="1" t="s">
        <v>34</v>
      </c>
      <c r="E2588" s="1" t="s">
        <v>35</v>
      </c>
      <c r="F2588" s="1" t="n">
        <v>5</v>
      </c>
      <c r="G2588" s="15" t="n">
        <v>564.08</v>
      </c>
      <c r="H2588" s="16" t="n">
        <v>0.17</v>
      </c>
      <c r="I2588" s="1" t="s">
        <v>31</v>
      </c>
      <c r="J2588" s="1" t="n">
        <v>7</v>
      </c>
      <c r="K2588" s="1" t="n">
        <v>1.2</v>
      </c>
      <c r="L2588" s="15" t="n">
        <v>2340.93</v>
      </c>
      <c r="M2588" s="15" t="n">
        <f aca="false">F2588*G2588</f>
        <v>2820.4</v>
      </c>
      <c r="N2588" s="15" t="n">
        <f aca="false">M2588-L2588</f>
        <v>479.47</v>
      </c>
      <c r="O2588" s="1" t="n">
        <f aca="false">YEAR(B2588)</f>
        <v>2029</v>
      </c>
      <c r="P2588" s="1" t="n">
        <f aca="false">MONTH(B2588)</f>
        <v>1</v>
      </c>
      <c r="Q2588" s="1" t="str">
        <f aca="false">TEXT(B2588,"mmm")</f>
        <v>Jan</v>
      </c>
      <c r="R2588" s="1" t="str">
        <f aca="false">"Q"&amp;ROUNDUP(MONTH(B2588)/3,0)</f>
        <v>Q1</v>
      </c>
    </row>
    <row r="2589" customFormat="false" ht="15" hidden="false" customHeight="true" outlineLevel="0" collapsed="false">
      <c r="A2589" s="1" t="n">
        <v>12588</v>
      </c>
      <c r="B2589" s="14" t="n">
        <v>47149</v>
      </c>
      <c r="C2589" s="1" t="n">
        <v>1287</v>
      </c>
      <c r="D2589" s="1" t="s">
        <v>34</v>
      </c>
      <c r="E2589" s="1" t="s">
        <v>28</v>
      </c>
      <c r="F2589" s="1" t="n">
        <v>3</v>
      </c>
      <c r="G2589" s="15" t="n">
        <v>402.74</v>
      </c>
      <c r="H2589" s="16" t="n">
        <v>0.15</v>
      </c>
      <c r="I2589" s="1" t="s">
        <v>33</v>
      </c>
      <c r="J2589" s="1" t="n">
        <v>8</v>
      </c>
      <c r="K2589" s="1" t="n">
        <v>3.3</v>
      </c>
      <c r="L2589" s="15" t="n">
        <v>1026.99</v>
      </c>
      <c r="M2589" s="15" t="n">
        <f aca="false">F2589*G2589</f>
        <v>1208.22</v>
      </c>
      <c r="N2589" s="15" t="n">
        <f aca="false">M2589-L2589</f>
        <v>181.23</v>
      </c>
      <c r="O2589" s="1" t="n">
        <f aca="false">YEAR(B2589)</f>
        <v>2029</v>
      </c>
      <c r="P2589" s="1" t="n">
        <f aca="false">MONTH(B2589)</f>
        <v>1</v>
      </c>
      <c r="Q2589" s="1" t="str">
        <f aca="false">TEXT(B2589,"mmm")</f>
        <v>Jan</v>
      </c>
      <c r="R2589" s="1" t="str">
        <f aca="false">"Q"&amp;ROUNDUP(MONTH(B2589)/3,0)</f>
        <v>Q1</v>
      </c>
    </row>
    <row r="2590" customFormat="false" ht="15" hidden="false" customHeight="true" outlineLevel="0" collapsed="false">
      <c r="A2590" s="1" t="n">
        <v>12589</v>
      </c>
      <c r="B2590" s="14" t="n">
        <v>47150</v>
      </c>
      <c r="C2590" s="1" t="n">
        <v>1306</v>
      </c>
      <c r="D2590" s="1" t="s">
        <v>37</v>
      </c>
      <c r="E2590" s="1" t="s">
        <v>28</v>
      </c>
      <c r="F2590" s="1" t="n">
        <v>4</v>
      </c>
      <c r="G2590" s="15" t="n">
        <v>508.94</v>
      </c>
      <c r="H2590" s="16" t="n">
        <v>0.25</v>
      </c>
      <c r="I2590" s="1" t="s">
        <v>31</v>
      </c>
      <c r="J2590" s="1" t="n">
        <v>1</v>
      </c>
      <c r="K2590" s="1" t="n">
        <v>2.2</v>
      </c>
      <c r="L2590" s="15" t="n">
        <v>1526.82</v>
      </c>
      <c r="M2590" s="15" t="n">
        <f aca="false">F2590*G2590</f>
        <v>2035.76</v>
      </c>
      <c r="N2590" s="15" t="n">
        <f aca="false">M2590-L2590</f>
        <v>508.94</v>
      </c>
      <c r="O2590" s="1" t="n">
        <f aca="false">YEAR(B2590)</f>
        <v>2029</v>
      </c>
      <c r="P2590" s="1" t="n">
        <f aca="false">MONTH(B2590)</f>
        <v>2</v>
      </c>
      <c r="Q2590" s="1" t="str">
        <f aca="false">TEXT(B2590,"mmm")</f>
        <v>Feb</v>
      </c>
      <c r="R2590" s="1" t="str">
        <f aca="false">"Q"&amp;ROUNDUP(MONTH(B2590)/3,0)</f>
        <v>Q1</v>
      </c>
    </row>
    <row r="2591" customFormat="false" ht="15" hidden="false" customHeight="true" outlineLevel="0" collapsed="false">
      <c r="A2591" s="1" t="n">
        <v>12590</v>
      </c>
      <c r="B2591" s="14" t="n">
        <v>47151</v>
      </c>
      <c r="C2591" s="1" t="n">
        <v>1811</v>
      </c>
      <c r="D2591" s="1" t="s">
        <v>30</v>
      </c>
      <c r="E2591" s="1" t="s">
        <v>35</v>
      </c>
      <c r="F2591" s="1" t="n">
        <v>6</v>
      </c>
      <c r="G2591" s="15" t="n">
        <v>463.02</v>
      </c>
      <c r="H2591" s="16" t="n">
        <v>0.23</v>
      </c>
      <c r="I2591" s="1" t="s">
        <v>33</v>
      </c>
      <c r="J2591" s="1" t="n">
        <v>2</v>
      </c>
      <c r="K2591" s="1" t="n">
        <v>3</v>
      </c>
      <c r="L2591" s="15" t="n">
        <v>2139.15</v>
      </c>
      <c r="M2591" s="15" t="n">
        <f aca="false">F2591*G2591</f>
        <v>2778.12</v>
      </c>
      <c r="N2591" s="15" t="n">
        <f aca="false">M2591-L2591</f>
        <v>638.97</v>
      </c>
      <c r="O2591" s="1" t="n">
        <f aca="false">YEAR(B2591)</f>
        <v>2029</v>
      </c>
      <c r="P2591" s="1" t="n">
        <f aca="false">MONTH(B2591)</f>
        <v>2</v>
      </c>
      <c r="Q2591" s="1" t="str">
        <f aca="false">TEXT(B2591,"mmm")</f>
        <v>Feb</v>
      </c>
      <c r="R2591" s="1" t="str">
        <f aca="false">"Q"&amp;ROUNDUP(MONTH(B2591)/3,0)</f>
        <v>Q1</v>
      </c>
    </row>
    <row r="2592" customFormat="false" ht="15" hidden="false" customHeight="true" outlineLevel="0" collapsed="false">
      <c r="A2592" s="1" t="n">
        <v>12591</v>
      </c>
      <c r="B2592" s="14" t="n">
        <v>47152</v>
      </c>
      <c r="C2592" s="1" t="n">
        <v>1593</v>
      </c>
      <c r="D2592" s="1" t="s">
        <v>34</v>
      </c>
      <c r="E2592" s="1" t="s">
        <v>28</v>
      </c>
      <c r="F2592" s="1" t="n">
        <v>2</v>
      </c>
      <c r="G2592" s="15" t="n">
        <v>236.8</v>
      </c>
      <c r="H2592" s="16" t="n">
        <v>0.06</v>
      </c>
      <c r="I2592" s="1" t="s">
        <v>31</v>
      </c>
      <c r="J2592" s="1" t="n">
        <v>2</v>
      </c>
      <c r="K2592" s="1" t="n">
        <v>1.9</v>
      </c>
      <c r="L2592" s="15" t="n">
        <v>445.18</v>
      </c>
      <c r="M2592" s="15" t="n">
        <f aca="false">F2592*G2592</f>
        <v>473.6</v>
      </c>
      <c r="N2592" s="15" t="n">
        <f aca="false">M2592-L2592</f>
        <v>28.42</v>
      </c>
      <c r="O2592" s="1" t="n">
        <f aca="false">YEAR(B2592)</f>
        <v>2029</v>
      </c>
      <c r="P2592" s="1" t="n">
        <f aca="false">MONTH(B2592)</f>
        <v>2</v>
      </c>
      <c r="Q2592" s="1" t="str">
        <f aca="false">TEXT(B2592,"mmm")</f>
        <v>Feb</v>
      </c>
      <c r="R2592" s="1" t="str">
        <f aca="false">"Q"&amp;ROUNDUP(MONTH(B2592)/3,0)</f>
        <v>Q1</v>
      </c>
    </row>
    <row r="2593" customFormat="false" ht="15" hidden="false" customHeight="true" outlineLevel="0" collapsed="false">
      <c r="A2593" s="1" t="n">
        <v>12592</v>
      </c>
      <c r="B2593" s="14" t="n">
        <v>47153</v>
      </c>
      <c r="C2593" s="1" t="n">
        <v>1965</v>
      </c>
      <c r="D2593" s="1" t="s">
        <v>30</v>
      </c>
      <c r="E2593" s="1" t="s">
        <v>32</v>
      </c>
      <c r="F2593" s="1" t="n">
        <v>1</v>
      </c>
      <c r="G2593" s="15" t="n">
        <v>295.04</v>
      </c>
      <c r="H2593" s="16" t="n">
        <v>0.07</v>
      </c>
      <c r="I2593" s="1" t="s">
        <v>31</v>
      </c>
      <c r="J2593" s="1" t="n">
        <v>3</v>
      </c>
      <c r="K2593" s="1" t="n">
        <v>3.5</v>
      </c>
      <c r="L2593" s="15" t="n">
        <v>274.39</v>
      </c>
      <c r="M2593" s="15" t="n">
        <f aca="false">F2593*G2593</f>
        <v>295.04</v>
      </c>
      <c r="N2593" s="15" t="n">
        <f aca="false">M2593-L2593</f>
        <v>20.65</v>
      </c>
      <c r="O2593" s="1" t="n">
        <f aca="false">YEAR(B2593)</f>
        <v>2029</v>
      </c>
      <c r="P2593" s="1" t="n">
        <f aca="false">MONTH(B2593)</f>
        <v>2</v>
      </c>
      <c r="Q2593" s="1" t="str">
        <f aca="false">TEXT(B2593,"mmm")</f>
        <v>Feb</v>
      </c>
      <c r="R2593" s="1" t="str">
        <f aca="false">"Q"&amp;ROUNDUP(MONTH(B2593)/3,0)</f>
        <v>Q1</v>
      </c>
    </row>
    <row r="2594" customFormat="false" ht="15" hidden="false" customHeight="true" outlineLevel="0" collapsed="false">
      <c r="A2594" s="1" t="n">
        <v>12593</v>
      </c>
      <c r="B2594" s="14" t="n">
        <v>47154</v>
      </c>
      <c r="C2594" s="1" t="n">
        <v>1913</v>
      </c>
      <c r="D2594" s="1" t="s">
        <v>34</v>
      </c>
      <c r="E2594" s="1" t="s">
        <v>28</v>
      </c>
      <c r="F2594" s="1" t="n">
        <v>7</v>
      </c>
      <c r="G2594" s="15" t="n">
        <v>123.89</v>
      </c>
      <c r="H2594" s="16" t="n">
        <v>0.09</v>
      </c>
      <c r="I2594" s="1" t="s">
        <v>29</v>
      </c>
      <c r="J2594" s="1" t="n">
        <v>7</v>
      </c>
      <c r="K2594" s="1" t="n">
        <v>1.6</v>
      </c>
      <c r="L2594" s="15" t="n">
        <v>789.18</v>
      </c>
      <c r="M2594" s="15" t="n">
        <f aca="false">F2594*G2594</f>
        <v>867.23</v>
      </c>
      <c r="N2594" s="15" t="n">
        <f aca="false">M2594-L2594</f>
        <v>78.0500000000001</v>
      </c>
      <c r="O2594" s="1" t="n">
        <f aca="false">YEAR(B2594)</f>
        <v>2029</v>
      </c>
      <c r="P2594" s="1" t="n">
        <f aca="false">MONTH(B2594)</f>
        <v>2</v>
      </c>
      <c r="Q2594" s="1" t="str">
        <f aca="false">TEXT(B2594,"mmm")</f>
        <v>Feb</v>
      </c>
      <c r="R2594" s="1" t="str">
        <f aca="false">"Q"&amp;ROUNDUP(MONTH(B2594)/3,0)</f>
        <v>Q1</v>
      </c>
    </row>
    <row r="2595" customFormat="false" ht="15" hidden="false" customHeight="true" outlineLevel="0" collapsed="false">
      <c r="A2595" s="1" t="n">
        <v>12594</v>
      </c>
      <c r="B2595" s="14" t="n">
        <v>47155</v>
      </c>
      <c r="C2595" s="1" t="n">
        <v>1722</v>
      </c>
      <c r="D2595" s="1" t="s">
        <v>34</v>
      </c>
      <c r="E2595" s="1" t="s">
        <v>36</v>
      </c>
      <c r="F2595" s="1" t="n">
        <v>7</v>
      </c>
      <c r="G2595" s="15" t="n">
        <v>185.83</v>
      </c>
      <c r="H2595" s="16" t="n">
        <v>0.06</v>
      </c>
      <c r="I2595" s="1" t="s">
        <v>31</v>
      </c>
      <c r="J2595" s="1" t="n">
        <v>7</v>
      </c>
      <c r="K2595" s="1" t="n">
        <v>1.5</v>
      </c>
      <c r="L2595" s="15" t="n">
        <v>1222.76</v>
      </c>
      <c r="M2595" s="15" t="n">
        <f aca="false">F2595*G2595</f>
        <v>1300.81</v>
      </c>
      <c r="N2595" s="15" t="n">
        <f aca="false">M2595-L2595</f>
        <v>78.0500000000002</v>
      </c>
      <c r="O2595" s="1" t="n">
        <f aca="false">YEAR(B2595)</f>
        <v>2029</v>
      </c>
      <c r="P2595" s="1" t="n">
        <f aca="false">MONTH(B2595)</f>
        <v>2</v>
      </c>
      <c r="Q2595" s="1" t="str">
        <f aca="false">TEXT(B2595,"mmm")</f>
        <v>Feb</v>
      </c>
      <c r="R2595" s="1" t="str">
        <f aca="false">"Q"&amp;ROUNDUP(MONTH(B2595)/3,0)</f>
        <v>Q1</v>
      </c>
    </row>
    <row r="2596" customFormat="false" ht="15" hidden="false" customHeight="true" outlineLevel="0" collapsed="false">
      <c r="A2596" s="1" t="n">
        <v>12595</v>
      </c>
      <c r="B2596" s="14" t="n">
        <v>47156</v>
      </c>
      <c r="C2596" s="1" t="n">
        <v>1661</v>
      </c>
      <c r="D2596" s="1" t="s">
        <v>30</v>
      </c>
      <c r="E2596" s="1" t="s">
        <v>32</v>
      </c>
      <c r="F2596" s="1" t="n">
        <v>7</v>
      </c>
      <c r="G2596" s="15" t="n">
        <v>470.2</v>
      </c>
      <c r="H2596" s="16" t="n">
        <v>0.23</v>
      </c>
      <c r="I2596" s="1" t="s">
        <v>31</v>
      </c>
      <c r="J2596" s="1" t="n">
        <v>7</v>
      </c>
      <c r="K2596" s="1" t="n">
        <v>1.8</v>
      </c>
      <c r="L2596" s="15" t="n">
        <v>2534.38</v>
      </c>
      <c r="M2596" s="15" t="n">
        <f aca="false">F2596*G2596</f>
        <v>3291.4</v>
      </c>
      <c r="N2596" s="15" t="n">
        <f aca="false">M2596-L2596</f>
        <v>757.02</v>
      </c>
      <c r="O2596" s="1" t="n">
        <f aca="false">YEAR(B2596)</f>
        <v>2029</v>
      </c>
      <c r="P2596" s="1" t="n">
        <f aca="false">MONTH(B2596)</f>
        <v>2</v>
      </c>
      <c r="Q2596" s="1" t="str">
        <f aca="false">TEXT(B2596,"mmm")</f>
        <v>Feb</v>
      </c>
      <c r="R2596" s="1" t="str">
        <f aca="false">"Q"&amp;ROUNDUP(MONTH(B2596)/3,0)</f>
        <v>Q1</v>
      </c>
    </row>
    <row r="2597" customFormat="false" ht="15" hidden="false" customHeight="true" outlineLevel="0" collapsed="false">
      <c r="A2597" s="1" t="n">
        <v>12596</v>
      </c>
      <c r="B2597" s="14" t="n">
        <v>47157</v>
      </c>
      <c r="C2597" s="1" t="n">
        <v>1548</v>
      </c>
      <c r="D2597" s="1" t="s">
        <v>34</v>
      </c>
      <c r="E2597" s="1" t="s">
        <v>35</v>
      </c>
      <c r="F2597" s="1" t="n">
        <v>1</v>
      </c>
      <c r="G2597" s="15" t="n">
        <v>537.98</v>
      </c>
      <c r="H2597" s="16" t="n">
        <v>0.35</v>
      </c>
      <c r="I2597" s="1" t="s">
        <v>33</v>
      </c>
      <c r="J2597" s="1" t="n">
        <v>1</v>
      </c>
      <c r="K2597" s="1" t="n">
        <v>4.3</v>
      </c>
      <c r="L2597" s="15" t="n">
        <v>349.69</v>
      </c>
      <c r="M2597" s="15" t="n">
        <f aca="false">F2597*G2597</f>
        <v>537.98</v>
      </c>
      <c r="N2597" s="15" t="n">
        <f aca="false">M2597-L2597</f>
        <v>188.29</v>
      </c>
      <c r="O2597" s="1" t="n">
        <f aca="false">YEAR(B2597)</f>
        <v>2029</v>
      </c>
      <c r="P2597" s="1" t="n">
        <f aca="false">MONTH(B2597)</f>
        <v>2</v>
      </c>
      <c r="Q2597" s="1" t="str">
        <f aca="false">TEXT(B2597,"mmm")</f>
        <v>Feb</v>
      </c>
      <c r="R2597" s="1" t="str">
        <f aca="false">"Q"&amp;ROUNDUP(MONTH(B2597)/3,0)</f>
        <v>Q1</v>
      </c>
    </row>
    <row r="2598" customFormat="false" ht="15" hidden="false" customHeight="true" outlineLevel="0" collapsed="false">
      <c r="A2598" s="1" t="n">
        <v>12597</v>
      </c>
      <c r="B2598" s="14" t="n">
        <v>47158</v>
      </c>
      <c r="C2598" s="1" t="n">
        <v>1351</v>
      </c>
      <c r="D2598" s="1" t="s">
        <v>27</v>
      </c>
      <c r="E2598" s="1" t="s">
        <v>32</v>
      </c>
      <c r="F2598" s="1" t="n">
        <v>5</v>
      </c>
      <c r="G2598" s="15" t="n">
        <v>438.81</v>
      </c>
      <c r="H2598" s="16" t="n">
        <v>0.23</v>
      </c>
      <c r="I2598" s="1" t="s">
        <v>33</v>
      </c>
      <c r="J2598" s="1" t="n">
        <v>2</v>
      </c>
      <c r="K2598" s="1" t="n">
        <v>1.1</v>
      </c>
      <c r="L2598" s="15" t="n">
        <v>1689.42</v>
      </c>
      <c r="M2598" s="15" t="n">
        <f aca="false">F2598*G2598</f>
        <v>2194.05</v>
      </c>
      <c r="N2598" s="15" t="n">
        <f aca="false">M2598-L2598</f>
        <v>504.63</v>
      </c>
      <c r="O2598" s="1" t="n">
        <f aca="false">YEAR(B2598)</f>
        <v>2029</v>
      </c>
      <c r="P2598" s="1" t="n">
        <f aca="false">MONTH(B2598)</f>
        <v>2</v>
      </c>
      <c r="Q2598" s="1" t="str">
        <f aca="false">TEXT(B2598,"mmm")</f>
        <v>Feb</v>
      </c>
      <c r="R2598" s="1" t="str">
        <f aca="false">"Q"&amp;ROUNDUP(MONTH(B2598)/3,0)</f>
        <v>Q1</v>
      </c>
    </row>
    <row r="2599" customFormat="false" ht="15" hidden="false" customHeight="true" outlineLevel="0" collapsed="false">
      <c r="A2599" s="1" t="n">
        <v>12598</v>
      </c>
      <c r="B2599" s="14" t="n">
        <v>47159</v>
      </c>
      <c r="C2599" s="1" t="n">
        <v>1311</v>
      </c>
      <c r="D2599" s="1" t="s">
        <v>34</v>
      </c>
      <c r="E2599" s="1" t="s">
        <v>35</v>
      </c>
      <c r="F2599" s="1" t="n">
        <v>4</v>
      </c>
      <c r="G2599" s="15" t="n">
        <v>287.13</v>
      </c>
      <c r="H2599" s="16" t="n">
        <v>0.21</v>
      </c>
      <c r="I2599" s="1" t="s">
        <v>31</v>
      </c>
      <c r="J2599" s="1" t="n">
        <v>8</v>
      </c>
      <c r="K2599" s="1" t="n">
        <v>3.9</v>
      </c>
      <c r="L2599" s="15" t="n">
        <v>907.33</v>
      </c>
      <c r="M2599" s="15" t="n">
        <f aca="false">F2599*G2599</f>
        <v>1148.52</v>
      </c>
      <c r="N2599" s="15" t="n">
        <f aca="false">M2599-L2599</f>
        <v>241.19</v>
      </c>
      <c r="O2599" s="1" t="n">
        <f aca="false">YEAR(B2599)</f>
        <v>2029</v>
      </c>
      <c r="P2599" s="1" t="n">
        <f aca="false">MONTH(B2599)</f>
        <v>2</v>
      </c>
      <c r="Q2599" s="1" t="str">
        <f aca="false">TEXT(B2599,"mmm")</f>
        <v>Feb</v>
      </c>
      <c r="R2599" s="1" t="str">
        <f aca="false">"Q"&amp;ROUNDUP(MONTH(B2599)/3,0)</f>
        <v>Q1</v>
      </c>
    </row>
    <row r="2600" customFormat="false" ht="15" hidden="false" customHeight="true" outlineLevel="0" collapsed="false">
      <c r="A2600" s="1" t="n">
        <v>12599</v>
      </c>
      <c r="B2600" s="14" t="n">
        <v>47160</v>
      </c>
      <c r="C2600" s="1" t="n">
        <v>1872</v>
      </c>
      <c r="D2600" s="1" t="s">
        <v>34</v>
      </c>
      <c r="E2600" s="1" t="s">
        <v>36</v>
      </c>
      <c r="F2600" s="1" t="n">
        <v>6</v>
      </c>
      <c r="G2600" s="15" t="n">
        <v>65.61</v>
      </c>
      <c r="H2600" s="16" t="n">
        <v>0.14</v>
      </c>
      <c r="I2600" s="1" t="s">
        <v>31</v>
      </c>
      <c r="J2600" s="1" t="n">
        <v>9</v>
      </c>
      <c r="K2600" s="1" t="n">
        <v>1.2</v>
      </c>
      <c r="L2600" s="15" t="n">
        <v>338.55</v>
      </c>
      <c r="M2600" s="15" t="n">
        <f aca="false">F2600*G2600</f>
        <v>393.66</v>
      </c>
      <c r="N2600" s="15" t="n">
        <f aca="false">M2600-L2600</f>
        <v>55.11</v>
      </c>
      <c r="O2600" s="1" t="n">
        <f aca="false">YEAR(B2600)</f>
        <v>2029</v>
      </c>
      <c r="P2600" s="1" t="n">
        <f aca="false">MONTH(B2600)</f>
        <v>2</v>
      </c>
      <c r="Q2600" s="1" t="str">
        <f aca="false">TEXT(B2600,"mmm")</f>
        <v>Feb</v>
      </c>
      <c r="R2600" s="1" t="str">
        <f aca="false">"Q"&amp;ROUNDUP(MONTH(B2600)/3,0)</f>
        <v>Q1</v>
      </c>
    </row>
    <row r="2601" customFormat="false" ht="15" hidden="false" customHeight="true" outlineLevel="0" collapsed="false">
      <c r="A2601" s="1" t="n">
        <v>12600</v>
      </c>
      <c r="B2601" s="14" t="n">
        <v>47161</v>
      </c>
      <c r="C2601" s="1" t="n">
        <v>1058</v>
      </c>
      <c r="D2601" s="1" t="s">
        <v>34</v>
      </c>
      <c r="E2601" s="1" t="s">
        <v>36</v>
      </c>
      <c r="F2601" s="1" t="n">
        <v>7</v>
      </c>
      <c r="G2601" s="15" t="n">
        <v>48.31</v>
      </c>
      <c r="H2601" s="16" t="n">
        <v>0.11</v>
      </c>
      <c r="I2601" s="1" t="s">
        <v>29</v>
      </c>
      <c r="J2601" s="1" t="n">
        <v>10</v>
      </c>
      <c r="K2601" s="1" t="n">
        <v>3.4</v>
      </c>
      <c r="L2601" s="15" t="n">
        <v>300.97</v>
      </c>
      <c r="M2601" s="15" t="n">
        <f aca="false">F2601*G2601</f>
        <v>338.17</v>
      </c>
      <c r="N2601" s="15" t="n">
        <f aca="false">M2601-L2601</f>
        <v>37.2</v>
      </c>
      <c r="O2601" s="1" t="n">
        <f aca="false">YEAR(B2601)</f>
        <v>2029</v>
      </c>
      <c r="P2601" s="1" t="n">
        <f aca="false">MONTH(B2601)</f>
        <v>2</v>
      </c>
      <c r="Q2601" s="1" t="str">
        <f aca="false">TEXT(B2601,"mmm")</f>
        <v>Feb</v>
      </c>
      <c r="R2601" s="1" t="str">
        <f aca="false">"Q"&amp;ROUNDUP(MONTH(B2601)/3,0)</f>
        <v>Q1</v>
      </c>
    </row>
    <row r="2602" customFormat="false" ht="15" hidden="false" customHeight="true" outlineLevel="0" collapsed="false">
      <c r="A2602" s="1" t="n">
        <v>12601</v>
      </c>
      <c r="B2602" s="14" t="n">
        <v>47162</v>
      </c>
      <c r="C2602" s="1" t="n">
        <v>1642</v>
      </c>
      <c r="D2602" s="1" t="s">
        <v>37</v>
      </c>
      <c r="E2602" s="1" t="s">
        <v>32</v>
      </c>
      <c r="F2602" s="1" t="n">
        <v>1</v>
      </c>
      <c r="G2602" s="15" t="n">
        <v>233.98</v>
      </c>
      <c r="H2602" s="16" t="n">
        <v>0.32</v>
      </c>
      <c r="I2602" s="1" t="s">
        <v>33</v>
      </c>
      <c r="J2602" s="1" t="n">
        <v>7</v>
      </c>
      <c r="K2602" s="1" t="n">
        <v>4.1</v>
      </c>
      <c r="L2602" s="15" t="n">
        <v>159.11</v>
      </c>
      <c r="M2602" s="15" t="n">
        <f aca="false">F2602*G2602</f>
        <v>233.98</v>
      </c>
      <c r="N2602" s="15" t="n">
        <f aca="false">M2602-L2602</f>
        <v>74.87</v>
      </c>
      <c r="O2602" s="1" t="n">
        <f aca="false">YEAR(B2602)</f>
        <v>2029</v>
      </c>
      <c r="P2602" s="1" t="n">
        <f aca="false">MONTH(B2602)</f>
        <v>2</v>
      </c>
      <c r="Q2602" s="1" t="str">
        <f aca="false">TEXT(B2602,"mmm")</f>
        <v>Feb</v>
      </c>
      <c r="R2602" s="1" t="str">
        <f aca="false">"Q"&amp;ROUNDUP(MONTH(B2602)/3,0)</f>
        <v>Q1</v>
      </c>
    </row>
    <row r="2603" customFormat="false" ht="15" hidden="false" customHeight="true" outlineLevel="0" collapsed="false">
      <c r="A2603" s="1" t="n">
        <v>12602</v>
      </c>
      <c r="B2603" s="14" t="n">
        <v>47163</v>
      </c>
      <c r="C2603" s="1" t="n">
        <v>1923</v>
      </c>
      <c r="D2603" s="1" t="s">
        <v>30</v>
      </c>
      <c r="E2603" s="1" t="s">
        <v>28</v>
      </c>
      <c r="F2603" s="1" t="n">
        <v>7</v>
      </c>
      <c r="G2603" s="15" t="n">
        <v>286.34</v>
      </c>
      <c r="H2603" s="16" t="n">
        <v>0.34</v>
      </c>
      <c r="I2603" s="1" t="s">
        <v>31</v>
      </c>
      <c r="J2603" s="1" t="n">
        <v>1</v>
      </c>
      <c r="K2603" s="1" t="n">
        <v>1.9</v>
      </c>
      <c r="L2603" s="15" t="n">
        <v>1322.89</v>
      </c>
      <c r="M2603" s="15" t="n">
        <f aca="false">F2603*G2603</f>
        <v>2004.38</v>
      </c>
      <c r="N2603" s="15" t="n">
        <f aca="false">M2603-L2603</f>
        <v>681.49</v>
      </c>
      <c r="O2603" s="1" t="n">
        <f aca="false">YEAR(B2603)</f>
        <v>2029</v>
      </c>
      <c r="P2603" s="1" t="n">
        <f aca="false">MONTH(B2603)</f>
        <v>2</v>
      </c>
      <c r="Q2603" s="1" t="str">
        <f aca="false">TEXT(B2603,"mmm")</f>
        <v>Feb</v>
      </c>
      <c r="R2603" s="1" t="str">
        <f aca="false">"Q"&amp;ROUNDUP(MONTH(B2603)/3,0)</f>
        <v>Q1</v>
      </c>
    </row>
    <row r="2604" customFormat="false" ht="15" hidden="false" customHeight="true" outlineLevel="0" collapsed="false">
      <c r="A2604" s="1" t="n">
        <v>12603</v>
      </c>
      <c r="B2604" s="14" t="n">
        <v>47164</v>
      </c>
      <c r="C2604" s="1" t="n">
        <v>1713</v>
      </c>
      <c r="D2604" s="1" t="s">
        <v>30</v>
      </c>
      <c r="E2604" s="1" t="s">
        <v>32</v>
      </c>
      <c r="F2604" s="1" t="n">
        <v>5</v>
      </c>
      <c r="G2604" s="15" t="n">
        <v>371.34</v>
      </c>
      <c r="H2604" s="16" t="n">
        <v>0.17</v>
      </c>
      <c r="I2604" s="1" t="s">
        <v>29</v>
      </c>
      <c r="J2604" s="1" t="n">
        <v>4</v>
      </c>
      <c r="K2604" s="1" t="n">
        <v>1.8</v>
      </c>
      <c r="L2604" s="15" t="n">
        <v>1541.06</v>
      </c>
      <c r="M2604" s="15" t="n">
        <f aca="false">F2604*G2604</f>
        <v>1856.7</v>
      </c>
      <c r="N2604" s="15" t="n">
        <f aca="false">M2604-L2604</f>
        <v>315.64</v>
      </c>
      <c r="O2604" s="1" t="n">
        <f aca="false">YEAR(B2604)</f>
        <v>2029</v>
      </c>
      <c r="P2604" s="1" t="n">
        <f aca="false">MONTH(B2604)</f>
        <v>2</v>
      </c>
      <c r="Q2604" s="1" t="str">
        <f aca="false">TEXT(B2604,"mmm")</f>
        <v>Feb</v>
      </c>
      <c r="R2604" s="1" t="str">
        <f aca="false">"Q"&amp;ROUNDUP(MONTH(B2604)/3,0)</f>
        <v>Q1</v>
      </c>
    </row>
    <row r="2605" customFormat="false" ht="15" hidden="false" customHeight="true" outlineLevel="0" collapsed="false">
      <c r="A2605" s="1" t="n">
        <v>12604</v>
      </c>
      <c r="B2605" s="14" t="n">
        <v>47165</v>
      </c>
      <c r="C2605" s="1" t="n">
        <v>1754</v>
      </c>
      <c r="D2605" s="1" t="s">
        <v>34</v>
      </c>
      <c r="E2605" s="1" t="s">
        <v>32</v>
      </c>
      <c r="F2605" s="1" t="n">
        <v>2</v>
      </c>
      <c r="G2605" s="15" t="n">
        <v>18.8</v>
      </c>
      <c r="H2605" s="16" t="n">
        <v>0.1</v>
      </c>
      <c r="I2605" s="1" t="s">
        <v>33</v>
      </c>
      <c r="J2605" s="1" t="n">
        <v>10</v>
      </c>
      <c r="K2605" s="1" t="n">
        <v>2.2</v>
      </c>
      <c r="L2605" s="15" t="n">
        <v>33.84</v>
      </c>
      <c r="M2605" s="15" t="n">
        <f aca="false">F2605*G2605</f>
        <v>37.6</v>
      </c>
      <c r="N2605" s="15" t="n">
        <f aca="false">M2605-L2605</f>
        <v>3.76</v>
      </c>
      <c r="O2605" s="1" t="n">
        <f aca="false">YEAR(B2605)</f>
        <v>2029</v>
      </c>
      <c r="P2605" s="1" t="n">
        <f aca="false">MONTH(B2605)</f>
        <v>2</v>
      </c>
      <c r="Q2605" s="1" t="str">
        <f aca="false">TEXT(B2605,"mmm")</f>
        <v>Feb</v>
      </c>
      <c r="R2605" s="1" t="str">
        <f aca="false">"Q"&amp;ROUNDUP(MONTH(B2605)/3,0)</f>
        <v>Q1</v>
      </c>
    </row>
    <row r="2606" customFormat="false" ht="15" hidden="false" customHeight="true" outlineLevel="0" collapsed="false">
      <c r="A2606" s="1" t="n">
        <v>12605</v>
      </c>
      <c r="B2606" s="14" t="n">
        <v>47166</v>
      </c>
      <c r="C2606" s="1" t="n">
        <v>1034</v>
      </c>
      <c r="D2606" s="1" t="s">
        <v>34</v>
      </c>
      <c r="E2606" s="1" t="s">
        <v>36</v>
      </c>
      <c r="F2606" s="1" t="n">
        <v>7</v>
      </c>
      <c r="G2606" s="15" t="n">
        <v>593.99</v>
      </c>
      <c r="H2606" s="16" t="n">
        <v>0.27</v>
      </c>
      <c r="I2606" s="1" t="s">
        <v>31</v>
      </c>
      <c r="J2606" s="1" t="n">
        <v>8</v>
      </c>
      <c r="K2606" s="1" t="n">
        <v>3.8</v>
      </c>
      <c r="L2606" s="15" t="n">
        <v>3035.29</v>
      </c>
      <c r="M2606" s="15" t="n">
        <f aca="false">F2606*G2606</f>
        <v>4157.93</v>
      </c>
      <c r="N2606" s="15" t="n">
        <f aca="false">M2606-L2606</f>
        <v>1122.64</v>
      </c>
      <c r="O2606" s="1" t="n">
        <f aca="false">YEAR(B2606)</f>
        <v>2029</v>
      </c>
      <c r="P2606" s="1" t="n">
        <f aca="false">MONTH(B2606)</f>
        <v>2</v>
      </c>
      <c r="Q2606" s="1" t="str">
        <f aca="false">TEXT(B2606,"mmm")</f>
        <v>Feb</v>
      </c>
      <c r="R2606" s="1" t="str">
        <f aca="false">"Q"&amp;ROUNDUP(MONTH(B2606)/3,0)</f>
        <v>Q1</v>
      </c>
    </row>
    <row r="2607" customFormat="false" ht="15" hidden="false" customHeight="true" outlineLevel="0" collapsed="false">
      <c r="A2607" s="1" t="n">
        <v>12606</v>
      </c>
      <c r="B2607" s="14" t="n">
        <v>47167</v>
      </c>
      <c r="C2607" s="1" t="n">
        <v>1444</v>
      </c>
      <c r="D2607" s="1" t="s">
        <v>30</v>
      </c>
      <c r="E2607" s="1" t="s">
        <v>35</v>
      </c>
      <c r="F2607" s="1" t="n">
        <v>5</v>
      </c>
      <c r="G2607" s="15" t="n">
        <v>227.9</v>
      </c>
      <c r="H2607" s="16" t="n">
        <v>0.05</v>
      </c>
      <c r="I2607" s="1" t="s">
        <v>31</v>
      </c>
      <c r="J2607" s="1" t="n">
        <v>5</v>
      </c>
      <c r="K2607" s="1" t="n">
        <v>2</v>
      </c>
      <c r="L2607" s="15" t="n">
        <v>1082.52</v>
      </c>
      <c r="M2607" s="15" t="n">
        <f aca="false">F2607*G2607</f>
        <v>1139.5</v>
      </c>
      <c r="N2607" s="15" t="n">
        <f aca="false">M2607-L2607</f>
        <v>56.98</v>
      </c>
      <c r="O2607" s="1" t="n">
        <f aca="false">YEAR(B2607)</f>
        <v>2029</v>
      </c>
      <c r="P2607" s="1" t="n">
        <f aca="false">MONTH(B2607)</f>
        <v>2</v>
      </c>
      <c r="Q2607" s="1" t="str">
        <f aca="false">TEXT(B2607,"mmm")</f>
        <v>Feb</v>
      </c>
      <c r="R2607" s="1" t="str">
        <f aca="false">"Q"&amp;ROUNDUP(MONTH(B2607)/3,0)</f>
        <v>Q1</v>
      </c>
    </row>
    <row r="2608" customFormat="false" ht="15" hidden="false" customHeight="true" outlineLevel="0" collapsed="false">
      <c r="A2608" s="1" t="n">
        <v>12607</v>
      </c>
      <c r="B2608" s="14" t="n">
        <v>47168</v>
      </c>
      <c r="C2608" s="1" t="n">
        <v>1092</v>
      </c>
      <c r="D2608" s="1" t="s">
        <v>37</v>
      </c>
      <c r="E2608" s="1" t="s">
        <v>32</v>
      </c>
      <c r="F2608" s="1" t="n">
        <v>4</v>
      </c>
      <c r="G2608" s="15" t="n">
        <v>511.14</v>
      </c>
      <c r="H2608" s="16" t="n">
        <v>0.27</v>
      </c>
      <c r="I2608" s="1" t="s">
        <v>31</v>
      </c>
      <c r="J2608" s="1" t="n">
        <v>1</v>
      </c>
      <c r="K2608" s="1" t="n">
        <v>3</v>
      </c>
      <c r="L2608" s="15" t="n">
        <v>1492.53</v>
      </c>
      <c r="M2608" s="15" t="n">
        <f aca="false">F2608*G2608</f>
        <v>2044.56</v>
      </c>
      <c r="N2608" s="15" t="n">
        <f aca="false">M2608-L2608</f>
        <v>552.03</v>
      </c>
      <c r="O2608" s="1" t="n">
        <f aca="false">YEAR(B2608)</f>
        <v>2029</v>
      </c>
      <c r="P2608" s="1" t="n">
        <f aca="false">MONTH(B2608)</f>
        <v>2</v>
      </c>
      <c r="Q2608" s="1" t="str">
        <f aca="false">TEXT(B2608,"mmm")</f>
        <v>Feb</v>
      </c>
      <c r="R2608" s="1" t="str">
        <f aca="false">"Q"&amp;ROUNDUP(MONTH(B2608)/3,0)</f>
        <v>Q1</v>
      </c>
    </row>
    <row r="2609" customFormat="false" ht="15" hidden="false" customHeight="true" outlineLevel="0" collapsed="false">
      <c r="A2609" s="1" t="n">
        <v>12608</v>
      </c>
      <c r="B2609" s="14" t="n">
        <v>47169</v>
      </c>
      <c r="C2609" s="1" t="n">
        <v>1949</v>
      </c>
      <c r="D2609" s="1" t="s">
        <v>27</v>
      </c>
      <c r="E2609" s="1" t="s">
        <v>28</v>
      </c>
      <c r="F2609" s="1" t="n">
        <v>7</v>
      </c>
      <c r="G2609" s="15" t="n">
        <v>327.96</v>
      </c>
      <c r="H2609" s="16" t="n">
        <v>0.29</v>
      </c>
      <c r="I2609" s="1" t="s">
        <v>29</v>
      </c>
      <c r="J2609" s="1" t="n">
        <v>7</v>
      </c>
      <c r="K2609" s="1" t="n">
        <v>1.5</v>
      </c>
      <c r="L2609" s="15" t="n">
        <v>1629.96</v>
      </c>
      <c r="M2609" s="15" t="n">
        <f aca="false">F2609*G2609</f>
        <v>2295.72</v>
      </c>
      <c r="N2609" s="15" t="n">
        <f aca="false">M2609-L2609</f>
        <v>665.76</v>
      </c>
      <c r="O2609" s="1" t="n">
        <f aca="false">YEAR(B2609)</f>
        <v>2029</v>
      </c>
      <c r="P2609" s="1" t="n">
        <f aca="false">MONTH(B2609)</f>
        <v>2</v>
      </c>
      <c r="Q2609" s="1" t="str">
        <f aca="false">TEXT(B2609,"mmm")</f>
        <v>Feb</v>
      </c>
      <c r="R2609" s="1" t="str">
        <f aca="false">"Q"&amp;ROUNDUP(MONTH(B2609)/3,0)</f>
        <v>Q1</v>
      </c>
    </row>
    <row r="2610" customFormat="false" ht="15" hidden="false" customHeight="true" outlineLevel="0" collapsed="false">
      <c r="A2610" s="1" t="n">
        <v>12609</v>
      </c>
      <c r="B2610" s="14" t="n">
        <v>47170</v>
      </c>
      <c r="C2610" s="1" t="n">
        <v>1958</v>
      </c>
      <c r="D2610" s="1" t="s">
        <v>34</v>
      </c>
      <c r="E2610" s="1" t="s">
        <v>36</v>
      </c>
      <c r="F2610" s="1" t="n">
        <v>5</v>
      </c>
      <c r="G2610" s="15" t="n">
        <v>91.31</v>
      </c>
      <c r="H2610" s="16" t="n">
        <v>0.04</v>
      </c>
      <c r="I2610" s="1" t="s">
        <v>31</v>
      </c>
      <c r="J2610" s="1" t="n">
        <v>6</v>
      </c>
      <c r="K2610" s="1" t="n">
        <v>2.8</v>
      </c>
      <c r="L2610" s="15" t="n">
        <v>438.29</v>
      </c>
      <c r="M2610" s="15" t="n">
        <f aca="false">F2610*G2610</f>
        <v>456.55</v>
      </c>
      <c r="N2610" s="15" t="n">
        <f aca="false">M2610-L2610</f>
        <v>18.26</v>
      </c>
      <c r="O2610" s="1" t="n">
        <f aca="false">YEAR(B2610)</f>
        <v>2029</v>
      </c>
      <c r="P2610" s="1" t="n">
        <f aca="false">MONTH(B2610)</f>
        <v>2</v>
      </c>
      <c r="Q2610" s="1" t="str">
        <f aca="false">TEXT(B2610,"mmm")</f>
        <v>Feb</v>
      </c>
      <c r="R2610" s="1" t="str">
        <f aca="false">"Q"&amp;ROUNDUP(MONTH(B2610)/3,0)</f>
        <v>Q1</v>
      </c>
    </row>
    <row r="2611" customFormat="false" ht="15" hidden="false" customHeight="true" outlineLevel="0" collapsed="false">
      <c r="A2611" s="1" t="n">
        <v>12610</v>
      </c>
      <c r="B2611" s="14" t="n">
        <v>47171</v>
      </c>
      <c r="C2611" s="1" t="n">
        <v>1206</v>
      </c>
      <c r="D2611" s="1" t="s">
        <v>30</v>
      </c>
      <c r="E2611" s="1" t="s">
        <v>32</v>
      </c>
      <c r="F2611" s="1" t="n">
        <v>1</v>
      </c>
      <c r="G2611" s="15" t="n">
        <v>481.58</v>
      </c>
      <c r="H2611" s="16" t="n">
        <v>0.34</v>
      </c>
      <c r="I2611" s="1" t="s">
        <v>31</v>
      </c>
      <c r="J2611" s="1" t="n">
        <v>9</v>
      </c>
      <c r="K2611" s="1" t="n">
        <v>3.5</v>
      </c>
      <c r="L2611" s="15" t="n">
        <v>317.84</v>
      </c>
      <c r="M2611" s="15" t="n">
        <f aca="false">F2611*G2611</f>
        <v>481.58</v>
      </c>
      <c r="N2611" s="15" t="n">
        <f aca="false">M2611-L2611</f>
        <v>163.74</v>
      </c>
      <c r="O2611" s="1" t="n">
        <f aca="false">YEAR(B2611)</f>
        <v>2029</v>
      </c>
      <c r="P2611" s="1" t="n">
        <f aca="false">MONTH(B2611)</f>
        <v>2</v>
      </c>
      <c r="Q2611" s="1" t="str">
        <f aca="false">TEXT(B2611,"mmm")</f>
        <v>Feb</v>
      </c>
      <c r="R2611" s="1" t="str">
        <f aca="false">"Q"&amp;ROUNDUP(MONTH(B2611)/3,0)</f>
        <v>Q1</v>
      </c>
    </row>
    <row r="2612" customFormat="false" ht="15" hidden="false" customHeight="true" outlineLevel="0" collapsed="false">
      <c r="A2612" s="1" t="n">
        <v>12611</v>
      </c>
      <c r="B2612" s="14" t="n">
        <v>47172</v>
      </c>
      <c r="C2612" s="1" t="n">
        <v>1352</v>
      </c>
      <c r="D2612" s="1" t="s">
        <v>27</v>
      </c>
      <c r="E2612" s="1" t="s">
        <v>32</v>
      </c>
      <c r="F2612" s="1" t="n">
        <v>1</v>
      </c>
      <c r="G2612" s="15" t="n">
        <v>430.25</v>
      </c>
      <c r="H2612" s="16" t="n">
        <v>0.34</v>
      </c>
      <c r="I2612" s="1" t="s">
        <v>29</v>
      </c>
      <c r="J2612" s="1" t="n">
        <v>4</v>
      </c>
      <c r="K2612" s="1" t="n">
        <v>1.3</v>
      </c>
      <c r="L2612" s="15" t="n">
        <v>283.96</v>
      </c>
      <c r="M2612" s="15" t="n">
        <f aca="false">F2612*G2612</f>
        <v>430.25</v>
      </c>
      <c r="N2612" s="15" t="n">
        <f aca="false">M2612-L2612</f>
        <v>146.29</v>
      </c>
      <c r="O2612" s="1" t="n">
        <f aca="false">YEAR(B2612)</f>
        <v>2029</v>
      </c>
      <c r="P2612" s="1" t="n">
        <f aca="false">MONTH(B2612)</f>
        <v>2</v>
      </c>
      <c r="Q2612" s="1" t="str">
        <f aca="false">TEXT(B2612,"mmm")</f>
        <v>Feb</v>
      </c>
      <c r="R2612" s="1" t="str">
        <f aca="false">"Q"&amp;ROUNDUP(MONTH(B2612)/3,0)</f>
        <v>Q1</v>
      </c>
    </row>
    <row r="2613" customFormat="false" ht="15" hidden="false" customHeight="true" outlineLevel="0" collapsed="false">
      <c r="A2613" s="1" t="n">
        <v>12612</v>
      </c>
      <c r="B2613" s="14" t="n">
        <v>47173</v>
      </c>
      <c r="C2613" s="1" t="n">
        <v>1902</v>
      </c>
      <c r="D2613" s="1" t="s">
        <v>30</v>
      </c>
      <c r="E2613" s="1" t="s">
        <v>28</v>
      </c>
      <c r="F2613" s="1" t="n">
        <v>3</v>
      </c>
      <c r="G2613" s="15" t="n">
        <v>323.55</v>
      </c>
      <c r="H2613" s="16" t="n">
        <v>0.33</v>
      </c>
      <c r="I2613" s="1" t="s">
        <v>31</v>
      </c>
      <c r="J2613" s="1" t="n">
        <v>4</v>
      </c>
      <c r="K2613" s="1" t="n">
        <v>4.3</v>
      </c>
      <c r="L2613" s="15" t="n">
        <v>650.34</v>
      </c>
      <c r="M2613" s="15" t="n">
        <f aca="false">F2613*G2613</f>
        <v>970.65</v>
      </c>
      <c r="N2613" s="15" t="n">
        <f aca="false">M2613-L2613</f>
        <v>320.31</v>
      </c>
      <c r="O2613" s="1" t="n">
        <f aca="false">YEAR(B2613)</f>
        <v>2029</v>
      </c>
      <c r="P2613" s="1" t="n">
        <f aca="false">MONTH(B2613)</f>
        <v>2</v>
      </c>
      <c r="Q2613" s="1" t="str">
        <f aca="false">TEXT(B2613,"mmm")</f>
        <v>Feb</v>
      </c>
      <c r="R2613" s="1" t="str">
        <f aca="false">"Q"&amp;ROUNDUP(MONTH(B2613)/3,0)</f>
        <v>Q1</v>
      </c>
    </row>
    <row r="2614" customFormat="false" ht="15" hidden="false" customHeight="true" outlineLevel="0" collapsed="false">
      <c r="A2614" s="1" t="n">
        <v>12613</v>
      </c>
      <c r="B2614" s="14" t="n">
        <v>47174</v>
      </c>
      <c r="C2614" s="1" t="n">
        <v>1331</v>
      </c>
      <c r="D2614" s="1" t="s">
        <v>37</v>
      </c>
      <c r="E2614" s="1" t="s">
        <v>32</v>
      </c>
      <c r="F2614" s="1" t="n">
        <v>5</v>
      </c>
      <c r="G2614" s="15" t="n">
        <v>316.01</v>
      </c>
      <c r="H2614" s="16" t="n">
        <v>0.17</v>
      </c>
      <c r="I2614" s="1" t="s">
        <v>33</v>
      </c>
      <c r="J2614" s="1" t="n">
        <v>8</v>
      </c>
      <c r="K2614" s="1" t="n">
        <v>4.7</v>
      </c>
      <c r="L2614" s="15" t="n">
        <v>1311.44</v>
      </c>
      <c r="M2614" s="15" t="n">
        <f aca="false">F2614*G2614</f>
        <v>1580.05</v>
      </c>
      <c r="N2614" s="15" t="n">
        <f aca="false">M2614-L2614</f>
        <v>268.61</v>
      </c>
      <c r="O2614" s="1" t="n">
        <f aca="false">YEAR(B2614)</f>
        <v>2029</v>
      </c>
      <c r="P2614" s="1" t="n">
        <f aca="false">MONTH(B2614)</f>
        <v>2</v>
      </c>
      <c r="Q2614" s="1" t="str">
        <f aca="false">TEXT(B2614,"mmm")</f>
        <v>Feb</v>
      </c>
      <c r="R2614" s="1" t="str">
        <f aca="false">"Q"&amp;ROUNDUP(MONTH(B2614)/3,0)</f>
        <v>Q1</v>
      </c>
    </row>
    <row r="2615" customFormat="false" ht="15" hidden="false" customHeight="true" outlineLevel="0" collapsed="false">
      <c r="A2615" s="1" t="n">
        <v>12614</v>
      </c>
      <c r="B2615" s="14" t="n">
        <v>47175</v>
      </c>
      <c r="C2615" s="1" t="n">
        <v>1816</v>
      </c>
      <c r="D2615" s="1" t="s">
        <v>34</v>
      </c>
      <c r="E2615" s="1" t="s">
        <v>32</v>
      </c>
      <c r="F2615" s="1" t="n">
        <v>2</v>
      </c>
      <c r="G2615" s="15" t="n">
        <v>66.18</v>
      </c>
      <c r="H2615" s="16" t="n">
        <v>0.09</v>
      </c>
      <c r="I2615" s="1" t="s">
        <v>31</v>
      </c>
      <c r="J2615" s="1" t="n">
        <v>4</v>
      </c>
      <c r="K2615" s="1" t="n">
        <v>1.8</v>
      </c>
      <c r="L2615" s="15" t="n">
        <v>120.45</v>
      </c>
      <c r="M2615" s="15" t="n">
        <f aca="false">F2615*G2615</f>
        <v>132.36</v>
      </c>
      <c r="N2615" s="15" t="n">
        <f aca="false">M2615-L2615</f>
        <v>11.91</v>
      </c>
      <c r="O2615" s="1" t="n">
        <f aca="false">YEAR(B2615)</f>
        <v>2029</v>
      </c>
      <c r="P2615" s="1" t="n">
        <f aca="false">MONTH(B2615)</f>
        <v>2</v>
      </c>
      <c r="Q2615" s="1" t="str">
        <f aca="false">TEXT(B2615,"mmm")</f>
        <v>Feb</v>
      </c>
      <c r="R2615" s="1" t="str">
        <f aca="false">"Q"&amp;ROUNDUP(MONTH(B2615)/3,0)</f>
        <v>Q1</v>
      </c>
    </row>
    <row r="2616" customFormat="false" ht="15" hidden="false" customHeight="true" outlineLevel="0" collapsed="false">
      <c r="A2616" s="1" t="n">
        <v>12615</v>
      </c>
      <c r="B2616" s="14" t="n">
        <v>47176</v>
      </c>
      <c r="C2616" s="1" t="n">
        <v>1861</v>
      </c>
      <c r="D2616" s="1" t="s">
        <v>27</v>
      </c>
      <c r="E2616" s="1" t="s">
        <v>32</v>
      </c>
      <c r="F2616" s="1" t="n">
        <v>7</v>
      </c>
      <c r="G2616" s="15" t="n">
        <v>398.67</v>
      </c>
      <c r="H2616" s="16" t="n">
        <v>0.2</v>
      </c>
      <c r="I2616" s="1" t="s">
        <v>33</v>
      </c>
      <c r="J2616" s="1" t="n">
        <v>3</v>
      </c>
      <c r="K2616" s="1" t="n">
        <v>4</v>
      </c>
      <c r="L2616" s="15" t="n">
        <v>2232.55</v>
      </c>
      <c r="M2616" s="15" t="n">
        <f aca="false">F2616*G2616</f>
        <v>2790.69</v>
      </c>
      <c r="N2616" s="15" t="n">
        <f aca="false">M2616-L2616</f>
        <v>558.14</v>
      </c>
      <c r="O2616" s="1" t="n">
        <f aca="false">YEAR(B2616)</f>
        <v>2029</v>
      </c>
      <c r="P2616" s="1" t="n">
        <f aca="false">MONTH(B2616)</f>
        <v>2</v>
      </c>
      <c r="Q2616" s="1" t="str">
        <f aca="false">TEXT(B2616,"mmm")</f>
        <v>Feb</v>
      </c>
      <c r="R2616" s="1" t="str">
        <f aca="false">"Q"&amp;ROUNDUP(MONTH(B2616)/3,0)</f>
        <v>Q1</v>
      </c>
    </row>
    <row r="2617" customFormat="false" ht="15" hidden="false" customHeight="true" outlineLevel="0" collapsed="false">
      <c r="A2617" s="1" t="n">
        <v>12616</v>
      </c>
      <c r="B2617" s="14" t="n">
        <v>47177</v>
      </c>
      <c r="C2617" s="1" t="n">
        <v>1724</v>
      </c>
      <c r="D2617" s="1" t="s">
        <v>37</v>
      </c>
      <c r="E2617" s="1" t="s">
        <v>32</v>
      </c>
      <c r="F2617" s="1" t="n">
        <v>6</v>
      </c>
      <c r="G2617" s="15" t="n">
        <v>548.08</v>
      </c>
      <c r="H2617" s="16" t="n">
        <v>0.15</v>
      </c>
      <c r="I2617" s="1" t="s">
        <v>31</v>
      </c>
      <c r="J2617" s="1" t="n">
        <v>7</v>
      </c>
      <c r="K2617" s="1" t="n">
        <v>2.3</v>
      </c>
      <c r="L2617" s="15" t="n">
        <v>2795.21</v>
      </c>
      <c r="M2617" s="15" t="n">
        <f aca="false">F2617*G2617</f>
        <v>3288.48</v>
      </c>
      <c r="N2617" s="15" t="n">
        <f aca="false">M2617-L2617</f>
        <v>493.27</v>
      </c>
      <c r="O2617" s="1" t="n">
        <f aca="false">YEAR(B2617)</f>
        <v>2029</v>
      </c>
      <c r="P2617" s="1" t="n">
        <f aca="false">MONTH(B2617)</f>
        <v>2</v>
      </c>
      <c r="Q2617" s="1" t="str">
        <f aca="false">TEXT(B2617,"mmm")</f>
        <v>Feb</v>
      </c>
      <c r="R2617" s="1" t="str">
        <f aca="false">"Q"&amp;ROUNDUP(MONTH(B2617)/3,0)</f>
        <v>Q1</v>
      </c>
    </row>
    <row r="2618" customFormat="false" ht="15" hidden="false" customHeight="true" outlineLevel="0" collapsed="false">
      <c r="A2618" s="1" t="n">
        <v>12617</v>
      </c>
      <c r="B2618" s="14" t="n">
        <v>47178</v>
      </c>
      <c r="C2618" s="1" t="n">
        <v>1158</v>
      </c>
      <c r="D2618" s="1" t="s">
        <v>27</v>
      </c>
      <c r="E2618" s="1" t="s">
        <v>28</v>
      </c>
      <c r="F2618" s="1" t="n">
        <v>6</v>
      </c>
      <c r="G2618" s="15" t="n">
        <v>69.55</v>
      </c>
      <c r="H2618" s="16" t="n">
        <v>0.07</v>
      </c>
      <c r="I2618" s="1" t="s">
        <v>31</v>
      </c>
      <c r="J2618" s="1" t="n">
        <v>5</v>
      </c>
      <c r="K2618" s="1" t="n">
        <v>3.7</v>
      </c>
      <c r="L2618" s="15" t="n">
        <v>388.09</v>
      </c>
      <c r="M2618" s="15" t="n">
        <f aca="false">F2618*G2618</f>
        <v>417.3</v>
      </c>
      <c r="N2618" s="15" t="n">
        <f aca="false">M2618-L2618</f>
        <v>29.21</v>
      </c>
      <c r="O2618" s="1" t="n">
        <f aca="false">YEAR(B2618)</f>
        <v>2029</v>
      </c>
      <c r="P2618" s="1" t="n">
        <f aca="false">MONTH(B2618)</f>
        <v>3</v>
      </c>
      <c r="Q2618" s="1" t="str">
        <f aca="false">TEXT(B2618,"mmm")</f>
        <v>Mar</v>
      </c>
      <c r="R2618" s="1" t="str">
        <f aca="false">"Q"&amp;ROUNDUP(MONTH(B2618)/3,0)</f>
        <v>Q1</v>
      </c>
    </row>
    <row r="2619" customFormat="false" ht="15" hidden="false" customHeight="true" outlineLevel="0" collapsed="false">
      <c r="A2619" s="1" t="n">
        <v>12618</v>
      </c>
      <c r="B2619" s="14" t="n">
        <v>47179</v>
      </c>
      <c r="C2619" s="1" t="n">
        <v>1953</v>
      </c>
      <c r="D2619" s="1" t="s">
        <v>37</v>
      </c>
      <c r="E2619" s="1" t="s">
        <v>32</v>
      </c>
      <c r="F2619" s="1" t="n">
        <v>4</v>
      </c>
      <c r="G2619" s="15" t="n">
        <v>169.15</v>
      </c>
      <c r="H2619" s="16" t="n">
        <v>0.15</v>
      </c>
      <c r="I2619" s="1" t="s">
        <v>33</v>
      </c>
      <c r="J2619" s="1" t="n">
        <v>9</v>
      </c>
      <c r="K2619" s="1" t="n">
        <v>2.2</v>
      </c>
      <c r="L2619" s="15" t="n">
        <v>575.11</v>
      </c>
      <c r="M2619" s="15" t="n">
        <f aca="false">F2619*G2619</f>
        <v>676.6</v>
      </c>
      <c r="N2619" s="15" t="n">
        <f aca="false">M2619-L2619</f>
        <v>101.49</v>
      </c>
      <c r="O2619" s="1" t="n">
        <f aca="false">YEAR(B2619)</f>
        <v>2029</v>
      </c>
      <c r="P2619" s="1" t="n">
        <f aca="false">MONTH(B2619)</f>
        <v>3</v>
      </c>
      <c r="Q2619" s="1" t="str">
        <f aca="false">TEXT(B2619,"mmm")</f>
        <v>Mar</v>
      </c>
      <c r="R2619" s="1" t="str">
        <f aca="false">"Q"&amp;ROUNDUP(MONTH(B2619)/3,0)</f>
        <v>Q1</v>
      </c>
    </row>
    <row r="2620" customFormat="false" ht="15" hidden="false" customHeight="true" outlineLevel="0" collapsed="false">
      <c r="A2620" s="1" t="n">
        <v>12619</v>
      </c>
      <c r="B2620" s="14" t="n">
        <v>47180</v>
      </c>
      <c r="C2620" s="1" t="n">
        <v>1956</v>
      </c>
      <c r="D2620" s="1" t="s">
        <v>30</v>
      </c>
      <c r="E2620" s="1" t="s">
        <v>32</v>
      </c>
      <c r="F2620" s="1" t="n">
        <v>3</v>
      </c>
      <c r="G2620" s="15" t="n">
        <v>542.85</v>
      </c>
      <c r="H2620" s="16" t="n">
        <v>0.23</v>
      </c>
      <c r="I2620" s="1" t="s">
        <v>33</v>
      </c>
      <c r="J2620" s="1" t="n">
        <v>5</v>
      </c>
      <c r="K2620" s="1" t="n">
        <v>4.4</v>
      </c>
      <c r="L2620" s="15" t="n">
        <v>1253.98</v>
      </c>
      <c r="M2620" s="15" t="n">
        <f aca="false">F2620*G2620</f>
        <v>1628.55</v>
      </c>
      <c r="N2620" s="15" t="n">
        <f aca="false">M2620-L2620</f>
        <v>374.57</v>
      </c>
      <c r="O2620" s="1" t="n">
        <f aca="false">YEAR(B2620)</f>
        <v>2029</v>
      </c>
      <c r="P2620" s="1" t="n">
        <f aca="false">MONTH(B2620)</f>
        <v>3</v>
      </c>
      <c r="Q2620" s="1" t="str">
        <f aca="false">TEXT(B2620,"mmm")</f>
        <v>Mar</v>
      </c>
      <c r="R2620" s="1" t="str">
        <f aca="false">"Q"&amp;ROUNDUP(MONTH(B2620)/3,0)</f>
        <v>Q1</v>
      </c>
    </row>
    <row r="2621" customFormat="false" ht="15" hidden="false" customHeight="true" outlineLevel="0" collapsed="false">
      <c r="A2621" s="1" t="n">
        <v>12620</v>
      </c>
      <c r="B2621" s="14" t="n">
        <v>47181</v>
      </c>
      <c r="C2621" s="1" t="n">
        <v>1023</v>
      </c>
      <c r="D2621" s="1" t="s">
        <v>27</v>
      </c>
      <c r="E2621" s="1" t="s">
        <v>32</v>
      </c>
      <c r="F2621" s="1" t="n">
        <v>5</v>
      </c>
      <c r="G2621" s="15" t="n">
        <v>181.34</v>
      </c>
      <c r="H2621" s="16" t="n">
        <v>0.02</v>
      </c>
      <c r="I2621" s="1" t="s">
        <v>33</v>
      </c>
      <c r="J2621" s="1" t="n">
        <v>9</v>
      </c>
      <c r="K2621" s="1" t="n">
        <v>2.4</v>
      </c>
      <c r="L2621" s="15" t="n">
        <v>888.57</v>
      </c>
      <c r="M2621" s="15" t="n">
        <f aca="false">F2621*G2621</f>
        <v>906.7</v>
      </c>
      <c r="N2621" s="15" t="n">
        <f aca="false">M2621-L2621</f>
        <v>18.13</v>
      </c>
      <c r="O2621" s="1" t="n">
        <f aca="false">YEAR(B2621)</f>
        <v>2029</v>
      </c>
      <c r="P2621" s="1" t="n">
        <f aca="false">MONTH(B2621)</f>
        <v>3</v>
      </c>
      <c r="Q2621" s="1" t="str">
        <f aca="false">TEXT(B2621,"mmm")</f>
        <v>Mar</v>
      </c>
      <c r="R2621" s="1" t="str">
        <f aca="false">"Q"&amp;ROUNDUP(MONTH(B2621)/3,0)</f>
        <v>Q1</v>
      </c>
    </row>
    <row r="2622" customFormat="false" ht="15" hidden="false" customHeight="true" outlineLevel="0" collapsed="false">
      <c r="A2622" s="1" t="n">
        <v>12621</v>
      </c>
      <c r="B2622" s="14" t="n">
        <v>47182</v>
      </c>
      <c r="C2622" s="1" t="n">
        <v>1403</v>
      </c>
      <c r="D2622" s="1" t="s">
        <v>34</v>
      </c>
      <c r="E2622" s="1" t="s">
        <v>36</v>
      </c>
      <c r="F2622" s="1" t="n">
        <v>2</v>
      </c>
      <c r="G2622" s="15" t="n">
        <v>397.56</v>
      </c>
      <c r="H2622" s="16" t="n">
        <v>0.12</v>
      </c>
      <c r="I2622" s="1" t="s">
        <v>33</v>
      </c>
      <c r="J2622" s="1" t="n">
        <v>6</v>
      </c>
      <c r="K2622" s="1" t="n">
        <v>4.4</v>
      </c>
      <c r="L2622" s="15" t="n">
        <v>699.71</v>
      </c>
      <c r="M2622" s="15" t="n">
        <f aca="false">F2622*G2622</f>
        <v>795.12</v>
      </c>
      <c r="N2622" s="15" t="n">
        <f aca="false">M2622-L2622</f>
        <v>95.41</v>
      </c>
      <c r="O2622" s="1" t="n">
        <f aca="false">YEAR(B2622)</f>
        <v>2029</v>
      </c>
      <c r="P2622" s="1" t="n">
        <f aca="false">MONTH(B2622)</f>
        <v>3</v>
      </c>
      <c r="Q2622" s="1" t="str">
        <f aca="false">TEXT(B2622,"mmm")</f>
        <v>Mar</v>
      </c>
      <c r="R2622" s="1" t="str">
        <f aca="false">"Q"&amp;ROUNDUP(MONTH(B2622)/3,0)</f>
        <v>Q1</v>
      </c>
    </row>
    <row r="2623" customFormat="false" ht="15" hidden="false" customHeight="true" outlineLevel="0" collapsed="false">
      <c r="A2623" s="1" t="n">
        <v>12622</v>
      </c>
      <c r="B2623" s="14" t="n">
        <v>47183</v>
      </c>
      <c r="C2623" s="1" t="n">
        <v>1804</v>
      </c>
      <c r="D2623" s="1" t="s">
        <v>34</v>
      </c>
      <c r="E2623" s="1" t="s">
        <v>28</v>
      </c>
      <c r="F2623" s="1" t="n">
        <v>3</v>
      </c>
      <c r="G2623" s="15" t="n">
        <v>327.87</v>
      </c>
      <c r="H2623" s="16" t="n">
        <v>0.01</v>
      </c>
      <c r="I2623" s="1" t="s">
        <v>33</v>
      </c>
      <c r="J2623" s="1" t="n">
        <v>6</v>
      </c>
      <c r="K2623" s="1" t="n">
        <v>4.1</v>
      </c>
      <c r="L2623" s="15" t="n">
        <v>973.77</v>
      </c>
      <c r="M2623" s="15" t="n">
        <f aca="false">F2623*G2623</f>
        <v>983.61</v>
      </c>
      <c r="N2623" s="15" t="n">
        <f aca="false">M2623-L2623</f>
        <v>9.84000000000003</v>
      </c>
      <c r="O2623" s="1" t="n">
        <f aca="false">YEAR(B2623)</f>
        <v>2029</v>
      </c>
      <c r="P2623" s="1" t="n">
        <f aca="false">MONTH(B2623)</f>
        <v>3</v>
      </c>
      <c r="Q2623" s="1" t="str">
        <f aca="false">TEXT(B2623,"mmm")</f>
        <v>Mar</v>
      </c>
      <c r="R2623" s="1" t="str">
        <f aca="false">"Q"&amp;ROUNDUP(MONTH(B2623)/3,0)</f>
        <v>Q1</v>
      </c>
    </row>
    <row r="2624" customFormat="false" ht="15" hidden="false" customHeight="true" outlineLevel="0" collapsed="false">
      <c r="A2624" s="1" t="n">
        <v>12623</v>
      </c>
      <c r="B2624" s="14" t="n">
        <v>47184</v>
      </c>
      <c r="C2624" s="1" t="n">
        <v>1515</v>
      </c>
      <c r="D2624" s="1" t="s">
        <v>37</v>
      </c>
      <c r="E2624" s="1" t="s">
        <v>36</v>
      </c>
      <c r="F2624" s="1" t="n">
        <v>1</v>
      </c>
      <c r="G2624" s="15" t="n">
        <v>363.85</v>
      </c>
      <c r="H2624" s="16" t="n">
        <v>0.26</v>
      </c>
      <c r="I2624" s="1" t="s">
        <v>33</v>
      </c>
      <c r="J2624" s="1" t="n">
        <v>11</v>
      </c>
      <c r="K2624" s="1" t="n">
        <v>1.8</v>
      </c>
      <c r="L2624" s="15" t="n">
        <v>269.25</v>
      </c>
      <c r="M2624" s="15" t="n">
        <f aca="false">F2624*G2624</f>
        <v>363.85</v>
      </c>
      <c r="N2624" s="15" t="n">
        <f aca="false">M2624-L2624</f>
        <v>94.6</v>
      </c>
      <c r="O2624" s="1" t="n">
        <f aca="false">YEAR(B2624)</f>
        <v>2029</v>
      </c>
      <c r="P2624" s="1" t="n">
        <f aca="false">MONTH(B2624)</f>
        <v>3</v>
      </c>
      <c r="Q2624" s="1" t="str">
        <f aca="false">TEXT(B2624,"mmm")</f>
        <v>Mar</v>
      </c>
      <c r="R2624" s="1" t="str">
        <f aca="false">"Q"&amp;ROUNDUP(MONTH(B2624)/3,0)</f>
        <v>Q1</v>
      </c>
    </row>
    <row r="2625" customFormat="false" ht="15" hidden="false" customHeight="true" outlineLevel="0" collapsed="false">
      <c r="A2625" s="1" t="n">
        <v>12624</v>
      </c>
      <c r="B2625" s="14" t="n">
        <v>47185</v>
      </c>
      <c r="C2625" s="1" t="n">
        <v>1731</v>
      </c>
      <c r="D2625" s="1" t="s">
        <v>37</v>
      </c>
      <c r="E2625" s="1" t="s">
        <v>36</v>
      </c>
      <c r="F2625" s="1" t="n">
        <v>4</v>
      </c>
      <c r="G2625" s="15" t="n">
        <v>258.24</v>
      </c>
      <c r="H2625" s="16" t="n">
        <v>0.22</v>
      </c>
      <c r="I2625" s="1" t="s">
        <v>33</v>
      </c>
      <c r="J2625" s="1" t="n">
        <v>6</v>
      </c>
      <c r="K2625" s="1" t="n">
        <v>1.6</v>
      </c>
      <c r="L2625" s="15" t="n">
        <v>805.71</v>
      </c>
      <c r="M2625" s="15" t="n">
        <f aca="false">F2625*G2625</f>
        <v>1032.96</v>
      </c>
      <c r="N2625" s="15" t="n">
        <f aca="false">M2625-L2625</f>
        <v>227.25</v>
      </c>
      <c r="O2625" s="1" t="n">
        <f aca="false">YEAR(B2625)</f>
        <v>2029</v>
      </c>
      <c r="P2625" s="1" t="n">
        <f aca="false">MONTH(B2625)</f>
        <v>3</v>
      </c>
      <c r="Q2625" s="1" t="str">
        <f aca="false">TEXT(B2625,"mmm")</f>
        <v>Mar</v>
      </c>
      <c r="R2625" s="1" t="str">
        <f aca="false">"Q"&amp;ROUNDUP(MONTH(B2625)/3,0)</f>
        <v>Q1</v>
      </c>
    </row>
    <row r="2626" customFormat="false" ht="15" hidden="false" customHeight="true" outlineLevel="0" collapsed="false">
      <c r="A2626" s="1" t="n">
        <v>12625</v>
      </c>
      <c r="B2626" s="14" t="n">
        <v>47186</v>
      </c>
      <c r="C2626" s="1" t="n">
        <v>1363</v>
      </c>
      <c r="D2626" s="1" t="s">
        <v>27</v>
      </c>
      <c r="E2626" s="1" t="s">
        <v>28</v>
      </c>
      <c r="F2626" s="1" t="n">
        <v>7</v>
      </c>
      <c r="G2626" s="15" t="n">
        <v>190.5</v>
      </c>
      <c r="H2626" s="16" t="n">
        <v>0.02</v>
      </c>
      <c r="I2626" s="1" t="s">
        <v>33</v>
      </c>
      <c r="J2626" s="1" t="n">
        <v>7</v>
      </c>
      <c r="K2626" s="1" t="n">
        <v>4.1</v>
      </c>
      <c r="L2626" s="15" t="n">
        <v>1306.83</v>
      </c>
      <c r="M2626" s="15" t="n">
        <f aca="false">F2626*G2626</f>
        <v>1333.5</v>
      </c>
      <c r="N2626" s="15" t="n">
        <f aca="false">M2626-L2626</f>
        <v>26.6700000000001</v>
      </c>
      <c r="O2626" s="1" t="n">
        <f aca="false">YEAR(B2626)</f>
        <v>2029</v>
      </c>
      <c r="P2626" s="1" t="n">
        <f aca="false">MONTH(B2626)</f>
        <v>3</v>
      </c>
      <c r="Q2626" s="1" t="str">
        <f aca="false">TEXT(B2626,"mmm")</f>
        <v>Mar</v>
      </c>
      <c r="R2626" s="1" t="str">
        <f aca="false">"Q"&amp;ROUNDUP(MONTH(B2626)/3,0)</f>
        <v>Q1</v>
      </c>
    </row>
    <row r="2627" customFormat="false" ht="15" hidden="false" customHeight="true" outlineLevel="0" collapsed="false">
      <c r="A2627" s="1" t="n">
        <v>12626</v>
      </c>
      <c r="B2627" s="14" t="n">
        <v>47187</v>
      </c>
      <c r="C2627" s="1" t="n">
        <v>1381</v>
      </c>
      <c r="D2627" s="1" t="s">
        <v>34</v>
      </c>
      <c r="E2627" s="1" t="s">
        <v>36</v>
      </c>
      <c r="F2627" s="1" t="n">
        <v>7</v>
      </c>
      <c r="G2627" s="15" t="n">
        <v>43.39</v>
      </c>
      <c r="H2627" s="16" t="n">
        <v>0.34</v>
      </c>
      <c r="I2627" s="1" t="s">
        <v>33</v>
      </c>
      <c r="J2627" s="1" t="n">
        <v>11</v>
      </c>
      <c r="K2627" s="1" t="n">
        <v>2.6</v>
      </c>
      <c r="L2627" s="15" t="n">
        <v>200.46</v>
      </c>
      <c r="M2627" s="15" t="n">
        <f aca="false">F2627*G2627</f>
        <v>303.73</v>
      </c>
      <c r="N2627" s="15" t="n">
        <f aca="false">M2627-L2627</f>
        <v>103.27</v>
      </c>
      <c r="O2627" s="1" t="n">
        <f aca="false">YEAR(B2627)</f>
        <v>2029</v>
      </c>
      <c r="P2627" s="1" t="n">
        <f aca="false">MONTH(B2627)</f>
        <v>3</v>
      </c>
      <c r="Q2627" s="1" t="str">
        <f aca="false">TEXT(B2627,"mmm")</f>
        <v>Mar</v>
      </c>
      <c r="R2627" s="1" t="str">
        <f aca="false">"Q"&amp;ROUNDUP(MONTH(B2627)/3,0)</f>
        <v>Q1</v>
      </c>
    </row>
    <row r="2628" customFormat="false" ht="15" hidden="false" customHeight="true" outlineLevel="0" collapsed="false">
      <c r="A2628" s="1" t="n">
        <v>12627</v>
      </c>
      <c r="B2628" s="14" t="n">
        <v>47188</v>
      </c>
      <c r="C2628" s="1" t="n">
        <v>1531</v>
      </c>
      <c r="D2628" s="1" t="s">
        <v>37</v>
      </c>
      <c r="E2628" s="1" t="s">
        <v>36</v>
      </c>
      <c r="F2628" s="1" t="n">
        <v>7</v>
      </c>
      <c r="G2628" s="15" t="n">
        <v>450.4</v>
      </c>
      <c r="H2628" s="16" t="n">
        <v>0.01</v>
      </c>
      <c r="I2628" s="1" t="s">
        <v>33</v>
      </c>
      <c r="J2628" s="1" t="n">
        <v>4</v>
      </c>
      <c r="K2628" s="1" t="n">
        <v>4.8</v>
      </c>
      <c r="L2628" s="15" t="n">
        <v>3121.27</v>
      </c>
      <c r="M2628" s="15" t="n">
        <f aca="false">F2628*G2628</f>
        <v>3152.8</v>
      </c>
      <c r="N2628" s="15" t="n">
        <f aca="false">M2628-L2628</f>
        <v>31.5299999999997</v>
      </c>
      <c r="O2628" s="1" t="n">
        <f aca="false">YEAR(B2628)</f>
        <v>2029</v>
      </c>
      <c r="P2628" s="1" t="n">
        <f aca="false">MONTH(B2628)</f>
        <v>3</v>
      </c>
      <c r="Q2628" s="1" t="str">
        <f aca="false">TEXT(B2628,"mmm")</f>
        <v>Mar</v>
      </c>
      <c r="R2628" s="1" t="str">
        <f aca="false">"Q"&amp;ROUNDUP(MONTH(B2628)/3,0)</f>
        <v>Q1</v>
      </c>
    </row>
    <row r="2629" customFormat="false" ht="15" hidden="false" customHeight="true" outlineLevel="0" collapsed="false">
      <c r="A2629" s="1" t="n">
        <v>12628</v>
      </c>
      <c r="B2629" s="14" t="n">
        <v>47189</v>
      </c>
      <c r="C2629" s="1" t="n">
        <v>1955</v>
      </c>
      <c r="D2629" s="1" t="s">
        <v>37</v>
      </c>
      <c r="E2629" s="1" t="s">
        <v>36</v>
      </c>
      <c r="F2629" s="1" t="n">
        <v>5</v>
      </c>
      <c r="G2629" s="15" t="n">
        <v>451.46</v>
      </c>
      <c r="H2629" s="16" t="n">
        <v>0.21</v>
      </c>
      <c r="I2629" s="1" t="s">
        <v>31</v>
      </c>
      <c r="J2629" s="1" t="n">
        <v>4</v>
      </c>
      <c r="K2629" s="1" t="n">
        <v>4.8</v>
      </c>
      <c r="L2629" s="15" t="n">
        <v>1783.27</v>
      </c>
      <c r="M2629" s="15" t="n">
        <f aca="false">F2629*G2629</f>
        <v>2257.3</v>
      </c>
      <c r="N2629" s="15" t="n">
        <f aca="false">M2629-L2629</f>
        <v>474.03</v>
      </c>
      <c r="O2629" s="1" t="n">
        <f aca="false">YEAR(B2629)</f>
        <v>2029</v>
      </c>
      <c r="P2629" s="1" t="n">
        <f aca="false">MONTH(B2629)</f>
        <v>3</v>
      </c>
      <c r="Q2629" s="1" t="str">
        <f aca="false">TEXT(B2629,"mmm")</f>
        <v>Mar</v>
      </c>
      <c r="R2629" s="1" t="str">
        <f aca="false">"Q"&amp;ROUNDUP(MONTH(B2629)/3,0)</f>
        <v>Q1</v>
      </c>
    </row>
    <row r="2630" customFormat="false" ht="15" hidden="false" customHeight="true" outlineLevel="0" collapsed="false">
      <c r="A2630" s="1" t="n">
        <v>12629</v>
      </c>
      <c r="B2630" s="14" t="n">
        <v>47190</v>
      </c>
      <c r="C2630" s="1" t="n">
        <v>1151</v>
      </c>
      <c r="D2630" s="1" t="s">
        <v>34</v>
      </c>
      <c r="E2630" s="1" t="s">
        <v>28</v>
      </c>
      <c r="F2630" s="1" t="n">
        <v>6</v>
      </c>
      <c r="G2630" s="15" t="n">
        <v>407.37</v>
      </c>
      <c r="H2630" s="16" t="n">
        <v>0.27</v>
      </c>
      <c r="I2630" s="1" t="s">
        <v>31</v>
      </c>
      <c r="J2630" s="1" t="n">
        <v>9</v>
      </c>
      <c r="K2630" s="1" t="n">
        <v>3.8</v>
      </c>
      <c r="L2630" s="15" t="n">
        <v>1784.28</v>
      </c>
      <c r="M2630" s="15" t="n">
        <f aca="false">F2630*G2630</f>
        <v>2444.22</v>
      </c>
      <c r="N2630" s="15" t="n">
        <f aca="false">M2630-L2630</f>
        <v>659.94</v>
      </c>
      <c r="O2630" s="1" t="n">
        <f aca="false">YEAR(B2630)</f>
        <v>2029</v>
      </c>
      <c r="P2630" s="1" t="n">
        <f aca="false">MONTH(B2630)</f>
        <v>3</v>
      </c>
      <c r="Q2630" s="1" t="str">
        <f aca="false">TEXT(B2630,"mmm")</f>
        <v>Mar</v>
      </c>
      <c r="R2630" s="1" t="str">
        <f aca="false">"Q"&amp;ROUNDUP(MONTH(B2630)/3,0)</f>
        <v>Q1</v>
      </c>
    </row>
    <row r="2631" customFormat="false" ht="15" hidden="false" customHeight="true" outlineLevel="0" collapsed="false">
      <c r="A2631" s="1" t="n">
        <v>12630</v>
      </c>
      <c r="B2631" s="14" t="n">
        <v>47191</v>
      </c>
      <c r="C2631" s="1" t="n">
        <v>1561</v>
      </c>
      <c r="D2631" s="1" t="s">
        <v>30</v>
      </c>
      <c r="E2631" s="1" t="s">
        <v>32</v>
      </c>
      <c r="F2631" s="1" t="n">
        <v>2</v>
      </c>
      <c r="G2631" s="15" t="n">
        <v>391.53</v>
      </c>
      <c r="H2631" s="16" t="n">
        <v>0.28</v>
      </c>
      <c r="I2631" s="1" t="s">
        <v>31</v>
      </c>
      <c r="J2631" s="1" t="n">
        <v>7</v>
      </c>
      <c r="K2631" s="1" t="n">
        <v>3</v>
      </c>
      <c r="L2631" s="15" t="n">
        <v>563.8</v>
      </c>
      <c r="M2631" s="15" t="n">
        <f aca="false">F2631*G2631</f>
        <v>783.06</v>
      </c>
      <c r="N2631" s="15" t="n">
        <f aca="false">M2631-L2631</f>
        <v>219.26</v>
      </c>
      <c r="O2631" s="1" t="n">
        <f aca="false">YEAR(B2631)</f>
        <v>2029</v>
      </c>
      <c r="P2631" s="1" t="n">
        <f aca="false">MONTH(B2631)</f>
        <v>3</v>
      </c>
      <c r="Q2631" s="1" t="str">
        <f aca="false">TEXT(B2631,"mmm")</f>
        <v>Mar</v>
      </c>
      <c r="R2631" s="1" t="str">
        <f aca="false">"Q"&amp;ROUNDUP(MONTH(B2631)/3,0)</f>
        <v>Q1</v>
      </c>
    </row>
    <row r="2632" customFormat="false" ht="15" hidden="false" customHeight="true" outlineLevel="0" collapsed="false">
      <c r="A2632" s="1" t="n">
        <v>12631</v>
      </c>
      <c r="B2632" s="14" t="n">
        <v>47192</v>
      </c>
      <c r="C2632" s="1" t="n">
        <v>1688</v>
      </c>
      <c r="D2632" s="1" t="s">
        <v>34</v>
      </c>
      <c r="E2632" s="1" t="s">
        <v>35</v>
      </c>
      <c r="F2632" s="1" t="n">
        <v>7</v>
      </c>
      <c r="G2632" s="15" t="n">
        <v>157.57</v>
      </c>
      <c r="H2632" s="16" t="n">
        <v>0.01</v>
      </c>
      <c r="I2632" s="1" t="s">
        <v>29</v>
      </c>
      <c r="J2632" s="1" t="n">
        <v>11</v>
      </c>
      <c r="K2632" s="1" t="n">
        <v>1.8</v>
      </c>
      <c r="L2632" s="15" t="n">
        <v>1091.96</v>
      </c>
      <c r="M2632" s="15" t="n">
        <f aca="false">F2632*G2632</f>
        <v>1102.99</v>
      </c>
      <c r="N2632" s="15" t="n">
        <f aca="false">M2632-L2632</f>
        <v>11.03</v>
      </c>
      <c r="O2632" s="1" t="n">
        <f aca="false">YEAR(B2632)</f>
        <v>2029</v>
      </c>
      <c r="P2632" s="1" t="n">
        <f aca="false">MONTH(B2632)</f>
        <v>3</v>
      </c>
      <c r="Q2632" s="1" t="str">
        <f aca="false">TEXT(B2632,"mmm")</f>
        <v>Mar</v>
      </c>
      <c r="R2632" s="1" t="str">
        <f aca="false">"Q"&amp;ROUNDUP(MONTH(B2632)/3,0)</f>
        <v>Q1</v>
      </c>
    </row>
    <row r="2633" customFormat="false" ht="15" hidden="false" customHeight="true" outlineLevel="0" collapsed="false">
      <c r="A2633" s="1" t="n">
        <v>12632</v>
      </c>
      <c r="B2633" s="14" t="n">
        <v>47193</v>
      </c>
      <c r="C2633" s="1" t="n">
        <v>1946</v>
      </c>
      <c r="D2633" s="1" t="s">
        <v>34</v>
      </c>
      <c r="E2633" s="1" t="s">
        <v>35</v>
      </c>
      <c r="F2633" s="1" t="n">
        <v>7</v>
      </c>
      <c r="G2633" s="15" t="n">
        <v>28.07</v>
      </c>
      <c r="H2633" s="16" t="n">
        <v>0.32</v>
      </c>
      <c r="I2633" s="1" t="s">
        <v>33</v>
      </c>
      <c r="J2633" s="1" t="n">
        <v>10</v>
      </c>
      <c r="K2633" s="1" t="n">
        <v>4.5</v>
      </c>
      <c r="L2633" s="15" t="n">
        <v>133.61</v>
      </c>
      <c r="M2633" s="15" t="n">
        <f aca="false">F2633*G2633</f>
        <v>196.49</v>
      </c>
      <c r="N2633" s="15" t="n">
        <f aca="false">M2633-L2633</f>
        <v>62.88</v>
      </c>
      <c r="O2633" s="1" t="n">
        <f aca="false">YEAR(B2633)</f>
        <v>2029</v>
      </c>
      <c r="P2633" s="1" t="n">
        <f aca="false">MONTH(B2633)</f>
        <v>3</v>
      </c>
      <c r="Q2633" s="1" t="str">
        <f aca="false">TEXT(B2633,"mmm")</f>
        <v>Mar</v>
      </c>
      <c r="R2633" s="1" t="str">
        <f aca="false">"Q"&amp;ROUNDUP(MONTH(B2633)/3,0)</f>
        <v>Q1</v>
      </c>
    </row>
    <row r="2634" customFormat="false" ht="15" hidden="false" customHeight="true" outlineLevel="0" collapsed="false">
      <c r="A2634" s="1" t="n">
        <v>12633</v>
      </c>
      <c r="B2634" s="14" t="n">
        <v>47194</v>
      </c>
      <c r="C2634" s="1" t="n">
        <v>1607</v>
      </c>
      <c r="D2634" s="1" t="s">
        <v>27</v>
      </c>
      <c r="E2634" s="1" t="s">
        <v>28</v>
      </c>
      <c r="F2634" s="1" t="n">
        <v>1</v>
      </c>
      <c r="G2634" s="15" t="n">
        <v>488.1</v>
      </c>
      <c r="H2634" s="16" t="n">
        <v>0.32</v>
      </c>
      <c r="I2634" s="1" t="s">
        <v>33</v>
      </c>
      <c r="J2634" s="1" t="n">
        <v>6</v>
      </c>
      <c r="K2634" s="1" t="n">
        <v>1.3</v>
      </c>
      <c r="L2634" s="15" t="n">
        <v>331.91</v>
      </c>
      <c r="M2634" s="15" t="n">
        <f aca="false">F2634*G2634</f>
        <v>488.1</v>
      </c>
      <c r="N2634" s="15" t="n">
        <f aca="false">M2634-L2634</f>
        <v>156.19</v>
      </c>
      <c r="O2634" s="1" t="n">
        <f aca="false">YEAR(B2634)</f>
        <v>2029</v>
      </c>
      <c r="P2634" s="1" t="n">
        <f aca="false">MONTH(B2634)</f>
        <v>3</v>
      </c>
      <c r="Q2634" s="1" t="str">
        <f aca="false">TEXT(B2634,"mmm")</f>
        <v>Mar</v>
      </c>
      <c r="R2634" s="1" t="str">
        <f aca="false">"Q"&amp;ROUNDUP(MONTH(B2634)/3,0)</f>
        <v>Q1</v>
      </c>
    </row>
    <row r="2635" customFormat="false" ht="15" hidden="false" customHeight="true" outlineLevel="0" collapsed="false">
      <c r="A2635" s="1" t="n">
        <v>12634</v>
      </c>
      <c r="B2635" s="14" t="n">
        <v>47195</v>
      </c>
      <c r="C2635" s="1" t="n">
        <v>1616</v>
      </c>
      <c r="D2635" s="1" t="s">
        <v>30</v>
      </c>
      <c r="E2635" s="1" t="s">
        <v>35</v>
      </c>
      <c r="F2635" s="1" t="n">
        <v>3</v>
      </c>
      <c r="G2635" s="15" t="n">
        <v>302.32</v>
      </c>
      <c r="H2635" s="16" t="n">
        <v>0.2</v>
      </c>
      <c r="I2635" s="1" t="s">
        <v>31</v>
      </c>
      <c r="J2635" s="1" t="n">
        <v>1</v>
      </c>
      <c r="K2635" s="1" t="n">
        <v>2.5</v>
      </c>
      <c r="L2635" s="15" t="n">
        <v>725.57</v>
      </c>
      <c r="M2635" s="15" t="n">
        <f aca="false">F2635*G2635</f>
        <v>906.96</v>
      </c>
      <c r="N2635" s="15" t="n">
        <f aca="false">M2635-L2635</f>
        <v>181.39</v>
      </c>
      <c r="O2635" s="1" t="n">
        <f aca="false">YEAR(B2635)</f>
        <v>2029</v>
      </c>
      <c r="P2635" s="1" t="n">
        <f aca="false">MONTH(B2635)</f>
        <v>3</v>
      </c>
      <c r="Q2635" s="1" t="str">
        <f aca="false">TEXT(B2635,"mmm")</f>
        <v>Mar</v>
      </c>
      <c r="R2635" s="1" t="str">
        <f aca="false">"Q"&amp;ROUNDUP(MONTH(B2635)/3,0)</f>
        <v>Q1</v>
      </c>
    </row>
    <row r="2636" customFormat="false" ht="15" hidden="false" customHeight="true" outlineLevel="0" collapsed="false">
      <c r="A2636" s="1" t="n">
        <v>12635</v>
      </c>
      <c r="B2636" s="14" t="n">
        <v>47196</v>
      </c>
      <c r="C2636" s="1" t="n">
        <v>1419</v>
      </c>
      <c r="D2636" s="1" t="s">
        <v>37</v>
      </c>
      <c r="E2636" s="1" t="s">
        <v>28</v>
      </c>
      <c r="F2636" s="1" t="n">
        <v>7</v>
      </c>
      <c r="G2636" s="15" t="n">
        <v>194.5</v>
      </c>
      <c r="H2636" s="16" t="n">
        <v>0.17</v>
      </c>
      <c r="I2636" s="1" t="s">
        <v>31</v>
      </c>
      <c r="J2636" s="1" t="n">
        <v>7</v>
      </c>
      <c r="K2636" s="1" t="n">
        <v>2.3</v>
      </c>
      <c r="L2636" s="15" t="n">
        <v>1130.04</v>
      </c>
      <c r="M2636" s="15" t="n">
        <f aca="false">F2636*G2636</f>
        <v>1361.5</v>
      </c>
      <c r="N2636" s="15" t="n">
        <f aca="false">M2636-L2636</f>
        <v>231.46</v>
      </c>
      <c r="O2636" s="1" t="n">
        <f aca="false">YEAR(B2636)</f>
        <v>2029</v>
      </c>
      <c r="P2636" s="1" t="n">
        <f aca="false">MONTH(B2636)</f>
        <v>3</v>
      </c>
      <c r="Q2636" s="1" t="str">
        <f aca="false">TEXT(B2636,"mmm")</f>
        <v>Mar</v>
      </c>
      <c r="R2636" s="1" t="str">
        <f aca="false">"Q"&amp;ROUNDUP(MONTH(B2636)/3,0)</f>
        <v>Q1</v>
      </c>
    </row>
    <row r="2637" customFormat="false" ht="15" hidden="false" customHeight="true" outlineLevel="0" collapsed="false">
      <c r="A2637" s="1" t="n">
        <v>12636</v>
      </c>
      <c r="B2637" s="14" t="n">
        <v>47197</v>
      </c>
      <c r="C2637" s="1" t="n">
        <v>1249</v>
      </c>
      <c r="D2637" s="1" t="s">
        <v>27</v>
      </c>
      <c r="E2637" s="1" t="s">
        <v>28</v>
      </c>
      <c r="F2637" s="1" t="n">
        <v>4</v>
      </c>
      <c r="G2637" s="15" t="n">
        <v>74.63</v>
      </c>
      <c r="H2637" s="16" t="n">
        <v>0.02</v>
      </c>
      <c r="I2637" s="1" t="s">
        <v>29</v>
      </c>
      <c r="J2637" s="1" t="n">
        <v>6</v>
      </c>
      <c r="K2637" s="1" t="n">
        <v>4.8</v>
      </c>
      <c r="L2637" s="15" t="n">
        <v>292.55</v>
      </c>
      <c r="M2637" s="15" t="n">
        <f aca="false">F2637*G2637</f>
        <v>298.52</v>
      </c>
      <c r="N2637" s="15" t="n">
        <f aca="false">M2637-L2637</f>
        <v>5.96999999999997</v>
      </c>
      <c r="O2637" s="1" t="n">
        <f aca="false">YEAR(B2637)</f>
        <v>2029</v>
      </c>
      <c r="P2637" s="1" t="n">
        <f aca="false">MONTH(B2637)</f>
        <v>3</v>
      </c>
      <c r="Q2637" s="1" t="str">
        <f aca="false">TEXT(B2637,"mmm")</f>
        <v>Mar</v>
      </c>
      <c r="R2637" s="1" t="str">
        <f aca="false">"Q"&amp;ROUNDUP(MONTH(B2637)/3,0)</f>
        <v>Q1</v>
      </c>
    </row>
    <row r="2638" customFormat="false" ht="15" hidden="false" customHeight="true" outlineLevel="0" collapsed="false">
      <c r="A2638" s="1" t="n">
        <v>12637</v>
      </c>
      <c r="B2638" s="14" t="n">
        <v>47198</v>
      </c>
      <c r="C2638" s="1" t="n">
        <v>1116</v>
      </c>
      <c r="D2638" s="1" t="s">
        <v>30</v>
      </c>
      <c r="E2638" s="1" t="s">
        <v>35</v>
      </c>
      <c r="F2638" s="1" t="n">
        <v>3</v>
      </c>
      <c r="G2638" s="15" t="n">
        <v>51.69</v>
      </c>
      <c r="H2638" s="16" t="n">
        <v>0.2</v>
      </c>
      <c r="I2638" s="1" t="s">
        <v>29</v>
      </c>
      <c r="J2638" s="1" t="n">
        <v>4</v>
      </c>
      <c r="K2638" s="1" t="n">
        <v>1.5</v>
      </c>
      <c r="L2638" s="15" t="n">
        <v>124.06</v>
      </c>
      <c r="M2638" s="15" t="n">
        <f aca="false">F2638*G2638</f>
        <v>155.07</v>
      </c>
      <c r="N2638" s="15" t="n">
        <f aca="false">M2638-L2638</f>
        <v>31.01</v>
      </c>
      <c r="O2638" s="1" t="n">
        <f aca="false">YEAR(B2638)</f>
        <v>2029</v>
      </c>
      <c r="P2638" s="1" t="n">
        <f aca="false">MONTH(B2638)</f>
        <v>3</v>
      </c>
      <c r="Q2638" s="1" t="str">
        <f aca="false">TEXT(B2638,"mmm")</f>
        <v>Mar</v>
      </c>
      <c r="R2638" s="1" t="str">
        <f aca="false">"Q"&amp;ROUNDUP(MONTH(B2638)/3,0)</f>
        <v>Q1</v>
      </c>
    </row>
    <row r="2639" customFormat="false" ht="15" hidden="false" customHeight="true" outlineLevel="0" collapsed="false">
      <c r="A2639" s="1" t="n">
        <v>12638</v>
      </c>
      <c r="B2639" s="14" t="n">
        <v>47199</v>
      </c>
      <c r="C2639" s="1" t="n">
        <v>1865</v>
      </c>
      <c r="D2639" s="1" t="s">
        <v>37</v>
      </c>
      <c r="E2639" s="1" t="s">
        <v>36</v>
      </c>
      <c r="F2639" s="1" t="n">
        <v>6</v>
      </c>
      <c r="G2639" s="15" t="n">
        <v>219.09</v>
      </c>
      <c r="H2639" s="16" t="n">
        <v>0.14</v>
      </c>
      <c r="I2639" s="1" t="s">
        <v>31</v>
      </c>
      <c r="J2639" s="1" t="n">
        <v>8</v>
      </c>
      <c r="K2639" s="1" t="n">
        <v>4.6</v>
      </c>
      <c r="L2639" s="15" t="n">
        <v>1130.5</v>
      </c>
      <c r="M2639" s="15" t="n">
        <f aca="false">F2639*G2639</f>
        <v>1314.54</v>
      </c>
      <c r="N2639" s="15" t="n">
        <f aca="false">M2639-L2639</f>
        <v>184.04</v>
      </c>
      <c r="O2639" s="1" t="n">
        <f aca="false">YEAR(B2639)</f>
        <v>2029</v>
      </c>
      <c r="P2639" s="1" t="n">
        <f aca="false">MONTH(B2639)</f>
        <v>3</v>
      </c>
      <c r="Q2639" s="1" t="str">
        <f aca="false">TEXT(B2639,"mmm")</f>
        <v>Mar</v>
      </c>
      <c r="R2639" s="1" t="str">
        <f aca="false">"Q"&amp;ROUNDUP(MONTH(B2639)/3,0)</f>
        <v>Q1</v>
      </c>
    </row>
    <row r="2640" customFormat="false" ht="15" hidden="false" customHeight="true" outlineLevel="0" collapsed="false">
      <c r="A2640" s="1" t="n">
        <v>12639</v>
      </c>
      <c r="B2640" s="14" t="n">
        <v>47200</v>
      </c>
      <c r="C2640" s="1" t="n">
        <v>1511</v>
      </c>
      <c r="D2640" s="1" t="s">
        <v>30</v>
      </c>
      <c r="E2640" s="1" t="s">
        <v>32</v>
      </c>
      <c r="F2640" s="1" t="n">
        <v>3</v>
      </c>
      <c r="G2640" s="15" t="n">
        <v>485.77</v>
      </c>
      <c r="H2640" s="16" t="n">
        <v>0.27</v>
      </c>
      <c r="I2640" s="1" t="s">
        <v>33</v>
      </c>
      <c r="J2640" s="1" t="n">
        <v>7</v>
      </c>
      <c r="K2640" s="1" t="n">
        <v>2.8</v>
      </c>
      <c r="L2640" s="15" t="n">
        <v>1063.84</v>
      </c>
      <c r="M2640" s="15" t="n">
        <f aca="false">F2640*G2640</f>
        <v>1457.31</v>
      </c>
      <c r="N2640" s="15" t="n">
        <f aca="false">M2640-L2640</f>
        <v>393.47</v>
      </c>
      <c r="O2640" s="1" t="n">
        <f aca="false">YEAR(B2640)</f>
        <v>2029</v>
      </c>
      <c r="P2640" s="1" t="n">
        <f aca="false">MONTH(B2640)</f>
        <v>3</v>
      </c>
      <c r="Q2640" s="1" t="str">
        <f aca="false">TEXT(B2640,"mmm")</f>
        <v>Mar</v>
      </c>
      <c r="R2640" s="1" t="str">
        <f aca="false">"Q"&amp;ROUNDUP(MONTH(B2640)/3,0)</f>
        <v>Q1</v>
      </c>
    </row>
    <row r="2641" customFormat="false" ht="15" hidden="false" customHeight="true" outlineLevel="0" collapsed="false">
      <c r="A2641" s="1" t="n">
        <v>12640</v>
      </c>
      <c r="B2641" s="14" t="n">
        <v>47201</v>
      </c>
      <c r="C2641" s="1" t="n">
        <v>1739</v>
      </c>
      <c r="D2641" s="1" t="s">
        <v>27</v>
      </c>
      <c r="E2641" s="1" t="s">
        <v>35</v>
      </c>
      <c r="F2641" s="1" t="n">
        <v>2</v>
      </c>
      <c r="G2641" s="15" t="n">
        <v>552.45</v>
      </c>
      <c r="H2641" s="16" t="n">
        <v>0.14</v>
      </c>
      <c r="I2641" s="1" t="s">
        <v>31</v>
      </c>
      <c r="J2641" s="1" t="n">
        <v>8</v>
      </c>
      <c r="K2641" s="1" t="n">
        <v>1.2</v>
      </c>
      <c r="L2641" s="15" t="n">
        <v>950.21</v>
      </c>
      <c r="M2641" s="15" t="n">
        <f aca="false">F2641*G2641</f>
        <v>1104.9</v>
      </c>
      <c r="N2641" s="15" t="n">
        <f aca="false">M2641-L2641</f>
        <v>154.69</v>
      </c>
      <c r="O2641" s="1" t="n">
        <f aca="false">YEAR(B2641)</f>
        <v>2029</v>
      </c>
      <c r="P2641" s="1" t="n">
        <f aca="false">MONTH(B2641)</f>
        <v>3</v>
      </c>
      <c r="Q2641" s="1" t="str">
        <f aca="false">TEXT(B2641,"mmm")</f>
        <v>Mar</v>
      </c>
      <c r="R2641" s="1" t="str">
        <f aca="false">"Q"&amp;ROUNDUP(MONTH(B2641)/3,0)</f>
        <v>Q1</v>
      </c>
    </row>
    <row r="2642" customFormat="false" ht="15" hidden="false" customHeight="true" outlineLevel="0" collapsed="false">
      <c r="A2642" s="1" t="n">
        <v>12641</v>
      </c>
      <c r="B2642" s="14" t="n">
        <v>47202</v>
      </c>
      <c r="C2642" s="1" t="n">
        <v>1577</v>
      </c>
      <c r="D2642" s="1" t="s">
        <v>34</v>
      </c>
      <c r="E2642" s="1" t="s">
        <v>35</v>
      </c>
      <c r="F2642" s="1" t="n">
        <v>1</v>
      </c>
      <c r="G2642" s="15" t="n">
        <v>539.6</v>
      </c>
      <c r="H2642" s="16" t="n">
        <v>0.24</v>
      </c>
      <c r="I2642" s="1" t="s">
        <v>31</v>
      </c>
      <c r="J2642" s="1" t="n">
        <v>9</v>
      </c>
      <c r="K2642" s="1" t="n">
        <v>3.9</v>
      </c>
      <c r="L2642" s="15" t="n">
        <v>410.1</v>
      </c>
      <c r="M2642" s="15" t="n">
        <f aca="false">F2642*G2642</f>
        <v>539.6</v>
      </c>
      <c r="N2642" s="15" t="n">
        <f aca="false">M2642-L2642</f>
        <v>129.5</v>
      </c>
      <c r="O2642" s="1" t="n">
        <f aca="false">YEAR(B2642)</f>
        <v>2029</v>
      </c>
      <c r="P2642" s="1" t="n">
        <f aca="false">MONTH(B2642)</f>
        <v>3</v>
      </c>
      <c r="Q2642" s="1" t="str">
        <f aca="false">TEXT(B2642,"mmm")</f>
        <v>Mar</v>
      </c>
      <c r="R2642" s="1" t="str">
        <f aca="false">"Q"&amp;ROUNDUP(MONTH(B2642)/3,0)</f>
        <v>Q1</v>
      </c>
    </row>
    <row r="2643" customFormat="false" ht="15" hidden="false" customHeight="true" outlineLevel="0" collapsed="false">
      <c r="A2643" s="1" t="n">
        <v>12642</v>
      </c>
      <c r="B2643" s="14" t="n">
        <v>47203</v>
      </c>
      <c r="C2643" s="1" t="n">
        <v>1334</v>
      </c>
      <c r="D2643" s="1" t="s">
        <v>27</v>
      </c>
      <c r="E2643" s="1" t="s">
        <v>35</v>
      </c>
      <c r="F2643" s="1" t="n">
        <v>5</v>
      </c>
      <c r="G2643" s="15" t="n">
        <v>553.2</v>
      </c>
      <c r="H2643" s="16" t="n">
        <v>0.04</v>
      </c>
      <c r="I2643" s="1" t="s">
        <v>33</v>
      </c>
      <c r="J2643" s="1" t="n">
        <v>1</v>
      </c>
      <c r="K2643" s="1" t="n">
        <v>1.4</v>
      </c>
      <c r="L2643" s="15" t="n">
        <v>2655.36</v>
      </c>
      <c r="M2643" s="15" t="n">
        <f aca="false">F2643*G2643</f>
        <v>2766</v>
      </c>
      <c r="N2643" s="15" t="n">
        <f aca="false">M2643-L2643</f>
        <v>110.64</v>
      </c>
      <c r="O2643" s="1" t="n">
        <f aca="false">YEAR(B2643)</f>
        <v>2029</v>
      </c>
      <c r="P2643" s="1" t="n">
        <f aca="false">MONTH(B2643)</f>
        <v>3</v>
      </c>
      <c r="Q2643" s="1" t="str">
        <f aca="false">TEXT(B2643,"mmm")</f>
        <v>Mar</v>
      </c>
      <c r="R2643" s="1" t="str">
        <f aca="false">"Q"&amp;ROUNDUP(MONTH(B2643)/3,0)</f>
        <v>Q1</v>
      </c>
    </row>
    <row r="2644" customFormat="false" ht="15" hidden="false" customHeight="true" outlineLevel="0" collapsed="false">
      <c r="A2644" s="1" t="n">
        <v>12643</v>
      </c>
      <c r="B2644" s="14" t="n">
        <v>47204</v>
      </c>
      <c r="C2644" s="1" t="n">
        <v>1417</v>
      </c>
      <c r="D2644" s="1" t="s">
        <v>34</v>
      </c>
      <c r="E2644" s="1" t="s">
        <v>35</v>
      </c>
      <c r="F2644" s="1" t="n">
        <v>2</v>
      </c>
      <c r="G2644" s="15" t="n">
        <v>546.02</v>
      </c>
      <c r="H2644" s="16" t="n">
        <v>0.05</v>
      </c>
      <c r="I2644" s="1" t="s">
        <v>33</v>
      </c>
      <c r="J2644" s="1" t="n">
        <v>3</v>
      </c>
      <c r="K2644" s="1" t="n">
        <v>1.9</v>
      </c>
      <c r="L2644" s="15" t="n">
        <v>1037.44</v>
      </c>
      <c r="M2644" s="15" t="n">
        <f aca="false">F2644*G2644</f>
        <v>1092.04</v>
      </c>
      <c r="N2644" s="15" t="n">
        <f aca="false">M2644-L2644</f>
        <v>54.5999999999999</v>
      </c>
      <c r="O2644" s="1" t="n">
        <f aca="false">YEAR(B2644)</f>
        <v>2029</v>
      </c>
      <c r="P2644" s="1" t="n">
        <f aca="false">MONTH(B2644)</f>
        <v>3</v>
      </c>
      <c r="Q2644" s="1" t="str">
        <f aca="false">TEXT(B2644,"mmm")</f>
        <v>Mar</v>
      </c>
      <c r="R2644" s="1" t="str">
        <f aca="false">"Q"&amp;ROUNDUP(MONTH(B2644)/3,0)</f>
        <v>Q1</v>
      </c>
    </row>
    <row r="2645" customFormat="false" ht="15" hidden="false" customHeight="true" outlineLevel="0" collapsed="false">
      <c r="A2645" s="1" t="n">
        <v>12644</v>
      </c>
      <c r="B2645" s="14" t="n">
        <v>47205</v>
      </c>
      <c r="C2645" s="1" t="n">
        <v>1931</v>
      </c>
      <c r="D2645" s="1" t="s">
        <v>34</v>
      </c>
      <c r="E2645" s="1" t="s">
        <v>28</v>
      </c>
      <c r="F2645" s="1" t="n">
        <v>6</v>
      </c>
      <c r="G2645" s="15" t="n">
        <v>323.43</v>
      </c>
      <c r="H2645" s="16" t="n">
        <v>0.05</v>
      </c>
      <c r="I2645" s="1" t="s">
        <v>33</v>
      </c>
      <c r="J2645" s="1" t="n">
        <v>2</v>
      </c>
      <c r="K2645" s="1" t="n">
        <v>4.2</v>
      </c>
      <c r="L2645" s="15" t="n">
        <v>1843.55</v>
      </c>
      <c r="M2645" s="15" t="n">
        <f aca="false">F2645*G2645</f>
        <v>1940.58</v>
      </c>
      <c r="N2645" s="15" t="n">
        <f aca="false">M2645-L2645</f>
        <v>97.03</v>
      </c>
      <c r="O2645" s="1" t="n">
        <f aca="false">YEAR(B2645)</f>
        <v>2029</v>
      </c>
      <c r="P2645" s="1" t="n">
        <f aca="false">MONTH(B2645)</f>
        <v>3</v>
      </c>
      <c r="Q2645" s="1" t="str">
        <f aca="false">TEXT(B2645,"mmm")</f>
        <v>Mar</v>
      </c>
      <c r="R2645" s="1" t="str">
        <f aca="false">"Q"&amp;ROUNDUP(MONTH(B2645)/3,0)</f>
        <v>Q1</v>
      </c>
    </row>
    <row r="2646" customFormat="false" ht="15" hidden="false" customHeight="true" outlineLevel="0" collapsed="false">
      <c r="A2646" s="1" t="n">
        <v>12645</v>
      </c>
      <c r="B2646" s="14" t="n">
        <v>47206</v>
      </c>
      <c r="C2646" s="1" t="n">
        <v>1773</v>
      </c>
      <c r="D2646" s="1" t="s">
        <v>37</v>
      </c>
      <c r="E2646" s="1" t="s">
        <v>28</v>
      </c>
      <c r="F2646" s="1" t="n">
        <v>4</v>
      </c>
      <c r="G2646" s="15" t="n">
        <v>143.36</v>
      </c>
      <c r="H2646" s="16" t="n">
        <v>0.02</v>
      </c>
      <c r="I2646" s="1" t="s">
        <v>31</v>
      </c>
      <c r="J2646" s="1" t="n">
        <v>3</v>
      </c>
      <c r="K2646" s="1" t="n">
        <v>1.6</v>
      </c>
      <c r="L2646" s="15" t="n">
        <v>561.97</v>
      </c>
      <c r="M2646" s="15" t="n">
        <f aca="false">F2646*G2646</f>
        <v>573.44</v>
      </c>
      <c r="N2646" s="15" t="n">
        <f aca="false">M2646-L2646</f>
        <v>11.47</v>
      </c>
      <c r="O2646" s="1" t="n">
        <f aca="false">YEAR(B2646)</f>
        <v>2029</v>
      </c>
      <c r="P2646" s="1" t="n">
        <f aca="false">MONTH(B2646)</f>
        <v>3</v>
      </c>
      <c r="Q2646" s="1" t="str">
        <f aca="false">TEXT(B2646,"mmm")</f>
        <v>Mar</v>
      </c>
      <c r="R2646" s="1" t="str">
        <f aca="false">"Q"&amp;ROUNDUP(MONTH(B2646)/3,0)</f>
        <v>Q1</v>
      </c>
    </row>
    <row r="2647" customFormat="false" ht="15" hidden="false" customHeight="true" outlineLevel="0" collapsed="false">
      <c r="A2647" s="1" t="n">
        <v>12646</v>
      </c>
      <c r="B2647" s="14" t="n">
        <v>47207</v>
      </c>
      <c r="C2647" s="1" t="n">
        <v>1294</v>
      </c>
      <c r="D2647" s="1" t="s">
        <v>30</v>
      </c>
      <c r="E2647" s="1" t="s">
        <v>32</v>
      </c>
      <c r="F2647" s="1" t="n">
        <v>6</v>
      </c>
      <c r="G2647" s="15" t="n">
        <v>481.86</v>
      </c>
      <c r="H2647" s="16" t="n">
        <v>0.19</v>
      </c>
      <c r="I2647" s="1" t="s">
        <v>31</v>
      </c>
      <c r="J2647" s="1" t="n">
        <v>11</v>
      </c>
      <c r="K2647" s="1" t="n">
        <v>2.3</v>
      </c>
      <c r="L2647" s="15" t="n">
        <v>2341.84</v>
      </c>
      <c r="M2647" s="15" t="n">
        <f aca="false">F2647*G2647</f>
        <v>2891.16</v>
      </c>
      <c r="N2647" s="15" t="n">
        <f aca="false">M2647-L2647</f>
        <v>549.32</v>
      </c>
      <c r="O2647" s="1" t="n">
        <f aca="false">YEAR(B2647)</f>
        <v>2029</v>
      </c>
      <c r="P2647" s="1" t="n">
        <f aca="false">MONTH(B2647)</f>
        <v>3</v>
      </c>
      <c r="Q2647" s="1" t="str">
        <f aca="false">TEXT(B2647,"mmm")</f>
        <v>Mar</v>
      </c>
      <c r="R2647" s="1" t="str">
        <f aca="false">"Q"&amp;ROUNDUP(MONTH(B2647)/3,0)</f>
        <v>Q1</v>
      </c>
    </row>
    <row r="2648" customFormat="false" ht="15" hidden="false" customHeight="true" outlineLevel="0" collapsed="false">
      <c r="A2648" s="1" t="n">
        <v>12647</v>
      </c>
      <c r="B2648" s="14" t="n">
        <v>47208</v>
      </c>
      <c r="C2648" s="1" t="n">
        <v>1937</v>
      </c>
      <c r="D2648" s="1" t="s">
        <v>30</v>
      </c>
      <c r="E2648" s="1" t="s">
        <v>32</v>
      </c>
      <c r="F2648" s="1" t="n">
        <v>6</v>
      </c>
      <c r="G2648" s="15" t="n">
        <v>140.02</v>
      </c>
      <c r="H2648" s="16" t="n">
        <v>0.28</v>
      </c>
      <c r="I2648" s="1" t="s">
        <v>31</v>
      </c>
      <c r="J2648" s="1" t="n">
        <v>11</v>
      </c>
      <c r="K2648" s="1" t="n">
        <v>2.4</v>
      </c>
      <c r="L2648" s="15" t="n">
        <v>604.89</v>
      </c>
      <c r="M2648" s="15" t="n">
        <f aca="false">F2648*G2648</f>
        <v>840.12</v>
      </c>
      <c r="N2648" s="15" t="n">
        <f aca="false">M2648-L2648</f>
        <v>235.23</v>
      </c>
      <c r="O2648" s="1" t="n">
        <f aca="false">YEAR(B2648)</f>
        <v>2029</v>
      </c>
      <c r="P2648" s="1" t="n">
        <f aca="false">MONTH(B2648)</f>
        <v>3</v>
      </c>
      <c r="Q2648" s="1" t="str">
        <f aca="false">TEXT(B2648,"mmm")</f>
        <v>Mar</v>
      </c>
      <c r="R2648" s="1" t="str">
        <f aca="false">"Q"&amp;ROUNDUP(MONTH(B2648)/3,0)</f>
        <v>Q1</v>
      </c>
    </row>
    <row r="2649" customFormat="false" ht="15" hidden="false" customHeight="true" outlineLevel="0" collapsed="false">
      <c r="A2649" s="1" t="n">
        <v>12648</v>
      </c>
      <c r="B2649" s="14" t="n">
        <v>47209</v>
      </c>
      <c r="C2649" s="1" t="n">
        <v>1754</v>
      </c>
      <c r="D2649" s="1" t="s">
        <v>30</v>
      </c>
      <c r="E2649" s="1" t="s">
        <v>35</v>
      </c>
      <c r="F2649" s="1" t="n">
        <v>3</v>
      </c>
      <c r="G2649" s="15" t="n">
        <v>171.32</v>
      </c>
      <c r="H2649" s="16" t="n">
        <v>0.21</v>
      </c>
      <c r="I2649" s="1" t="s">
        <v>31</v>
      </c>
      <c r="J2649" s="1" t="n">
        <v>2</v>
      </c>
      <c r="K2649" s="1" t="n">
        <v>3.4</v>
      </c>
      <c r="L2649" s="15" t="n">
        <v>406.03</v>
      </c>
      <c r="M2649" s="15" t="n">
        <f aca="false">F2649*G2649</f>
        <v>513.96</v>
      </c>
      <c r="N2649" s="15" t="n">
        <f aca="false">M2649-L2649</f>
        <v>107.93</v>
      </c>
      <c r="O2649" s="1" t="n">
        <f aca="false">YEAR(B2649)</f>
        <v>2029</v>
      </c>
      <c r="P2649" s="1" t="n">
        <f aca="false">MONTH(B2649)</f>
        <v>4</v>
      </c>
      <c r="Q2649" s="1" t="str">
        <f aca="false">TEXT(B2649,"mmm")</f>
        <v>Apr</v>
      </c>
      <c r="R2649" s="1" t="str">
        <f aca="false">"Q"&amp;ROUNDUP(MONTH(B2649)/3,0)</f>
        <v>Q2</v>
      </c>
    </row>
    <row r="2650" customFormat="false" ht="15" hidden="false" customHeight="true" outlineLevel="0" collapsed="false">
      <c r="A2650" s="1" t="n">
        <v>12649</v>
      </c>
      <c r="B2650" s="14" t="n">
        <v>47210</v>
      </c>
      <c r="C2650" s="1" t="n">
        <v>1370</v>
      </c>
      <c r="D2650" s="1" t="s">
        <v>37</v>
      </c>
      <c r="E2650" s="1" t="s">
        <v>35</v>
      </c>
      <c r="F2650" s="1" t="n">
        <v>4</v>
      </c>
      <c r="G2650" s="15" t="n">
        <v>151.45</v>
      </c>
      <c r="H2650" s="16" t="n">
        <v>0.2</v>
      </c>
      <c r="I2650" s="1" t="s">
        <v>33</v>
      </c>
      <c r="J2650" s="1" t="n">
        <v>11</v>
      </c>
      <c r="K2650" s="1" t="n">
        <v>4.2</v>
      </c>
      <c r="L2650" s="15" t="n">
        <v>484.64</v>
      </c>
      <c r="M2650" s="15" t="n">
        <f aca="false">F2650*G2650</f>
        <v>605.8</v>
      </c>
      <c r="N2650" s="15" t="n">
        <f aca="false">M2650-L2650</f>
        <v>121.16</v>
      </c>
      <c r="O2650" s="1" t="n">
        <f aca="false">YEAR(B2650)</f>
        <v>2029</v>
      </c>
      <c r="P2650" s="1" t="n">
        <f aca="false">MONTH(B2650)</f>
        <v>4</v>
      </c>
      <c r="Q2650" s="1" t="str">
        <f aca="false">TEXT(B2650,"mmm")</f>
        <v>Apr</v>
      </c>
      <c r="R2650" s="1" t="str">
        <f aca="false">"Q"&amp;ROUNDUP(MONTH(B2650)/3,0)</f>
        <v>Q2</v>
      </c>
    </row>
    <row r="2651" customFormat="false" ht="15" hidden="false" customHeight="true" outlineLevel="0" collapsed="false">
      <c r="A2651" s="1" t="n">
        <v>12650</v>
      </c>
      <c r="B2651" s="14" t="n">
        <v>47211</v>
      </c>
      <c r="C2651" s="1" t="n">
        <v>1185</v>
      </c>
      <c r="D2651" s="1" t="s">
        <v>34</v>
      </c>
      <c r="E2651" s="1" t="s">
        <v>35</v>
      </c>
      <c r="F2651" s="1" t="n">
        <v>2</v>
      </c>
      <c r="G2651" s="15" t="n">
        <v>316.26</v>
      </c>
      <c r="H2651" s="16" t="n">
        <v>0.24</v>
      </c>
      <c r="I2651" s="1" t="s">
        <v>31</v>
      </c>
      <c r="J2651" s="1" t="n">
        <v>6</v>
      </c>
      <c r="K2651" s="1" t="n">
        <v>1.9</v>
      </c>
      <c r="L2651" s="15" t="n">
        <v>480.72</v>
      </c>
      <c r="M2651" s="15" t="n">
        <f aca="false">F2651*G2651</f>
        <v>632.52</v>
      </c>
      <c r="N2651" s="15" t="n">
        <f aca="false">M2651-L2651</f>
        <v>151.8</v>
      </c>
      <c r="O2651" s="1" t="n">
        <f aca="false">YEAR(B2651)</f>
        <v>2029</v>
      </c>
      <c r="P2651" s="1" t="n">
        <f aca="false">MONTH(B2651)</f>
        <v>4</v>
      </c>
      <c r="Q2651" s="1" t="str">
        <f aca="false">TEXT(B2651,"mmm")</f>
        <v>Apr</v>
      </c>
      <c r="R2651" s="1" t="str">
        <f aca="false">"Q"&amp;ROUNDUP(MONTH(B2651)/3,0)</f>
        <v>Q2</v>
      </c>
    </row>
    <row r="2652" customFormat="false" ht="15" hidden="false" customHeight="true" outlineLevel="0" collapsed="false">
      <c r="A2652" s="1" t="n">
        <v>12651</v>
      </c>
      <c r="B2652" s="14" t="n">
        <v>47212</v>
      </c>
      <c r="C2652" s="1" t="n">
        <v>1245</v>
      </c>
      <c r="D2652" s="1" t="s">
        <v>34</v>
      </c>
      <c r="E2652" s="1" t="s">
        <v>32</v>
      </c>
      <c r="F2652" s="1" t="n">
        <v>6</v>
      </c>
      <c r="G2652" s="15" t="n">
        <v>203.27</v>
      </c>
      <c r="H2652" s="16" t="n">
        <v>0.12</v>
      </c>
      <c r="I2652" s="1" t="s">
        <v>31</v>
      </c>
      <c r="J2652" s="1" t="n">
        <v>9</v>
      </c>
      <c r="K2652" s="1" t="n">
        <v>1.8</v>
      </c>
      <c r="L2652" s="15" t="n">
        <v>1073.27</v>
      </c>
      <c r="M2652" s="15" t="n">
        <f aca="false">F2652*G2652</f>
        <v>1219.62</v>
      </c>
      <c r="N2652" s="15" t="n">
        <f aca="false">M2652-L2652</f>
        <v>146.35</v>
      </c>
      <c r="O2652" s="1" t="n">
        <f aca="false">YEAR(B2652)</f>
        <v>2029</v>
      </c>
      <c r="P2652" s="1" t="n">
        <f aca="false">MONTH(B2652)</f>
        <v>4</v>
      </c>
      <c r="Q2652" s="1" t="str">
        <f aca="false">TEXT(B2652,"mmm")</f>
        <v>Apr</v>
      </c>
      <c r="R2652" s="1" t="str">
        <f aca="false">"Q"&amp;ROUNDUP(MONTH(B2652)/3,0)</f>
        <v>Q2</v>
      </c>
    </row>
    <row r="2653" customFormat="false" ht="15" hidden="false" customHeight="true" outlineLevel="0" collapsed="false">
      <c r="A2653" s="1" t="n">
        <v>12652</v>
      </c>
      <c r="B2653" s="14" t="n">
        <v>47213</v>
      </c>
      <c r="C2653" s="1" t="n">
        <v>1636</v>
      </c>
      <c r="D2653" s="1" t="s">
        <v>34</v>
      </c>
      <c r="E2653" s="1" t="s">
        <v>35</v>
      </c>
      <c r="F2653" s="1" t="n">
        <v>2</v>
      </c>
      <c r="G2653" s="15" t="n">
        <v>105.18</v>
      </c>
      <c r="H2653" s="16" t="n">
        <v>0.13</v>
      </c>
      <c r="I2653" s="1" t="s">
        <v>31</v>
      </c>
      <c r="J2653" s="1" t="n">
        <v>2</v>
      </c>
      <c r="K2653" s="1" t="n">
        <v>1.9</v>
      </c>
      <c r="L2653" s="15" t="n">
        <v>183.01</v>
      </c>
      <c r="M2653" s="15" t="n">
        <f aca="false">F2653*G2653</f>
        <v>210.36</v>
      </c>
      <c r="N2653" s="15" t="n">
        <f aca="false">M2653-L2653</f>
        <v>27.35</v>
      </c>
      <c r="O2653" s="1" t="n">
        <f aca="false">YEAR(B2653)</f>
        <v>2029</v>
      </c>
      <c r="P2653" s="1" t="n">
        <f aca="false">MONTH(B2653)</f>
        <v>4</v>
      </c>
      <c r="Q2653" s="1" t="str">
        <f aca="false">TEXT(B2653,"mmm")</f>
        <v>Apr</v>
      </c>
      <c r="R2653" s="1" t="str">
        <f aca="false">"Q"&amp;ROUNDUP(MONTH(B2653)/3,0)</f>
        <v>Q2</v>
      </c>
    </row>
    <row r="2654" customFormat="false" ht="15" hidden="false" customHeight="true" outlineLevel="0" collapsed="false">
      <c r="A2654" s="1" t="n">
        <v>12653</v>
      </c>
      <c r="B2654" s="14" t="n">
        <v>47214</v>
      </c>
      <c r="C2654" s="1" t="n">
        <v>1267</v>
      </c>
      <c r="D2654" s="1" t="s">
        <v>30</v>
      </c>
      <c r="E2654" s="1" t="s">
        <v>36</v>
      </c>
      <c r="F2654" s="1" t="n">
        <v>7</v>
      </c>
      <c r="G2654" s="15" t="n">
        <v>280.11</v>
      </c>
      <c r="H2654" s="16" t="n">
        <v>0.11</v>
      </c>
      <c r="I2654" s="1" t="s">
        <v>33</v>
      </c>
      <c r="J2654" s="1" t="n">
        <v>4</v>
      </c>
      <c r="K2654" s="1" t="n">
        <v>2.5</v>
      </c>
      <c r="L2654" s="15" t="n">
        <v>1745.09</v>
      </c>
      <c r="M2654" s="15" t="n">
        <f aca="false">F2654*G2654</f>
        <v>1960.77</v>
      </c>
      <c r="N2654" s="15" t="n">
        <f aca="false">M2654-L2654</f>
        <v>215.68</v>
      </c>
      <c r="O2654" s="1" t="n">
        <f aca="false">YEAR(B2654)</f>
        <v>2029</v>
      </c>
      <c r="P2654" s="1" t="n">
        <f aca="false">MONTH(B2654)</f>
        <v>4</v>
      </c>
      <c r="Q2654" s="1" t="str">
        <f aca="false">TEXT(B2654,"mmm")</f>
        <v>Apr</v>
      </c>
      <c r="R2654" s="1" t="str">
        <f aca="false">"Q"&amp;ROUNDUP(MONTH(B2654)/3,0)</f>
        <v>Q2</v>
      </c>
    </row>
    <row r="2655" customFormat="false" ht="15" hidden="false" customHeight="true" outlineLevel="0" collapsed="false">
      <c r="A2655" s="1" t="n">
        <v>12654</v>
      </c>
      <c r="B2655" s="14" t="n">
        <v>47215</v>
      </c>
      <c r="C2655" s="1" t="n">
        <v>1642</v>
      </c>
      <c r="D2655" s="1" t="s">
        <v>34</v>
      </c>
      <c r="E2655" s="1" t="s">
        <v>32</v>
      </c>
      <c r="F2655" s="1" t="n">
        <v>7</v>
      </c>
      <c r="G2655" s="15" t="n">
        <v>526.24</v>
      </c>
      <c r="H2655" s="16" t="n">
        <v>0.25</v>
      </c>
      <c r="I2655" s="1" t="s">
        <v>33</v>
      </c>
      <c r="J2655" s="1" t="n">
        <v>5</v>
      </c>
      <c r="K2655" s="1" t="n">
        <v>3.1</v>
      </c>
      <c r="L2655" s="15" t="n">
        <v>2762.76</v>
      </c>
      <c r="M2655" s="15" t="n">
        <f aca="false">F2655*G2655</f>
        <v>3683.68</v>
      </c>
      <c r="N2655" s="15" t="n">
        <f aca="false">M2655-L2655</f>
        <v>920.92</v>
      </c>
      <c r="O2655" s="1" t="n">
        <f aca="false">YEAR(B2655)</f>
        <v>2029</v>
      </c>
      <c r="P2655" s="1" t="n">
        <f aca="false">MONTH(B2655)</f>
        <v>4</v>
      </c>
      <c r="Q2655" s="1" t="str">
        <f aca="false">TEXT(B2655,"mmm")</f>
        <v>Apr</v>
      </c>
      <c r="R2655" s="1" t="str">
        <f aca="false">"Q"&amp;ROUNDUP(MONTH(B2655)/3,0)</f>
        <v>Q2</v>
      </c>
    </row>
    <row r="2656" customFormat="false" ht="15" hidden="false" customHeight="true" outlineLevel="0" collapsed="false">
      <c r="A2656" s="1" t="n">
        <v>12655</v>
      </c>
      <c r="B2656" s="14" t="n">
        <v>47216</v>
      </c>
      <c r="C2656" s="1" t="n">
        <v>1236</v>
      </c>
      <c r="D2656" s="1" t="s">
        <v>30</v>
      </c>
      <c r="E2656" s="1" t="s">
        <v>36</v>
      </c>
      <c r="F2656" s="1" t="n">
        <v>7</v>
      </c>
      <c r="G2656" s="15" t="n">
        <v>348.77</v>
      </c>
      <c r="H2656" s="16" t="n">
        <v>0.06</v>
      </c>
      <c r="I2656" s="1" t="s">
        <v>33</v>
      </c>
      <c r="J2656" s="1" t="n">
        <v>5</v>
      </c>
      <c r="K2656" s="1" t="n">
        <v>1.1</v>
      </c>
      <c r="L2656" s="15" t="n">
        <v>2294.91</v>
      </c>
      <c r="M2656" s="15" t="n">
        <f aca="false">F2656*G2656</f>
        <v>2441.39</v>
      </c>
      <c r="N2656" s="15" t="n">
        <f aca="false">M2656-L2656</f>
        <v>146.48</v>
      </c>
      <c r="O2656" s="1" t="n">
        <f aca="false">YEAR(B2656)</f>
        <v>2029</v>
      </c>
      <c r="P2656" s="1" t="n">
        <f aca="false">MONTH(B2656)</f>
        <v>4</v>
      </c>
      <c r="Q2656" s="1" t="str">
        <f aca="false">TEXT(B2656,"mmm")</f>
        <v>Apr</v>
      </c>
      <c r="R2656" s="1" t="str">
        <f aca="false">"Q"&amp;ROUNDUP(MONTH(B2656)/3,0)</f>
        <v>Q2</v>
      </c>
    </row>
    <row r="2657" customFormat="false" ht="15" hidden="false" customHeight="true" outlineLevel="0" collapsed="false">
      <c r="A2657" s="1" t="n">
        <v>12656</v>
      </c>
      <c r="B2657" s="14" t="n">
        <v>47217</v>
      </c>
      <c r="C2657" s="1" t="n">
        <v>1529</v>
      </c>
      <c r="D2657" s="1" t="s">
        <v>30</v>
      </c>
      <c r="E2657" s="1" t="s">
        <v>35</v>
      </c>
      <c r="F2657" s="1" t="n">
        <v>5</v>
      </c>
      <c r="G2657" s="15" t="n">
        <v>528.83</v>
      </c>
      <c r="H2657" s="16" t="n">
        <v>0</v>
      </c>
      <c r="I2657" s="1" t="s">
        <v>31</v>
      </c>
      <c r="J2657" s="1" t="n">
        <v>1</v>
      </c>
      <c r="K2657" s="1" t="n">
        <v>4.1</v>
      </c>
      <c r="L2657" s="15" t="n">
        <v>2644.15</v>
      </c>
      <c r="M2657" s="15" t="n">
        <f aca="false">F2657*G2657</f>
        <v>2644.15</v>
      </c>
      <c r="N2657" s="15" t="n">
        <f aca="false">M2657-L2657</f>
        <v>0</v>
      </c>
      <c r="O2657" s="1" t="n">
        <f aca="false">YEAR(B2657)</f>
        <v>2029</v>
      </c>
      <c r="P2657" s="1" t="n">
        <f aca="false">MONTH(B2657)</f>
        <v>4</v>
      </c>
      <c r="Q2657" s="1" t="str">
        <f aca="false">TEXT(B2657,"mmm")</f>
        <v>Apr</v>
      </c>
      <c r="R2657" s="1" t="str">
        <f aca="false">"Q"&amp;ROUNDUP(MONTH(B2657)/3,0)</f>
        <v>Q2</v>
      </c>
    </row>
    <row r="2658" customFormat="false" ht="15" hidden="false" customHeight="true" outlineLevel="0" collapsed="false">
      <c r="A2658" s="1" t="n">
        <v>12657</v>
      </c>
      <c r="B2658" s="14" t="n">
        <v>47218</v>
      </c>
      <c r="C2658" s="1" t="n">
        <v>1551</v>
      </c>
      <c r="D2658" s="1" t="s">
        <v>34</v>
      </c>
      <c r="E2658" s="1" t="s">
        <v>28</v>
      </c>
      <c r="F2658" s="1" t="n">
        <v>3</v>
      </c>
      <c r="G2658" s="15" t="n">
        <v>129.59</v>
      </c>
      <c r="H2658" s="16" t="n">
        <v>0.21</v>
      </c>
      <c r="I2658" s="1" t="s">
        <v>31</v>
      </c>
      <c r="J2658" s="1" t="n">
        <v>6</v>
      </c>
      <c r="K2658" s="1" t="n">
        <v>4.7</v>
      </c>
      <c r="L2658" s="15" t="n">
        <v>307.13</v>
      </c>
      <c r="M2658" s="15" t="n">
        <f aca="false">F2658*G2658</f>
        <v>388.77</v>
      </c>
      <c r="N2658" s="15" t="n">
        <f aca="false">M2658-L2658</f>
        <v>81.64</v>
      </c>
      <c r="O2658" s="1" t="n">
        <f aca="false">YEAR(B2658)</f>
        <v>2029</v>
      </c>
      <c r="P2658" s="1" t="n">
        <f aca="false">MONTH(B2658)</f>
        <v>4</v>
      </c>
      <c r="Q2658" s="1" t="str">
        <f aca="false">TEXT(B2658,"mmm")</f>
        <v>Apr</v>
      </c>
      <c r="R2658" s="1" t="str">
        <f aca="false">"Q"&amp;ROUNDUP(MONTH(B2658)/3,0)</f>
        <v>Q2</v>
      </c>
    </row>
    <row r="2659" customFormat="false" ht="15" hidden="false" customHeight="true" outlineLevel="0" collapsed="false">
      <c r="A2659" s="1" t="n">
        <v>12658</v>
      </c>
      <c r="B2659" s="14" t="n">
        <v>47219</v>
      </c>
      <c r="C2659" s="1" t="n">
        <v>1020</v>
      </c>
      <c r="D2659" s="1" t="s">
        <v>30</v>
      </c>
      <c r="E2659" s="1" t="s">
        <v>36</v>
      </c>
      <c r="F2659" s="1" t="n">
        <v>2</v>
      </c>
      <c r="G2659" s="15" t="n">
        <v>112.68</v>
      </c>
      <c r="H2659" s="16" t="n">
        <v>0.33</v>
      </c>
      <c r="I2659" s="1" t="s">
        <v>31</v>
      </c>
      <c r="J2659" s="1" t="n">
        <v>5</v>
      </c>
      <c r="K2659" s="1" t="n">
        <v>4.4</v>
      </c>
      <c r="L2659" s="15" t="n">
        <v>150.99</v>
      </c>
      <c r="M2659" s="15" t="n">
        <f aca="false">F2659*G2659</f>
        <v>225.36</v>
      </c>
      <c r="N2659" s="15" t="n">
        <f aca="false">M2659-L2659</f>
        <v>74.37</v>
      </c>
      <c r="O2659" s="1" t="n">
        <f aca="false">YEAR(B2659)</f>
        <v>2029</v>
      </c>
      <c r="P2659" s="1" t="n">
        <f aca="false">MONTH(B2659)</f>
        <v>4</v>
      </c>
      <c r="Q2659" s="1" t="str">
        <f aca="false">TEXT(B2659,"mmm")</f>
        <v>Apr</v>
      </c>
      <c r="R2659" s="1" t="str">
        <f aca="false">"Q"&amp;ROUNDUP(MONTH(B2659)/3,0)</f>
        <v>Q2</v>
      </c>
    </row>
    <row r="2660" customFormat="false" ht="15" hidden="false" customHeight="true" outlineLevel="0" collapsed="false">
      <c r="A2660" s="1" t="n">
        <v>12659</v>
      </c>
      <c r="B2660" s="14" t="n">
        <v>47220</v>
      </c>
      <c r="C2660" s="1" t="n">
        <v>1910</v>
      </c>
      <c r="D2660" s="1" t="s">
        <v>27</v>
      </c>
      <c r="E2660" s="1" t="s">
        <v>32</v>
      </c>
      <c r="F2660" s="1" t="n">
        <v>7</v>
      </c>
      <c r="G2660" s="15" t="n">
        <v>351.71</v>
      </c>
      <c r="H2660" s="16" t="n">
        <v>0.21</v>
      </c>
      <c r="I2660" s="1" t="s">
        <v>31</v>
      </c>
      <c r="J2660" s="1" t="n">
        <v>6</v>
      </c>
      <c r="K2660" s="1" t="n">
        <v>1.1</v>
      </c>
      <c r="L2660" s="15" t="n">
        <v>1944.96</v>
      </c>
      <c r="M2660" s="15" t="n">
        <f aca="false">F2660*G2660</f>
        <v>2461.97</v>
      </c>
      <c r="N2660" s="15" t="n">
        <f aca="false">M2660-L2660</f>
        <v>517.01</v>
      </c>
      <c r="O2660" s="1" t="n">
        <f aca="false">YEAR(B2660)</f>
        <v>2029</v>
      </c>
      <c r="P2660" s="1" t="n">
        <f aca="false">MONTH(B2660)</f>
        <v>4</v>
      </c>
      <c r="Q2660" s="1" t="str">
        <f aca="false">TEXT(B2660,"mmm")</f>
        <v>Apr</v>
      </c>
      <c r="R2660" s="1" t="str">
        <f aca="false">"Q"&amp;ROUNDUP(MONTH(B2660)/3,0)</f>
        <v>Q2</v>
      </c>
    </row>
    <row r="2661" customFormat="false" ht="15" hidden="false" customHeight="true" outlineLevel="0" collapsed="false">
      <c r="A2661" s="1" t="n">
        <v>12660</v>
      </c>
      <c r="B2661" s="14" t="n">
        <v>47221</v>
      </c>
      <c r="C2661" s="1" t="n">
        <v>1736</v>
      </c>
      <c r="D2661" s="1" t="s">
        <v>34</v>
      </c>
      <c r="E2661" s="1" t="s">
        <v>36</v>
      </c>
      <c r="F2661" s="1" t="n">
        <v>7</v>
      </c>
      <c r="G2661" s="15" t="n">
        <v>286.05</v>
      </c>
      <c r="H2661" s="16" t="n">
        <v>0.27</v>
      </c>
      <c r="I2661" s="1" t="s">
        <v>31</v>
      </c>
      <c r="J2661" s="1" t="n">
        <v>4</v>
      </c>
      <c r="K2661" s="1" t="n">
        <v>3.1</v>
      </c>
      <c r="L2661" s="15" t="n">
        <v>1461.72</v>
      </c>
      <c r="M2661" s="15" t="n">
        <f aca="false">F2661*G2661</f>
        <v>2002.35</v>
      </c>
      <c r="N2661" s="15" t="n">
        <f aca="false">M2661-L2661</f>
        <v>540.63</v>
      </c>
      <c r="O2661" s="1" t="n">
        <f aca="false">YEAR(B2661)</f>
        <v>2029</v>
      </c>
      <c r="P2661" s="1" t="n">
        <f aca="false">MONTH(B2661)</f>
        <v>4</v>
      </c>
      <c r="Q2661" s="1" t="str">
        <f aca="false">TEXT(B2661,"mmm")</f>
        <v>Apr</v>
      </c>
      <c r="R2661" s="1" t="str">
        <f aca="false">"Q"&amp;ROUNDUP(MONTH(B2661)/3,0)</f>
        <v>Q2</v>
      </c>
    </row>
    <row r="2662" customFormat="false" ht="15" hidden="false" customHeight="true" outlineLevel="0" collapsed="false">
      <c r="A2662" s="1" t="n">
        <v>12661</v>
      </c>
      <c r="B2662" s="14" t="n">
        <v>47222</v>
      </c>
      <c r="C2662" s="1" t="n">
        <v>1866</v>
      </c>
      <c r="D2662" s="1" t="s">
        <v>30</v>
      </c>
      <c r="E2662" s="1" t="s">
        <v>32</v>
      </c>
      <c r="F2662" s="1" t="n">
        <v>4</v>
      </c>
      <c r="G2662" s="15" t="n">
        <v>401.2</v>
      </c>
      <c r="H2662" s="16" t="n">
        <v>0.24</v>
      </c>
      <c r="I2662" s="1" t="s">
        <v>31</v>
      </c>
      <c r="J2662" s="1" t="n">
        <v>11</v>
      </c>
      <c r="K2662" s="1" t="n">
        <v>4.3</v>
      </c>
      <c r="L2662" s="15" t="n">
        <v>1219.65</v>
      </c>
      <c r="M2662" s="15" t="n">
        <f aca="false">F2662*G2662</f>
        <v>1604.8</v>
      </c>
      <c r="N2662" s="15" t="n">
        <f aca="false">M2662-L2662</f>
        <v>385.15</v>
      </c>
      <c r="O2662" s="1" t="n">
        <f aca="false">YEAR(B2662)</f>
        <v>2029</v>
      </c>
      <c r="P2662" s="1" t="n">
        <f aca="false">MONTH(B2662)</f>
        <v>4</v>
      </c>
      <c r="Q2662" s="1" t="str">
        <f aca="false">TEXT(B2662,"mmm")</f>
        <v>Apr</v>
      </c>
      <c r="R2662" s="1" t="str">
        <f aca="false">"Q"&amp;ROUNDUP(MONTH(B2662)/3,0)</f>
        <v>Q2</v>
      </c>
    </row>
    <row r="2663" customFormat="false" ht="15" hidden="false" customHeight="true" outlineLevel="0" collapsed="false">
      <c r="A2663" s="1" t="n">
        <v>12662</v>
      </c>
      <c r="B2663" s="14" t="n">
        <v>47223</v>
      </c>
      <c r="C2663" s="1" t="n">
        <v>1793</v>
      </c>
      <c r="D2663" s="1" t="s">
        <v>37</v>
      </c>
      <c r="E2663" s="1" t="s">
        <v>35</v>
      </c>
      <c r="F2663" s="1" t="n">
        <v>6</v>
      </c>
      <c r="G2663" s="15" t="n">
        <v>479.86</v>
      </c>
      <c r="H2663" s="16" t="n">
        <v>0.17</v>
      </c>
      <c r="I2663" s="1" t="s">
        <v>33</v>
      </c>
      <c r="J2663" s="1" t="n">
        <v>6</v>
      </c>
      <c r="K2663" s="1" t="n">
        <v>2.4</v>
      </c>
      <c r="L2663" s="15" t="n">
        <v>2389.7</v>
      </c>
      <c r="M2663" s="15" t="n">
        <f aca="false">F2663*G2663</f>
        <v>2879.16</v>
      </c>
      <c r="N2663" s="15" t="n">
        <f aca="false">M2663-L2663</f>
        <v>489.46</v>
      </c>
      <c r="O2663" s="1" t="n">
        <f aca="false">YEAR(B2663)</f>
        <v>2029</v>
      </c>
      <c r="P2663" s="1" t="n">
        <f aca="false">MONTH(B2663)</f>
        <v>4</v>
      </c>
      <c r="Q2663" s="1" t="str">
        <f aca="false">TEXT(B2663,"mmm")</f>
        <v>Apr</v>
      </c>
      <c r="R2663" s="1" t="str">
        <f aca="false">"Q"&amp;ROUNDUP(MONTH(B2663)/3,0)</f>
        <v>Q2</v>
      </c>
    </row>
    <row r="2664" customFormat="false" ht="15" hidden="false" customHeight="true" outlineLevel="0" collapsed="false">
      <c r="A2664" s="1" t="n">
        <v>12663</v>
      </c>
      <c r="B2664" s="14" t="n">
        <v>47224</v>
      </c>
      <c r="C2664" s="1" t="n">
        <v>1519</v>
      </c>
      <c r="D2664" s="1" t="s">
        <v>30</v>
      </c>
      <c r="E2664" s="1" t="s">
        <v>36</v>
      </c>
      <c r="F2664" s="1" t="n">
        <v>7</v>
      </c>
      <c r="G2664" s="15" t="n">
        <v>454.51</v>
      </c>
      <c r="H2664" s="16" t="n">
        <v>0.25</v>
      </c>
      <c r="I2664" s="1" t="s">
        <v>29</v>
      </c>
      <c r="J2664" s="1" t="n">
        <v>9</v>
      </c>
      <c r="K2664" s="1" t="n">
        <v>4.6</v>
      </c>
      <c r="L2664" s="15" t="n">
        <v>2386.18</v>
      </c>
      <c r="M2664" s="15" t="n">
        <f aca="false">F2664*G2664</f>
        <v>3181.57</v>
      </c>
      <c r="N2664" s="15" t="n">
        <f aca="false">M2664-L2664</f>
        <v>795.39</v>
      </c>
      <c r="O2664" s="1" t="n">
        <f aca="false">YEAR(B2664)</f>
        <v>2029</v>
      </c>
      <c r="P2664" s="1" t="n">
        <f aca="false">MONTH(B2664)</f>
        <v>4</v>
      </c>
      <c r="Q2664" s="1" t="str">
        <f aca="false">TEXT(B2664,"mmm")</f>
        <v>Apr</v>
      </c>
      <c r="R2664" s="1" t="str">
        <f aca="false">"Q"&amp;ROUNDUP(MONTH(B2664)/3,0)</f>
        <v>Q2</v>
      </c>
    </row>
    <row r="2665" customFormat="false" ht="15" hidden="false" customHeight="true" outlineLevel="0" collapsed="false">
      <c r="A2665" s="1" t="n">
        <v>12664</v>
      </c>
      <c r="B2665" s="14" t="n">
        <v>47225</v>
      </c>
      <c r="C2665" s="1" t="n">
        <v>1099</v>
      </c>
      <c r="D2665" s="1" t="s">
        <v>37</v>
      </c>
      <c r="E2665" s="1" t="s">
        <v>28</v>
      </c>
      <c r="F2665" s="1" t="n">
        <v>5</v>
      </c>
      <c r="G2665" s="15" t="n">
        <v>566.22</v>
      </c>
      <c r="H2665" s="16" t="n">
        <v>0.29</v>
      </c>
      <c r="I2665" s="1" t="s">
        <v>31</v>
      </c>
      <c r="J2665" s="1" t="n">
        <v>1</v>
      </c>
      <c r="K2665" s="1" t="n">
        <v>4.5</v>
      </c>
      <c r="L2665" s="15" t="n">
        <v>2010.08</v>
      </c>
      <c r="M2665" s="15" t="n">
        <f aca="false">F2665*G2665</f>
        <v>2831.1</v>
      </c>
      <c r="N2665" s="15" t="n">
        <f aca="false">M2665-L2665</f>
        <v>821.02</v>
      </c>
      <c r="O2665" s="1" t="n">
        <f aca="false">YEAR(B2665)</f>
        <v>2029</v>
      </c>
      <c r="P2665" s="1" t="n">
        <f aca="false">MONTH(B2665)</f>
        <v>4</v>
      </c>
      <c r="Q2665" s="1" t="str">
        <f aca="false">TEXT(B2665,"mmm")</f>
        <v>Apr</v>
      </c>
      <c r="R2665" s="1" t="str">
        <f aca="false">"Q"&amp;ROUNDUP(MONTH(B2665)/3,0)</f>
        <v>Q2</v>
      </c>
    </row>
    <row r="2666" customFormat="false" ht="15" hidden="false" customHeight="true" outlineLevel="0" collapsed="false">
      <c r="A2666" s="1" t="n">
        <v>12665</v>
      </c>
      <c r="B2666" s="14" t="n">
        <v>47226</v>
      </c>
      <c r="C2666" s="1" t="n">
        <v>1751</v>
      </c>
      <c r="D2666" s="1" t="s">
        <v>30</v>
      </c>
      <c r="E2666" s="1" t="s">
        <v>36</v>
      </c>
      <c r="F2666" s="1" t="n">
        <v>4</v>
      </c>
      <c r="G2666" s="15" t="n">
        <v>247.98</v>
      </c>
      <c r="H2666" s="16" t="n">
        <v>0.08</v>
      </c>
      <c r="I2666" s="1" t="s">
        <v>29</v>
      </c>
      <c r="J2666" s="1" t="n">
        <v>6</v>
      </c>
      <c r="K2666" s="1" t="n">
        <v>1.6</v>
      </c>
      <c r="L2666" s="15" t="n">
        <v>912.57</v>
      </c>
      <c r="M2666" s="15" t="n">
        <f aca="false">F2666*G2666</f>
        <v>991.92</v>
      </c>
      <c r="N2666" s="15" t="n">
        <f aca="false">M2666-L2666</f>
        <v>79.3499999999999</v>
      </c>
      <c r="O2666" s="1" t="n">
        <f aca="false">YEAR(B2666)</f>
        <v>2029</v>
      </c>
      <c r="P2666" s="1" t="n">
        <f aca="false">MONTH(B2666)</f>
        <v>4</v>
      </c>
      <c r="Q2666" s="1" t="str">
        <f aca="false">TEXT(B2666,"mmm")</f>
        <v>Apr</v>
      </c>
      <c r="R2666" s="1" t="str">
        <f aca="false">"Q"&amp;ROUNDUP(MONTH(B2666)/3,0)</f>
        <v>Q2</v>
      </c>
    </row>
    <row r="2667" customFormat="false" ht="15" hidden="false" customHeight="true" outlineLevel="0" collapsed="false">
      <c r="A2667" s="1" t="n">
        <v>12666</v>
      </c>
      <c r="B2667" s="14" t="n">
        <v>47227</v>
      </c>
      <c r="C2667" s="1" t="n">
        <v>1477</v>
      </c>
      <c r="D2667" s="1" t="s">
        <v>30</v>
      </c>
      <c r="E2667" s="1" t="s">
        <v>28</v>
      </c>
      <c r="F2667" s="1" t="n">
        <v>3</v>
      </c>
      <c r="G2667" s="15" t="n">
        <v>135.74</v>
      </c>
      <c r="H2667" s="16" t="n">
        <v>0.12</v>
      </c>
      <c r="I2667" s="1" t="s">
        <v>31</v>
      </c>
      <c r="J2667" s="1" t="n">
        <v>1</v>
      </c>
      <c r="K2667" s="1" t="n">
        <v>3</v>
      </c>
      <c r="L2667" s="15" t="n">
        <v>358.35</v>
      </c>
      <c r="M2667" s="15" t="n">
        <f aca="false">F2667*G2667</f>
        <v>407.22</v>
      </c>
      <c r="N2667" s="15" t="n">
        <f aca="false">M2667-L2667</f>
        <v>48.87</v>
      </c>
      <c r="O2667" s="1" t="n">
        <f aca="false">YEAR(B2667)</f>
        <v>2029</v>
      </c>
      <c r="P2667" s="1" t="n">
        <f aca="false">MONTH(B2667)</f>
        <v>4</v>
      </c>
      <c r="Q2667" s="1" t="str">
        <f aca="false">TEXT(B2667,"mmm")</f>
        <v>Apr</v>
      </c>
      <c r="R2667" s="1" t="str">
        <f aca="false">"Q"&amp;ROUNDUP(MONTH(B2667)/3,0)</f>
        <v>Q2</v>
      </c>
    </row>
    <row r="2668" customFormat="false" ht="15" hidden="false" customHeight="true" outlineLevel="0" collapsed="false">
      <c r="A2668" s="1" t="n">
        <v>12667</v>
      </c>
      <c r="B2668" s="14" t="n">
        <v>47228</v>
      </c>
      <c r="C2668" s="1" t="n">
        <v>1598</v>
      </c>
      <c r="D2668" s="1" t="s">
        <v>34</v>
      </c>
      <c r="E2668" s="1" t="s">
        <v>32</v>
      </c>
      <c r="F2668" s="1" t="n">
        <v>5</v>
      </c>
      <c r="G2668" s="15" t="n">
        <v>337.28</v>
      </c>
      <c r="H2668" s="16" t="n">
        <v>0.08</v>
      </c>
      <c r="I2668" s="1" t="s">
        <v>33</v>
      </c>
      <c r="J2668" s="1" t="n">
        <v>7</v>
      </c>
      <c r="K2668" s="1" t="n">
        <v>1.1</v>
      </c>
      <c r="L2668" s="15" t="n">
        <v>1551.49</v>
      </c>
      <c r="M2668" s="15" t="n">
        <f aca="false">F2668*G2668</f>
        <v>1686.4</v>
      </c>
      <c r="N2668" s="15" t="n">
        <f aca="false">M2668-L2668</f>
        <v>134.91</v>
      </c>
      <c r="O2668" s="1" t="n">
        <f aca="false">YEAR(B2668)</f>
        <v>2029</v>
      </c>
      <c r="P2668" s="1" t="n">
        <f aca="false">MONTH(B2668)</f>
        <v>4</v>
      </c>
      <c r="Q2668" s="1" t="str">
        <f aca="false">TEXT(B2668,"mmm")</f>
        <v>Apr</v>
      </c>
      <c r="R2668" s="1" t="str">
        <f aca="false">"Q"&amp;ROUNDUP(MONTH(B2668)/3,0)</f>
        <v>Q2</v>
      </c>
    </row>
    <row r="2669" customFormat="false" ht="15" hidden="false" customHeight="true" outlineLevel="0" collapsed="false">
      <c r="A2669" s="1" t="n">
        <v>12668</v>
      </c>
      <c r="B2669" s="14" t="n">
        <v>47229</v>
      </c>
      <c r="C2669" s="1" t="n">
        <v>1297</v>
      </c>
      <c r="D2669" s="1" t="s">
        <v>37</v>
      </c>
      <c r="E2669" s="1" t="s">
        <v>35</v>
      </c>
      <c r="F2669" s="1" t="n">
        <v>5</v>
      </c>
      <c r="G2669" s="15" t="n">
        <v>79.78</v>
      </c>
      <c r="H2669" s="16" t="n">
        <v>0.16</v>
      </c>
      <c r="I2669" s="1" t="s">
        <v>33</v>
      </c>
      <c r="J2669" s="1" t="n">
        <v>4</v>
      </c>
      <c r="K2669" s="1" t="n">
        <v>2.1</v>
      </c>
      <c r="L2669" s="15" t="n">
        <v>335.08</v>
      </c>
      <c r="M2669" s="15" t="n">
        <f aca="false">F2669*G2669</f>
        <v>398.9</v>
      </c>
      <c r="N2669" s="15" t="n">
        <f aca="false">M2669-L2669</f>
        <v>63.82</v>
      </c>
      <c r="O2669" s="1" t="n">
        <f aca="false">YEAR(B2669)</f>
        <v>2029</v>
      </c>
      <c r="P2669" s="1" t="n">
        <f aca="false">MONTH(B2669)</f>
        <v>4</v>
      </c>
      <c r="Q2669" s="1" t="str">
        <f aca="false">TEXT(B2669,"mmm")</f>
        <v>Apr</v>
      </c>
      <c r="R2669" s="1" t="str">
        <f aca="false">"Q"&amp;ROUNDUP(MONTH(B2669)/3,0)</f>
        <v>Q2</v>
      </c>
    </row>
    <row r="2670" customFormat="false" ht="15" hidden="false" customHeight="true" outlineLevel="0" collapsed="false">
      <c r="A2670" s="1" t="n">
        <v>12669</v>
      </c>
      <c r="B2670" s="14" t="n">
        <v>47230</v>
      </c>
      <c r="C2670" s="1" t="n">
        <v>1939</v>
      </c>
      <c r="D2670" s="1" t="s">
        <v>37</v>
      </c>
      <c r="E2670" s="1" t="s">
        <v>35</v>
      </c>
      <c r="F2670" s="1" t="n">
        <v>5</v>
      </c>
      <c r="G2670" s="15" t="n">
        <v>183.98</v>
      </c>
      <c r="H2670" s="16" t="n">
        <v>0.31</v>
      </c>
      <c r="I2670" s="1" t="s">
        <v>29</v>
      </c>
      <c r="J2670" s="1" t="n">
        <v>6</v>
      </c>
      <c r="K2670" s="1" t="n">
        <v>4.2</v>
      </c>
      <c r="L2670" s="15" t="n">
        <v>634.73</v>
      </c>
      <c r="M2670" s="15" t="n">
        <f aca="false">F2670*G2670</f>
        <v>919.9</v>
      </c>
      <c r="N2670" s="15" t="n">
        <f aca="false">M2670-L2670</f>
        <v>285.17</v>
      </c>
      <c r="O2670" s="1" t="n">
        <f aca="false">YEAR(B2670)</f>
        <v>2029</v>
      </c>
      <c r="P2670" s="1" t="n">
        <f aca="false">MONTH(B2670)</f>
        <v>4</v>
      </c>
      <c r="Q2670" s="1" t="str">
        <f aca="false">TEXT(B2670,"mmm")</f>
        <v>Apr</v>
      </c>
      <c r="R2670" s="1" t="str">
        <f aca="false">"Q"&amp;ROUNDUP(MONTH(B2670)/3,0)</f>
        <v>Q2</v>
      </c>
    </row>
    <row r="2671" customFormat="false" ht="15" hidden="false" customHeight="true" outlineLevel="0" collapsed="false">
      <c r="A2671" s="1" t="n">
        <v>12670</v>
      </c>
      <c r="B2671" s="14" t="n">
        <v>47231</v>
      </c>
      <c r="C2671" s="1" t="n">
        <v>1525</v>
      </c>
      <c r="D2671" s="1" t="s">
        <v>34</v>
      </c>
      <c r="E2671" s="1" t="s">
        <v>28</v>
      </c>
      <c r="F2671" s="1" t="n">
        <v>6</v>
      </c>
      <c r="G2671" s="15" t="n">
        <v>136.61</v>
      </c>
      <c r="H2671" s="16" t="n">
        <v>0.12</v>
      </c>
      <c r="I2671" s="1" t="s">
        <v>31</v>
      </c>
      <c r="J2671" s="1" t="n">
        <v>7</v>
      </c>
      <c r="K2671" s="1" t="n">
        <v>4.9</v>
      </c>
      <c r="L2671" s="15" t="n">
        <v>721.3</v>
      </c>
      <c r="M2671" s="15" t="n">
        <f aca="false">F2671*G2671</f>
        <v>819.66</v>
      </c>
      <c r="N2671" s="15" t="n">
        <f aca="false">M2671-L2671</f>
        <v>98.3600000000001</v>
      </c>
      <c r="O2671" s="1" t="n">
        <f aca="false">YEAR(B2671)</f>
        <v>2029</v>
      </c>
      <c r="P2671" s="1" t="n">
        <f aca="false">MONTH(B2671)</f>
        <v>4</v>
      </c>
      <c r="Q2671" s="1" t="str">
        <f aca="false">TEXT(B2671,"mmm")</f>
        <v>Apr</v>
      </c>
      <c r="R2671" s="1" t="str">
        <f aca="false">"Q"&amp;ROUNDUP(MONTH(B2671)/3,0)</f>
        <v>Q2</v>
      </c>
    </row>
    <row r="2672" customFormat="false" ht="15" hidden="false" customHeight="true" outlineLevel="0" collapsed="false">
      <c r="A2672" s="1" t="n">
        <v>12671</v>
      </c>
      <c r="B2672" s="14" t="n">
        <v>47232</v>
      </c>
      <c r="C2672" s="1" t="n">
        <v>1333</v>
      </c>
      <c r="D2672" s="1" t="s">
        <v>30</v>
      </c>
      <c r="E2672" s="1" t="s">
        <v>32</v>
      </c>
      <c r="F2672" s="1" t="n">
        <v>7</v>
      </c>
      <c r="G2672" s="15" t="n">
        <v>246.99</v>
      </c>
      <c r="H2672" s="16" t="n">
        <v>0.13</v>
      </c>
      <c r="I2672" s="1" t="s">
        <v>31</v>
      </c>
      <c r="J2672" s="1" t="n">
        <v>11</v>
      </c>
      <c r="K2672" s="1" t="n">
        <v>4.7</v>
      </c>
      <c r="L2672" s="15" t="n">
        <v>1504.17</v>
      </c>
      <c r="M2672" s="15" t="n">
        <f aca="false">F2672*G2672</f>
        <v>1728.93</v>
      </c>
      <c r="N2672" s="15" t="n">
        <f aca="false">M2672-L2672</f>
        <v>224.76</v>
      </c>
      <c r="O2672" s="1" t="n">
        <f aca="false">YEAR(B2672)</f>
        <v>2029</v>
      </c>
      <c r="P2672" s="1" t="n">
        <f aca="false">MONTH(B2672)</f>
        <v>4</v>
      </c>
      <c r="Q2672" s="1" t="str">
        <f aca="false">TEXT(B2672,"mmm")</f>
        <v>Apr</v>
      </c>
      <c r="R2672" s="1" t="str">
        <f aca="false">"Q"&amp;ROUNDUP(MONTH(B2672)/3,0)</f>
        <v>Q2</v>
      </c>
    </row>
    <row r="2673" customFormat="false" ht="15" hidden="false" customHeight="true" outlineLevel="0" collapsed="false">
      <c r="A2673" s="1" t="n">
        <v>12672</v>
      </c>
      <c r="B2673" s="14" t="n">
        <v>47233</v>
      </c>
      <c r="C2673" s="1" t="n">
        <v>1001</v>
      </c>
      <c r="D2673" s="1" t="s">
        <v>27</v>
      </c>
      <c r="E2673" s="1" t="s">
        <v>35</v>
      </c>
      <c r="F2673" s="1" t="n">
        <v>1</v>
      </c>
      <c r="G2673" s="15" t="n">
        <v>80.06</v>
      </c>
      <c r="H2673" s="16" t="n">
        <v>0.3</v>
      </c>
      <c r="I2673" s="1" t="s">
        <v>31</v>
      </c>
      <c r="J2673" s="1" t="n">
        <v>5</v>
      </c>
      <c r="K2673" s="1" t="n">
        <v>1.2</v>
      </c>
      <c r="L2673" s="15" t="n">
        <v>56.04</v>
      </c>
      <c r="M2673" s="15" t="n">
        <f aca="false">F2673*G2673</f>
        <v>80.06</v>
      </c>
      <c r="N2673" s="15" t="n">
        <f aca="false">M2673-L2673</f>
        <v>24.02</v>
      </c>
      <c r="O2673" s="1" t="n">
        <f aca="false">YEAR(B2673)</f>
        <v>2029</v>
      </c>
      <c r="P2673" s="1" t="n">
        <f aca="false">MONTH(B2673)</f>
        <v>4</v>
      </c>
      <c r="Q2673" s="1" t="str">
        <f aca="false">TEXT(B2673,"mmm")</f>
        <v>Apr</v>
      </c>
      <c r="R2673" s="1" t="str">
        <f aca="false">"Q"&amp;ROUNDUP(MONTH(B2673)/3,0)</f>
        <v>Q2</v>
      </c>
    </row>
    <row r="2674" customFormat="false" ht="15" hidden="false" customHeight="true" outlineLevel="0" collapsed="false">
      <c r="A2674" s="1" t="n">
        <v>12673</v>
      </c>
      <c r="B2674" s="14" t="n">
        <v>47234</v>
      </c>
      <c r="C2674" s="1" t="n">
        <v>1374</v>
      </c>
      <c r="D2674" s="1" t="s">
        <v>30</v>
      </c>
      <c r="E2674" s="1" t="s">
        <v>32</v>
      </c>
      <c r="F2674" s="1" t="n">
        <v>5</v>
      </c>
      <c r="G2674" s="15" t="n">
        <v>33.63</v>
      </c>
      <c r="H2674" s="16" t="n">
        <v>0.18</v>
      </c>
      <c r="I2674" s="1" t="s">
        <v>31</v>
      </c>
      <c r="J2674" s="1" t="n">
        <v>9</v>
      </c>
      <c r="K2674" s="1" t="n">
        <v>4.7</v>
      </c>
      <c r="L2674" s="15" t="n">
        <v>137.88</v>
      </c>
      <c r="M2674" s="15" t="n">
        <f aca="false">F2674*G2674</f>
        <v>168.15</v>
      </c>
      <c r="N2674" s="15" t="n">
        <f aca="false">M2674-L2674</f>
        <v>30.27</v>
      </c>
      <c r="O2674" s="1" t="n">
        <f aca="false">YEAR(B2674)</f>
        <v>2029</v>
      </c>
      <c r="P2674" s="1" t="n">
        <f aca="false">MONTH(B2674)</f>
        <v>4</v>
      </c>
      <c r="Q2674" s="1" t="str">
        <f aca="false">TEXT(B2674,"mmm")</f>
        <v>Apr</v>
      </c>
      <c r="R2674" s="1" t="str">
        <f aca="false">"Q"&amp;ROUNDUP(MONTH(B2674)/3,0)</f>
        <v>Q2</v>
      </c>
    </row>
    <row r="2675" customFormat="false" ht="15" hidden="false" customHeight="true" outlineLevel="0" collapsed="false">
      <c r="A2675" s="1" t="n">
        <v>12674</v>
      </c>
      <c r="B2675" s="14" t="n">
        <v>47235</v>
      </c>
      <c r="C2675" s="1" t="n">
        <v>1292</v>
      </c>
      <c r="D2675" s="1" t="s">
        <v>30</v>
      </c>
      <c r="E2675" s="1" t="s">
        <v>28</v>
      </c>
      <c r="F2675" s="1" t="n">
        <v>4</v>
      </c>
      <c r="G2675" s="15" t="n">
        <v>399.22</v>
      </c>
      <c r="H2675" s="16" t="n">
        <v>0.19</v>
      </c>
      <c r="I2675" s="1" t="s">
        <v>29</v>
      </c>
      <c r="J2675" s="1" t="n">
        <v>8</v>
      </c>
      <c r="K2675" s="1" t="n">
        <v>4.3</v>
      </c>
      <c r="L2675" s="15" t="n">
        <v>1293.47</v>
      </c>
      <c r="M2675" s="15" t="n">
        <f aca="false">F2675*G2675</f>
        <v>1596.88</v>
      </c>
      <c r="N2675" s="15" t="n">
        <f aca="false">M2675-L2675</f>
        <v>303.41</v>
      </c>
      <c r="O2675" s="1" t="n">
        <f aca="false">YEAR(B2675)</f>
        <v>2029</v>
      </c>
      <c r="P2675" s="1" t="n">
        <f aca="false">MONTH(B2675)</f>
        <v>4</v>
      </c>
      <c r="Q2675" s="1" t="str">
        <f aca="false">TEXT(B2675,"mmm")</f>
        <v>Apr</v>
      </c>
      <c r="R2675" s="1" t="str">
        <f aca="false">"Q"&amp;ROUNDUP(MONTH(B2675)/3,0)</f>
        <v>Q2</v>
      </c>
    </row>
    <row r="2676" customFormat="false" ht="15" hidden="false" customHeight="true" outlineLevel="0" collapsed="false">
      <c r="A2676" s="1" t="n">
        <v>12675</v>
      </c>
      <c r="B2676" s="14" t="n">
        <v>47236</v>
      </c>
      <c r="C2676" s="1" t="n">
        <v>1836</v>
      </c>
      <c r="D2676" s="1" t="s">
        <v>27</v>
      </c>
      <c r="E2676" s="1" t="s">
        <v>28</v>
      </c>
      <c r="F2676" s="1" t="n">
        <v>4</v>
      </c>
      <c r="G2676" s="15" t="n">
        <v>372</v>
      </c>
      <c r="H2676" s="16" t="n">
        <v>0.3</v>
      </c>
      <c r="I2676" s="1" t="s">
        <v>33</v>
      </c>
      <c r="J2676" s="1" t="n">
        <v>3</v>
      </c>
      <c r="K2676" s="1" t="n">
        <v>4.5</v>
      </c>
      <c r="L2676" s="15" t="n">
        <v>1041.6</v>
      </c>
      <c r="M2676" s="15" t="n">
        <f aca="false">F2676*G2676</f>
        <v>1488</v>
      </c>
      <c r="N2676" s="15" t="n">
        <f aca="false">M2676-L2676</f>
        <v>446.4</v>
      </c>
      <c r="O2676" s="1" t="n">
        <f aca="false">YEAR(B2676)</f>
        <v>2029</v>
      </c>
      <c r="P2676" s="1" t="n">
        <f aca="false">MONTH(B2676)</f>
        <v>4</v>
      </c>
      <c r="Q2676" s="1" t="str">
        <f aca="false">TEXT(B2676,"mmm")</f>
        <v>Apr</v>
      </c>
      <c r="R2676" s="1" t="str">
        <f aca="false">"Q"&amp;ROUNDUP(MONTH(B2676)/3,0)</f>
        <v>Q2</v>
      </c>
    </row>
    <row r="2677" customFormat="false" ht="15" hidden="false" customHeight="true" outlineLevel="0" collapsed="false">
      <c r="A2677" s="1" t="n">
        <v>12676</v>
      </c>
      <c r="B2677" s="14" t="n">
        <v>47237</v>
      </c>
      <c r="C2677" s="1" t="n">
        <v>1933</v>
      </c>
      <c r="D2677" s="1" t="s">
        <v>37</v>
      </c>
      <c r="E2677" s="1" t="s">
        <v>36</v>
      </c>
      <c r="F2677" s="1" t="n">
        <v>3</v>
      </c>
      <c r="G2677" s="15" t="n">
        <v>429.39</v>
      </c>
      <c r="H2677" s="16" t="n">
        <v>0.17</v>
      </c>
      <c r="I2677" s="1" t="s">
        <v>33</v>
      </c>
      <c r="J2677" s="1" t="n">
        <v>1</v>
      </c>
      <c r="K2677" s="1" t="n">
        <v>4.7</v>
      </c>
      <c r="L2677" s="15" t="n">
        <v>1069.18</v>
      </c>
      <c r="M2677" s="15" t="n">
        <f aca="false">F2677*G2677</f>
        <v>1288.17</v>
      </c>
      <c r="N2677" s="15" t="n">
        <f aca="false">M2677-L2677</f>
        <v>218.99</v>
      </c>
      <c r="O2677" s="1" t="n">
        <f aca="false">YEAR(B2677)</f>
        <v>2029</v>
      </c>
      <c r="P2677" s="1" t="n">
        <f aca="false">MONTH(B2677)</f>
        <v>4</v>
      </c>
      <c r="Q2677" s="1" t="str">
        <f aca="false">TEXT(B2677,"mmm")</f>
        <v>Apr</v>
      </c>
      <c r="R2677" s="1" t="str">
        <f aca="false">"Q"&amp;ROUNDUP(MONTH(B2677)/3,0)</f>
        <v>Q2</v>
      </c>
    </row>
    <row r="2678" customFormat="false" ht="15" hidden="false" customHeight="true" outlineLevel="0" collapsed="false">
      <c r="A2678" s="1" t="n">
        <v>12677</v>
      </c>
      <c r="B2678" s="14" t="n">
        <v>47238</v>
      </c>
      <c r="C2678" s="1" t="n">
        <v>1552</v>
      </c>
      <c r="D2678" s="1" t="s">
        <v>30</v>
      </c>
      <c r="E2678" s="1" t="s">
        <v>35</v>
      </c>
      <c r="F2678" s="1" t="n">
        <v>2</v>
      </c>
      <c r="G2678" s="15" t="n">
        <v>401.33</v>
      </c>
      <c r="H2678" s="16" t="n">
        <v>0.24</v>
      </c>
      <c r="I2678" s="1" t="s">
        <v>33</v>
      </c>
      <c r="J2678" s="1" t="n">
        <v>11</v>
      </c>
      <c r="K2678" s="1" t="n">
        <v>3</v>
      </c>
      <c r="L2678" s="15" t="n">
        <v>610.02</v>
      </c>
      <c r="M2678" s="15" t="n">
        <f aca="false">F2678*G2678</f>
        <v>802.66</v>
      </c>
      <c r="N2678" s="15" t="n">
        <f aca="false">M2678-L2678</f>
        <v>192.64</v>
      </c>
      <c r="O2678" s="1" t="n">
        <f aca="false">YEAR(B2678)</f>
        <v>2029</v>
      </c>
      <c r="P2678" s="1" t="n">
        <f aca="false">MONTH(B2678)</f>
        <v>4</v>
      </c>
      <c r="Q2678" s="1" t="str">
        <f aca="false">TEXT(B2678,"mmm")</f>
        <v>Apr</v>
      </c>
      <c r="R2678" s="1" t="str">
        <f aca="false">"Q"&amp;ROUNDUP(MONTH(B2678)/3,0)</f>
        <v>Q2</v>
      </c>
    </row>
    <row r="2679" customFormat="false" ht="15" hidden="false" customHeight="true" outlineLevel="0" collapsed="false">
      <c r="A2679" s="1" t="n">
        <v>12678</v>
      </c>
      <c r="B2679" s="14" t="n">
        <v>47239</v>
      </c>
      <c r="C2679" s="1" t="n">
        <v>1317</v>
      </c>
      <c r="D2679" s="1" t="s">
        <v>37</v>
      </c>
      <c r="E2679" s="1" t="s">
        <v>35</v>
      </c>
      <c r="F2679" s="1" t="n">
        <v>2</v>
      </c>
      <c r="G2679" s="15" t="n">
        <v>81.86</v>
      </c>
      <c r="H2679" s="16" t="n">
        <v>0.03</v>
      </c>
      <c r="I2679" s="1" t="s">
        <v>29</v>
      </c>
      <c r="J2679" s="1" t="n">
        <v>10</v>
      </c>
      <c r="K2679" s="1" t="n">
        <v>1.8</v>
      </c>
      <c r="L2679" s="15" t="n">
        <v>158.81</v>
      </c>
      <c r="M2679" s="15" t="n">
        <f aca="false">F2679*G2679</f>
        <v>163.72</v>
      </c>
      <c r="N2679" s="15" t="n">
        <f aca="false">M2679-L2679</f>
        <v>4.91</v>
      </c>
      <c r="O2679" s="1" t="n">
        <f aca="false">YEAR(B2679)</f>
        <v>2029</v>
      </c>
      <c r="P2679" s="1" t="n">
        <f aca="false">MONTH(B2679)</f>
        <v>5</v>
      </c>
      <c r="Q2679" s="1" t="str">
        <f aca="false">TEXT(B2679,"mmm")</f>
        <v>May</v>
      </c>
      <c r="R2679" s="1" t="str">
        <f aca="false">"Q"&amp;ROUNDUP(MONTH(B2679)/3,0)</f>
        <v>Q2</v>
      </c>
    </row>
    <row r="2680" customFormat="false" ht="15" hidden="false" customHeight="true" outlineLevel="0" collapsed="false">
      <c r="A2680" s="1" t="n">
        <v>12679</v>
      </c>
      <c r="B2680" s="14" t="n">
        <v>47240</v>
      </c>
      <c r="C2680" s="1" t="n">
        <v>1501</v>
      </c>
      <c r="D2680" s="1" t="s">
        <v>27</v>
      </c>
      <c r="E2680" s="1" t="s">
        <v>36</v>
      </c>
      <c r="F2680" s="1" t="n">
        <v>1</v>
      </c>
      <c r="G2680" s="15" t="n">
        <v>185.28</v>
      </c>
      <c r="H2680" s="16" t="n">
        <v>0.06</v>
      </c>
      <c r="I2680" s="1" t="s">
        <v>31</v>
      </c>
      <c r="J2680" s="1" t="n">
        <v>8</v>
      </c>
      <c r="K2680" s="1" t="n">
        <v>1.1</v>
      </c>
      <c r="L2680" s="15" t="n">
        <v>174.16</v>
      </c>
      <c r="M2680" s="15" t="n">
        <f aca="false">F2680*G2680</f>
        <v>185.28</v>
      </c>
      <c r="N2680" s="15" t="n">
        <f aca="false">M2680-L2680</f>
        <v>11.12</v>
      </c>
      <c r="O2680" s="1" t="n">
        <f aca="false">YEAR(B2680)</f>
        <v>2029</v>
      </c>
      <c r="P2680" s="1" t="n">
        <f aca="false">MONTH(B2680)</f>
        <v>5</v>
      </c>
      <c r="Q2680" s="1" t="str">
        <f aca="false">TEXT(B2680,"mmm")</f>
        <v>May</v>
      </c>
      <c r="R2680" s="1" t="str">
        <f aca="false">"Q"&amp;ROUNDUP(MONTH(B2680)/3,0)</f>
        <v>Q2</v>
      </c>
    </row>
    <row r="2681" customFormat="false" ht="15" hidden="false" customHeight="true" outlineLevel="0" collapsed="false">
      <c r="A2681" s="1" t="n">
        <v>12680</v>
      </c>
      <c r="B2681" s="14" t="n">
        <v>47241</v>
      </c>
      <c r="C2681" s="1" t="n">
        <v>1827</v>
      </c>
      <c r="D2681" s="1" t="s">
        <v>30</v>
      </c>
      <c r="E2681" s="1" t="s">
        <v>28</v>
      </c>
      <c r="F2681" s="1" t="n">
        <v>6</v>
      </c>
      <c r="G2681" s="15" t="n">
        <v>90.77</v>
      </c>
      <c r="H2681" s="16" t="n">
        <v>0.14</v>
      </c>
      <c r="I2681" s="1" t="s">
        <v>31</v>
      </c>
      <c r="J2681" s="1" t="n">
        <v>4</v>
      </c>
      <c r="K2681" s="1" t="n">
        <v>1.1</v>
      </c>
      <c r="L2681" s="15" t="n">
        <v>468.37</v>
      </c>
      <c r="M2681" s="15" t="n">
        <f aca="false">F2681*G2681</f>
        <v>544.62</v>
      </c>
      <c r="N2681" s="15" t="n">
        <f aca="false">M2681-L2681</f>
        <v>76.25</v>
      </c>
      <c r="O2681" s="1" t="n">
        <f aca="false">YEAR(B2681)</f>
        <v>2029</v>
      </c>
      <c r="P2681" s="1" t="n">
        <f aca="false">MONTH(B2681)</f>
        <v>5</v>
      </c>
      <c r="Q2681" s="1" t="str">
        <f aca="false">TEXT(B2681,"mmm")</f>
        <v>May</v>
      </c>
      <c r="R2681" s="1" t="str">
        <f aca="false">"Q"&amp;ROUNDUP(MONTH(B2681)/3,0)</f>
        <v>Q2</v>
      </c>
    </row>
    <row r="2682" customFormat="false" ht="15" hidden="false" customHeight="true" outlineLevel="0" collapsed="false">
      <c r="A2682" s="1" t="n">
        <v>12681</v>
      </c>
      <c r="B2682" s="14" t="n">
        <v>47242</v>
      </c>
      <c r="C2682" s="1" t="n">
        <v>1380</v>
      </c>
      <c r="D2682" s="1" t="s">
        <v>30</v>
      </c>
      <c r="E2682" s="1" t="s">
        <v>28</v>
      </c>
      <c r="F2682" s="1" t="n">
        <v>7</v>
      </c>
      <c r="G2682" s="15" t="n">
        <v>508.14</v>
      </c>
      <c r="H2682" s="16" t="n">
        <v>0.17</v>
      </c>
      <c r="I2682" s="1" t="s">
        <v>29</v>
      </c>
      <c r="J2682" s="1" t="n">
        <v>7</v>
      </c>
      <c r="K2682" s="1" t="n">
        <v>3.6</v>
      </c>
      <c r="L2682" s="15" t="n">
        <v>2952.29</v>
      </c>
      <c r="M2682" s="15" t="n">
        <f aca="false">F2682*G2682</f>
        <v>3556.98</v>
      </c>
      <c r="N2682" s="15" t="n">
        <f aca="false">M2682-L2682</f>
        <v>604.69</v>
      </c>
      <c r="O2682" s="1" t="n">
        <f aca="false">YEAR(B2682)</f>
        <v>2029</v>
      </c>
      <c r="P2682" s="1" t="n">
        <f aca="false">MONTH(B2682)</f>
        <v>5</v>
      </c>
      <c r="Q2682" s="1" t="str">
        <f aca="false">TEXT(B2682,"mmm")</f>
        <v>May</v>
      </c>
      <c r="R2682" s="1" t="str">
        <f aca="false">"Q"&amp;ROUNDUP(MONTH(B2682)/3,0)</f>
        <v>Q2</v>
      </c>
    </row>
    <row r="2683" customFormat="false" ht="15" hidden="false" customHeight="true" outlineLevel="0" collapsed="false">
      <c r="A2683" s="1" t="n">
        <v>12682</v>
      </c>
      <c r="B2683" s="14" t="n">
        <v>47243</v>
      </c>
      <c r="C2683" s="1" t="n">
        <v>1622</v>
      </c>
      <c r="D2683" s="1" t="s">
        <v>30</v>
      </c>
      <c r="E2683" s="1" t="s">
        <v>28</v>
      </c>
      <c r="F2683" s="1" t="n">
        <v>6</v>
      </c>
      <c r="G2683" s="15" t="n">
        <v>451.94</v>
      </c>
      <c r="H2683" s="16" t="n">
        <v>0.34</v>
      </c>
      <c r="I2683" s="1" t="s">
        <v>31</v>
      </c>
      <c r="J2683" s="1" t="n">
        <v>4</v>
      </c>
      <c r="K2683" s="1" t="n">
        <v>2.3</v>
      </c>
      <c r="L2683" s="15" t="n">
        <v>1789.68</v>
      </c>
      <c r="M2683" s="15" t="n">
        <f aca="false">F2683*G2683</f>
        <v>2711.64</v>
      </c>
      <c r="N2683" s="15" t="n">
        <f aca="false">M2683-L2683</f>
        <v>921.96</v>
      </c>
      <c r="O2683" s="1" t="n">
        <f aca="false">YEAR(B2683)</f>
        <v>2029</v>
      </c>
      <c r="P2683" s="1" t="n">
        <f aca="false">MONTH(B2683)</f>
        <v>5</v>
      </c>
      <c r="Q2683" s="1" t="str">
        <f aca="false">TEXT(B2683,"mmm")</f>
        <v>May</v>
      </c>
      <c r="R2683" s="1" t="str">
        <f aca="false">"Q"&amp;ROUNDUP(MONTH(B2683)/3,0)</f>
        <v>Q2</v>
      </c>
    </row>
    <row r="2684" customFormat="false" ht="15" hidden="false" customHeight="true" outlineLevel="0" collapsed="false">
      <c r="A2684" s="1" t="n">
        <v>12683</v>
      </c>
      <c r="B2684" s="14" t="n">
        <v>47244</v>
      </c>
      <c r="C2684" s="1" t="n">
        <v>1013</v>
      </c>
      <c r="D2684" s="1" t="s">
        <v>27</v>
      </c>
      <c r="E2684" s="1" t="s">
        <v>28</v>
      </c>
      <c r="F2684" s="1" t="n">
        <v>7</v>
      </c>
      <c r="G2684" s="15" t="n">
        <v>132.89</v>
      </c>
      <c r="H2684" s="16" t="n">
        <v>0.34</v>
      </c>
      <c r="I2684" s="1" t="s">
        <v>31</v>
      </c>
      <c r="J2684" s="1" t="n">
        <v>7</v>
      </c>
      <c r="K2684" s="1" t="n">
        <v>3</v>
      </c>
      <c r="L2684" s="15" t="n">
        <v>613.95</v>
      </c>
      <c r="M2684" s="15" t="n">
        <f aca="false">F2684*G2684</f>
        <v>930.23</v>
      </c>
      <c r="N2684" s="15" t="n">
        <f aca="false">M2684-L2684</f>
        <v>316.28</v>
      </c>
      <c r="O2684" s="1" t="n">
        <f aca="false">YEAR(B2684)</f>
        <v>2029</v>
      </c>
      <c r="P2684" s="1" t="n">
        <f aca="false">MONTH(B2684)</f>
        <v>5</v>
      </c>
      <c r="Q2684" s="1" t="str">
        <f aca="false">TEXT(B2684,"mmm")</f>
        <v>May</v>
      </c>
      <c r="R2684" s="1" t="str">
        <f aca="false">"Q"&amp;ROUNDUP(MONTH(B2684)/3,0)</f>
        <v>Q2</v>
      </c>
    </row>
    <row r="2685" customFormat="false" ht="15" hidden="false" customHeight="true" outlineLevel="0" collapsed="false">
      <c r="A2685" s="1" t="n">
        <v>12684</v>
      </c>
      <c r="B2685" s="14" t="n">
        <v>47245</v>
      </c>
      <c r="C2685" s="1" t="n">
        <v>1503</v>
      </c>
      <c r="D2685" s="1" t="s">
        <v>37</v>
      </c>
      <c r="E2685" s="1" t="s">
        <v>32</v>
      </c>
      <c r="F2685" s="1" t="n">
        <v>5</v>
      </c>
      <c r="G2685" s="15" t="n">
        <v>214.67</v>
      </c>
      <c r="H2685" s="16" t="n">
        <v>0.3</v>
      </c>
      <c r="I2685" s="1" t="s">
        <v>31</v>
      </c>
      <c r="J2685" s="1" t="n">
        <v>1</v>
      </c>
      <c r="K2685" s="1" t="n">
        <v>1.5</v>
      </c>
      <c r="L2685" s="15" t="n">
        <v>751.34</v>
      </c>
      <c r="M2685" s="15" t="n">
        <f aca="false">F2685*G2685</f>
        <v>1073.35</v>
      </c>
      <c r="N2685" s="15" t="n">
        <f aca="false">M2685-L2685</f>
        <v>322.01</v>
      </c>
      <c r="O2685" s="1" t="n">
        <f aca="false">YEAR(B2685)</f>
        <v>2029</v>
      </c>
      <c r="P2685" s="1" t="n">
        <f aca="false">MONTH(B2685)</f>
        <v>5</v>
      </c>
      <c r="Q2685" s="1" t="str">
        <f aca="false">TEXT(B2685,"mmm")</f>
        <v>May</v>
      </c>
      <c r="R2685" s="1" t="str">
        <f aca="false">"Q"&amp;ROUNDUP(MONTH(B2685)/3,0)</f>
        <v>Q2</v>
      </c>
    </row>
    <row r="2686" customFormat="false" ht="15" hidden="false" customHeight="true" outlineLevel="0" collapsed="false">
      <c r="A2686" s="1" t="n">
        <v>12685</v>
      </c>
      <c r="B2686" s="14" t="n">
        <v>47246</v>
      </c>
      <c r="C2686" s="1" t="n">
        <v>1230</v>
      </c>
      <c r="D2686" s="1" t="s">
        <v>34</v>
      </c>
      <c r="E2686" s="1" t="s">
        <v>35</v>
      </c>
      <c r="F2686" s="1" t="n">
        <v>7</v>
      </c>
      <c r="G2686" s="15" t="n">
        <v>580.47</v>
      </c>
      <c r="H2686" s="16" t="n">
        <v>0.11</v>
      </c>
      <c r="I2686" s="1" t="s">
        <v>33</v>
      </c>
      <c r="J2686" s="1" t="n">
        <v>1</v>
      </c>
      <c r="K2686" s="1" t="n">
        <v>4.9</v>
      </c>
      <c r="L2686" s="15" t="n">
        <v>3616.33</v>
      </c>
      <c r="M2686" s="15" t="n">
        <f aca="false">F2686*G2686</f>
        <v>4063.29</v>
      </c>
      <c r="N2686" s="15" t="n">
        <f aca="false">M2686-L2686</f>
        <v>446.96</v>
      </c>
      <c r="O2686" s="1" t="n">
        <f aca="false">YEAR(B2686)</f>
        <v>2029</v>
      </c>
      <c r="P2686" s="1" t="n">
        <f aca="false">MONTH(B2686)</f>
        <v>5</v>
      </c>
      <c r="Q2686" s="1" t="str">
        <f aca="false">TEXT(B2686,"mmm")</f>
        <v>May</v>
      </c>
      <c r="R2686" s="1" t="str">
        <f aca="false">"Q"&amp;ROUNDUP(MONTH(B2686)/3,0)</f>
        <v>Q2</v>
      </c>
    </row>
    <row r="2687" customFormat="false" ht="15" hidden="false" customHeight="true" outlineLevel="0" collapsed="false">
      <c r="A2687" s="1" t="n">
        <v>12686</v>
      </c>
      <c r="B2687" s="14" t="n">
        <v>47247</v>
      </c>
      <c r="C2687" s="1" t="n">
        <v>1984</v>
      </c>
      <c r="D2687" s="1" t="s">
        <v>27</v>
      </c>
      <c r="E2687" s="1" t="s">
        <v>35</v>
      </c>
      <c r="F2687" s="1" t="n">
        <v>1</v>
      </c>
      <c r="G2687" s="15" t="n">
        <v>362.58</v>
      </c>
      <c r="H2687" s="16" t="n">
        <v>0.34</v>
      </c>
      <c r="I2687" s="1" t="s">
        <v>33</v>
      </c>
      <c r="J2687" s="1" t="n">
        <v>2</v>
      </c>
      <c r="K2687" s="1" t="n">
        <v>1.5</v>
      </c>
      <c r="L2687" s="15" t="n">
        <v>239.3</v>
      </c>
      <c r="M2687" s="15" t="n">
        <f aca="false">F2687*G2687</f>
        <v>362.58</v>
      </c>
      <c r="N2687" s="15" t="n">
        <f aca="false">M2687-L2687</f>
        <v>123.28</v>
      </c>
      <c r="O2687" s="1" t="n">
        <f aca="false">YEAR(B2687)</f>
        <v>2029</v>
      </c>
      <c r="P2687" s="1" t="n">
        <f aca="false">MONTH(B2687)</f>
        <v>5</v>
      </c>
      <c r="Q2687" s="1" t="str">
        <f aca="false">TEXT(B2687,"mmm")</f>
        <v>May</v>
      </c>
      <c r="R2687" s="1" t="str">
        <f aca="false">"Q"&amp;ROUNDUP(MONTH(B2687)/3,0)</f>
        <v>Q2</v>
      </c>
    </row>
    <row r="2688" customFormat="false" ht="15" hidden="false" customHeight="true" outlineLevel="0" collapsed="false">
      <c r="A2688" s="1" t="n">
        <v>12687</v>
      </c>
      <c r="B2688" s="14" t="n">
        <v>47248</v>
      </c>
      <c r="C2688" s="1" t="n">
        <v>1083</v>
      </c>
      <c r="D2688" s="1" t="s">
        <v>30</v>
      </c>
      <c r="E2688" s="1" t="s">
        <v>28</v>
      </c>
      <c r="F2688" s="1" t="n">
        <v>3</v>
      </c>
      <c r="G2688" s="15" t="n">
        <v>483.68</v>
      </c>
      <c r="H2688" s="16" t="n">
        <v>0.24</v>
      </c>
      <c r="I2688" s="1" t="s">
        <v>31</v>
      </c>
      <c r="J2688" s="1" t="n">
        <v>5</v>
      </c>
      <c r="K2688" s="1" t="n">
        <v>2.8</v>
      </c>
      <c r="L2688" s="15" t="n">
        <v>1102.79</v>
      </c>
      <c r="M2688" s="15" t="n">
        <f aca="false">F2688*G2688</f>
        <v>1451.04</v>
      </c>
      <c r="N2688" s="15" t="n">
        <f aca="false">M2688-L2688</f>
        <v>348.25</v>
      </c>
      <c r="O2688" s="1" t="n">
        <f aca="false">YEAR(B2688)</f>
        <v>2029</v>
      </c>
      <c r="P2688" s="1" t="n">
        <f aca="false">MONTH(B2688)</f>
        <v>5</v>
      </c>
      <c r="Q2688" s="1" t="str">
        <f aca="false">TEXT(B2688,"mmm")</f>
        <v>May</v>
      </c>
      <c r="R2688" s="1" t="str">
        <f aca="false">"Q"&amp;ROUNDUP(MONTH(B2688)/3,0)</f>
        <v>Q2</v>
      </c>
    </row>
    <row r="2689" customFormat="false" ht="15" hidden="false" customHeight="true" outlineLevel="0" collapsed="false">
      <c r="A2689" s="1" t="n">
        <v>12688</v>
      </c>
      <c r="B2689" s="14" t="n">
        <v>47249</v>
      </c>
      <c r="C2689" s="1" t="n">
        <v>1129</v>
      </c>
      <c r="D2689" s="1" t="s">
        <v>34</v>
      </c>
      <c r="E2689" s="1" t="s">
        <v>28</v>
      </c>
      <c r="F2689" s="1" t="n">
        <v>3</v>
      </c>
      <c r="G2689" s="15" t="n">
        <v>169.79</v>
      </c>
      <c r="H2689" s="16" t="n">
        <v>0.14</v>
      </c>
      <c r="I2689" s="1" t="s">
        <v>33</v>
      </c>
      <c r="J2689" s="1" t="n">
        <v>11</v>
      </c>
      <c r="K2689" s="1" t="n">
        <v>2.8</v>
      </c>
      <c r="L2689" s="15" t="n">
        <v>438.06</v>
      </c>
      <c r="M2689" s="15" t="n">
        <f aca="false">F2689*G2689</f>
        <v>509.37</v>
      </c>
      <c r="N2689" s="15" t="n">
        <f aca="false">M2689-L2689</f>
        <v>71.31</v>
      </c>
      <c r="O2689" s="1" t="n">
        <f aca="false">YEAR(B2689)</f>
        <v>2029</v>
      </c>
      <c r="P2689" s="1" t="n">
        <f aca="false">MONTH(B2689)</f>
        <v>5</v>
      </c>
      <c r="Q2689" s="1" t="str">
        <f aca="false">TEXT(B2689,"mmm")</f>
        <v>May</v>
      </c>
      <c r="R2689" s="1" t="str">
        <f aca="false">"Q"&amp;ROUNDUP(MONTH(B2689)/3,0)</f>
        <v>Q2</v>
      </c>
    </row>
    <row r="2690" customFormat="false" ht="15" hidden="false" customHeight="true" outlineLevel="0" collapsed="false">
      <c r="A2690" s="1" t="n">
        <v>12689</v>
      </c>
      <c r="B2690" s="14" t="n">
        <v>47250</v>
      </c>
      <c r="C2690" s="1" t="n">
        <v>1742</v>
      </c>
      <c r="D2690" s="1" t="s">
        <v>30</v>
      </c>
      <c r="E2690" s="1" t="s">
        <v>28</v>
      </c>
      <c r="F2690" s="1" t="n">
        <v>2</v>
      </c>
      <c r="G2690" s="15" t="n">
        <v>137.88</v>
      </c>
      <c r="H2690" s="16" t="n">
        <v>0.25</v>
      </c>
      <c r="I2690" s="1" t="s">
        <v>33</v>
      </c>
      <c r="J2690" s="1" t="n">
        <v>10</v>
      </c>
      <c r="K2690" s="1" t="n">
        <v>1</v>
      </c>
      <c r="L2690" s="15" t="n">
        <v>206.82</v>
      </c>
      <c r="M2690" s="15" t="n">
        <f aca="false">F2690*G2690</f>
        <v>275.76</v>
      </c>
      <c r="N2690" s="15" t="n">
        <f aca="false">M2690-L2690</f>
        <v>68.94</v>
      </c>
      <c r="O2690" s="1" t="n">
        <f aca="false">YEAR(B2690)</f>
        <v>2029</v>
      </c>
      <c r="P2690" s="1" t="n">
        <f aca="false">MONTH(B2690)</f>
        <v>5</v>
      </c>
      <c r="Q2690" s="1" t="str">
        <f aca="false">TEXT(B2690,"mmm")</f>
        <v>May</v>
      </c>
      <c r="R2690" s="1" t="str">
        <f aca="false">"Q"&amp;ROUNDUP(MONTH(B2690)/3,0)</f>
        <v>Q2</v>
      </c>
    </row>
    <row r="2691" customFormat="false" ht="15" hidden="false" customHeight="true" outlineLevel="0" collapsed="false">
      <c r="A2691" s="1" t="n">
        <v>12690</v>
      </c>
      <c r="B2691" s="14" t="n">
        <v>47251</v>
      </c>
      <c r="C2691" s="1" t="n">
        <v>1837</v>
      </c>
      <c r="D2691" s="1" t="s">
        <v>30</v>
      </c>
      <c r="E2691" s="1" t="s">
        <v>35</v>
      </c>
      <c r="F2691" s="1" t="n">
        <v>3</v>
      </c>
      <c r="G2691" s="15" t="n">
        <v>473.59</v>
      </c>
      <c r="H2691" s="16" t="n">
        <v>0.01</v>
      </c>
      <c r="I2691" s="1" t="s">
        <v>29</v>
      </c>
      <c r="J2691" s="1" t="n">
        <v>6</v>
      </c>
      <c r="K2691" s="1" t="n">
        <v>3.7</v>
      </c>
      <c r="L2691" s="15" t="n">
        <v>1406.56</v>
      </c>
      <c r="M2691" s="15" t="n">
        <f aca="false">F2691*G2691</f>
        <v>1420.77</v>
      </c>
      <c r="N2691" s="15" t="n">
        <f aca="false">M2691-L2691</f>
        <v>14.21</v>
      </c>
      <c r="O2691" s="1" t="n">
        <f aca="false">YEAR(B2691)</f>
        <v>2029</v>
      </c>
      <c r="P2691" s="1" t="n">
        <f aca="false">MONTH(B2691)</f>
        <v>5</v>
      </c>
      <c r="Q2691" s="1" t="str">
        <f aca="false">TEXT(B2691,"mmm")</f>
        <v>May</v>
      </c>
      <c r="R2691" s="1" t="str">
        <f aca="false">"Q"&amp;ROUNDUP(MONTH(B2691)/3,0)</f>
        <v>Q2</v>
      </c>
    </row>
    <row r="2692" customFormat="false" ht="15" hidden="false" customHeight="true" outlineLevel="0" collapsed="false">
      <c r="A2692" s="1" t="n">
        <v>12691</v>
      </c>
      <c r="B2692" s="14" t="n">
        <v>47252</v>
      </c>
      <c r="C2692" s="1" t="n">
        <v>1144</v>
      </c>
      <c r="D2692" s="1" t="s">
        <v>27</v>
      </c>
      <c r="E2692" s="1" t="s">
        <v>35</v>
      </c>
      <c r="F2692" s="1" t="n">
        <v>5</v>
      </c>
      <c r="G2692" s="15" t="n">
        <v>416.24</v>
      </c>
      <c r="H2692" s="16" t="n">
        <v>0.05</v>
      </c>
      <c r="I2692" s="1" t="s">
        <v>33</v>
      </c>
      <c r="J2692" s="1" t="n">
        <v>2</v>
      </c>
      <c r="K2692" s="1" t="n">
        <v>3.2</v>
      </c>
      <c r="L2692" s="15" t="n">
        <v>1977.14</v>
      </c>
      <c r="M2692" s="15" t="n">
        <f aca="false">F2692*G2692</f>
        <v>2081.2</v>
      </c>
      <c r="N2692" s="15" t="n">
        <f aca="false">M2692-L2692</f>
        <v>104.06</v>
      </c>
      <c r="O2692" s="1" t="n">
        <f aca="false">YEAR(B2692)</f>
        <v>2029</v>
      </c>
      <c r="P2692" s="1" t="n">
        <f aca="false">MONTH(B2692)</f>
        <v>5</v>
      </c>
      <c r="Q2692" s="1" t="str">
        <f aca="false">TEXT(B2692,"mmm")</f>
        <v>May</v>
      </c>
      <c r="R2692" s="1" t="str">
        <f aca="false">"Q"&amp;ROUNDUP(MONTH(B2692)/3,0)</f>
        <v>Q2</v>
      </c>
    </row>
    <row r="2693" customFormat="false" ht="15" hidden="false" customHeight="true" outlineLevel="0" collapsed="false">
      <c r="A2693" s="1" t="n">
        <v>12692</v>
      </c>
      <c r="B2693" s="14" t="n">
        <v>47253</v>
      </c>
      <c r="C2693" s="1" t="n">
        <v>1890</v>
      </c>
      <c r="D2693" s="1" t="s">
        <v>34</v>
      </c>
      <c r="E2693" s="1" t="s">
        <v>28</v>
      </c>
      <c r="F2693" s="1" t="n">
        <v>4</v>
      </c>
      <c r="G2693" s="15" t="n">
        <v>413.37</v>
      </c>
      <c r="H2693" s="16" t="n">
        <v>0.29</v>
      </c>
      <c r="I2693" s="1" t="s">
        <v>33</v>
      </c>
      <c r="J2693" s="1" t="n">
        <v>1</v>
      </c>
      <c r="K2693" s="1" t="n">
        <v>3</v>
      </c>
      <c r="L2693" s="15" t="n">
        <v>1173.97</v>
      </c>
      <c r="M2693" s="15" t="n">
        <f aca="false">F2693*G2693</f>
        <v>1653.48</v>
      </c>
      <c r="N2693" s="15" t="n">
        <f aca="false">M2693-L2693</f>
        <v>479.51</v>
      </c>
      <c r="O2693" s="1" t="n">
        <f aca="false">YEAR(B2693)</f>
        <v>2029</v>
      </c>
      <c r="P2693" s="1" t="n">
        <f aca="false">MONTH(B2693)</f>
        <v>5</v>
      </c>
      <c r="Q2693" s="1" t="str">
        <f aca="false">TEXT(B2693,"mmm")</f>
        <v>May</v>
      </c>
      <c r="R2693" s="1" t="str">
        <f aca="false">"Q"&amp;ROUNDUP(MONTH(B2693)/3,0)</f>
        <v>Q2</v>
      </c>
    </row>
    <row r="2694" customFormat="false" ht="15" hidden="false" customHeight="true" outlineLevel="0" collapsed="false">
      <c r="A2694" s="1" t="n">
        <v>12693</v>
      </c>
      <c r="B2694" s="14" t="n">
        <v>47254</v>
      </c>
      <c r="C2694" s="1" t="n">
        <v>1856</v>
      </c>
      <c r="D2694" s="1" t="s">
        <v>37</v>
      </c>
      <c r="E2694" s="1" t="s">
        <v>32</v>
      </c>
      <c r="F2694" s="1" t="n">
        <v>3</v>
      </c>
      <c r="G2694" s="15" t="n">
        <v>338.29</v>
      </c>
      <c r="H2694" s="16" t="n">
        <v>0.23</v>
      </c>
      <c r="I2694" s="1" t="s">
        <v>33</v>
      </c>
      <c r="J2694" s="1" t="n">
        <v>9</v>
      </c>
      <c r="K2694" s="1" t="n">
        <v>4.3</v>
      </c>
      <c r="L2694" s="15" t="n">
        <v>781.45</v>
      </c>
      <c r="M2694" s="15" t="n">
        <f aca="false">F2694*G2694</f>
        <v>1014.87</v>
      </c>
      <c r="N2694" s="15" t="n">
        <f aca="false">M2694-L2694</f>
        <v>233.42</v>
      </c>
      <c r="O2694" s="1" t="n">
        <f aca="false">YEAR(B2694)</f>
        <v>2029</v>
      </c>
      <c r="P2694" s="1" t="n">
        <f aca="false">MONTH(B2694)</f>
        <v>5</v>
      </c>
      <c r="Q2694" s="1" t="str">
        <f aca="false">TEXT(B2694,"mmm")</f>
        <v>May</v>
      </c>
      <c r="R2694" s="1" t="str">
        <f aca="false">"Q"&amp;ROUNDUP(MONTH(B2694)/3,0)</f>
        <v>Q2</v>
      </c>
    </row>
    <row r="2695" customFormat="false" ht="15" hidden="false" customHeight="true" outlineLevel="0" collapsed="false">
      <c r="A2695" s="1" t="n">
        <v>12694</v>
      </c>
      <c r="B2695" s="14" t="n">
        <v>47255</v>
      </c>
      <c r="C2695" s="1" t="n">
        <v>1027</v>
      </c>
      <c r="D2695" s="1" t="s">
        <v>30</v>
      </c>
      <c r="E2695" s="1" t="s">
        <v>36</v>
      </c>
      <c r="F2695" s="1" t="n">
        <v>1</v>
      </c>
      <c r="G2695" s="15" t="n">
        <v>344.69</v>
      </c>
      <c r="H2695" s="16" t="n">
        <v>0.13</v>
      </c>
      <c r="I2695" s="1" t="s">
        <v>31</v>
      </c>
      <c r="J2695" s="1" t="n">
        <v>7</v>
      </c>
      <c r="K2695" s="1" t="n">
        <v>2</v>
      </c>
      <c r="L2695" s="15" t="n">
        <v>299.88</v>
      </c>
      <c r="M2695" s="15" t="n">
        <f aca="false">F2695*G2695</f>
        <v>344.69</v>
      </c>
      <c r="N2695" s="15" t="n">
        <f aca="false">M2695-L2695</f>
        <v>44.81</v>
      </c>
      <c r="O2695" s="1" t="n">
        <f aca="false">YEAR(B2695)</f>
        <v>2029</v>
      </c>
      <c r="P2695" s="1" t="n">
        <f aca="false">MONTH(B2695)</f>
        <v>5</v>
      </c>
      <c r="Q2695" s="1" t="str">
        <f aca="false">TEXT(B2695,"mmm")</f>
        <v>May</v>
      </c>
      <c r="R2695" s="1" t="str">
        <f aca="false">"Q"&amp;ROUNDUP(MONTH(B2695)/3,0)</f>
        <v>Q2</v>
      </c>
    </row>
    <row r="2696" customFormat="false" ht="15" hidden="false" customHeight="true" outlineLevel="0" collapsed="false">
      <c r="A2696" s="1" t="n">
        <v>12695</v>
      </c>
      <c r="B2696" s="14" t="n">
        <v>47256</v>
      </c>
      <c r="C2696" s="1" t="n">
        <v>1065</v>
      </c>
      <c r="D2696" s="1" t="s">
        <v>34</v>
      </c>
      <c r="E2696" s="1" t="s">
        <v>36</v>
      </c>
      <c r="F2696" s="1" t="n">
        <v>5</v>
      </c>
      <c r="G2696" s="15" t="n">
        <v>445.38</v>
      </c>
      <c r="H2696" s="16" t="n">
        <v>0.18</v>
      </c>
      <c r="I2696" s="1" t="s">
        <v>31</v>
      </c>
      <c r="J2696" s="1" t="n">
        <v>8</v>
      </c>
      <c r="K2696" s="1" t="n">
        <v>4.4</v>
      </c>
      <c r="L2696" s="15" t="n">
        <v>1826.06</v>
      </c>
      <c r="M2696" s="15" t="n">
        <f aca="false">F2696*G2696</f>
        <v>2226.9</v>
      </c>
      <c r="N2696" s="15" t="n">
        <f aca="false">M2696-L2696</f>
        <v>400.84</v>
      </c>
      <c r="O2696" s="1" t="n">
        <f aca="false">YEAR(B2696)</f>
        <v>2029</v>
      </c>
      <c r="P2696" s="1" t="n">
        <f aca="false">MONTH(B2696)</f>
        <v>5</v>
      </c>
      <c r="Q2696" s="1" t="str">
        <f aca="false">TEXT(B2696,"mmm")</f>
        <v>May</v>
      </c>
      <c r="R2696" s="1" t="str">
        <f aca="false">"Q"&amp;ROUNDUP(MONTH(B2696)/3,0)</f>
        <v>Q2</v>
      </c>
    </row>
    <row r="2697" customFormat="false" ht="15" hidden="false" customHeight="true" outlineLevel="0" collapsed="false">
      <c r="A2697" s="1" t="n">
        <v>12696</v>
      </c>
      <c r="B2697" s="14" t="n">
        <v>47257</v>
      </c>
      <c r="C2697" s="1" t="n">
        <v>1162</v>
      </c>
      <c r="D2697" s="1" t="s">
        <v>27</v>
      </c>
      <c r="E2697" s="1" t="s">
        <v>36</v>
      </c>
      <c r="F2697" s="1" t="n">
        <v>3</v>
      </c>
      <c r="G2697" s="15" t="n">
        <v>172.95</v>
      </c>
      <c r="H2697" s="16" t="n">
        <v>0.32</v>
      </c>
      <c r="I2697" s="1" t="s">
        <v>33</v>
      </c>
      <c r="J2697" s="1" t="n">
        <v>6</v>
      </c>
      <c r="K2697" s="1" t="n">
        <v>4.5</v>
      </c>
      <c r="L2697" s="15" t="n">
        <v>352.82</v>
      </c>
      <c r="M2697" s="15" t="n">
        <f aca="false">F2697*G2697</f>
        <v>518.85</v>
      </c>
      <c r="N2697" s="15" t="n">
        <f aca="false">M2697-L2697</f>
        <v>166.03</v>
      </c>
      <c r="O2697" s="1" t="n">
        <f aca="false">YEAR(B2697)</f>
        <v>2029</v>
      </c>
      <c r="P2697" s="1" t="n">
        <f aca="false">MONTH(B2697)</f>
        <v>5</v>
      </c>
      <c r="Q2697" s="1" t="str">
        <f aca="false">TEXT(B2697,"mmm")</f>
        <v>May</v>
      </c>
      <c r="R2697" s="1" t="str">
        <f aca="false">"Q"&amp;ROUNDUP(MONTH(B2697)/3,0)</f>
        <v>Q2</v>
      </c>
    </row>
    <row r="2698" customFormat="false" ht="15" hidden="false" customHeight="true" outlineLevel="0" collapsed="false">
      <c r="A2698" s="1" t="n">
        <v>12697</v>
      </c>
      <c r="B2698" s="14" t="n">
        <v>47258</v>
      </c>
      <c r="C2698" s="1" t="n">
        <v>1228</v>
      </c>
      <c r="D2698" s="1" t="s">
        <v>30</v>
      </c>
      <c r="E2698" s="1" t="s">
        <v>35</v>
      </c>
      <c r="F2698" s="1" t="n">
        <v>6</v>
      </c>
      <c r="G2698" s="15" t="n">
        <v>221.37</v>
      </c>
      <c r="H2698" s="16" t="n">
        <v>0.22</v>
      </c>
      <c r="I2698" s="1" t="s">
        <v>31</v>
      </c>
      <c r="J2698" s="1" t="n">
        <v>9</v>
      </c>
      <c r="K2698" s="1" t="n">
        <v>4.3</v>
      </c>
      <c r="L2698" s="15" t="n">
        <v>1036.01</v>
      </c>
      <c r="M2698" s="15" t="n">
        <f aca="false">F2698*G2698</f>
        <v>1328.22</v>
      </c>
      <c r="N2698" s="15" t="n">
        <f aca="false">M2698-L2698</f>
        <v>292.21</v>
      </c>
      <c r="O2698" s="1" t="n">
        <f aca="false">YEAR(B2698)</f>
        <v>2029</v>
      </c>
      <c r="P2698" s="1" t="n">
        <f aca="false">MONTH(B2698)</f>
        <v>5</v>
      </c>
      <c r="Q2698" s="1" t="str">
        <f aca="false">TEXT(B2698,"mmm")</f>
        <v>May</v>
      </c>
      <c r="R2698" s="1" t="str">
        <f aca="false">"Q"&amp;ROUNDUP(MONTH(B2698)/3,0)</f>
        <v>Q2</v>
      </c>
    </row>
    <row r="2699" customFormat="false" ht="15" hidden="false" customHeight="true" outlineLevel="0" collapsed="false">
      <c r="A2699" s="1" t="n">
        <v>12698</v>
      </c>
      <c r="B2699" s="14" t="n">
        <v>47259</v>
      </c>
      <c r="C2699" s="1" t="n">
        <v>1260</v>
      </c>
      <c r="D2699" s="1" t="s">
        <v>34</v>
      </c>
      <c r="E2699" s="1" t="s">
        <v>35</v>
      </c>
      <c r="F2699" s="1" t="n">
        <v>7</v>
      </c>
      <c r="G2699" s="15" t="n">
        <v>524.91</v>
      </c>
      <c r="H2699" s="16" t="n">
        <v>0.14</v>
      </c>
      <c r="I2699" s="1" t="s">
        <v>31</v>
      </c>
      <c r="J2699" s="1" t="n">
        <v>8</v>
      </c>
      <c r="K2699" s="1" t="n">
        <v>2.4</v>
      </c>
      <c r="L2699" s="15" t="n">
        <v>3159.96</v>
      </c>
      <c r="M2699" s="15" t="n">
        <f aca="false">F2699*G2699</f>
        <v>3674.37</v>
      </c>
      <c r="N2699" s="15" t="n">
        <f aca="false">M2699-L2699</f>
        <v>514.41</v>
      </c>
      <c r="O2699" s="1" t="n">
        <f aca="false">YEAR(B2699)</f>
        <v>2029</v>
      </c>
      <c r="P2699" s="1" t="n">
        <f aca="false">MONTH(B2699)</f>
        <v>5</v>
      </c>
      <c r="Q2699" s="1" t="str">
        <f aca="false">TEXT(B2699,"mmm")</f>
        <v>May</v>
      </c>
      <c r="R2699" s="1" t="str">
        <f aca="false">"Q"&amp;ROUNDUP(MONTH(B2699)/3,0)</f>
        <v>Q2</v>
      </c>
    </row>
    <row r="2700" customFormat="false" ht="15" hidden="false" customHeight="true" outlineLevel="0" collapsed="false">
      <c r="A2700" s="1" t="n">
        <v>12699</v>
      </c>
      <c r="B2700" s="14" t="n">
        <v>47260</v>
      </c>
      <c r="C2700" s="1" t="n">
        <v>1448</v>
      </c>
      <c r="D2700" s="1" t="s">
        <v>30</v>
      </c>
      <c r="E2700" s="1" t="s">
        <v>36</v>
      </c>
      <c r="F2700" s="1" t="n">
        <v>3</v>
      </c>
      <c r="G2700" s="15" t="n">
        <v>195.69</v>
      </c>
      <c r="H2700" s="16" t="n">
        <v>0.04</v>
      </c>
      <c r="I2700" s="1" t="s">
        <v>33</v>
      </c>
      <c r="J2700" s="1" t="n">
        <v>4</v>
      </c>
      <c r="K2700" s="1" t="n">
        <v>1.7</v>
      </c>
      <c r="L2700" s="15" t="n">
        <v>563.59</v>
      </c>
      <c r="M2700" s="15" t="n">
        <f aca="false">F2700*G2700</f>
        <v>587.07</v>
      </c>
      <c r="N2700" s="15" t="n">
        <f aca="false">M2700-L2700</f>
        <v>23.4799999999999</v>
      </c>
      <c r="O2700" s="1" t="n">
        <f aca="false">YEAR(B2700)</f>
        <v>2029</v>
      </c>
      <c r="P2700" s="1" t="n">
        <f aca="false">MONTH(B2700)</f>
        <v>5</v>
      </c>
      <c r="Q2700" s="1" t="str">
        <f aca="false">TEXT(B2700,"mmm")</f>
        <v>May</v>
      </c>
      <c r="R2700" s="1" t="str">
        <f aca="false">"Q"&amp;ROUNDUP(MONTH(B2700)/3,0)</f>
        <v>Q2</v>
      </c>
    </row>
    <row r="2701" customFormat="false" ht="15" hidden="false" customHeight="true" outlineLevel="0" collapsed="false">
      <c r="A2701" s="1" t="n">
        <v>12700</v>
      </c>
      <c r="B2701" s="14" t="n">
        <v>47261</v>
      </c>
      <c r="C2701" s="1" t="n">
        <v>1423</v>
      </c>
      <c r="D2701" s="1" t="s">
        <v>27</v>
      </c>
      <c r="E2701" s="1" t="s">
        <v>36</v>
      </c>
      <c r="F2701" s="1" t="n">
        <v>6</v>
      </c>
      <c r="G2701" s="15" t="n">
        <v>334.59</v>
      </c>
      <c r="H2701" s="16" t="n">
        <v>0.1</v>
      </c>
      <c r="I2701" s="1" t="s">
        <v>31</v>
      </c>
      <c r="J2701" s="1" t="n">
        <v>5</v>
      </c>
      <c r="K2701" s="1" t="n">
        <v>2.9</v>
      </c>
      <c r="L2701" s="15" t="n">
        <v>1806.79</v>
      </c>
      <c r="M2701" s="15" t="n">
        <f aca="false">F2701*G2701</f>
        <v>2007.54</v>
      </c>
      <c r="N2701" s="15" t="n">
        <f aca="false">M2701-L2701</f>
        <v>200.75</v>
      </c>
      <c r="O2701" s="1" t="n">
        <f aca="false">YEAR(B2701)</f>
        <v>2029</v>
      </c>
      <c r="P2701" s="1" t="n">
        <f aca="false">MONTH(B2701)</f>
        <v>5</v>
      </c>
      <c r="Q2701" s="1" t="str">
        <f aca="false">TEXT(B2701,"mmm")</f>
        <v>May</v>
      </c>
      <c r="R2701" s="1" t="str">
        <f aca="false">"Q"&amp;ROUNDUP(MONTH(B2701)/3,0)</f>
        <v>Q2</v>
      </c>
    </row>
    <row r="2702" customFormat="false" ht="15" hidden="false" customHeight="true" outlineLevel="0" collapsed="false">
      <c r="A2702" s="1" t="n">
        <v>12701</v>
      </c>
      <c r="B2702" s="14" t="n">
        <v>47262</v>
      </c>
      <c r="C2702" s="1" t="n">
        <v>1459</v>
      </c>
      <c r="D2702" s="1" t="s">
        <v>34</v>
      </c>
      <c r="E2702" s="1" t="s">
        <v>32</v>
      </c>
      <c r="F2702" s="1" t="n">
        <v>5</v>
      </c>
      <c r="G2702" s="15" t="n">
        <v>426.04</v>
      </c>
      <c r="H2702" s="16" t="n">
        <v>0.34</v>
      </c>
      <c r="I2702" s="1" t="s">
        <v>31</v>
      </c>
      <c r="J2702" s="1" t="n">
        <v>2</v>
      </c>
      <c r="K2702" s="1" t="n">
        <v>2</v>
      </c>
      <c r="L2702" s="15" t="n">
        <v>1405.93</v>
      </c>
      <c r="M2702" s="15" t="n">
        <f aca="false">F2702*G2702</f>
        <v>2130.2</v>
      </c>
      <c r="N2702" s="15" t="n">
        <f aca="false">M2702-L2702</f>
        <v>724.27</v>
      </c>
      <c r="O2702" s="1" t="n">
        <f aca="false">YEAR(B2702)</f>
        <v>2029</v>
      </c>
      <c r="P2702" s="1" t="n">
        <f aca="false">MONTH(B2702)</f>
        <v>5</v>
      </c>
      <c r="Q2702" s="1" t="str">
        <f aca="false">TEXT(B2702,"mmm")</f>
        <v>May</v>
      </c>
      <c r="R2702" s="1" t="str">
        <f aca="false">"Q"&amp;ROUNDUP(MONTH(B2702)/3,0)</f>
        <v>Q2</v>
      </c>
    </row>
    <row r="2703" customFormat="false" ht="15" hidden="false" customHeight="true" outlineLevel="0" collapsed="false">
      <c r="A2703" s="1" t="n">
        <v>12702</v>
      </c>
      <c r="B2703" s="14" t="n">
        <v>47263</v>
      </c>
      <c r="C2703" s="1" t="n">
        <v>1951</v>
      </c>
      <c r="D2703" s="1" t="s">
        <v>34</v>
      </c>
      <c r="E2703" s="1" t="s">
        <v>35</v>
      </c>
      <c r="F2703" s="1" t="n">
        <v>3</v>
      </c>
      <c r="G2703" s="15" t="n">
        <v>599.96</v>
      </c>
      <c r="H2703" s="16" t="n">
        <v>0.15</v>
      </c>
      <c r="I2703" s="1" t="s">
        <v>33</v>
      </c>
      <c r="J2703" s="1" t="n">
        <v>1</v>
      </c>
      <c r="K2703" s="1" t="n">
        <v>1.2</v>
      </c>
      <c r="L2703" s="15" t="n">
        <v>1529.9</v>
      </c>
      <c r="M2703" s="15" t="n">
        <f aca="false">F2703*G2703</f>
        <v>1799.88</v>
      </c>
      <c r="N2703" s="15" t="n">
        <f aca="false">M2703-L2703</f>
        <v>269.98</v>
      </c>
      <c r="O2703" s="1" t="n">
        <f aca="false">YEAR(B2703)</f>
        <v>2029</v>
      </c>
      <c r="P2703" s="1" t="n">
        <f aca="false">MONTH(B2703)</f>
        <v>5</v>
      </c>
      <c r="Q2703" s="1" t="str">
        <f aca="false">TEXT(B2703,"mmm")</f>
        <v>May</v>
      </c>
      <c r="R2703" s="1" t="str">
        <f aca="false">"Q"&amp;ROUNDUP(MONTH(B2703)/3,0)</f>
        <v>Q2</v>
      </c>
    </row>
    <row r="2704" customFormat="false" ht="15" hidden="false" customHeight="true" outlineLevel="0" collapsed="false">
      <c r="A2704" s="1" t="n">
        <v>12703</v>
      </c>
      <c r="B2704" s="14" t="n">
        <v>47264</v>
      </c>
      <c r="C2704" s="1" t="n">
        <v>1675</v>
      </c>
      <c r="D2704" s="1" t="s">
        <v>34</v>
      </c>
      <c r="E2704" s="1" t="s">
        <v>35</v>
      </c>
      <c r="F2704" s="1" t="n">
        <v>6</v>
      </c>
      <c r="G2704" s="15" t="n">
        <v>269.65</v>
      </c>
      <c r="H2704" s="16" t="n">
        <v>0.17</v>
      </c>
      <c r="I2704" s="1" t="s">
        <v>33</v>
      </c>
      <c r="J2704" s="1" t="n">
        <v>6</v>
      </c>
      <c r="K2704" s="1" t="n">
        <v>2.1</v>
      </c>
      <c r="L2704" s="15" t="n">
        <v>1342.86</v>
      </c>
      <c r="M2704" s="15" t="n">
        <f aca="false">F2704*G2704</f>
        <v>1617.9</v>
      </c>
      <c r="N2704" s="15" t="n">
        <f aca="false">M2704-L2704</f>
        <v>275.04</v>
      </c>
      <c r="O2704" s="1" t="n">
        <f aca="false">YEAR(B2704)</f>
        <v>2029</v>
      </c>
      <c r="P2704" s="1" t="n">
        <f aca="false">MONTH(B2704)</f>
        <v>5</v>
      </c>
      <c r="Q2704" s="1" t="str">
        <f aca="false">TEXT(B2704,"mmm")</f>
        <v>May</v>
      </c>
      <c r="R2704" s="1" t="str">
        <f aca="false">"Q"&amp;ROUNDUP(MONTH(B2704)/3,0)</f>
        <v>Q2</v>
      </c>
    </row>
    <row r="2705" customFormat="false" ht="15" hidden="false" customHeight="true" outlineLevel="0" collapsed="false">
      <c r="A2705" s="1" t="n">
        <v>12704</v>
      </c>
      <c r="B2705" s="14" t="n">
        <v>47265</v>
      </c>
      <c r="C2705" s="1" t="n">
        <v>1300</v>
      </c>
      <c r="D2705" s="1" t="s">
        <v>34</v>
      </c>
      <c r="E2705" s="1" t="s">
        <v>36</v>
      </c>
      <c r="F2705" s="1" t="n">
        <v>4</v>
      </c>
      <c r="G2705" s="15" t="n">
        <v>265.43</v>
      </c>
      <c r="H2705" s="16" t="n">
        <v>0.17</v>
      </c>
      <c r="I2705" s="1" t="s">
        <v>29</v>
      </c>
      <c r="J2705" s="1" t="n">
        <v>3</v>
      </c>
      <c r="K2705" s="1" t="n">
        <v>2.9</v>
      </c>
      <c r="L2705" s="15" t="n">
        <v>881.23</v>
      </c>
      <c r="M2705" s="15" t="n">
        <f aca="false">F2705*G2705</f>
        <v>1061.72</v>
      </c>
      <c r="N2705" s="15" t="n">
        <f aca="false">M2705-L2705</f>
        <v>180.49</v>
      </c>
      <c r="O2705" s="1" t="n">
        <f aca="false">YEAR(B2705)</f>
        <v>2029</v>
      </c>
      <c r="P2705" s="1" t="n">
        <f aca="false">MONTH(B2705)</f>
        <v>5</v>
      </c>
      <c r="Q2705" s="1" t="str">
        <f aca="false">TEXT(B2705,"mmm")</f>
        <v>May</v>
      </c>
      <c r="R2705" s="1" t="str">
        <f aca="false">"Q"&amp;ROUNDUP(MONTH(B2705)/3,0)</f>
        <v>Q2</v>
      </c>
    </row>
    <row r="2706" customFormat="false" ht="15" hidden="false" customHeight="true" outlineLevel="0" collapsed="false">
      <c r="A2706" s="1" t="n">
        <v>12705</v>
      </c>
      <c r="B2706" s="14" t="n">
        <v>47266</v>
      </c>
      <c r="C2706" s="1" t="n">
        <v>1918</v>
      </c>
      <c r="D2706" s="1" t="s">
        <v>37</v>
      </c>
      <c r="E2706" s="1" t="s">
        <v>32</v>
      </c>
      <c r="F2706" s="1" t="n">
        <v>2</v>
      </c>
      <c r="G2706" s="15" t="n">
        <v>507.91</v>
      </c>
      <c r="H2706" s="16" t="n">
        <v>0.31</v>
      </c>
      <c r="I2706" s="1" t="s">
        <v>33</v>
      </c>
      <c r="J2706" s="1" t="n">
        <v>11</v>
      </c>
      <c r="K2706" s="1" t="n">
        <v>1.5</v>
      </c>
      <c r="L2706" s="15" t="n">
        <v>700.92</v>
      </c>
      <c r="M2706" s="15" t="n">
        <f aca="false">F2706*G2706</f>
        <v>1015.82</v>
      </c>
      <c r="N2706" s="15" t="n">
        <f aca="false">M2706-L2706</f>
        <v>314.9</v>
      </c>
      <c r="O2706" s="1" t="n">
        <f aca="false">YEAR(B2706)</f>
        <v>2029</v>
      </c>
      <c r="P2706" s="1" t="n">
        <f aca="false">MONTH(B2706)</f>
        <v>5</v>
      </c>
      <c r="Q2706" s="1" t="str">
        <f aca="false">TEXT(B2706,"mmm")</f>
        <v>May</v>
      </c>
      <c r="R2706" s="1" t="str">
        <f aca="false">"Q"&amp;ROUNDUP(MONTH(B2706)/3,0)</f>
        <v>Q2</v>
      </c>
    </row>
    <row r="2707" customFormat="false" ht="15" hidden="false" customHeight="true" outlineLevel="0" collapsed="false">
      <c r="A2707" s="1" t="n">
        <v>12706</v>
      </c>
      <c r="B2707" s="14" t="n">
        <v>47267</v>
      </c>
      <c r="C2707" s="1" t="n">
        <v>1302</v>
      </c>
      <c r="D2707" s="1" t="s">
        <v>30</v>
      </c>
      <c r="E2707" s="1" t="s">
        <v>32</v>
      </c>
      <c r="F2707" s="1" t="n">
        <v>5</v>
      </c>
      <c r="G2707" s="15" t="n">
        <v>486.22</v>
      </c>
      <c r="H2707" s="16" t="n">
        <v>0.21</v>
      </c>
      <c r="I2707" s="1" t="s">
        <v>33</v>
      </c>
      <c r="J2707" s="1" t="n">
        <v>4</v>
      </c>
      <c r="K2707" s="1" t="n">
        <v>4.8</v>
      </c>
      <c r="L2707" s="15" t="n">
        <v>1920.57</v>
      </c>
      <c r="M2707" s="15" t="n">
        <f aca="false">F2707*G2707</f>
        <v>2431.1</v>
      </c>
      <c r="N2707" s="15" t="n">
        <f aca="false">M2707-L2707</f>
        <v>510.53</v>
      </c>
      <c r="O2707" s="1" t="n">
        <f aca="false">YEAR(B2707)</f>
        <v>2029</v>
      </c>
      <c r="P2707" s="1" t="n">
        <f aca="false">MONTH(B2707)</f>
        <v>5</v>
      </c>
      <c r="Q2707" s="1" t="str">
        <f aca="false">TEXT(B2707,"mmm")</f>
        <v>May</v>
      </c>
      <c r="R2707" s="1" t="str">
        <f aca="false">"Q"&amp;ROUNDUP(MONTH(B2707)/3,0)</f>
        <v>Q2</v>
      </c>
    </row>
    <row r="2708" customFormat="false" ht="15" hidden="false" customHeight="true" outlineLevel="0" collapsed="false">
      <c r="A2708" s="1" t="n">
        <v>12707</v>
      </c>
      <c r="B2708" s="14" t="n">
        <v>47268</v>
      </c>
      <c r="C2708" s="1" t="n">
        <v>1286</v>
      </c>
      <c r="D2708" s="1" t="s">
        <v>34</v>
      </c>
      <c r="E2708" s="1" t="s">
        <v>36</v>
      </c>
      <c r="F2708" s="1" t="n">
        <v>6</v>
      </c>
      <c r="G2708" s="15" t="n">
        <v>442.68</v>
      </c>
      <c r="H2708" s="16" t="n">
        <v>0.24</v>
      </c>
      <c r="I2708" s="1" t="s">
        <v>31</v>
      </c>
      <c r="J2708" s="1" t="n">
        <v>1</v>
      </c>
      <c r="K2708" s="1" t="n">
        <v>3.6</v>
      </c>
      <c r="L2708" s="15" t="n">
        <v>2018.62</v>
      </c>
      <c r="M2708" s="15" t="n">
        <f aca="false">F2708*G2708</f>
        <v>2656.08</v>
      </c>
      <c r="N2708" s="15" t="n">
        <f aca="false">M2708-L2708</f>
        <v>637.46</v>
      </c>
      <c r="O2708" s="1" t="n">
        <f aca="false">YEAR(B2708)</f>
        <v>2029</v>
      </c>
      <c r="P2708" s="1" t="n">
        <f aca="false">MONTH(B2708)</f>
        <v>5</v>
      </c>
      <c r="Q2708" s="1" t="str">
        <f aca="false">TEXT(B2708,"mmm")</f>
        <v>May</v>
      </c>
      <c r="R2708" s="1" t="str">
        <f aca="false">"Q"&amp;ROUNDUP(MONTH(B2708)/3,0)</f>
        <v>Q2</v>
      </c>
    </row>
    <row r="2709" customFormat="false" ht="15" hidden="false" customHeight="true" outlineLevel="0" collapsed="false">
      <c r="A2709" s="1" t="n">
        <v>12708</v>
      </c>
      <c r="B2709" s="14" t="n">
        <v>47269</v>
      </c>
      <c r="C2709" s="1" t="n">
        <v>1394</v>
      </c>
      <c r="D2709" s="1" t="s">
        <v>34</v>
      </c>
      <c r="E2709" s="1" t="s">
        <v>36</v>
      </c>
      <c r="F2709" s="1" t="n">
        <v>1</v>
      </c>
      <c r="G2709" s="15" t="n">
        <v>285.99</v>
      </c>
      <c r="H2709" s="16" t="n">
        <v>0.14</v>
      </c>
      <c r="I2709" s="1" t="s">
        <v>31</v>
      </c>
      <c r="J2709" s="1" t="n">
        <v>6</v>
      </c>
      <c r="K2709" s="1" t="n">
        <v>1.5</v>
      </c>
      <c r="L2709" s="15" t="n">
        <v>245.95</v>
      </c>
      <c r="M2709" s="15" t="n">
        <f aca="false">F2709*G2709</f>
        <v>285.99</v>
      </c>
      <c r="N2709" s="15" t="n">
        <f aca="false">M2709-L2709</f>
        <v>40.04</v>
      </c>
      <c r="O2709" s="1" t="n">
        <f aca="false">YEAR(B2709)</f>
        <v>2029</v>
      </c>
      <c r="P2709" s="1" t="n">
        <f aca="false">MONTH(B2709)</f>
        <v>5</v>
      </c>
      <c r="Q2709" s="1" t="str">
        <f aca="false">TEXT(B2709,"mmm")</f>
        <v>May</v>
      </c>
      <c r="R2709" s="1" t="str">
        <f aca="false">"Q"&amp;ROUNDUP(MONTH(B2709)/3,0)</f>
        <v>Q2</v>
      </c>
    </row>
    <row r="2710" customFormat="false" ht="15" hidden="false" customHeight="true" outlineLevel="0" collapsed="false">
      <c r="A2710" s="1" t="n">
        <v>12709</v>
      </c>
      <c r="B2710" s="14" t="n">
        <v>47270</v>
      </c>
      <c r="C2710" s="1" t="n">
        <v>1009</v>
      </c>
      <c r="D2710" s="1" t="s">
        <v>34</v>
      </c>
      <c r="E2710" s="1" t="s">
        <v>35</v>
      </c>
      <c r="F2710" s="1" t="n">
        <v>3</v>
      </c>
      <c r="G2710" s="15" t="n">
        <v>204.5</v>
      </c>
      <c r="H2710" s="16" t="n">
        <v>0.01</v>
      </c>
      <c r="I2710" s="1" t="s">
        <v>31</v>
      </c>
      <c r="J2710" s="1" t="n">
        <v>8</v>
      </c>
      <c r="K2710" s="1" t="n">
        <v>4.2</v>
      </c>
      <c r="L2710" s="15" t="n">
        <v>607.36</v>
      </c>
      <c r="M2710" s="15" t="n">
        <f aca="false">F2710*G2710</f>
        <v>613.5</v>
      </c>
      <c r="N2710" s="15" t="n">
        <f aca="false">M2710-L2710</f>
        <v>6.13999999999999</v>
      </c>
      <c r="O2710" s="1" t="n">
        <f aca="false">YEAR(B2710)</f>
        <v>2029</v>
      </c>
      <c r="P2710" s="1" t="n">
        <f aca="false">MONTH(B2710)</f>
        <v>6</v>
      </c>
      <c r="Q2710" s="1" t="str">
        <f aca="false">TEXT(B2710,"mmm")</f>
        <v>Jun</v>
      </c>
      <c r="R2710" s="1" t="str">
        <f aca="false">"Q"&amp;ROUNDUP(MONTH(B2710)/3,0)</f>
        <v>Q2</v>
      </c>
    </row>
    <row r="2711" customFormat="false" ht="15" hidden="false" customHeight="true" outlineLevel="0" collapsed="false">
      <c r="A2711" s="1" t="n">
        <v>12710</v>
      </c>
      <c r="B2711" s="14" t="n">
        <v>47271</v>
      </c>
      <c r="C2711" s="1" t="n">
        <v>1706</v>
      </c>
      <c r="D2711" s="1" t="s">
        <v>27</v>
      </c>
      <c r="E2711" s="1" t="s">
        <v>36</v>
      </c>
      <c r="F2711" s="1" t="n">
        <v>6</v>
      </c>
      <c r="G2711" s="15" t="n">
        <v>371.11</v>
      </c>
      <c r="H2711" s="16" t="n">
        <v>0.33</v>
      </c>
      <c r="I2711" s="1" t="s">
        <v>33</v>
      </c>
      <c r="J2711" s="1" t="n">
        <v>10</v>
      </c>
      <c r="K2711" s="1" t="n">
        <v>4.7</v>
      </c>
      <c r="L2711" s="15" t="n">
        <v>1491.86</v>
      </c>
      <c r="M2711" s="15" t="n">
        <f aca="false">F2711*G2711</f>
        <v>2226.66</v>
      </c>
      <c r="N2711" s="15" t="n">
        <f aca="false">M2711-L2711</f>
        <v>734.8</v>
      </c>
      <c r="O2711" s="1" t="n">
        <f aca="false">YEAR(B2711)</f>
        <v>2029</v>
      </c>
      <c r="P2711" s="1" t="n">
        <f aca="false">MONTH(B2711)</f>
        <v>6</v>
      </c>
      <c r="Q2711" s="1" t="str">
        <f aca="false">TEXT(B2711,"mmm")</f>
        <v>Jun</v>
      </c>
      <c r="R2711" s="1" t="str">
        <f aca="false">"Q"&amp;ROUNDUP(MONTH(B2711)/3,0)</f>
        <v>Q2</v>
      </c>
    </row>
    <row r="2712" customFormat="false" ht="15" hidden="false" customHeight="true" outlineLevel="0" collapsed="false">
      <c r="A2712" s="1" t="n">
        <v>12711</v>
      </c>
      <c r="B2712" s="14" t="n">
        <v>47272</v>
      </c>
      <c r="C2712" s="1" t="n">
        <v>1629</v>
      </c>
      <c r="D2712" s="1" t="s">
        <v>34</v>
      </c>
      <c r="E2712" s="1" t="s">
        <v>28</v>
      </c>
      <c r="F2712" s="1" t="n">
        <v>7</v>
      </c>
      <c r="G2712" s="15" t="n">
        <v>527.59</v>
      </c>
      <c r="H2712" s="16" t="n">
        <v>0.33</v>
      </c>
      <c r="I2712" s="1" t="s">
        <v>33</v>
      </c>
      <c r="J2712" s="1" t="n">
        <v>4</v>
      </c>
      <c r="K2712" s="1" t="n">
        <v>2.1</v>
      </c>
      <c r="L2712" s="15" t="n">
        <v>2474.4</v>
      </c>
      <c r="M2712" s="15" t="n">
        <f aca="false">F2712*G2712</f>
        <v>3693.13</v>
      </c>
      <c r="N2712" s="15" t="n">
        <f aca="false">M2712-L2712</f>
        <v>1218.73</v>
      </c>
      <c r="O2712" s="1" t="n">
        <f aca="false">YEAR(B2712)</f>
        <v>2029</v>
      </c>
      <c r="P2712" s="1" t="n">
        <f aca="false">MONTH(B2712)</f>
        <v>6</v>
      </c>
      <c r="Q2712" s="1" t="str">
        <f aca="false">TEXT(B2712,"mmm")</f>
        <v>Jun</v>
      </c>
      <c r="R2712" s="1" t="str">
        <f aca="false">"Q"&amp;ROUNDUP(MONTH(B2712)/3,0)</f>
        <v>Q2</v>
      </c>
    </row>
    <row r="2713" customFormat="false" ht="15" hidden="false" customHeight="true" outlineLevel="0" collapsed="false">
      <c r="A2713" s="1" t="n">
        <v>12712</v>
      </c>
      <c r="B2713" s="14" t="n">
        <v>47273</v>
      </c>
      <c r="C2713" s="1" t="n">
        <v>1269</v>
      </c>
      <c r="D2713" s="1" t="s">
        <v>27</v>
      </c>
      <c r="E2713" s="1" t="s">
        <v>32</v>
      </c>
      <c r="F2713" s="1" t="n">
        <v>6</v>
      </c>
      <c r="G2713" s="15" t="n">
        <v>532.01</v>
      </c>
      <c r="H2713" s="16" t="n">
        <v>0.33</v>
      </c>
      <c r="I2713" s="1" t="s">
        <v>33</v>
      </c>
      <c r="J2713" s="1" t="n">
        <v>10</v>
      </c>
      <c r="K2713" s="1" t="n">
        <v>1.6</v>
      </c>
      <c r="L2713" s="15" t="n">
        <v>2138.68</v>
      </c>
      <c r="M2713" s="15" t="n">
        <f aca="false">F2713*G2713</f>
        <v>3192.06</v>
      </c>
      <c r="N2713" s="15" t="n">
        <f aca="false">M2713-L2713</f>
        <v>1053.38</v>
      </c>
      <c r="O2713" s="1" t="n">
        <f aca="false">YEAR(B2713)</f>
        <v>2029</v>
      </c>
      <c r="P2713" s="1" t="n">
        <f aca="false">MONTH(B2713)</f>
        <v>6</v>
      </c>
      <c r="Q2713" s="1" t="str">
        <f aca="false">TEXT(B2713,"mmm")</f>
        <v>Jun</v>
      </c>
      <c r="R2713" s="1" t="str">
        <f aca="false">"Q"&amp;ROUNDUP(MONTH(B2713)/3,0)</f>
        <v>Q2</v>
      </c>
    </row>
    <row r="2714" customFormat="false" ht="15" hidden="false" customHeight="true" outlineLevel="0" collapsed="false">
      <c r="A2714" s="1" t="n">
        <v>12713</v>
      </c>
      <c r="B2714" s="14" t="n">
        <v>47274</v>
      </c>
      <c r="C2714" s="1" t="n">
        <v>1591</v>
      </c>
      <c r="D2714" s="1" t="s">
        <v>30</v>
      </c>
      <c r="E2714" s="1" t="s">
        <v>36</v>
      </c>
      <c r="F2714" s="1" t="n">
        <v>6</v>
      </c>
      <c r="G2714" s="15" t="n">
        <v>78.47</v>
      </c>
      <c r="H2714" s="16" t="n">
        <v>0.33</v>
      </c>
      <c r="I2714" s="1" t="s">
        <v>33</v>
      </c>
      <c r="J2714" s="1" t="n">
        <v>8</v>
      </c>
      <c r="K2714" s="1" t="n">
        <v>2.3</v>
      </c>
      <c r="L2714" s="15" t="n">
        <v>315.45</v>
      </c>
      <c r="M2714" s="15" t="n">
        <f aca="false">F2714*G2714</f>
        <v>470.82</v>
      </c>
      <c r="N2714" s="15" t="n">
        <f aca="false">M2714-L2714</f>
        <v>155.37</v>
      </c>
      <c r="O2714" s="1" t="n">
        <f aca="false">YEAR(B2714)</f>
        <v>2029</v>
      </c>
      <c r="P2714" s="1" t="n">
        <f aca="false">MONTH(B2714)</f>
        <v>6</v>
      </c>
      <c r="Q2714" s="1" t="str">
        <f aca="false">TEXT(B2714,"mmm")</f>
        <v>Jun</v>
      </c>
      <c r="R2714" s="1" t="str">
        <f aca="false">"Q"&amp;ROUNDUP(MONTH(B2714)/3,0)</f>
        <v>Q2</v>
      </c>
    </row>
    <row r="2715" customFormat="false" ht="15" hidden="false" customHeight="true" outlineLevel="0" collapsed="false">
      <c r="A2715" s="1" t="n">
        <v>12714</v>
      </c>
      <c r="B2715" s="14" t="n">
        <v>47275</v>
      </c>
      <c r="C2715" s="1" t="n">
        <v>1969</v>
      </c>
      <c r="D2715" s="1" t="s">
        <v>34</v>
      </c>
      <c r="E2715" s="1" t="s">
        <v>28</v>
      </c>
      <c r="F2715" s="1" t="n">
        <v>7</v>
      </c>
      <c r="G2715" s="15" t="n">
        <v>265.58</v>
      </c>
      <c r="H2715" s="16" t="n">
        <v>0.29</v>
      </c>
      <c r="I2715" s="1" t="s">
        <v>31</v>
      </c>
      <c r="J2715" s="1" t="n">
        <v>11</v>
      </c>
      <c r="K2715" s="1" t="n">
        <v>4.3</v>
      </c>
      <c r="L2715" s="15" t="n">
        <v>1319.93</v>
      </c>
      <c r="M2715" s="15" t="n">
        <f aca="false">F2715*G2715</f>
        <v>1859.06</v>
      </c>
      <c r="N2715" s="15" t="n">
        <f aca="false">M2715-L2715</f>
        <v>539.13</v>
      </c>
      <c r="O2715" s="1" t="n">
        <f aca="false">YEAR(B2715)</f>
        <v>2029</v>
      </c>
      <c r="P2715" s="1" t="n">
        <f aca="false">MONTH(B2715)</f>
        <v>6</v>
      </c>
      <c r="Q2715" s="1" t="str">
        <f aca="false">TEXT(B2715,"mmm")</f>
        <v>Jun</v>
      </c>
      <c r="R2715" s="1" t="str">
        <f aca="false">"Q"&amp;ROUNDUP(MONTH(B2715)/3,0)</f>
        <v>Q2</v>
      </c>
    </row>
    <row r="2716" customFormat="false" ht="15" hidden="false" customHeight="true" outlineLevel="0" collapsed="false">
      <c r="A2716" s="1" t="n">
        <v>12715</v>
      </c>
      <c r="B2716" s="14" t="n">
        <v>47276</v>
      </c>
      <c r="C2716" s="1" t="n">
        <v>1604</v>
      </c>
      <c r="D2716" s="1" t="s">
        <v>27</v>
      </c>
      <c r="E2716" s="1" t="s">
        <v>32</v>
      </c>
      <c r="F2716" s="1" t="n">
        <v>2</v>
      </c>
      <c r="G2716" s="15" t="n">
        <v>286.86</v>
      </c>
      <c r="H2716" s="16" t="n">
        <v>0.24</v>
      </c>
      <c r="I2716" s="1" t="s">
        <v>33</v>
      </c>
      <c r="J2716" s="1" t="n">
        <v>10</v>
      </c>
      <c r="K2716" s="1" t="n">
        <v>1.7</v>
      </c>
      <c r="L2716" s="15" t="n">
        <v>436.03</v>
      </c>
      <c r="M2716" s="15" t="n">
        <f aca="false">F2716*G2716</f>
        <v>573.72</v>
      </c>
      <c r="N2716" s="15" t="n">
        <f aca="false">M2716-L2716</f>
        <v>137.69</v>
      </c>
      <c r="O2716" s="1" t="n">
        <f aca="false">YEAR(B2716)</f>
        <v>2029</v>
      </c>
      <c r="P2716" s="1" t="n">
        <f aca="false">MONTH(B2716)</f>
        <v>6</v>
      </c>
      <c r="Q2716" s="1" t="str">
        <f aca="false">TEXT(B2716,"mmm")</f>
        <v>Jun</v>
      </c>
      <c r="R2716" s="1" t="str">
        <f aca="false">"Q"&amp;ROUNDUP(MONTH(B2716)/3,0)</f>
        <v>Q2</v>
      </c>
    </row>
    <row r="2717" customFormat="false" ht="15" hidden="false" customHeight="true" outlineLevel="0" collapsed="false">
      <c r="A2717" s="1" t="n">
        <v>12716</v>
      </c>
      <c r="B2717" s="14" t="n">
        <v>47277</v>
      </c>
      <c r="C2717" s="1" t="n">
        <v>1777</v>
      </c>
      <c r="D2717" s="1" t="s">
        <v>30</v>
      </c>
      <c r="E2717" s="1" t="s">
        <v>28</v>
      </c>
      <c r="F2717" s="1" t="n">
        <v>7</v>
      </c>
      <c r="G2717" s="15" t="n">
        <v>586.9</v>
      </c>
      <c r="H2717" s="16" t="n">
        <v>0.3</v>
      </c>
      <c r="I2717" s="1" t="s">
        <v>31</v>
      </c>
      <c r="J2717" s="1" t="n">
        <v>3</v>
      </c>
      <c r="K2717" s="1" t="n">
        <v>4.1</v>
      </c>
      <c r="L2717" s="15" t="n">
        <v>2875.81</v>
      </c>
      <c r="M2717" s="15" t="n">
        <f aca="false">F2717*G2717</f>
        <v>4108.3</v>
      </c>
      <c r="N2717" s="15" t="n">
        <f aca="false">M2717-L2717</f>
        <v>1232.49</v>
      </c>
      <c r="O2717" s="1" t="n">
        <f aca="false">YEAR(B2717)</f>
        <v>2029</v>
      </c>
      <c r="P2717" s="1" t="n">
        <f aca="false">MONTH(B2717)</f>
        <v>6</v>
      </c>
      <c r="Q2717" s="1" t="str">
        <f aca="false">TEXT(B2717,"mmm")</f>
        <v>Jun</v>
      </c>
      <c r="R2717" s="1" t="str">
        <f aca="false">"Q"&amp;ROUNDUP(MONTH(B2717)/3,0)</f>
        <v>Q2</v>
      </c>
    </row>
    <row r="2718" customFormat="false" ht="15" hidden="false" customHeight="true" outlineLevel="0" collapsed="false">
      <c r="A2718" s="1" t="n">
        <v>12717</v>
      </c>
      <c r="B2718" s="14" t="n">
        <v>47278</v>
      </c>
      <c r="C2718" s="1" t="n">
        <v>1843</v>
      </c>
      <c r="D2718" s="1" t="s">
        <v>37</v>
      </c>
      <c r="E2718" s="1" t="s">
        <v>28</v>
      </c>
      <c r="F2718" s="1" t="n">
        <v>7</v>
      </c>
      <c r="G2718" s="15" t="n">
        <v>411.63</v>
      </c>
      <c r="H2718" s="16" t="n">
        <v>0.21</v>
      </c>
      <c r="I2718" s="1" t="s">
        <v>31</v>
      </c>
      <c r="J2718" s="1" t="n">
        <v>11</v>
      </c>
      <c r="K2718" s="1" t="n">
        <v>3.9</v>
      </c>
      <c r="L2718" s="15" t="n">
        <v>2276.31</v>
      </c>
      <c r="M2718" s="15" t="n">
        <f aca="false">F2718*G2718</f>
        <v>2881.41</v>
      </c>
      <c r="N2718" s="15" t="n">
        <f aca="false">M2718-L2718</f>
        <v>605.1</v>
      </c>
      <c r="O2718" s="1" t="n">
        <f aca="false">YEAR(B2718)</f>
        <v>2029</v>
      </c>
      <c r="P2718" s="1" t="n">
        <f aca="false">MONTH(B2718)</f>
        <v>6</v>
      </c>
      <c r="Q2718" s="1" t="str">
        <f aca="false">TEXT(B2718,"mmm")</f>
        <v>Jun</v>
      </c>
      <c r="R2718" s="1" t="str">
        <f aca="false">"Q"&amp;ROUNDUP(MONTH(B2718)/3,0)</f>
        <v>Q2</v>
      </c>
    </row>
    <row r="2719" customFormat="false" ht="15" hidden="false" customHeight="true" outlineLevel="0" collapsed="false">
      <c r="A2719" s="1" t="n">
        <v>12718</v>
      </c>
      <c r="B2719" s="14" t="n">
        <v>47279</v>
      </c>
      <c r="C2719" s="1" t="n">
        <v>1861</v>
      </c>
      <c r="D2719" s="1" t="s">
        <v>27</v>
      </c>
      <c r="E2719" s="1" t="s">
        <v>36</v>
      </c>
      <c r="F2719" s="1" t="n">
        <v>1</v>
      </c>
      <c r="G2719" s="15" t="n">
        <v>253.24</v>
      </c>
      <c r="H2719" s="16" t="n">
        <v>0.05</v>
      </c>
      <c r="I2719" s="1" t="s">
        <v>33</v>
      </c>
      <c r="J2719" s="1" t="n">
        <v>7</v>
      </c>
      <c r="K2719" s="1" t="n">
        <v>3.6</v>
      </c>
      <c r="L2719" s="15" t="n">
        <v>240.58</v>
      </c>
      <c r="M2719" s="15" t="n">
        <f aca="false">F2719*G2719</f>
        <v>253.24</v>
      </c>
      <c r="N2719" s="15" t="n">
        <f aca="false">M2719-L2719</f>
        <v>12.66</v>
      </c>
      <c r="O2719" s="1" t="n">
        <f aca="false">YEAR(B2719)</f>
        <v>2029</v>
      </c>
      <c r="P2719" s="1" t="n">
        <f aca="false">MONTH(B2719)</f>
        <v>6</v>
      </c>
      <c r="Q2719" s="1" t="str">
        <f aca="false">TEXT(B2719,"mmm")</f>
        <v>Jun</v>
      </c>
      <c r="R2719" s="1" t="str">
        <f aca="false">"Q"&amp;ROUNDUP(MONTH(B2719)/3,0)</f>
        <v>Q2</v>
      </c>
    </row>
    <row r="2720" customFormat="false" ht="15" hidden="false" customHeight="true" outlineLevel="0" collapsed="false">
      <c r="A2720" s="1" t="n">
        <v>12719</v>
      </c>
      <c r="B2720" s="14" t="n">
        <v>47280</v>
      </c>
      <c r="C2720" s="1" t="n">
        <v>1360</v>
      </c>
      <c r="D2720" s="1" t="s">
        <v>34</v>
      </c>
      <c r="E2720" s="1" t="s">
        <v>32</v>
      </c>
      <c r="F2720" s="1" t="n">
        <v>7</v>
      </c>
      <c r="G2720" s="15" t="n">
        <v>30.24</v>
      </c>
      <c r="H2720" s="16" t="n">
        <v>0.14</v>
      </c>
      <c r="I2720" s="1" t="s">
        <v>29</v>
      </c>
      <c r="J2720" s="1" t="n">
        <v>3</v>
      </c>
      <c r="K2720" s="1" t="n">
        <v>2.7</v>
      </c>
      <c r="L2720" s="15" t="n">
        <v>182.04</v>
      </c>
      <c r="M2720" s="15" t="n">
        <f aca="false">F2720*G2720</f>
        <v>211.68</v>
      </c>
      <c r="N2720" s="15" t="n">
        <f aca="false">M2720-L2720</f>
        <v>29.64</v>
      </c>
      <c r="O2720" s="1" t="n">
        <f aca="false">YEAR(B2720)</f>
        <v>2029</v>
      </c>
      <c r="P2720" s="1" t="n">
        <f aca="false">MONTH(B2720)</f>
        <v>6</v>
      </c>
      <c r="Q2720" s="1" t="str">
        <f aca="false">TEXT(B2720,"mmm")</f>
        <v>Jun</v>
      </c>
      <c r="R2720" s="1" t="str">
        <f aca="false">"Q"&amp;ROUNDUP(MONTH(B2720)/3,0)</f>
        <v>Q2</v>
      </c>
    </row>
    <row r="2721" customFormat="false" ht="15" hidden="false" customHeight="true" outlineLevel="0" collapsed="false">
      <c r="A2721" s="1" t="n">
        <v>12720</v>
      </c>
      <c r="B2721" s="14" t="n">
        <v>47281</v>
      </c>
      <c r="C2721" s="1" t="n">
        <v>1256</v>
      </c>
      <c r="D2721" s="1" t="s">
        <v>34</v>
      </c>
      <c r="E2721" s="1" t="s">
        <v>28</v>
      </c>
      <c r="F2721" s="1" t="n">
        <v>1</v>
      </c>
      <c r="G2721" s="15" t="n">
        <v>345.75</v>
      </c>
      <c r="H2721" s="16" t="n">
        <v>0.34</v>
      </c>
      <c r="I2721" s="1" t="s">
        <v>29</v>
      </c>
      <c r="J2721" s="1" t="n">
        <v>6</v>
      </c>
      <c r="K2721" s="1" t="n">
        <v>2.5</v>
      </c>
      <c r="L2721" s="15" t="n">
        <v>228.19</v>
      </c>
      <c r="M2721" s="15" t="n">
        <f aca="false">F2721*G2721</f>
        <v>345.75</v>
      </c>
      <c r="N2721" s="15" t="n">
        <f aca="false">M2721-L2721</f>
        <v>117.56</v>
      </c>
      <c r="O2721" s="1" t="n">
        <f aca="false">YEAR(B2721)</f>
        <v>2029</v>
      </c>
      <c r="P2721" s="1" t="n">
        <f aca="false">MONTH(B2721)</f>
        <v>6</v>
      </c>
      <c r="Q2721" s="1" t="str">
        <f aca="false">TEXT(B2721,"mmm")</f>
        <v>Jun</v>
      </c>
      <c r="R2721" s="1" t="str">
        <f aca="false">"Q"&amp;ROUNDUP(MONTH(B2721)/3,0)</f>
        <v>Q2</v>
      </c>
    </row>
    <row r="2722" customFormat="false" ht="15" hidden="false" customHeight="true" outlineLevel="0" collapsed="false">
      <c r="A2722" s="1" t="n">
        <v>12721</v>
      </c>
      <c r="B2722" s="14" t="n">
        <v>47282</v>
      </c>
      <c r="C2722" s="1" t="n">
        <v>1132</v>
      </c>
      <c r="D2722" s="1" t="s">
        <v>37</v>
      </c>
      <c r="E2722" s="1" t="s">
        <v>35</v>
      </c>
      <c r="F2722" s="1" t="n">
        <v>4</v>
      </c>
      <c r="G2722" s="15" t="n">
        <v>71.2</v>
      </c>
      <c r="H2722" s="16" t="n">
        <v>0.12</v>
      </c>
      <c r="I2722" s="1" t="s">
        <v>29</v>
      </c>
      <c r="J2722" s="1" t="n">
        <v>4</v>
      </c>
      <c r="K2722" s="1" t="n">
        <v>1.3</v>
      </c>
      <c r="L2722" s="15" t="n">
        <v>250.62</v>
      </c>
      <c r="M2722" s="15" t="n">
        <f aca="false">F2722*G2722</f>
        <v>284.8</v>
      </c>
      <c r="N2722" s="15" t="n">
        <f aca="false">M2722-L2722</f>
        <v>34.18</v>
      </c>
      <c r="O2722" s="1" t="n">
        <f aca="false">YEAR(B2722)</f>
        <v>2029</v>
      </c>
      <c r="P2722" s="1" t="n">
        <f aca="false">MONTH(B2722)</f>
        <v>6</v>
      </c>
      <c r="Q2722" s="1" t="str">
        <f aca="false">TEXT(B2722,"mmm")</f>
        <v>Jun</v>
      </c>
      <c r="R2722" s="1" t="str">
        <f aca="false">"Q"&amp;ROUNDUP(MONTH(B2722)/3,0)</f>
        <v>Q2</v>
      </c>
    </row>
    <row r="2723" customFormat="false" ht="15" hidden="false" customHeight="true" outlineLevel="0" collapsed="false">
      <c r="A2723" s="1" t="n">
        <v>12722</v>
      </c>
      <c r="B2723" s="14" t="n">
        <v>47283</v>
      </c>
      <c r="C2723" s="1" t="n">
        <v>1275</v>
      </c>
      <c r="D2723" s="1" t="s">
        <v>34</v>
      </c>
      <c r="E2723" s="1" t="s">
        <v>32</v>
      </c>
      <c r="F2723" s="1" t="n">
        <v>7</v>
      </c>
      <c r="G2723" s="15" t="n">
        <v>503.15</v>
      </c>
      <c r="H2723" s="16" t="n">
        <v>0.3</v>
      </c>
      <c r="I2723" s="1" t="s">
        <v>31</v>
      </c>
      <c r="J2723" s="1" t="n">
        <v>6</v>
      </c>
      <c r="K2723" s="1" t="n">
        <v>2.4</v>
      </c>
      <c r="L2723" s="15" t="n">
        <v>2465.43</v>
      </c>
      <c r="M2723" s="15" t="n">
        <f aca="false">F2723*G2723</f>
        <v>3522.05</v>
      </c>
      <c r="N2723" s="15" t="n">
        <f aca="false">M2723-L2723</f>
        <v>1056.62</v>
      </c>
      <c r="O2723" s="1" t="n">
        <f aca="false">YEAR(B2723)</f>
        <v>2029</v>
      </c>
      <c r="P2723" s="1" t="n">
        <f aca="false">MONTH(B2723)</f>
        <v>6</v>
      </c>
      <c r="Q2723" s="1" t="str">
        <f aca="false">TEXT(B2723,"mmm")</f>
        <v>Jun</v>
      </c>
      <c r="R2723" s="1" t="str">
        <f aca="false">"Q"&amp;ROUNDUP(MONTH(B2723)/3,0)</f>
        <v>Q2</v>
      </c>
    </row>
    <row r="2724" customFormat="false" ht="15" hidden="false" customHeight="true" outlineLevel="0" collapsed="false">
      <c r="A2724" s="1" t="n">
        <v>12723</v>
      </c>
      <c r="B2724" s="14" t="n">
        <v>47284</v>
      </c>
      <c r="C2724" s="1" t="n">
        <v>1775</v>
      </c>
      <c r="D2724" s="1" t="s">
        <v>34</v>
      </c>
      <c r="E2724" s="1" t="s">
        <v>35</v>
      </c>
      <c r="F2724" s="1" t="n">
        <v>2</v>
      </c>
      <c r="G2724" s="15" t="n">
        <v>455.22</v>
      </c>
      <c r="H2724" s="16" t="n">
        <v>0.03</v>
      </c>
      <c r="I2724" s="1" t="s">
        <v>31</v>
      </c>
      <c r="J2724" s="1" t="n">
        <v>7</v>
      </c>
      <c r="K2724" s="1" t="n">
        <v>3.4</v>
      </c>
      <c r="L2724" s="15" t="n">
        <v>883.13</v>
      </c>
      <c r="M2724" s="15" t="n">
        <f aca="false">F2724*G2724</f>
        <v>910.44</v>
      </c>
      <c r="N2724" s="15" t="n">
        <f aca="false">M2724-L2724</f>
        <v>27.3100000000001</v>
      </c>
      <c r="O2724" s="1" t="n">
        <f aca="false">YEAR(B2724)</f>
        <v>2029</v>
      </c>
      <c r="P2724" s="1" t="n">
        <f aca="false">MONTH(B2724)</f>
        <v>6</v>
      </c>
      <c r="Q2724" s="1" t="str">
        <f aca="false">TEXT(B2724,"mmm")</f>
        <v>Jun</v>
      </c>
      <c r="R2724" s="1" t="str">
        <f aca="false">"Q"&amp;ROUNDUP(MONTH(B2724)/3,0)</f>
        <v>Q2</v>
      </c>
    </row>
    <row r="2725" customFormat="false" ht="15" hidden="false" customHeight="true" outlineLevel="0" collapsed="false">
      <c r="A2725" s="1" t="n">
        <v>12724</v>
      </c>
      <c r="B2725" s="14" t="n">
        <v>47285</v>
      </c>
      <c r="C2725" s="1" t="n">
        <v>1682</v>
      </c>
      <c r="D2725" s="1" t="s">
        <v>34</v>
      </c>
      <c r="E2725" s="1" t="s">
        <v>36</v>
      </c>
      <c r="F2725" s="1" t="n">
        <v>7</v>
      </c>
      <c r="G2725" s="15" t="n">
        <v>284.4</v>
      </c>
      <c r="H2725" s="16" t="n">
        <v>0.12</v>
      </c>
      <c r="I2725" s="1" t="s">
        <v>31</v>
      </c>
      <c r="J2725" s="1" t="n">
        <v>8</v>
      </c>
      <c r="K2725" s="1" t="n">
        <v>4.6</v>
      </c>
      <c r="L2725" s="15" t="n">
        <v>1751.9</v>
      </c>
      <c r="M2725" s="15" t="n">
        <f aca="false">F2725*G2725</f>
        <v>1990.8</v>
      </c>
      <c r="N2725" s="15" t="n">
        <f aca="false">M2725-L2725</f>
        <v>238.9</v>
      </c>
      <c r="O2725" s="1" t="n">
        <f aca="false">YEAR(B2725)</f>
        <v>2029</v>
      </c>
      <c r="P2725" s="1" t="n">
        <f aca="false">MONTH(B2725)</f>
        <v>6</v>
      </c>
      <c r="Q2725" s="1" t="str">
        <f aca="false">TEXT(B2725,"mmm")</f>
        <v>Jun</v>
      </c>
      <c r="R2725" s="1" t="str">
        <f aca="false">"Q"&amp;ROUNDUP(MONTH(B2725)/3,0)</f>
        <v>Q2</v>
      </c>
    </row>
    <row r="2726" customFormat="false" ht="15" hidden="false" customHeight="true" outlineLevel="0" collapsed="false">
      <c r="A2726" s="1" t="n">
        <v>12725</v>
      </c>
      <c r="B2726" s="14" t="n">
        <v>47286</v>
      </c>
      <c r="C2726" s="1" t="n">
        <v>1971</v>
      </c>
      <c r="D2726" s="1" t="s">
        <v>34</v>
      </c>
      <c r="E2726" s="1" t="s">
        <v>35</v>
      </c>
      <c r="F2726" s="1" t="n">
        <v>6</v>
      </c>
      <c r="G2726" s="15" t="n">
        <v>266.09</v>
      </c>
      <c r="H2726" s="16" t="n">
        <v>0.12</v>
      </c>
      <c r="I2726" s="1" t="s">
        <v>31</v>
      </c>
      <c r="J2726" s="1" t="n">
        <v>6</v>
      </c>
      <c r="K2726" s="1" t="n">
        <v>4.3</v>
      </c>
      <c r="L2726" s="15" t="n">
        <v>1404.96</v>
      </c>
      <c r="M2726" s="15" t="n">
        <f aca="false">F2726*G2726</f>
        <v>1596.54</v>
      </c>
      <c r="N2726" s="15" t="n">
        <f aca="false">M2726-L2726</f>
        <v>191.58</v>
      </c>
      <c r="O2726" s="1" t="n">
        <f aca="false">YEAR(B2726)</f>
        <v>2029</v>
      </c>
      <c r="P2726" s="1" t="n">
        <f aca="false">MONTH(B2726)</f>
        <v>6</v>
      </c>
      <c r="Q2726" s="1" t="str">
        <f aca="false">TEXT(B2726,"mmm")</f>
        <v>Jun</v>
      </c>
      <c r="R2726" s="1" t="str">
        <f aca="false">"Q"&amp;ROUNDUP(MONTH(B2726)/3,0)</f>
        <v>Q2</v>
      </c>
    </row>
    <row r="2727" customFormat="false" ht="15" hidden="false" customHeight="true" outlineLevel="0" collapsed="false">
      <c r="A2727" s="1" t="n">
        <v>12726</v>
      </c>
      <c r="B2727" s="14" t="n">
        <v>47287</v>
      </c>
      <c r="C2727" s="1" t="n">
        <v>1512</v>
      </c>
      <c r="D2727" s="1" t="s">
        <v>37</v>
      </c>
      <c r="E2727" s="1" t="s">
        <v>32</v>
      </c>
      <c r="F2727" s="1" t="n">
        <v>5</v>
      </c>
      <c r="G2727" s="15" t="n">
        <v>539.94</v>
      </c>
      <c r="H2727" s="16" t="n">
        <v>0.02</v>
      </c>
      <c r="I2727" s="1" t="s">
        <v>31</v>
      </c>
      <c r="J2727" s="1" t="n">
        <v>4</v>
      </c>
      <c r="K2727" s="1" t="n">
        <v>1.1</v>
      </c>
      <c r="L2727" s="15" t="n">
        <v>2645.71</v>
      </c>
      <c r="M2727" s="15" t="n">
        <f aca="false">F2727*G2727</f>
        <v>2699.7</v>
      </c>
      <c r="N2727" s="15" t="n">
        <f aca="false">M2727-L2727</f>
        <v>53.9900000000002</v>
      </c>
      <c r="O2727" s="1" t="n">
        <f aca="false">YEAR(B2727)</f>
        <v>2029</v>
      </c>
      <c r="P2727" s="1" t="n">
        <f aca="false">MONTH(B2727)</f>
        <v>6</v>
      </c>
      <c r="Q2727" s="1" t="str">
        <f aca="false">TEXT(B2727,"mmm")</f>
        <v>Jun</v>
      </c>
      <c r="R2727" s="1" t="str">
        <f aca="false">"Q"&amp;ROUNDUP(MONTH(B2727)/3,0)</f>
        <v>Q2</v>
      </c>
    </row>
    <row r="2728" customFormat="false" ht="15" hidden="false" customHeight="true" outlineLevel="0" collapsed="false">
      <c r="A2728" s="1" t="n">
        <v>12727</v>
      </c>
      <c r="B2728" s="14" t="n">
        <v>47288</v>
      </c>
      <c r="C2728" s="1" t="n">
        <v>1312</v>
      </c>
      <c r="D2728" s="1" t="s">
        <v>34</v>
      </c>
      <c r="E2728" s="1" t="s">
        <v>28</v>
      </c>
      <c r="F2728" s="1" t="n">
        <v>2</v>
      </c>
      <c r="G2728" s="15" t="n">
        <v>183.75</v>
      </c>
      <c r="H2728" s="16" t="n">
        <v>0.04</v>
      </c>
      <c r="I2728" s="1" t="s">
        <v>33</v>
      </c>
      <c r="J2728" s="1" t="n">
        <v>9</v>
      </c>
      <c r="K2728" s="1" t="n">
        <v>1.6</v>
      </c>
      <c r="L2728" s="15" t="n">
        <v>352.8</v>
      </c>
      <c r="M2728" s="15" t="n">
        <f aca="false">F2728*G2728</f>
        <v>367.5</v>
      </c>
      <c r="N2728" s="15" t="n">
        <f aca="false">M2728-L2728</f>
        <v>14.7</v>
      </c>
      <c r="O2728" s="1" t="n">
        <f aca="false">YEAR(B2728)</f>
        <v>2029</v>
      </c>
      <c r="P2728" s="1" t="n">
        <f aca="false">MONTH(B2728)</f>
        <v>6</v>
      </c>
      <c r="Q2728" s="1" t="str">
        <f aca="false">TEXT(B2728,"mmm")</f>
        <v>Jun</v>
      </c>
      <c r="R2728" s="1" t="str">
        <f aca="false">"Q"&amp;ROUNDUP(MONTH(B2728)/3,0)</f>
        <v>Q2</v>
      </c>
    </row>
    <row r="2729" customFormat="false" ht="15" hidden="false" customHeight="true" outlineLevel="0" collapsed="false">
      <c r="A2729" s="1" t="n">
        <v>12728</v>
      </c>
      <c r="B2729" s="14" t="n">
        <v>47289</v>
      </c>
      <c r="C2729" s="1" t="n">
        <v>1575</v>
      </c>
      <c r="D2729" s="1" t="s">
        <v>30</v>
      </c>
      <c r="E2729" s="1" t="s">
        <v>28</v>
      </c>
      <c r="F2729" s="1" t="n">
        <v>7</v>
      </c>
      <c r="G2729" s="15" t="n">
        <v>160.68</v>
      </c>
      <c r="H2729" s="16" t="n">
        <v>0.07</v>
      </c>
      <c r="I2729" s="1" t="s">
        <v>33</v>
      </c>
      <c r="J2729" s="1" t="n">
        <v>7</v>
      </c>
      <c r="K2729" s="1" t="n">
        <v>4.4</v>
      </c>
      <c r="L2729" s="15" t="n">
        <v>1046.03</v>
      </c>
      <c r="M2729" s="15" t="n">
        <f aca="false">F2729*G2729</f>
        <v>1124.76</v>
      </c>
      <c r="N2729" s="15" t="n">
        <f aca="false">M2729-L2729</f>
        <v>78.73</v>
      </c>
      <c r="O2729" s="1" t="n">
        <f aca="false">YEAR(B2729)</f>
        <v>2029</v>
      </c>
      <c r="P2729" s="1" t="n">
        <f aca="false">MONTH(B2729)</f>
        <v>6</v>
      </c>
      <c r="Q2729" s="1" t="str">
        <f aca="false">TEXT(B2729,"mmm")</f>
        <v>Jun</v>
      </c>
      <c r="R2729" s="1" t="str">
        <f aca="false">"Q"&amp;ROUNDUP(MONTH(B2729)/3,0)</f>
        <v>Q2</v>
      </c>
    </row>
    <row r="2730" customFormat="false" ht="15" hidden="false" customHeight="true" outlineLevel="0" collapsed="false">
      <c r="A2730" s="1" t="n">
        <v>12729</v>
      </c>
      <c r="B2730" s="14" t="n">
        <v>47290</v>
      </c>
      <c r="C2730" s="1" t="n">
        <v>1885</v>
      </c>
      <c r="D2730" s="1" t="s">
        <v>30</v>
      </c>
      <c r="E2730" s="1" t="s">
        <v>32</v>
      </c>
      <c r="F2730" s="1" t="n">
        <v>2</v>
      </c>
      <c r="G2730" s="15" t="n">
        <v>564.43</v>
      </c>
      <c r="H2730" s="16" t="n">
        <v>0.29</v>
      </c>
      <c r="I2730" s="1" t="s">
        <v>29</v>
      </c>
      <c r="J2730" s="1" t="n">
        <v>9</v>
      </c>
      <c r="K2730" s="1" t="n">
        <v>4.8</v>
      </c>
      <c r="L2730" s="15" t="n">
        <v>801.49</v>
      </c>
      <c r="M2730" s="15" t="n">
        <f aca="false">F2730*G2730</f>
        <v>1128.86</v>
      </c>
      <c r="N2730" s="15" t="n">
        <f aca="false">M2730-L2730</f>
        <v>327.37</v>
      </c>
      <c r="O2730" s="1" t="n">
        <f aca="false">YEAR(B2730)</f>
        <v>2029</v>
      </c>
      <c r="P2730" s="1" t="n">
        <f aca="false">MONTH(B2730)</f>
        <v>6</v>
      </c>
      <c r="Q2730" s="1" t="str">
        <f aca="false">TEXT(B2730,"mmm")</f>
        <v>Jun</v>
      </c>
      <c r="R2730" s="1" t="str">
        <f aca="false">"Q"&amp;ROUNDUP(MONTH(B2730)/3,0)</f>
        <v>Q2</v>
      </c>
    </row>
    <row r="2731" customFormat="false" ht="15" hidden="false" customHeight="true" outlineLevel="0" collapsed="false">
      <c r="A2731" s="1" t="n">
        <v>12730</v>
      </c>
      <c r="B2731" s="14" t="n">
        <v>47291</v>
      </c>
      <c r="C2731" s="1" t="n">
        <v>1979</v>
      </c>
      <c r="D2731" s="1" t="s">
        <v>30</v>
      </c>
      <c r="E2731" s="1" t="s">
        <v>28</v>
      </c>
      <c r="F2731" s="1" t="n">
        <v>1</v>
      </c>
      <c r="G2731" s="15" t="n">
        <v>488.41</v>
      </c>
      <c r="H2731" s="16" t="n">
        <v>0.02</v>
      </c>
      <c r="I2731" s="1" t="s">
        <v>29</v>
      </c>
      <c r="J2731" s="1" t="n">
        <v>3</v>
      </c>
      <c r="K2731" s="1" t="n">
        <v>1.2</v>
      </c>
      <c r="L2731" s="15" t="n">
        <v>478.64</v>
      </c>
      <c r="M2731" s="15" t="n">
        <f aca="false">F2731*G2731</f>
        <v>488.41</v>
      </c>
      <c r="N2731" s="15" t="n">
        <f aca="false">M2731-L2731</f>
        <v>9.77000000000004</v>
      </c>
      <c r="O2731" s="1" t="n">
        <f aca="false">YEAR(B2731)</f>
        <v>2029</v>
      </c>
      <c r="P2731" s="1" t="n">
        <f aca="false">MONTH(B2731)</f>
        <v>6</v>
      </c>
      <c r="Q2731" s="1" t="str">
        <f aca="false">TEXT(B2731,"mmm")</f>
        <v>Jun</v>
      </c>
      <c r="R2731" s="1" t="str">
        <f aca="false">"Q"&amp;ROUNDUP(MONTH(B2731)/3,0)</f>
        <v>Q2</v>
      </c>
    </row>
    <row r="2732" customFormat="false" ht="15" hidden="false" customHeight="true" outlineLevel="0" collapsed="false">
      <c r="A2732" s="1" t="n">
        <v>12731</v>
      </c>
      <c r="B2732" s="14" t="n">
        <v>47292</v>
      </c>
      <c r="C2732" s="1" t="n">
        <v>1283</v>
      </c>
      <c r="D2732" s="1" t="s">
        <v>34</v>
      </c>
      <c r="E2732" s="1" t="s">
        <v>35</v>
      </c>
      <c r="F2732" s="1" t="n">
        <v>4</v>
      </c>
      <c r="G2732" s="15" t="n">
        <v>495.07</v>
      </c>
      <c r="H2732" s="16" t="n">
        <v>0.1</v>
      </c>
      <c r="I2732" s="1" t="s">
        <v>31</v>
      </c>
      <c r="J2732" s="1" t="n">
        <v>5</v>
      </c>
      <c r="K2732" s="1" t="n">
        <v>3.8</v>
      </c>
      <c r="L2732" s="15" t="n">
        <v>1782.25</v>
      </c>
      <c r="M2732" s="15" t="n">
        <f aca="false">F2732*G2732</f>
        <v>1980.28</v>
      </c>
      <c r="N2732" s="15" t="n">
        <f aca="false">M2732-L2732</f>
        <v>198.03</v>
      </c>
      <c r="O2732" s="1" t="n">
        <f aca="false">YEAR(B2732)</f>
        <v>2029</v>
      </c>
      <c r="P2732" s="1" t="n">
        <f aca="false">MONTH(B2732)</f>
        <v>6</v>
      </c>
      <c r="Q2732" s="1" t="str">
        <f aca="false">TEXT(B2732,"mmm")</f>
        <v>Jun</v>
      </c>
      <c r="R2732" s="1" t="str">
        <f aca="false">"Q"&amp;ROUNDUP(MONTH(B2732)/3,0)</f>
        <v>Q2</v>
      </c>
    </row>
    <row r="2733" customFormat="false" ht="15" hidden="false" customHeight="true" outlineLevel="0" collapsed="false">
      <c r="A2733" s="1" t="n">
        <v>12732</v>
      </c>
      <c r="B2733" s="14" t="n">
        <v>47293</v>
      </c>
      <c r="C2733" s="1" t="n">
        <v>1120</v>
      </c>
      <c r="D2733" s="1" t="s">
        <v>37</v>
      </c>
      <c r="E2733" s="1" t="s">
        <v>28</v>
      </c>
      <c r="F2733" s="1" t="n">
        <v>4</v>
      </c>
      <c r="G2733" s="15" t="n">
        <v>129.19</v>
      </c>
      <c r="H2733" s="16" t="n">
        <v>0</v>
      </c>
      <c r="I2733" s="1" t="s">
        <v>29</v>
      </c>
      <c r="J2733" s="1" t="n">
        <v>1</v>
      </c>
      <c r="K2733" s="1" t="n">
        <v>2.5</v>
      </c>
      <c r="L2733" s="15" t="n">
        <v>516.76</v>
      </c>
      <c r="M2733" s="15" t="n">
        <f aca="false">F2733*G2733</f>
        <v>516.76</v>
      </c>
      <c r="N2733" s="15" t="n">
        <f aca="false">M2733-L2733</f>
        <v>0</v>
      </c>
      <c r="O2733" s="1" t="n">
        <f aca="false">YEAR(B2733)</f>
        <v>2029</v>
      </c>
      <c r="P2733" s="1" t="n">
        <f aca="false">MONTH(B2733)</f>
        <v>6</v>
      </c>
      <c r="Q2733" s="1" t="str">
        <f aca="false">TEXT(B2733,"mmm")</f>
        <v>Jun</v>
      </c>
      <c r="R2733" s="1" t="str">
        <f aca="false">"Q"&amp;ROUNDUP(MONTH(B2733)/3,0)</f>
        <v>Q2</v>
      </c>
    </row>
    <row r="2734" customFormat="false" ht="15" hidden="false" customHeight="true" outlineLevel="0" collapsed="false">
      <c r="A2734" s="1" t="n">
        <v>12733</v>
      </c>
      <c r="B2734" s="14" t="n">
        <v>47294</v>
      </c>
      <c r="C2734" s="1" t="n">
        <v>1106</v>
      </c>
      <c r="D2734" s="1" t="s">
        <v>34</v>
      </c>
      <c r="E2734" s="1" t="s">
        <v>28</v>
      </c>
      <c r="F2734" s="1" t="n">
        <v>2</v>
      </c>
      <c r="G2734" s="15" t="n">
        <v>98.83</v>
      </c>
      <c r="H2734" s="16" t="n">
        <v>0.24</v>
      </c>
      <c r="I2734" s="1" t="s">
        <v>33</v>
      </c>
      <c r="J2734" s="1" t="n">
        <v>11</v>
      </c>
      <c r="K2734" s="1" t="n">
        <v>2.5</v>
      </c>
      <c r="L2734" s="15" t="n">
        <v>150.22</v>
      </c>
      <c r="M2734" s="15" t="n">
        <f aca="false">F2734*G2734</f>
        <v>197.66</v>
      </c>
      <c r="N2734" s="15" t="n">
        <f aca="false">M2734-L2734</f>
        <v>47.44</v>
      </c>
      <c r="O2734" s="1" t="n">
        <f aca="false">YEAR(B2734)</f>
        <v>2029</v>
      </c>
      <c r="P2734" s="1" t="n">
        <f aca="false">MONTH(B2734)</f>
        <v>6</v>
      </c>
      <c r="Q2734" s="1" t="str">
        <f aca="false">TEXT(B2734,"mmm")</f>
        <v>Jun</v>
      </c>
      <c r="R2734" s="1" t="str">
        <f aca="false">"Q"&amp;ROUNDUP(MONTH(B2734)/3,0)</f>
        <v>Q2</v>
      </c>
    </row>
    <row r="2735" customFormat="false" ht="15" hidden="false" customHeight="true" outlineLevel="0" collapsed="false">
      <c r="A2735" s="1" t="n">
        <v>12734</v>
      </c>
      <c r="B2735" s="14" t="n">
        <v>47295</v>
      </c>
      <c r="C2735" s="1" t="n">
        <v>1932</v>
      </c>
      <c r="D2735" s="1" t="s">
        <v>37</v>
      </c>
      <c r="E2735" s="1" t="s">
        <v>35</v>
      </c>
      <c r="F2735" s="1" t="n">
        <v>2</v>
      </c>
      <c r="G2735" s="15" t="n">
        <v>30.23</v>
      </c>
      <c r="H2735" s="16" t="n">
        <v>0.22</v>
      </c>
      <c r="I2735" s="1" t="s">
        <v>33</v>
      </c>
      <c r="J2735" s="1" t="n">
        <v>8</v>
      </c>
      <c r="K2735" s="1" t="n">
        <v>3.6</v>
      </c>
      <c r="L2735" s="15" t="n">
        <v>47.16</v>
      </c>
      <c r="M2735" s="15" t="n">
        <f aca="false">F2735*G2735</f>
        <v>60.46</v>
      </c>
      <c r="N2735" s="15" t="n">
        <f aca="false">M2735-L2735</f>
        <v>13.3</v>
      </c>
      <c r="O2735" s="1" t="n">
        <f aca="false">YEAR(B2735)</f>
        <v>2029</v>
      </c>
      <c r="P2735" s="1" t="n">
        <f aca="false">MONTH(B2735)</f>
        <v>6</v>
      </c>
      <c r="Q2735" s="1" t="str">
        <f aca="false">TEXT(B2735,"mmm")</f>
        <v>Jun</v>
      </c>
      <c r="R2735" s="1" t="str">
        <f aca="false">"Q"&amp;ROUNDUP(MONTH(B2735)/3,0)</f>
        <v>Q2</v>
      </c>
    </row>
    <row r="2736" customFormat="false" ht="15" hidden="false" customHeight="true" outlineLevel="0" collapsed="false">
      <c r="A2736" s="1" t="n">
        <v>12735</v>
      </c>
      <c r="B2736" s="14" t="n">
        <v>47296</v>
      </c>
      <c r="C2736" s="1" t="n">
        <v>1686</v>
      </c>
      <c r="D2736" s="1" t="s">
        <v>27</v>
      </c>
      <c r="E2736" s="1" t="s">
        <v>35</v>
      </c>
      <c r="F2736" s="1" t="n">
        <v>7</v>
      </c>
      <c r="G2736" s="15" t="n">
        <v>153.67</v>
      </c>
      <c r="H2736" s="16" t="n">
        <v>0.23</v>
      </c>
      <c r="I2736" s="1" t="s">
        <v>33</v>
      </c>
      <c r="J2736" s="1" t="n">
        <v>1</v>
      </c>
      <c r="K2736" s="1" t="n">
        <v>4.2</v>
      </c>
      <c r="L2736" s="15" t="n">
        <v>828.28</v>
      </c>
      <c r="M2736" s="15" t="n">
        <f aca="false">F2736*G2736</f>
        <v>1075.69</v>
      </c>
      <c r="N2736" s="15" t="n">
        <f aca="false">M2736-L2736</f>
        <v>247.41</v>
      </c>
      <c r="O2736" s="1" t="n">
        <f aca="false">YEAR(B2736)</f>
        <v>2029</v>
      </c>
      <c r="P2736" s="1" t="n">
        <f aca="false">MONTH(B2736)</f>
        <v>6</v>
      </c>
      <c r="Q2736" s="1" t="str">
        <f aca="false">TEXT(B2736,"mmm")</f>
        <v>Jun</v>
      </c>
      <c r="R2736" s="1" t="str">
        <f aca="false">"Q"&amp;ROUNDUP(MONTH(B2736)/3,0)</f>
        <v>Q2</v>
      </c>
    </row>
    <row r="2737" customFormat="false" ht="15" hidden="false" customHeight="true" outlineLevel="0" collapsed="false">
      <c r="A2737" s="1" t="n">
        <v>12736</v>
      </c>
      <c r="B2737" s="14" t="n">
        <v>47297</v>
      </c>
      <c r="C2737" s="1" t="n">
        <v>1996</v>
      </c>
      <c r="D2737" s="1" t="s">
        <v>30</v>
      </c>
      <c r="E2737" s="1" t="s">
        <v>35</v>
      </c>
      <c r="F2737" s="1" t="n">
        <v>3</v>
      </c>
      <c r="G2737" s="15" t="n">
        <v>467.9</v>
      </c>
      <c r="H2737" s="16" t="n">
        <v>0.13</v>
      </c>
      <c r="I2737" s="1" t="s">
        <v>31</v>
      </c>
      <c r="J2737" s="1" t="n">
        <v>1</v>
      </c>
      <c r="K2737" s="1" t="n">
        <v>2.1</v>
      </c>
      <c r="L2737" s="15" t="n">
        <v>1221.22</v>
      </c>
      <c r="M2737" s="15" t="n">
        <f aca="false">F2737*G2737</f>
        <v>1403.7</v>
      </c>
      <c r="N2737" s="15" t="n">
        <f aca="false">M2737-L2737</f>
        <v>182.48</v>
      </c>
      <c r="O2737" s="1" t="n">
        <f aca="false">YEAR(B2737)</f>
        <v>2029</v>
      </c>
      <c r="P2737" s="1" t="n">
        <f aca="false">MONTH(B2737)</f>
        <v>6</v>
      </c>
      <c r="Q2737" s="1" t="str">
        <f aca="false">TEXT(B2737,"mmm")</f>
        <v>Jun</v>
      </c>
      <c r="R2737" s="1" t="str">
        <f aca="false">"Q"&amp;ROUNDUP(MONTH(B2737)/3,0)</f>
        <v>Q2</v>
      </c>
    </row>
    <row r="2738" customFormat="false" ht="15" hidden="false" customHeight="true" outlineLevel="0" collapsed="false">
      <c r="A2738" s="1" t="n">
        <v>12737</v>
      </c>
      <c r="B2738" s="14" t="n">
        <v>47298</v>
      </c>
      <c r="C2738" s="1" t="n">
        <v>1203</v>
      </c>
      <c r="D2738" s="1" t="s">
        <v>30</v>
      </c>
      <c r="E2738" s="1" t="s">
        <v>36</v>
      </c>
      <c r="F2738" s="1" t="n">
        <v>6</v>
      </c>
      <c r="G2738" s="15" t="n">
        <v>155.42</v>
      </c>
      <c r="H2738" s="16" t="n">
        <v>0.07</v>
      </c>
      <c r="I2738" s="1" t="s">
        <v>29</v>
      </c>
      <c r="J2738" s="1" t="n">
        <v>7</v>
      </c>
      <c r="K2738" s="1" t="n">
        <v>3.8</v>
      </c>
      <c r="L2738" s="15" t="n">
        <v>867.24</v>
      </c>
      <c r="M2738" s="15" t="n">
        <f aca="false">F2738*G2738</f>
        <v>932.52</v>
      </c>
      <c r="N2738" s="15" t="n">
        <f aca="false">M2738-L2738</f>
        <v>65.28</v>
      </c>
      <c r="O2738" s="1" t="n">
        <f aca="false">YEAR(B2738)</f>
        <v>2029</v>
      </c>
      <c r="P2738" s="1" t="n">
        <f aca="false">MONTH(B2738)</f>
        <v>6</v>
      </c>
      <c r="Q2738" s="1" t="str">
        <f aca="false">TEXT(B2738,"mmm")</f>
        <v>Jun</v>
      </c>
      <c r="R2738" s="1" t="str">
        <f aca="false">"Q"&amp;ROUNDUP(MONTH(B2738)/3,0)</f>
        <v>Q2</v>
      </c>
    </row>
    <row r="2739" customFormat="false" ht="15" hidden="false" customHeight="true" outlineLevel="0" collapsed="false">
      <c r="A2739" s="1" t="n">
        <v>12738</v>
      </c>
      <c r="B2739" s="14" t="n">
        <v>47299</v>
      </c>
      <c r="C2739" s="1" t="n">
        <v>1164</v>
      </c>
      <c r="D2739" s="1" t="s">
        <v>30</v>
      </c>
      <c r="E2739" s="1" t="s">
        <v>35</v>
      </c>
      <c r="F2739" s="1" t="n">
        <v>1</v>
      </c>
      <c r="G2739" s="15" t="n">
        <v>441.53</v>
      </c>
      <c r="H2739" s="16" t="n">
        <v>0.25</v>
      </c>
      <c r="I2739" s="1" t="s">
        <v>33</v>
      </c>
      <c r="J2739" s="1" t="n">
        <v>11</v>
      </c>
      <c r="K2739" s="1" t="n">
        <v>3.5</v>
      </c>
      <c r="L2739" s="15" t="n">
        <v>331.15</v>
      </c>
      <c r="M2739" s="15" t="n">
        <f aca="false">F2739*G2739</f>
        <v>441.53</v>
      </c>
      <c r="N2739" s="15" t="n">
        <f aca="false">M2739-L2739</f>
        <v>110.38</v>
      </c>
      <c r="O2739" s="1" t="n">
        <f aca="false">YEAR(B2739)</f>
        <v>2029</v>
      </c>
      <c r="P2739" s="1" t="n">
        <f aca="false">MONTH(B2739)</f>
        <v>6</v>
      </c>
      <c r="Q2739" s="1" t="str">
        <f aca="false">TEXT(B2739,"mmm")</f>
        <v>Jun</v>
      </c>
      <c r="R2739" s="1" t="str">
        <f aca="false">"Q"&amp;ROUNDUP(MONTH(B2739)/3,0)</f>
        <v>Q2</v>
      </c>
    </row>
    <row r="2740" customFormat="false" ht="15" hidden="false" customHeight="true" outlineLevel="0" collapsed="false">
      <c r="A2740" s="1" t="n">
        <v>12739</v>
      </c>
      <c r="B2740" s="14" t="n">
        <v>47300</v>
      </c>
      <c r="C2740" s="1" t="n">
        <v>1304</v>
      </c>
      <c r="D2740" s="1" t="s">
        <v>30</v>
      </c>
      <c r="E2740" s="1" t="s">
        <v>35</v>
      </c>
      <c r="F2740" s="1" t="n">
        <v>6</v>
      </c>
      <c r="G2740" s="15" t="n">
        <v>162.37</v>
      </c>
      <c r="H2740" s="16" t="n">
        <v>0.28</v>
      </c>
      <c r="I2740" s="1" t="s">
        <v>29</v>
      </c>
      <c r="J2740" s="1" t="n">
        <v>8</v>
      </c>
      <c r="K2740" s="1" t="n">
        <v>3.1</v>
      </c>
      <c r="L2740" s="15" t="n">
        <v>701.44</v>
      </c>
      <c r="M2740" s="15" t="n">
        <f aca="false">F2740*G2740</f>
        <v>974.22</v>
      </c>
      <c r="N2740" s="15" t="n">
        <f aca="false">M2740-L2740</f>
        <v>272.78</v>
      </c>
      <c r="O2740" s="1" t="n">
        <f aca="false">YEAR(B2740)</f>
        <v>2029</v>
      </c>
      <c r="P2740" s="1" t="n">
        <f aca="false">MONTH(B2740)</f>
        <v>7</v>
      </c>
      <c r="Q2740" s="1" t="str">
        <f aca="false">TEXT(B2740,"mmm")</f>
        <v>Jul</v>
      </c>
      <c r="R2740" s="1" t="str">
        <f aca="false">"Q"&amp;ROUNDUP(MONTH(B2740)/3,0)</f>
        <v>Q3</v>
      </c>
    </row>
    <row r="2741" customFormat="false" ht="15" hidden="false" customHeight="true" outlineLevel="0" collapsed="false">
      <c r="A2741" s="1" t="n">
        <v>12740</v>
      </c>
      <c r="B2741" s="14" t="n">
        <v>47301</v>
      </c>
      <c r="C2741" s="1" t="n">
        <v>1496</v>
      </c>
      <c r="D2741" s="1" t="s">
        <v>27</v>
      </c>
      <c r="E2741" s="1" t="s">
        <v>36</v>
      </c>
      <c r="F2741" s="1" t="n">
        <v>5</v>
      </c>
      <c r="G2741" s="15" t="n">
        <v>246.25</v>
      </c>
      <c r="H2741" s="16" t="n">
        <v>0.05</v>
      </c>
      <c r="I2741" s="1" t="s">
        <v>29</v>
      </c>
      <c r="J2741" s="1" t="n">
        <v>3</v>
      </c>
      <c r="K2741" s="1" t="n">
        <v>3.4</v>
      </c>
      <c r="L2741" s="15" t="n">
        <v>1169.69</v>
      </c>
      <c r="M2741" s="15" t="n">
        <f aca="false">F2741*G2741</f>
        <v>1231.25</v>
      </c>
      <c r="N2741" s="15" t="n">
        <f aca="false">M2741-L2741</f>
        <v>61.5599999999999</v>
      </c>
      <c r="O2741" s="1" t="n">
        <f aca="false">YEAR(B2741)</f>
        <v>2029</v>
      </c>
      <c r="P2741" s="1" t="n">
        <f aca="false">MONTH(B2741)</f>
        <v>7</v>
      </c>
      <c r="Q2741" s="1" t="str">
        <f aca="false">TEXT(B2741,"mmm")</f>
        <v>Jul</v>
      </c>
      <c r="R2741" s="1" t="str">
        <f aca="false">"Q"&amp;ROUNDUP(MONTH(B2741)/3,0)</f>
        <v>Q3</v>
      </c>
    </row>
    <row r="2742" customFormat="false" ht="15" hidden="false" customHeight="true" outlineLevel="0" collapsed="false">
      <c r="A2742" s="1" t="n">
        <v>12741</v>
      </c>
      <c r="B2742" s="14" t="n">
        <v>47302</v>
      </c>
      <c r="C2742" s="1" t="n">
        <v>1631</v>
      </c>
      <c r="D2742" s="1" t="s">
        <v>27</v>
      </c>
      <c r="E2742" s="1" t="s">
        <v>28</v>
      </c>
      <c r="F2742" s="1" t="n">
        <v>5</v>
      </c>
      <c r="G2742" s="15" t="n">
        <v>590.15</v>
      </c>
      <c r="H2742" s="16" t="n">
        <v>0.17</v>
      </c>
      <c r="I2742" s="1" t="s">
        <v>33</v>
      </c>
      <c r="J2742" s="1" t="n">
        <v>2</v>
      </c>
      <c r="K2742" s="1" t="n">
        <v>1.1</v>
      </c>
      <c r="L2742" s="15" t="n">
        <v>2449.12</v>
      </c>
      <c r="M2742" s="15" t="n">
        <f aca="false">F2742*G2742</f>
        <v>2950.75</v>
      </c>
      <c r="N2742" s="15" t="n">
        <f aca="false">M2742-L2742</f>
        <v>501.63</v>
      </c>
      <c r="O2742" s="1" t="n">
        <f aca="false">YEAR(B2742)</f>
        <v>2029</v>
      </c>
      <c r="P2742" s="1" t="n">
        <f aca="false">MONTH(B2742)</f>
        <v>7</v>
      </c>
      <c r="Q2742" s="1" t="str">
        <f aca="false">TEXT(B2742,"mmm")</f>
        <v>Jul</v>
      </c>
      <c r="R2742" s="1" t="str">
        <f aca="false">"Q"&amp;ROUNDUP(MONTH(B2742)/3,0)</f>
        <v>Q3</v>
      </c>
    </row>
    <row r="2743" customFormat="false" ht="15" hidden="false" customHeight="true" outlineLevel="0" collapsed="false">
      <c r="A2743" s="1" t="n">
        <v>12742</v>
      </c>
      <c r="B2743" s="14" t="n">
        <v>47303</v>
      </c>
      <c r="C2743" s="1" t="n">
        <v>1555</v>
      </c>
      <c r="D2743" s="1" t="s">
        <v>34</v>
      </c>
      <c r="E2743" s="1" t="s">
        <v>35</v>
      </c>
      <c r="F2743" s="1" t="n">
        <v>4</v>
      </c>
      <c r="G2743" s="15" t="n">
        <v>158.21</v>
      </c>
      <c r="H2743" s="16" t="n">
        <v>0.09</v>
      </c>
      <c r="I2743" s="1" t="s">
        <v>31</v>
      </c>
      <c r="J2743" s="1" t="n">
        <v>7</v>
      </c>
      <c r="K2743" s="1" t="n">
        <v>1</v>
      </c>
      <c r="L2743" s="15" t="n">
        <v>575.88</v>
      </c>
      <c r="M2743" s="15" t="n">
        <f aca="false">F2743*G2743</f>
        <v>632.84</v>
      </c>
      <c r="N2743" s="15" t="n">
        <f aca="false">M2743-L2743</f>
        <v>56.96</v>
      </c>
      <c r="O2743" s="1" t="n">
        <f aca="false">YEAR(B2743)</f>
        <v>2029</v>
      </c>
      <c r="P2743" s="1" t="n">
        <f aca="false">MONTH(B2743)</f>
        <v>7</v>
      </c>
      <c r="Q2743" s="1" t="str">
        <f aca="false">TEXT(B2743,"mmm")</f>
        <v>Jul</v>
      </c>
      <c r="R2743" s="1" t="str">
        <f aca="false">"Q"&amp;ROUNDUP(MONTH(B2743)/3,0)</f>
        <v>Q3</v>
      </c>
    </row>
    <row r="2744" customFormat="false" ht="15" hidden="false" customHeight="true" outlineLevel="0" collapsed="false">
      <c r="A2744" s="1" t="n">
        <v>12743</v>
      </c>
      <c r="B2744" s="14" t="n">
        <v>47304</v>
      </c>
      <c r="C2744" s="1" t="n">
        <v>1823</v>
      </c>
      <c r="D2744" s="1" t="s">
        <v>30</v>
      </c>
      <c r="E2744" s="1" t="s">
        <v>32</v>
      </c>
      <c r="F2744" s="1" t="n">
        <v>1</v>
      </c>
      <c r="G2744" s="15" t="n">
        <v>235.18</v>
      </c>
      <c r="H2744" s="16" t="n">
        <v>0.06</v>
      </c>
      <c r="I2744" s="1" t="s">
        <v>31</v>
      </c>
      <c r="J2744" s="1" t="n">
        <v>10</v>
      </c>
      <c r="K2744" s="1" t="n">
        <v>3.2</v>
      </c>
      <c r="L2744" s="15" t="n">
        <v>221.07</v>
      </c>
      <c r="M2744" s="15" t="n">
        <f aca="false">F2744*G2744</f>
        <v>235.18</v>
      </c>
      <c r="N2744" s="15" t="n">
        <f aca="false">M2744-L2744</f>
        <v>14.11</v>
      </c>
      <c r="O2744" s="1" t="n">
        <f aca="false">YEAR(B2744)</f>
        <v>2029</v>
      </c>
      <c r="P2744" s="1" t="n">
        <f aca="false">MONTH(B2744)</f>
        <v>7</v>
      </c>
      <c r="Q2744" s="1" t="str">
        <f aca="false">TEXT(B2744,"mmm")</f>
        <v>Jul</v>
      </c>
      <c r="R2744" s="1" t="str">
        <f aca="false">"Q"&amp;ROUNDUP(MONTH(B2744)/3,0)</f>
        <v>Q3</v>
      </c>
    </row>
    <row r="2745" customFormat="false" ht="15" hidden="false" customHeight="true" outlineLevel="0" collapsed="false">
      <c r="A2745" s="1" t="n">
        <v>12744</v>
      </c>
      <c r="B2745" s="14" t="n">
        <v>47305</v>
      </c>
      <c r="C2745" s="1" t="n">
        <v>1155</v>
      </c>
      <c r="D2745" s="1" t="s">
        <v>27</v>
      </c>
      <c r="E2745" s="1" t="s">
        <v>35</v>
      </c>
      <c r="F2745" s="1" t="n">
        <v>6</v>
      </c>
      <c r="G2745" s="15" t="n">
        <v>191.14</v>
      </c>
      <c r="H2745" s="16" t="n">
        <v>0.26</v>
      </c>
      <c r="I2745" s="1" t="s">
        <v>31</v>
      </c>
      <c r="J2745" s="1" t="n">
        <v>5</v>
      </c>
      <c r="K2745" s="1" t="n">
        <v>3.1</v>
      </c>
      <c r="L2745" s="15" t="n">
        <v>848.66</v>
      </c>
      <c r="M2745" s="15" t="n">
        <f aca="false">F2745*G2745</f>
        <v>1146.84</v>
      </c>
      <c r="N2745" s="15" t="n">
        <f aca="false">M2745-L2745</f>
        <v>298.18</v>
      </c>
      <c r="O2745" s="1" t="n">
        <f aca="false">YEAR(B2745)</f>
        <v>2029</v>
      </c>
      <c r="P2745" s="1" t="n">
        <f aca="false">MONTH(B2745)</f>
        <v>7</v>
      </c>
      <c r="Q2745" s="1" t="str">
        <f aca="false">TEXT(B2745,"mmm")</f>
        <v>Jul</v>
      </c>
      <c r="R2745" s="1" t="str">
        <f aca="false">"Q"&amp;ROUNDUP(MONTH(B2745)/3,0)</f>
        <v>Q3</v>
      </c>
    </row>
    <row r="2746" customFormat="false" ht="15" hidden="false" customHeight="true" outlineLevel="0" collapsed="false">
      <c r="A2746" s="1" t="n">
        <v>12745</v>
      </c>
      <c r="B2746" s="14" t="n">
        <v>47306</v>
      </c>
      <c r="C2746" s="1" t="n">
        <v>1366</v>
      </c>
      <c r="D2746" s="1" t="s">
        <v>27</v>
      </c>
      <c r="E2746" s="1" t="s">
        <v>35</v>
      </c>
      <c r="F2746" s="1" t="n">
        <v>4</v>
      </c>
      <c r="G2746" s="15" t="n">
        <v>79.13</v>
      </c>
      <c r="H2746" s="16" t="n">
        <v>0.19</v>
      </c>
      <c r="I2746" s="1" t="s">
        <v>31</v>
      </c>
      <c r="J2746" s="1" t="n">
        <v>1</v>
      </c>
      <c r="K2746" s="1" t="n">
        <v>1.3</v>
      </c>
      <c r="L2746" s="15" t="n">
        <v>256.38</v>
      </c>
      <c r="M2746" s="15" t="n">
        <f aca="false">F2746*G2746</f>
        <v>316.52</v>
      </c>
      <c r="N2746" s="15" t="n">
        <f aca="false">M2746-L2746</f>
        <v>60.14</v>
      </c>
      <c r="O2746" s="1" t="n">
        <f aca="false">YEAR(B2746)</f>
        <v>2029</v>
      </c>
      <c r="P2746" s="1" t="n">
        <f aca="false">MONTH(B2746)</f>
        <v>7</v>
      </c>
      <c r="Q2746" s="1" t="str">
        <f aca="false">TEXT(B2746,"mmm")</f>
        <v>Jul</v>
      </c>
      <c r="R2746" s="1" t="str">
        <f aca="false">"Q"&amp;ROUNDUP(MONTH(B2746)/3,0)</f>
        <v>Q3</v>
      </c>
    </row>
    <row r="2747" customFormat="false" ht="15" hidden="false" customHeight="true" outlineLevel="0" collapsed="false">
      <c r="A2747" s="1" t="n">
        <v>12746</v>
      </c>
      <c r="B2747" s="14" t="n">
        <v>47307</v>
      </c>
      <c r="C2747" s="1" t="n">
        <v>1718</v>
      </c>
      <c r="D2747" s="1" t="s">
        <v>30</v>
      </c>
      <c r="E2747" s="1" t="s">
        <v>36</v>
      </c>
      <c r="F2747" s="1" t="n">
        <v>5</v>
      </c>
      <c r="G2747" s="15" t="n">
        <v>301.59</v>
      </c>
      <c r="H2747" s="16" t="n">
        <v>0.08</v>
      </c>
      <c r="I2747" s="1" t="s">
        <v>29</v>
      </c>
      <c r="J2747" s="1" t="n">
        <v>2</v>
      </c>
      <c r="K2747" s="1" t="n">
        <v>3</v>
      </c>
      <c r="L2747" s="15" t="n">
        <v>1387.31</v>
      </c>
      <c r="M2747" s="15" t="n">
        <f aca="false">F2747*G2747</f>
        <v>1507.95</v>
      </c>
      <c r="N2747" s="15" t="n">
        <f aca="false">M2747-L2747</f>
        <v>120.64</v>
      </c>
      <c r="O2747" s="1" t="n">
        <f aca="false">YEAR(B2747)</f>
        <v>2029</v>
      </c>
      <c r="P2747" s="1" t="n">
        <f aca="false">MONTH(B2747)</f>
        <v>7</v>
      </c>
      <c r="Q2747" s="1" t="str">
        <f aca="false">TEXT(B2747,"mmm")</f>
        <v>Jul</v>
      </c>
      <c r="R2747" s="1" t="str">
        <f aca="false">"Q"&amp;ROUNDUP(MONTH(B2747)/3,0)</f>
        <v>Q3</v>
      </c>
    </row>
    <row r="2748" customFormat="false" ht="15" hidden="false" customHeight="true" outlineLevel="0" collapsed="false">
      <c r="A2748" s="1" t="n">
        <v>12747</v>
      </c>
      <c r="B2748" s="14" t="n">
        <v>47308</v>
      </c>
      <c r="C2748" s="1" t="n">
        <v>1901</v>
      </c>
      <c r="D2748" s="1" t="s">
        <v>30</v>
      </c>
      <c r="E2748" s="1" t="s">
        <v>32</v>
      </c>
      <c r="F2748" s="1" t="n">
        <v>2</v>
      </c>
      <c r="G2748" s="15" t="n">
        <v>236.53</v>
      </c>
      <c r="H2748" s="16" t="n">
        <v>0.11</v>
      </c>
      <c r="I2748" s="1" t="s">
        <v>31</v>
      </c>
      <c r="J2748" s="1" t="n">
        <v>3</v>
      </c>
      <c r="K2748" s="1" t="n">
        <v>4</v>
      </c>
      <c r="L2748" s="15" t="n">
        <v>421.02</v>
      </c>
      <c r="M2748" s="15" t="n">
        <f aca="false">F2748*G2748</f>
        <v>473.06</v>
      </c>
      <c r="N2748" s="15" t="n">
        <f aca="false">M2748-L2748</f>
        <v>52.04</v>
      </c>
      <c r="O2748" s="1" t="n">
        <f aca="false">YEAR(B2748)</f>
        <v>2029</v>
      </c>
      <c r="P2748" s="1" t="n">
        <f aca="false">MONTH(B2748)</f>
        <v>7</v>
      </c>
      <c r="Q2748" s="1" t="str">
        <f aca="false">TEXT(B2748,"mmm")</f>
        <v>Jul</v>
      </c>
      <c r="R2748" s="1" t="str">
        <f aca="false">"Q"&amp;ROUNDUP(MONTH(B2748)/3,0)</f>
        <v>Q3</v>
      </c>
    </row>
    <row r="2749" customFormat="false" ht="15" hidden="false" customHeight="true" outlineLevel="0" collapsed="false">
      <c r="A2749" s="1" t="n">
        <v>12748</v>
      </c>
      <c r="B2749" s="14" t="n">
        <v>47309</v>
      </c>
      <c r="C2749" s="1" t="n">
        <v>1619</v>
      </c>
      <c r="D2749" s="1" t="s">
        <v>34</v>
      </c>
      <c r="E2749" s="1" t="s">
        <v>28</v>
      </c>
      <c r="F2749" s="1" t="n">
        <v>1</v>
      </c>
      <c r="G2749" s="15" t="n">
        <v>421.51</v>
      </c>
      <c r="H2749" s="16" t="n">
        <v>0.34</v>
      </c>
      <c r="I2749" s="1" t="s">
        <v>29</v>
      </c>
      <c r="J2749" s="1" t="n">
        <v>6</v>
      </c>
      <c r="K2749" s="1" t="n">
        <v>3.2</v>
      </c>
      <c r="L2749" s="15" t="n">
        <v>278.2</v>
      </c>
      <c r="M2749" s="15" t="n">
        <f aca="false">F2749*G2749</f>
        <v>421.51</v>
      </c>
      <c r="N2749" s="15" t="n">
        <f aca="false">M2749-L2749</f>
        <v>143.31</v>
      </c>
      <c r="O2749" s="1" t="n">
        <f aca="false">YEAR(B2749)</f>
        <v>2029</v>
      </c>
      <c r="P2749" s="1" t="n">
        <f aca="false">MONTH(B2749)</f>
        <v>7</v>
      </c>
      <c r="Q2749" s="1" t="str">
        <f aca="false">TEXT(B2749,"mmm")</f>
        <v>Jul</v>
      </c>
      <c r="R2749" s="1" t="str">
        <f aca="false">"Q"&amp;ROUNDUP(MONTH(B2749)/3,0)</f>
        <v>Q3</v>
      </c>
    </row>
    <row r="2750" customFormat="false" ht="15" hidden="false" customHeight="true" outlineLevel="0" collapsed="false">
      <c r="A2750" s="1" t="n">
        <v>12749</v>
      </c>
      <c r="B2750" s="14" t="n">
        <v>47310</v>
      </c>
      <c r="C2750" s="1" t="n">
        <v>1250</v>
      </c>
      <c r="D2750" s="1" t="s">
        <v>27</v>
      </c>
      <c r="E2750" s="1" t="s">
        <v>28</v>
      </c>
      <c r="F2750" s="1" t="n">
        <v>1</v>
      </c>
      <c r="G2750" s="15" t="n">
        <v>493.29</v>
      </c>
      <c r="H2750" s="16" t="n">
        <v>0.3</v>
      </c>
      <c r="I2750" s="1" t="s">
        <v>33</v>
      </c>
      <c r="J2750" s="1" t="n">
        <v>1</v>
      </c>
      <c r="K2750" s="1" t="n">
        <v>3.1</v>
      </c>
      <c r="L2750" s="15" t="n">
        <v>345.3</v>
      </c>
      <c r="M2750" s="15" t="n">
        <f aca="false">F2750*G2750</f>
        <v>493.29</v>
      </c>
      <c r="N2750" s="15" t="n">
        <f aca="false">M2750-L2750</f>
        <v>147.99</v>
      </c>
      <c r="O2750" s="1" t="n">
        <f aca="false">YEAR(B2750)</f>
        <v>2029</v>
      </c>
      <c r="P2750" s="1" t="n">
        <f aca="false">MONTH(B2750)</f>
        <v>7</v>
      </c>
      <c r="Q2750" s="1" t="str">
        <f aca="false">TEXT(B2750,"mmm")</f>
        <v>Jul</v>
      </c>
      <c r="R2750" s="1" t="str">
        <f aca="false">"Q"&amp;ROUNDUP(MONTH(B2750)/3,0)</f>
        <v>Q3</v>
      </c>
    </row>
    <row r="2751" customFormat="false" ht="15" hidden="false" customHeight="true" outlineLevel="0" collapsed="false">
      <c r="A2751" s="1" t="n">
        <v>12750</v>
      </c>
      <c r="B2751" s="14" t="n">
        <v>47311</v>
      </c>
      <c r="C2751" s="1" t="n">
        <v>1956</v>
      </c>
      <c r="D2751" s="1" t="s">
        <v>34</v>
      </c>
      <c r="E2751" s="1" t="s">
        <v>32</v>
      </c>
      <c r="F2751" s="1" t="n">
        <v>6</v>
      </c>
      <c r="G2751" s="15" t="n">
        <v>333.39</v>
      </c>
      <c r="H2751" s="16" t="n">
        <v>0.31</v>
      </c>
      <c r="I2751" s="1" t="s">
        <v>31</v>
      </c>
      <c r="J2751" s="1" t="n">
        <v>8</v>
      </c>
      <c r="K2751" s="1" t="n">
        <v>3.9</v>
      </c>
      <c r="L2751" s="15" t="n">
        <v>1380.23</v>
      </c>
      <c r="M2751" s="15" t="n">
        <f aca="false">F2751*G2751</f>
        <v>2000.34</v>
      </c>
      <c r="N2751" s="15" t="n">
        <f aca="false">M2751-L2751</f>
        <v>620.11</v>
      </c>
      <c r="O2751" s="1" t="n">
        <f aca="false">YEAR(B2751)</f>
        <v>2029</v>
      </c>
      <c r="P2751" s="1" t="n">
        <f aca="false">MONTH(B2751)</f>
        <v>7</v>
      </c>
      <c r="Q2751" s="1" t="str">
        <f aca="false">TEXT(B2751,"mmm")</f>
        <v>Jul</v>
      </c>
      <c r="R2751" s="1" t="str">
        <f aca="false">"Q"&amp;ROUNDUP(MONTH(B2751)/3,0)</f>
        <v>Q3</v>
      </c>
    </row>
    <row r="2752" customFormat="false" ht="15" hidden="false" customHeight="true" outlineLevel="0" collapsed="false">
      <c r="A2752" s="1" t="n">
        <v>12751</v>
      </c>
      <c r="B2752" s="14" t="n">
        <v>47312</v>
      </c>
      <c r="C2752" s="1" t="n">
        <v>1915</v>
      </c>
      <c r="D2752" s="1" t="s">
        <v>30</v>
      </c>
      <c r="E2752" s="1" t="s">
        <v>35</v>
      </c>
      <c r="F2752" s="1" t="n">
        <v>7</v>
      </c>
      <c r="G2752" s="15" t="n">
        <v>33.83</v>
      </c>
      <c r="H2752" s="16" t="n">
        <v>0.16</v>
      </c>
      <c r="I2752" s="1" t="s">
        <v>33</v>
      </c>
      <c r="J2752" s="1" t="n">
        <v>2</v>
      </c>
      <c r="K2752" s="1" t="n">
        <v>1.7</v>
      </c>
      <c r="L2752" s="15" t="n">
        <v>198.92</v>
      </c>
      <c r="M2752" s="15" t="n">
        <f aca="false">F2752*G2752</f>
        <v>236.81</v>
      </c>
      <c r="N2752" s="15" t="n">
        <f aca="false">M2752-L2752</f>
        <v>37.89</v>
      </c>
      <c r="O2752" s="1" t="n">
        <f aca="false">YEAR(B2752)</f>
        <v>2029</v>
      </c>
      <c r="P2752" s="1" t="n">
        <f aca="false">MONTH(B2752)</f>
        <v>7</v>
      </c>
      <c r="Q2752" s="1" t="str">
        <f aca="false">TEXT(B2752,"mmm")</f>
        <v>Jul</v>
      </c>
      <c r="R2752" s="1" t="str">
        <f aca="false">"Q"&amp;ROUNDUP(MONTH(B2752)/3,0)</f>
        <v>Q3</v>
      </c>
    </row>
    <row r="2753" customFormat="false" ht="15" hidden="false" customHeight="true" outlineLevel="0" collapsed="false">
      <c r="A2753" s="1" t="n">
        <v>12752</v>
      </c>
      <c r="B2753" s="14" t="n">
        <v>47313</v>
      </c>
      <c r="C2753" s="1" t="n">
        <v>1881</v>
      </c>
      <c r="D2753" s="1" t="s">
        <v>34</v>
      </c>
      <c r="E2753" s="1" t="s">
        <v>36</v>
      </c>
      <c r="F2753" s="1" t="n">
        <v>3</v>
      </c>
      <c r="G2753" s="15" t="n">
        <v>377.07</v>
      </c>
      <c r="H2753" s="16" t="n">
        <v>0.22</v>
      </c>
      <c r="I2753" s="1" t="s">
        <v>33</v>
      </c>
      <c r="J2753" s="1" t="n">
        <v>5</v>
      </c>
      <c r="K2753" s="1" t="n">
        <v>2.8</v>
      </c>
      <c r="L2753" s="15" t="n">
        <v>882.34</v>
      </c>
      <c r="M2753" s="15" t="n">
        <f aca="false">F2753*G2753</f>
        <v>1131.21</v>
      </c>
      <c r="N2753" s="15" t="n">
        <f aca="false">M2753-L2753</f>
        <v>248.87</v>
      </c>
      <c r="O2753" s="1" t="n">
        <f aca="false">YEAR(B2753)</f>
        <v>2029</v>
      </c>
      <c r="P2753" s="1" t="n">
        <f aca="false">MONTH(B2753)</f>
        <v>7</v>
      </c>
      <c r="Q2753" s="1" t="str">
        <f aca="false">TEXT(B2753,"mmm")</f>
        <v>Jul</v>
      </c>
      <c r="R2753" s="1" t="str">
        <f aca="false">"Q"&amp;ROUNDUP(MONTH(B2753)/3,0)</f>
        <v>Q3</v>
      </c>
    </row>
    <row r="2754" customFormat="false" ht="15" hidden="false" customHeight="true" outlineLevel="0" collapsed="false">
      <c r="A2754" s="1" t="n">
        <v>12753</v>
      </c>
      <c r="B2754" s="14" t="n">
        <v>47314</v>
      </c>
      <c r="C2754" s="1" t="n">
        <v>1333</v>
      </c>
      <c r="D2754" s="1" t="s">
        <v>34</v>
      </c>
      <c r="E2754" s="1" t="s">
        <v>32</v>
      </c>
      <c r="F2754" s="1" t="n">
        <v>6</v>
      </c>
      <c r="G2754" s="15" t="n">
        <v>47.4</v>
      </c>
      <c r="H2754" s="16" t="n">
        <v>0.13</v>
      </c>
      <c r="I2754" s="1" t="s">
        <v>33</v>
      </c>
      <c r="J2754" s="1" t="n">
        <v>8</v>
      </c>
      <c r="K2754" s="1" t="n">
        <v>1.6</v>
      </c>
      <c r="L2754" s="15" t="n">
        <v>247.43</v>
      </c>
      <c r="M2754" s="15" t="n">
        <f aca="false">F2754*G2754</f>
        <v>284.4</v>
      </c>
      <c r="N2754" s="15" t="n">
        <f aca="false">M2754-L2754</f>
        <v>36.97</v>
      </c>
      <c r="O2754" s="1" t="n">
        <f aca="false">YEAR(B2754)</f>
        <v>2029</v>
      </c>
      <c r="P2754" s="1" t="n">
        <f aca="false">MONTH(B2754)</f>
        <v>7</v>
      </c>
      <c r="Q2754" s="1" t="str">
        <f aca="false">TEXT(B2754,"mmm")</f>
        <v>Jul</v>
      </c>
      <c r="R2754" s="1" t="str">
        <f aca="false">"Q"&amp;ROUNDUP(MONTH(B2754)/3,0)</f>
        <v>Q3</v>
      </c>
    </row>
    <row r="2755" customFormat="false" ht="15" hidden="false" customHeight="true" outlineLevel="0" collapsed="false">
      <c r="A2755" s="1" t="n">
        <v>12754</v>
      </c>
      <c r="B2755" s="14" t="n">
        <v>47315</v>
      </c>
      <c r="C2755" s="1" t="n">
        <v>1641</v>
      </c>
      <c r="D2755" s="1" t="s">
        <v>30</v>
      </c>
      <c r="E2755" s="1" t="s">
        <v>32</v>
      </c>
      <c r="F2755" s="1" t="n">
        <v>2</v>
      </c>
      <c r="G2755" s="15" t="n">
        <v>375.57</v>
      </c>
      <c r="H2755" s="16" t="n">
        <v>0.03</v>
      </c>
      <c r="I2755" s="1" t="s">
        <v>33</v>
      </c>
      <c r="J2755" s="1" t="n">
        <v>5</v>
      </c>
      <c r="K2755" s="1" t="n">
        <v>3.1</v>
      </c>
      <c r="L2755" s="15" t="n">
        <v>728.61</v>
      </c>
      <c r="M2755" s="15" t="n">
        <f aca="false">F2755*G2755</f>
        <v>751.14</v>
      </c>
      <c r="N2755" s="15" t="n">
        <f aca="false">M2755-L2755</f>
        <v>22.53</v>
      </c>
      <c r="O2755" s="1" t="n">
        <f aca="false">YEAR(B2755)</f>
        <v>2029</v>
      </c>
      <c r="P2755" s="1" t="n">
        <f aca="false">MONTH(B2755)</f>
        <v>7</v>
      </c>
      <c r="Q2755" s="1" t="str">
        <f aca="false">TEXT(B2755,"mmm")</f>
        <v>Jul</v>
      </c>
      <c r="R2755" s="1" t="str">
        <f aca="false">"Q"&amp;ROUNDUP(MONTH(B2755)/3,0)</f>
        <v>Q3</v>
      </c>
    </row>
    <row r="2756" customFormat="false" ht="15" hidden="false" customHeight="true" outlineLevel="0" collapsed="false">
      <c r="A2756" s="1" t="n">
        <v>12755</v>
      </c>
      <c r="B2756" s="14" t="n">
        <v>47316</v>
      </c>
      <c r="C2756" s="1" t="n">
        <v>1968</v>
      </c>
      <c r="D2756" s="1" t="s">
        <v>27</v>
      </c>
      <c r="E2756" s="1" t="s">
        <v>28</v>
      </c>
      <c r="F2756" s="1" t="n">
        <v>7</v>
      </c>
      <c r="G2756" s="15" t="n">
        <v>415.74</v>
      </c>
      <c r="H2756" s="16" t="n">
        <v>0.14</v>
      </c>
      <c r="I2756" s="1" t="s">
        <v>31</v>
      </c>
      <c r="J2756" s="1" t="n">
        <v>8</v>
      </c>
      <c r="K2756" s="1" t="n">
        <v>3.4</v>
      </c>
      <c r="L2756" s="15" t="n">
        <v>2502.75</v>
      </c>
      <c r="M2756" s="15" t="n">
        <f aca="false">F2756*G2756</f>
        <v>2910.18</v>
      </c>
      <c r="N2756" s="15" t="n">
        <f aca="false">M2756-L2756</f>
        <v>407.43</v>
      </c>
      <c r="O2756" s="1" t="n">
        <f aca="false">YEAR(B2756)</f>
        <v>2029</v>
      </c>
      <c r="P2756" s="1" t="n">
        <f aca="false">MONTH(B2756)</f>
        <v>7</v>
      </c>
      <c r="Q2756" s="1" t="str">
        <f aca="false">TEXT(B2756,"mmm")</f>
        <v>Jul</v>
      </c>
      <c r="R2756" s="1" t="str">
        <f aca="false">"Q"&amp;ROUNDUP(MONTH(B2756)/3,0)</f>
        <v>Q3</v>
      </c>
    </row>
    <row r="2757" customFormat="false" ht="15" hidden="false" customHeight="true" outlineLevel="0" collapsed="false">
      <c r="A2757" s="1" t="n">
        <v>12756</v>
      </c>
      <c r="B2757" s="14" t="n">
        <v>47317</v>
      </c>
      <c r="C2757" s="1" t="n">
        <v>1510</v>
      </c>
      <c r="D2757" s="1" t="s">
        <v>34</v>
      </c>
      <c r="E2757" s="1" t="s">
        <v>36</v>
      </c>
      <c r="F2757" s="1" t="n">
        <v>7</v>
      </c>
      <c r="G2757" s="15" t="n">
        <v>130.69</v>
      </c>
      <c r="H2757" s="16" t="n">
        <v>0.21</v>
      </c>
      <c r="I2757" s="1" t="s">
        <v>33</v>
      </c>
      <c r="J2757" s="1" t="n">
        <v>6</v>
      </c>
      <c r="K2757" s="1" t="n">
        <v>1.5</v>
      </c>
      <c r="L2757" s="15" t="n">
        <v>722.72</v>
      </c>
      <c r="M2757" s="15" t="n">
        <f aca="false">F2757*G2757</f>
        <v>914.83</v>
      </c>
      <c r="N2757" s="15" t="n">
        <f aca="false">M2757-L2757</f>
        <v>192.11</v>
      </c>
      <c r="O2757" s="1" t="n">
        <f aca="false">YEAR(B2757)</f>
        <v>2029</v>
      </c>
      <c r="P2757" s="1" t="n">
        <f aca="false">MONTH(B2757)</f>
        <v>7</v>
      </c>
      <c r="Q2757" s="1" t="str">
        <f aca="false">TEXT(B2757,"mmm")</f>
        <v>Jul</v>
      </c>
      <c r="R2757" s="1" t="str">
        <f aca="false">"Q"&amp;ROUNDUP(MONTH(B2757)/3,0)</f>
        <v>Q3</v>
      </c>
    </row>
    <row r="2758" customFormat="false" ht="15" hidden="false" customHeight="true" outlineLevel="0" collapsed="false">
      <c r="A2758" s="1" t="n">
        <v>12757</v>
      </c>
      <c r="B2758" s="14" t="n">
        <v>47318</v>
      </c>
      <c r="C2758" s="1" t="n">
        <v>1292</v>
      </c>
      <c r="D2758" s="1" t="s">
        <v>30</v>
      </c>
      <c r="E2758" s="1" t="s">
        <v>32</v>
      </c>
      <c r="F2758" s="1" t="n">
        <v>7</v>
      </c>
      <c r="G2758" s="15" t="n">
        <v>494.32</v>
      </c>
      <c r="H2758" s="16" t="n">
        <v>0.1</v>
      </c>
      <c r="I2758" s="1" t="s">
        <v>33</v>
      </c>
      <c r="J2758" s="1" t="n">
        <v>7</v>
      </c>
      <c r="K2758" s="1" t="n">
        <v>1.3</v>
      </c>
      <c r="L2758" s="15" t="n">
        <v>3114.22</v>
      </c>
      <c r="M2758" s="15" t="n">
        <f aca="false">F2758*G2758</f>
        <v>3460.24</v>
      </c>
      <c r="N2758" s="15" t="n">
        <f aca="false">M2758-L2758</f>
        <v>346.02</v>
      </c>
      <c r="O2758" s="1" t="n">
        <f aca="false">YEAR(B2758)</f>
        <v>2029</v>
      </c>
      <c r="P2758" s="1" t="n">
        <f aca="false">MONTH(B2758)</f>
        <v>7</v>
      </c>
      <c r="Q2758" s="1" t="str">
        <f aca="false">TEXT(B2758,"mmm")</f>
        <v>Jul</v>
      </c>
      <c r="R2758" s="1" t="str">
        <f aca="false">"Q"&amp;ROUNDUP(MONTH(B2758)/3,0)</f>
        <v>Q3</v>
      </c>
    </row>
    <row r="2759" customFormat="false" ht="15" hidden="false" customHeight="true" outlineLevel="0" collapsed="false">
      <c r="A2759" s="1" t="n">
        <v>12758</v>
      </c>
      <c r="B2759" s="14" t="n">
        <v>47319</v>
      </c>
      <c r="C2759" s="1" t="n">
        <v>1019</v>
      </c>
      <c r="D2759" s="1" t="s">
        <v>34</v>
      </c>
      <c r="E2759" s="1" t="s">
        <v>36</v>
      </c>
      <c r="F2759" s="1" t="n">
        <v>2</v>
      </c>
      <c r="G2759" s="15" t="n">
        <v>547.98</v>
      </c>
      <c r="H2759" s="16" t="n">
        <v>0.3</v>
      </c>
      <c r="I2759" s="1" t="s">
        <v>33</v>
      </c>
      <c r="J2759" s="1" t="n">
        <v>8</v>
      </c>
      <c r="K2759" s="1" t="n">
        <v>1.7</v>
      </c>
      <c r="L2759" s="15" t="n">
        <v>767.17</v>
      </c>
      <c r="M2759" s="15" t="n">
        <f aca="false">F2759*G2759</f>
        <v>1095.96</v>
      </c>
      <c r="N2759" s="15" t="n">
        <f aca="false">M2759-L2759</f>
        <v>328.79</v>
      </c>
      <c r="O2759" s="1" t="n">
        <f aca="false">YEAR(B2759)</f>
        <v>2029</v>
      </c>
      <c r="P2759" s="1" t="n">
        <f aca="false">MONTH(B2759)</f>
        <v>7</v>
      </c>
      <c r="Q2759" s="1" t="str">
        <f aca="false">TEXT(B2759,"mmm")</f>
        <v>Jul</v>
      </c>
      <c r="R2759" s="1" t="str">
        <f aca="false">"Q"&amp;ROUNDUP(MONTH(B2759)/3,0)</f>
        <v>Q3</v>
      </c>
    </row>
    <row r="2760" customFormat="false" ht="15" hidden="false" customHeight="true" outlineLevel="0" collapsed="false">
      <c r="A2760" s="1" t="n">
        <v>12759</v>
      </c>
      <c r="B2760" s="14" t="n">
        <v>47320</v>
      </c>
      <c r="C2760" s="1" t="n">
        <v>1281</v>
      </c>
      <c r="D2760" s="1" t="s">
        <v>34</v>
      </c>
      <c r="E2760" s="1" t="s">
        <v>35</v>
      </c>
      <c r="F2760" s="1" t="n">
        <v>4</v>
      </c>
      <c r="G2760" s="15" t="n">
        <v>490.66</v>
      </c>
      <c r="H2760" s="16" t="n">
        <v>0.05</v>
      </c>
      <c r="I2760" s="1" t="s">
        <v>29</v>
      </c>
      <c r="J2760" s="1" t="n">
        <v>3</v>
      </c>
      <c r="K2760" s="1" t="n">
        <v>3.3</v>
      </c>
      <c r="L2760" s="15" t="n">
        <v>1864.51</v>
      </c>
      <c r="M2760" s="15" t="n">
        <f aca="false">F2760*G2760</f>
        <v>1962.64</v>
      </c>
      <c r="N2760" s="15" t="n">
        <f aca="false">M2760-L2760</f>
        <v>98.1300000000001</v>
      </c>
      <c r="O2760" s="1" t="n">
        <f aca="false">YEAR(B2760)</f>
        <v>2029</v>
      </c>
      <c r="P2760" s="1" t="n">
        <f aca="false">MONTH(B2760)</f>
        <v>7</v>
      </c>
      <c r="Q2760" s="1" t="str">
        <f aca="false">TEXT(B2760,"mmm")</f>
        <v>Jul</v>
      </c>
      <c r="R2760" s="1" t="str">
        <f aca="false">"Q"&amp;ROUNDUP(MONTH(B2760)/3,0)</f>
        <v>Q3</v>
      </c>
    </row>
    <row r="2761" customFormat="false" ht="15" hidden="false" customHeight="true" outlineLevel="0" collapsed="false">
      <c r="A2761" s="1" t="n">
        <v>12760</v>
      </c>
      <c r="B2761" s="14" t="n">
        <v>47321</v>
      </c>
      <c r="C2761" s="1" t="n">
        <v>1796</v>
      </c>
      <c r="D2761" s="1" t="s">
        <v>30</v>
      </c>
      <c r="E2761" s="1" t="s">
        <v>28</v>
      </c>
      <c r="F2761" s="1" t="n">
        <v>1</v>
      </c>
      <c r="G2761" s="15" t="n">
        <v>193.49</v>
      </c>
      <c r="H2761" s="16" t="n">
        <v>0.13</v>
      </c>
      <c r="I2761" s="1" t="s">
        <v>31</v>
      </c>
      <c r="J2761" s="1" t="n">
        <v>5</v>
      </c>
      <c r="K2761" s="1" t="n">
        <v>1.8</v>
      </c>
      <c r="L2761" s="15" t="n">
        <v>168.34</v>
      </c>
      <c r="M2761" s="15" t="n">
        <f aca="false">F2761*G2761</f>
        <v>193.49</v>
      </c>
      <c r="N2761" s="15" t="n">
        <f aca="false">M2761-L2761</f>
        <v>25.15</v>
      </c>
      <c r="O2761" s="1" t="n">
        <f aca="false">YEAR(B2761)</f>
        <v>2029</v>
      </c>
      <c r="P2761" s="1" t="n">
        <f aca="false">MONTH(B2761)</f>
        <v>7</v>
      </c>
      <c r="Q2761" s="1" t="str">
        <f aca="false">TEXT(B2761,"mmm")</f>
        <v>Jul</v>
      </c>
      <c r="R2761" s="1" t="str">
        <f aca="false">"Q"&amp;ROUNDUP(MONTH(B2761)/3,0)</f>
        <v>Q3</v>
      </c>
    </row>
    <row r="2762" customFormat="false" ht="15" hidden="false" customHeight="true" outlineLevel="0" collapsed="false">
      <c r="A2762" s="1" t="n">
        <v>12761</v>
      </c>
      <c r="B2762" s="14" t="n">
        <v>47322</v>
      </c>
      <c r="C2762" s="1" t="n">
        <v>1000</v>
      </c>
      <c r="D2762" s="1" t="s">
        <v>30</v>
      </c>
      <c r="E2762" s="1" t="s">
        <v>35</v>
      </c>
      <c r="F2762" s="1" t="n">
        <v>4</v>
      </c>
      <c r="G2762" s="15" t="n">
        <v>358.19</v>
      </c>
      <c r="H2762" s="16" t="n">
        <v>0.04</v>
      </c>
      <c r="I2762" s="1" t="s">
        <v>31</v>
      </c>
      <c r="J2762" s="1" t="n">
        <v>10</v>
      </c>
      <c r="K2762" s="1" t="n">
        <v>2.1</v>
      </c>
      <c r="L2762" s="15" t="n">
        <v>1375.45</v>
      </c>
      <c r="M2762" s="15" t="n">
        <f aca="false">F2762*G2762</f>
        <v>1432.76</v>
      </c>
      <c r="N2762" s="15" t="n">
        <f aca="false">M2762-L2762</f>
        <v>57.3099999999999</v>
      </c>
      <c r="O2762" s="1" t="n">
        <f aca="false">YEAR(B2762)</f>
        <v>2029</v>
      </c>
      <c r="P2762" s="1" t="n">
        <f aca="false">MONTH(B2762)</f>
        <v>7</v>
      </c>
      <c r="Q2762" s="1" t="str">
        <f aca="false">TEXT(B2762,"mmm")</f>
        <v>Jul</v>
      </c>
      <c r="R2762" s="1" t="str">
        <f aca="false">"Q"&amp;ROUNDUP(MONTH(B2762)/3,0)</f>
        <v>Q3</v>
      </c>
    </row>
    <row r="2763" customFormat="false" ht="15" hidden="false" customHeight="true" outlineLevel="0" collapsed="false">
      <c r="A2763" s="1" t="n">
        <v>12762</v>
      </c>
      <c r="B2763" s="14" t="n">
        <v>47323</v>
      </c>
      <c r="C2763" s="1" t="n">
        <v>1118</v>
      </c>
      <c r="D2763" s="1" t="s">
        <v>34</v>
      </c>
      <c r="E2763" s="1" t="s">
        <v>36</v>
      </c>
      <c r="F2763" s="1" t="n">
        <v>2</v>
      </c>
      <c r="G2763" s="15" t="n">
        <v>550.17</v>
      </c>
      <c r="H2763" s="16" t="n">
        <v>0.14</v>
      </c>
      <c r="I2763" s="1" t="s">
        <v>33</v>
      </c>
      <c r="J2763" s="1" t="n">
        <v>7</v>
      </c>
      <c r="K2763" s="1" t="n">
        <v>3.8</v>
      </c>
      <c r="L2763" s="15" t="n">
        <v>946.29</v>
      </c>
      <c r="M2763" s="15" t="n">
        <f aca="false">F2763*G2763</f>
        <v>1100.34</v>
      </c>
      <c r="N2763" s="15" t="n">
        <f aca="false">M2763-L2763</f>
        <v>154.05</v>
      </c>
      <c r="O2763" s="1" t="n">
        <f aca="false">YEAR(B2763)</f>
        <v>2029</v>
      </c>
      <c r="P2763" s="1" t="n">
        <f aca="false">MONTH(B2763)</f>
        <v>7</v>
      </c>
      <c r="Q2763" s="1" t="str">
        <f aca="false">TEXT(B2763,"mmm")</f>
        <v>Jul</v>
      </c>
      <c r="R2763" s="1" t="str">
        <f aca="false">"Q"&amp;ROUNDUP(MONTH(B2763)/3,0)</f>
        <v>Q3</v>
      </c>
    </row>
    <row r="2764" customFormat="false" ht="15" hidden="false" customHeight="true" outlineLevel="0" collapsed="false">
      <c r="A2764" s="1" t="n">
        <v>12763</v>
      </c>
      <c r="B2764" s="14" t="n">
        <v>47324</v>
      </c>
      <c r="C2764" s="1" t="n">
        <v>1034</v>
      </c>
      <c r="D2764" s="1" t="s">
        <v>34</v>
      </c>
      <c r="E2764" s="1" t="s">
        <v>35</v>
      </c>
      <c r="F2764" s="1" t="n">
        <v>3</v>
      </c>
      <c r="G2764" s="15" t="n">
        <v>202.59</v>
      </c>
      <c r="H2764" s="16" t="n">
        <v>0.01</v>
      </c>
      <c r="I2764" s="1" t="s">
        <v>29</v>
      </c>
      <c r="J2764" s="1" t="n">
        <v>9</v>
      </c>
      <c r="K2764" s="1" t="n">
        <v>2</v>
      </c>
      <c r="L2764" s="15" t="n">
        <v>601.69</v>
      </c>
      <c r="M2764" s="15" t="n">
        <f aca="false">F2764*G2764</f>
        <v>607.77</v>
      </c>
      <c r="N2764" s="15" t="n">
        <f aca="false">M2764-L2764</f>
        <v>6.07999999999993</v>
      </c>
      <c r="O2764" s="1" t="n">
        <f aca="false">YEAR(B2764)</f>
        <v>2029</v>
      </c>
      <c r="P2764" s="1" t="n">
        <f aca="false">MONTH(B2764)</f>
        <v>7</v>
      </c>
      <c r="Q2764" s="1" t="str">
        <f aca="false">TEXT(B2764,"mmm")</f>
        <v>Jul</v>
      </c>
      <c r="R2764" s="1" t="str">
        <f aca="false">"Q"&amp;ROUNDUP(MONTH(B2764)/3,0)</f>
        <v>Q3</v>
      </c>
    </row>
    <row r="2765" customFormat="false" ht="15" hidden="false" customHeight="true" outlineLevel="0" collapsed="false">
      <c r="A2765" s="1" t="n">
        <v>12764</v>
      </c>
      <c r="B2765" s="14" t="n">
        <v>47325</v>
      </c>
      <c r="C2765" s="1" t="n">
        <v>1197</v>
      </c>
      <c r="D2765" s="1" t="s">
        <v>34</v>
      </c>
      <c r="E2765" s="1" t="s">
        <v>28</v>
      </c>
      <c r="F2765" s="1" t="n">
        <v>1</v>
      </c>
      <c r="G2765" s="15" t="n">
        <v>494.72</v>
      </c>
      <c r="H2765" s="16" t="n">
        <v>0.1</v>
      </c>
      <c r="I2765" s="1" t="s">
        <v>31</v>
      </c>
      <c r="J2765" s="1" t="n">
        <v>6</v>
      </c>
      <c r="K2765" s="1" t="n">
        <v>2.6</v>
      </c>
      <c r="L2765" s="15" t="n">
        <v>445.25</v>
      </c>
      <c r="M2765" s="15" t="n">
        <f aca="false">F2765*G2765</f>
        <v>494.72</v>
      </c>
      <c r="N2765" s="15" t="n">
        <f aca="false">M2765-L2765</f>
        <v>49.47</v>
      </c>
      <c r="O2765" s="1" t="n">
        <f aca="false">YEAR(B2765)</f>
        <v>2029</v>
      </c>
      <c r="P2765" s="1" t="n">
        <f aca="false">MONTH(B2765)</f>
        <v>7</v>
      </c>
      <c r="Q2765" s="1" t="str">
        <f aca="false">TEXT(B2765,"mmm")</f>
        <v>Jul</v>
      </c>
      <c r="R2765" s="1" t="str">
        <f aca="false">"Q"&amp;ROUNDUP(MONTH(B2765)/3,0)</f>
        <v>Q3</v>
      </c>
    </row>
    <row r="2766" customFormat="false" ht="15" hidden="false" customHeight="true" outlineLevel="0" collapsed="false">
      <c r="A2766" s="1" t="n">
        <v>12765</v>
      </c>
      <c r="B2766" s="14" t="n">
        <v>47326</v>
      </c>
      <c r="C2766" s="1" t="n">
        <v>1484</v>
      </c>
      <c r="D2766" s="1" t="s">
        <v>34</v>
      </c>
      <c r="E2766" s="1" t="s">
        <v>36</v>
      </c>
      <c r="F2766" s="1" t="n">
        <v>2</v>
      </c>
      <c r="G2766" s="15" t="n">
        <v>20.54</v>
      </c>
      <c r="H2766" s="16" t="n">
        <v>0.14</v>
      </c>
      <c r="I2766" s="1" t="s">
        <v>31</v>
      </c>
      <c r="J2766" s="1" t="n">
        <v>10</v>
      </c>
      <c r="K2766" s="1" t="n">
        <v>4.7</v>
      </c>
      <c r="L2766" s="15" t="n">
        <v>35.33</v>
      </c>
      <c r="M2766" s="15" t="n">
        <f aca="false">F2766*G2766</f>
        <v>41.08</v>
      </c>
      <c r="N2766" s="15" t="n">
        <f aca="false">M2766-L2766</f>
        <v>5.75</v>
      </c>
      <c r="O2766" s="1" t="n">
        <f aca="false">YEAR(B2766)</f>
        <v>2029</v>
      </c>
      <c r="P2766" s="1" t="n">
        <f aca="false">MONTH(B2766)</f>
        <v>7</v>
      </c>
      <c r="Q2766" s="1" t="str">
        <f aca="false">TEXT(B2766,"mmm")</f>
        <v>Jul</v>
      </c>
      <c r="R2766" s="1" t="str">
        <f aca="false">"Q"&amp;ROUNDUP(MONTH(B2766)/3,0)</f>
        <v>Q3</v>
      </c>
    </row>
    <row r="2767" customFormat="false" ht="15" hidden="false" customHeight="true" outlineLevel="0" collapsed="false">
      <c r="A2767" s="1" t="n">
        <v>12766</v>
      </c>
      <c r="B2767" s="14" t="n">
        <v>47327</v>
      </c>
      <c r="C2767" s="1" t="n">
        <v>1756</v>
      </c>
      <c r="D2767" s="1" t="s">
        <v>27</v>
      </c>
      <c r="E2767" s="1" t="s">
        <v>32</v>
      </c>
      <c r="F2767" s="1" t="n">
        <v>3</v>
      </c>
      <c r="G2767" s="15" t="n">
        <v>17.13</v>
      </c>
      <c r="H2767" s="16" t="n">
        <v>0.17</v>
      </c>
      <c r="I2767" s="1" t="s">
        <v>31</v>
      </c>
      <c r="J2767" s="1" t="n">
        <v>1</v>
      </c>
      <c r="K2767" s="1" t="n">
        <v>4.3</v>
      </c>
      <c r="L2767" s="15" t="n">
        <v>42.65</v>
      </c>
      <c r="M2767" s="15" t="n">
        <f aca="false">F2767*G2767</f>
        <v>51.39</v>
      </c>
      <c r="N2767" s="15" t="n">
        <f aca="false">M2767-L2767</f>
        <v>8.74</v>
      </c>
      <c r="O2767" s="1" t="n">
        <f aca="false">YEAR(B2767)</f>
        <v>2029</v>
      </c>
      <c r="P2767" s="1" t="n">
        <f aca="false">MONTH(B2767)</f>
        <v>7</v>
      </c>
      <c r="Q2767" s="1" t="str">
        <f aca="false">TEXT(B2767,"mmm")</f>
        <v>Jul</v>
      </c>
      <c r="R2767" s="1" t="str">
        <f aca="false">"Q"&amp;ROUNDUP(MONTH(B2767)/3,0)</f>
        <v>Q3</v>
      </c>
    </row>
    <row r="2768" customFormat="false" ht="15" hidden="false" customHeight="true" outlineLevel="0" collapsed="false">
      <c r="A2768" s="1" t="n">
        <v>12767</v>
      </c>
      <c r="B2768" s="14" t="n">
        <v>47328</v>
      </c>
      <c r="C2768" s="1" t="n">
        <v>1058</v>
      </c>
      <c r="D2768" s="1" t="s">
        <v>27</v>
      </c>
      <c r="E2768" s="1" t="s">
        <v>35</v>
      </c>
      <c r="F2768" s="1" t="n">
        <v>6</v>
      </c>
      <c r="G2768" s="15" t="n">
        <v>459.43</v>
      </c>
      <c r="H2768" s="16" t="n">
        <v>0.19</v>
      </c>
      <c r="I2768" s="1" t="s">
        <v>31</v>
      </c>
      <c r="J2768" s="1" t="n">
        <v>11</v>
      </c>
      <c r="K2768" s="1" t="n">
        <v>2</v>
      </c>
      <c r="L2768" s="15" t="n">
        <v>2232.83</v>
      </c>
      <c r="M2768" s="15" t="n">
        <f aca="false">F2768*G2768</f>
        <v>2756.58</v>
      </c>
      <c r="N2768" s="15" t="n">
        <f aca="false">M2768-L2768</f>
        <v>523.75</v>
      </c>
      <c r="O2768" s="1" t="n">
        <f aca="false">YEAR(B2768)</f>
        <v>2029</v>
      </c>
      <c r="P2768" s="1" t="n">
        <f aca="false">MONTH(B2768)</f>
        <v>7</v>
      </c>
      <c r="Q2768" s="1" t="str">
        <f aca="false">TEXT(B2768,"mmm")</f>
        <v>Jul</v>
      </c>
      <c r="R2768" s="1" t="str">
        <f aca="false">"Q"&amp;ROUNDUP(MONTH(B2768)/3,0)</f>
        <v>Q3</v>
      </c>
    </row>
    <row r="2769" customFormat="false" ht="15" hidden="false" customHeight="true" outlineLevel="0" collapsed="false">
      <c r="A2769" s="1" t="n">
        <v>12768</v>
      </c>
      <c r="B2769" s="14" t="n">
        <v>47329</v>
      </c>
      <c r="C2769" s="1" t="n">
        <v>1836</v>
      </c>
      <c r="D2769" s="1" t="s">
        <v>34</v>
      </c>
      <c r="E2769" s="1" t="s">
        <v>28</v>
      </c>
      <c r="F2769" s="1" t="n">
        <v>5</v>
      </c>
      <c r="G2769" s="15" t="n">
        <v>460.45</v>
      </c>
      <c r="H2769" s="16" t="n">
        <v>0.1</v>
      </c>
      <c r="I2769" s="1" t="s">
        <v>31</v>
      </c>
      <c r="J2769" s="1" t="n">
        <v>8</v>
      </c>
      <c r="K2769" s="1" t="n">
        <v>3.4</v>
      </c>
      <c r="L2769" s="15" t="n">
        <v>2072.02</v>
      </c>
      <c r="M2769" s="15" t="n">
        <f aca="false">F2769*G2769</f>
        <v>2302.25</v>
      </c>
      <c r="N2769" s="15" t="n">
        <f aca="false">M2769-L2769</f>
        <v>230.23</v>
      </c>
      <c r="O2769" s="1" t="n">
        <f aca="false">YEAR(B2769)</f>
        <v>2029</v>
      </c>
      <c r="P2769" s="1" t="n">
        <f aca="false">MONTH(B2769)</f>
        <v>7</v>
      </c>
      <c r="Q2769" s="1" t="str">
        <f aca="false">TEXT(B2769,"mmm")</f>
        <v>Jul</v>
      </c>
      <c r="R2769" s="1" t="str">
        <f aca="false">"Q"&amp;ROUNDUP(MONTH(B2769)/3,0)</f>
        <v>Q3</v>
      </c>
    </row>
    <row r="2770" customFormat="false" ht="15" hidden="false" customHeight="true" outlineLevel="0" collapsed="false">
      <c r="A2770" s="1" t="n">
        <v>12769</v>
      </c>
      <c r="B2770" s="14" t="n">
        <v>47330</v>
      </c>
      <c r="C2770" s="1" t="n">
        <v>1160</v>
      </c>
      <c r="D2770" s="1" t="s">
        <v>30</v>
      </c>
      <c r="E2770" s="1" t="s">
        <v>32</v>
      </c>
      <c r="F2770" s="1" t="n">
        <v>7</v>
      </c>
      <c r="G2770" s="15" t="n">
        <v>476.55</v>
      </c>
      <c r="H2770" s="16" t="n">
        <v>0.18</v>
      </c>
      <c r="I2770" s="1" t="s">
        <v>31</v>
      </c>
      <c r="J2770" s="1" t="n">
        <v>6</v>
      </c>
      <c r="K2770" s="1" t="n">
        <v>3.7</v>
      </c>
      <c r="L2770" s="15" t="n">
        <v>2735.4</v>
      </c>
      <c r="M2770" s="15" t="n">
        <f aca="false">F2770*G2770</f>
        <v>3335.85</v>
      </c>
      <c r="N2770" s="15" t="n">
        <f aca="false">M2770-L2770</f>
        <v>600.45</v>
      </c>
      <c r="O2770" s="1" t="n">
        <f aca="false">YEAR(B2770)</f>
        <v>2029</v>
      </c>
      <c r="P2770" s="1" t="n">
        <f aca="false">MONTH(B2770)</f>
        <v>7</v>
      </c>
      <c r="Q2770" s="1" t="str">
        <f aca="false">TEXT(B2770,"mmm")</f>
        <v>Jul</v>
      </c>
      <c r="R2770" s="1" t="str">
        <f aca="false">"Q"&amp;ROUNDUP(MONTH(B2770)/3,0)</f>
        <v>Q3</v>
      </c>
    </row>
    <row r="2771" customFormat="false" ht="15" hidden="false" customHeight="true" outlineLevel="0" collapsed="false">
      <c r="A2771" s="1" t="n">
        <v>12770</v>
      </c>
      <c r="B2771" s="14" t="n">
        <v>47331</v>
      </c>
      <c r="C2771" s="1" t="n">
        <v>1690</v>
      </c>
      <c r="D2771" s="1" t="s">
        <v>27</v>
      </c>
      <c r="E2771" s="1" t="s">
        <v>28</v>
      </c>
      <c r="F2771" s="1" t="n">
        <v>2</v>
      </c>
      <c r="G2771" s="15" t="n">
        <v>559.07</v>
      </c>
      <c r="H2771" s="16" t="n">
        <v>0.18</v>
      </c>
      <c r="I2771" s="1" t="s">
        <v>33</v>
      </c>
      <c r="J2771" s="1" t="n">
        <v>1</v>
      </c>
      <c r="K2771" s="1" t="n">
        <v>4.6</v>
      </c>
      <c r="L2771" s="15" t="n">
        <v>916.87</v>
      </c>
      <c r="M2771" s="15" t="n">
        <f aca="false">F2771*G2771</f>
        <v>1118.14</v>
      </c>
      <c r="N2771" s="15" t="n">
        <f aca="false">M2771-L2771</f>
        <v>201.27</v>
      </c>
      <c r="O2771" s="1" t="n">
        <f aca="false">YEAR(B2771)</f>
        <v>2029</v>
      </c>
      <c r="P2771" s="1" t="n">
        <f aca="false">MONTH(B2771)</f>
        <v>8</v>
      </c>
      <c r="Q2771" s="1" t="str">
        <f aca="false">TEXT(B2771,"mmm")</f>
        <v>Aug</v>
      </c>
      <c r="R2771" s="1" t="str">
        <f aca="false">"Q"&amp;ROUNDUP(MONTH(B2771)/3,0)</f>
        <v>Q3</v>
      </c>
    </row>
    <row r="2772" customFormat="false" ht="15" hidden="false" customHeight="true" outlineLevel="0" collapsed="false">
      <c r="A2772" s="1" t="n">
        <v>12771</v>
      </c>
      <c r="B2772" s="14" t="n">
        <v>47332</v>
      </c>
      <c r="C2772" s="1" t="n">
        <v>1205</v>
      </c>
      <c r="D2772" s="1" t="s">
        <v>34</v>
      </c>
      <c r="E2772" s="1" t="s">
        <v>36</v>
      </c>
      <c r="F2772" s="1" t="n">
        <v>5</v>
      </c>
      <c r="G2772" s="15" t="n">
        <v>83.98</v>
      </c>
      <c r="H2772" s="16" t="n">
        <v>0.11</v>
      </c>
      <c r="I2772" s="1" t="s">
        <v>31</v>
      </c>
      <c r="J2772" s="1" t="n">
        <v>4</v>
      </c>
      <c r="K2772" s="1" t="n">
        <v>3.2</v>
      </c>
      <c r="L2772" s="15" t="n">
        <v>373.71</v>
      </c>
      <c r="M2772" s="15" t="n">
        <f aca="false">F2772*G2772</f>
        <v>419.9</v>
      </c>
      <c r="N2772" s="15" t="n">
        <f aca="false">M2772-L2772</f>
        <v>46.1900000000001</v>
      </c>
      <c r="O2772" s="1" t="n">
        <f aca="false">YEAR(B2772)</f>
        <v>2029</v>
      </c>
      <c r="P2772" s="1" t="n">
        <f aca="false">MONTH(B2772)</f>
        <v>8</v>
      </c>
      <c r="Q2772" s="1" t="str">
        <f aca="false">TEXT(B2772,"mmm")</f>
        <v>Aug</v>
      </c>
      <c r="R2772" s="1" t="str">
        <f aca="false">"Q"&amp;ROUNDUP(MONTH(B2772)/3,0)</f>
        <v>Q3</v>
      </c>
    </row>
    <row r="2773" customFormat="false" ht="15" hidden="false" customHeight="true" outlineLevel="0" collapsed="false">
      <c r="A2773" s="1" t="n">
        <v>12772</v>
      </c>
      <c r="B2773" s="14" t="n">
        <v>47333</v>
      </c>
      <c r="C2773" s="1" t="n">
        <v>1011</v>
      </c>
      <c r="D2773" s="1" t="s">
        <v>37</v>
      </c>
      <c r="E2773" s="1" t="s">
        <v>36</v>
      </c>
      <c r="F2773" s="1" t="n">
        <v>4</v>
      </c>
      <c r="G2773" s="15" t="n">
        <v>150.71</v>
      </c>
      <c r="H2773" s="16" t="n">
        <v>0.29</v>
      </c>
      <c r="I2773" s="1" t="s">
        <v>31</v>
      </c>
      <c r="J2773" s="1" t="n">
        <v>6</v>
      </c>
      <c r="K2773" s="1" t="n">
        <v>3.2</v>
      </c>
      <c r="L2773" s="15" t="n">
        <v>428.02</v>
      </c>
      <c r="M2773" s="15" t="n">
        <f aca="false">F2773*G2773</f>
        <v>602.84</v>
      </c>
      <c r="N2773" s="15" t="n">
        <f aca="false">M2773-L2773</f>
        <v>174.82</v>
      </c>
      <c r="O2773" s="1" t="n">
        <f aca="false">YEAR(B2773)</f>
        <v>2029</v>
      </c>
      <c r="P2773" s="1" t="n">
        <f aca="false">MONTH(B2773)</f>
        <v>8</v>
      </c>
      <c r="Q2773" s="1" t="str">
        <f aca="false">TEXT(B2773,"mmm")</f>
        <v>Aug</v>
      </c>
      <c r="R2773" s="1" t="str">
        <f aca="false">"Q"&amp;ROUNDUP(MONTH(B2773)/3,0)</f>
        <v>Q3</v>
      </c>
    </row>
    <row r="2774" customFormat="false" ht="15" hidden="false" customHeight="true" outlineLevel="0" collapsed="false">
      <c r="A2774" s="1" t="n">
        <v>12773</v>
      </c>
      <c r="B2774" s="14" t="n">
        <v>47334</v>
      </c>
      <c r="C2774" s="1" t="n">
        <v>1489</v>
      </c>
      <c r="D2774" s="1" t="s">
        <v>27</v>
      </c>
      <c r="E2774" s="1" t="s">
        <v>35</v>
      </c>
      <c r="F2774" s="1" t="n">
        <v>5</v>
      </c>
      <c r="G2774" s="15" t="n">
        <v>543.68</v>
      </c>
      <c r="H2774" s="16" t="n">
        <v>0.19</v>
      </c>
      <c r="I2774" s="1" t="s">
        <v>31</v>
      </c>
      <c r="J2774" s="1" t="n">
        <v>10</v>
      </c>
      <c r="K2774" s="1" t="n">
        <v>4.6</v>
      </c>
      <c r="L2774" s="15" t="n">
        <v>2201.9</v>
      </c>
      <c r="M2774" s="15" t="n">
        <f aca="false">F2774*G2774</f>
        <v>2718.4</v>
      </c>
      <c r="N2774" s="15" t="n">
        <f aca="false">M2774-L2774</f>
        <v>516.5</v>
      </c>
      <c r="O2774" s="1" t="n">
        <f aca="false">YEAR(B2774)</f>
        <v>2029</v>
      </c>
      <c r="P2774" s="1" t="n">
        <f aca="false">MONTH(B2774)</f>
        <v>8</v>
      </c>
      <c r="Q2774" s="1" t="str">
        <f aca="false">TEXT(B2774,"mmm")</f>
        <v>Aug</v>
      </c>
      <c r="R2774" s="1" t="str">
        <f aca="false">"Q"&amp;ROUNDUP(MONTH(B2774)/3,0)</f>
        <v>Q3</v>
      </c>
    </row>
    <row r="2775" customFormat="false" ht="15" hidden="false" customHeight="true" outlineLevel="0" collapsed="false">
      <c r="A2775" s="1" t="n">
        <v>12774</v>
      </c>
      <c r="B2775" s="14" t="n">
        <v>47335</v>
      </c>
      <c r="C2775" s="1" t="n">
        <v>1275</v>
      </c>
      <c r="D2775" s="1" t="s">
        <v>34</v>
      </c>
      <c r="E2775" s="1" t="s">
        <v>28</v>
      </c>
      <c r="F2775" s="1" t="n">
        <v>2</v>
      </c>
      <c r="G2775" s="15" t="n">
        <v>118.68</v>
      </c>
      <c r="H2775" s="16" t="n">
        <v>0.12</v>
      </c>
      <c r="I2775" s="1" t="s">
        <v>29</v>
      </c>
      <c r="J2775" s="1" t="n">
        <v>1</v>
      </c>
      <c r="K2775" s="1" t="n">
        <v>1.2</v>
      </c>
      <c r="L2775" s="15" t="n">
        <v>208.88</v>
      </c>
      <c r="M2775" s="15" t="n">
        <f aca="false">F2775*G2775</f>
        <v>237.36</v>
      </c>
      <c r="N2775" s="15" t="n">
        <f aca="false">M2775-L2775</f>
        <v>28.48</v>
      </c>
      <c r="O2775" s="1" t="n">
        <f aca="false">YEAR(B2775)</f>
        <v>2029</v>
      </c>
      <c r="P2775" s="1" t="n">
        <f aca="false">MONTH(B2775)</f>
        <v>8</v>
      </c>
      <c r="Q2775" s="1" t="str">
        <f aca="false">TEXT(B2775,"mmm")</f>
        <v>Aug</v>
      </c>
      <c r="R2775" s="1" t="str">
        <f aca="false">"Q"&amp;ROUNDUP(MONTH(B2775)/3,0)</f>
        <v>Q3</v>
      </c>
    </row>
    <row r="2776" customFormat="false" ht="15" hidden="false" customHeight="true" outlineLevel="0" collapsed="false">
      <c r="A2776" s="1" t="n">
        <v>12775</v>
      </c>
      <c r="B2776" s="14" t="n">
        <v>47336</v>
      </c>
      <c r="C2776" s="1" t="n">
        <v>1692</v>
      </c>
      <c r="D2776" s="1" t="s">
        <v>34</v>
      </c>
      <c r="E2776" s="1" t="s">
        <v>28</v>
      </c>
      <c r="F2776" s="1" t="n">
        <v>5</v>
      </c>
      <c r="G2776" s="15" t="n">
        <v>414.1</v>
      </c>
      <c r="H2776" s="16" t="n">
        <v>0.33</v>
      </c>
      <c r="I2776" s="1" t="s">
        <v>33</v>
      </c>
      <c r="J2776" s="1" t="n">
        <v>10</v>
      </c>
      <c r="K2776" s="1" t="n">
        <v>3.5</v>
      </c>
      <c r="L2776" s="15" t="n">
        <v>1387.24</v>
      </c>
      <c r="M2776" s="15" t="n">
        <f aca="false">F2776*G2776</f>
        <v>2070.5</v>
      </c>
      <c r="N2776" s="15" t="n">
        <f aca="false">M2776-L2776</f>
        <v>683.26</v>
      </c>
      <c r="O2776" s="1" t="n">
        <f aca="false">YEAR(B2776)</f>
        <v>2029</v>
      </c>
      <c r="P2776" s="1" t="n">
        <f aca="false">MONTH(B2776)</f>
        <v>8</v>
      </c>
      <c r="Q2776" s="1" t="str">
        <f aca="false">TEXT(B2776,"mmm")</f>
        <v>Aug</v>
      </c>
      <c r="R2776" s="1" t="str">
        <f aca="false">"Q"&amp;ROUNDUP(MONTH(B2776)/3,0)</f>
        <v>Q3</v>
      </c>
    </row>
    <row r="2777" customFormat="false" ht="15" hidden="false" customHeight="true" outlineLevel="0" collapsed="false">
      <c r="A2777" s="1" t="n">
        <v>12776</v>
      </c>
      <c r="B2777" s="14" t="n">
        <v>47337</v>
      </c>
      <c r="C2777" s="1" t="n">
        <v>1241</v>
      </c>
      <c r="D2777" s="1" t="s">
        <v>27</v>
      </c>
      <c r="E2777" s="1" t="s">
        <v>28</v>
      </c>
      <c r="F2777" s="1" t="n">
        <v>7</v>
      </c>
      <c r="G2777" s="15" t="n">
        <v>325.32</v>
      </c>
      <c r="H2777" s="16" t="n">
        <v>0.3</v>
      </c>
      <c r="I2777" s="1" t="s">
        <v>29</v>
      </c>
      <c r="J2777" s="1" t="n">
        <v>5</v>
      </c>
      <c r="K2777" s="1" t="n">
        <v>2.7</v>
      </c>
      <c r="L2777" s="15" t="n">
        <v>1594.07</v>
      </c>
      <c r="M2777" s="15" t="n">
        <f aca="false">F2777*G2777</f>
        <v>2277.24</v>
      </c>
      <c r="N2777" s="15" t="n">
        <f aca="false">M2777-L2777</f>
        <v>683.17</v>
      </c>
      <c r="O2777" s="1" t="n">
        <f aca="false">YEAR(B2777)</f>
        <v>2029</v>
      </c>
      <c r="P2777" s="1" t="n">
        <f aca="false">MONTH(B2777)</f>
        <v>8</v>
      </c>
      <c r="Q2777" s="1" t="str">
        <f aca="false">TEXT(B2777,"mmm")</f>
        <v>Aug</v>
      </c>
      <c r="R2777" s="1" t="str">
        <f aca="false">"Q"&amp;ROUNDUP(MONTH(B2777)/3,0)</f>
        <v>Q3</v>
      </c>
    </row>
    <row r="2778" customFormat="false" ht="15" hidden="false" customHeight="true" outlineLevel="0" collapsed="false">
      <c r="A2778" s="1" t="n">
        <v>12777</v>
      </c>
      <c r="B2778" s="14" t="n">
        <v>47338</v>
      </c>
      <c r="C2778" s="1" t="n">
        <v>1215</v>
      </c>
      <c r="D2778" s="1" t="s">
        <v>30</v>
      </c>
      <c r="E2778" s="1" t="s">
        <v>36</v>
      </c>
      <c r="F2778" s="1" t="n">
        <v>1</v>
      </c>
      <c r="G2778" s="15" t="n">
        <v>63.67</v>
      </c>
      <c r="H2778" s="16" t="n">
        <v>0.34</v>
      </c>
      <c r="I2778" s="1" t="s">
        <v>33</v>
      </c>
      <c r="J2778" s="1" t="n">
        <v>3</v>
      </c>
      <c r="K2778" s="1" t="n">
        <v>4.6</v>
      </c>
      <c r="L2778" s="15" t="n">
        <v>42.02</v>
      </c>
      <c r="M2778" s="15" t="n">
        <f aca="false">F2778*G2778</f>
        <v>63.67</v>
      </c>
      <c r="N2778" s="15" t="n">
        <f aca="false">M2778-L2778</f>
        <v>21.65</v>
      </c>
      <c r="O2778" s="1" t="n">
        <f aca="false">YEAR(B2778)</f>
        <v>2029</v>
      </c>
      <c r="P2778" s="1" t="n">
        <f aca="false">MONTH(B2778)</f>
        <v>8</v>
      </c>
      <c r="Q2778" s="1" t="str">
        <f aca="false">TEXT(B2778,"mmm")</f>
        <v>Aug</v>
      </c>
      <c r="R2778" s="1" t="str">
        <f aca="false">"Q"&amp;ROUNDUP(MONTH(B2778)/3,0)</f>
        <v>Q3</v>
      </c>
    </row>
    <row r="2779" customFormat="false" ht="15" hidden="false" customHeight="true" outlineLevel="0" collapsed="false">
      <c r="A2779" s="1" t="n">
        <v>12778</v>
      </c>
      <c r="B2779" s="14" t="n">
        <v>47339</v>
      </c>
      <c r="C2779" s="1" t="n">
        <v>1250</v>
      </c>
      <c r="D2779" s="1" t="s">
        <v>34</v>
      </c>
      <c r="E2779" s="1" t="s">
        <v>35</v>
      </c>
      <c r="F2779" s="1" t="n">
        <v>2</v>
      </c>
      <c r="G2779" s="15" t="n">
        <v>181.88</v>
      </c>
      <c r="H2779" s="16" t="n">
        <v>0.24</v>
      </c>
      <c r="I2779" s="1" t="s">
        <v>31</v>
      </c>
      <c r="J2779" s="1" t="n">
        <v>7</v>
      </c>
      <c r="K2779" s="1" t="n">
        <v>4.8</v>
      </c>
      <c r="L2779" s="15" t="n">
        <v>276.46</v>
      </c>
      <c r="M2779" s="15" t="n">
        <f aca="false">F2779*G2779</f>
        <v>363.76</v>
      </c>
      <c r="N2779" s="15" t="n">
        <f aca="false">M2779-L2779</f>
        <v>87.3</v>
      </c>
      <c r="O2779" s="1" t="n">
        <f aca="false">YEAR(B2779)</f>
        <v>2029</v>
      </c>
      <c r="P2779" s="1" t="n">
        <f aca="false">MONTH(B2779)</f>
        <v>8</v>
      </c>
      <c r="Q2779" s="1" t="str">
        <f aca="false">TEXT(B2779,"mmm")</f>
        <v>Aug</v>
      </c>
      <c r="R2779" s="1" t="str">
        <f aca="false">"Q"&amp;ROUNDUP(MONTH(B2779)/3,0)</f>
        <v>Q3</v>
      </c>
    </row>
    <row r="2780" customFormat="false" ht="15" hidden="false" customHeight="true" outlineLevel="0" collapsed="false">
      <c r="A2780" s="1" t="n">
        <v>12779</v>
      </c>
      <c r="B2780" s="14" t="n">
        <v>47340</v>
      </c>
      <c r="C2780" s="1" t="n">
        <v>1810</v>
      </c>
      <c r="D2780" s="1" t="s">
        <v>34</v>
      </c>
      <c r="E2780" s="1" t="s">
        <v>28</v>
      </c>
      <c r="F2780" s="1" t="n">
        <v>3</v>
      </c>
      <c r="G2780" s="15" t="n">
        <v>319.42</v>
      </c>
      <c r="H2780" s="16" t="n">
        <v>0.13</v>
      </c>
      <c r="I2780" s="1" t="s">
        <v>31</v>
      </c>
      <c r="J2780" s="1" t="n">
        <v>8</v>
      </c>
      <c r="K2780" s="1" t="n">
        <v>1.7</v>
      </c>
      <c r="L2780" s="15" t="n">
        <v>833.69</v>
      </c>
      <c r="M2780" s="15" t="n">
        <f aca="false">F2780*G2780</f>
        <v>958.26</v>
      </c>
      <c r="N2780" s="15" t="n">
        <f aca="false">M2780-L2780</f>
        <v>124.57</v>
      </c>
      <c r="O2780" s="1" t="n">
        <f aca="false">YEAR(B2780)</f>
        <v>2029</v>
      </c>
      <c r="P2780" s="1" t="n">
        <f aca="false">MONTH(B2780)</f>
        <v>8</v>
      </c>
      <c r="Q2780" s="1" t="str">
        <f aca="false">TEXT(B2780,"mmm")</f>
        <v>Aug</v>
      </c>
      <c r="R2780" s="1" t="str">
        <f aca="false">"Q"&amp;ROUNDUP(MONTH(B2780)/3,0)</f>
        <v>Q3</v>
      </c>
    </row>
    <row r="2781" customFormat="false" ht="15" hidden="false" customHeight="true" outlineLevel="0" collapsed="false">
      <c r="A2781" s="1" t="n">
        <v>12780</v>
      </c>
      <c r="B2781" s="14" t="n">
        <v>47341</v>
      </c>
      <c r="C2781" s="1" t="n">
        <v>1125</v>
      </c>
      <c r="D2781" s="1" t="s">
        <v>30</v>
      </c>
      <c r="E2781" s="1" t="s">
        <v>28</v>
      </c>
      <c r="F2781" s="1" t="n">
        <v>5</v>
      </c>
      <c r="G2781" s="15" t="n">
        <v>513.62</v>
      </c>
      <c r="H2781" s="16" t="n">
        <v>0.1</v>
      </c>
      <c r="I2781" s="1" t="s">
        <v>33</v>
      </c>
      <c r="J2781" s="1" t="n">
        <v>3</v>
      </c>
      <c r="K2781" s="1" t="n">
        <v>2.1</v>
      </c>
      <c r="L2781" s="15" t="n">
        <v>2311.29</v>
      </c>
      <c r="M2781" s="15" t="n">
        <f aca="false">F2781*G2781</f>
        <v>2568.1</v>
      </c>
      <c r="N2781" s="15" t="n">
        <f aca="false">M2781-L2781</f>
        <v>256.81</v>
      </c>
      <c r="O2781" s="1" t="n">
        <f aca="false">YEAR(B2781)</f>
        <v>2029</v>
      </c>
      <c r="P2781" s="1" t="n">
        <f aca="false">MONTH(B2781)</f>
        <v>8</v>
      </c>
      <c r="Q2781" s="1" t="str">
        <f aca="false">TEXT(B2781,"mmm")</f>
        <v>Aug</v>
      </c>
      <c r="R2781" s="1" t="str">
        <f aca="false">"Q"&amp;ROUNDUP(MONTH(B2781)/3,0)</f>
        <v>Q3</v>
      </c>
    </row>
    <row r="2782" customFormat="false" ht="15" hidden="false" customHeight="true" outlineLevel="0" collapsed="false">
      <c r="A2782" s="1" t="n">
        <v>12781</v>
      </c>
      <c r="B2782" s="14" t="n">
        <v>47342</v>
      </c>
      <c r="C2782" s="1" t="n">
        <v>1993</v>
      </c>
      <c r="D2782" s="1" t="s">
        <v>37</v>
      </c>
      <c r="E2782" s="1" t="s">
        <v>32</v>
      </c>
      <c r="F2782" s="1" t="n">
        <v>1</v>
      </c>
      <c r="G2782" s="15" t="n">
        <v>428.91</v>
      </c>
      <c r="H2782" s="16" t="n">
        <v>0.23</v>
      </c>
      <c r="I2782" s="1" t="s">
        <v>33</v>
      </c>
      <c r="J2782" s="1" t="n">
        <v>10</v>
      </c>
      <c r="K2782" s="1" t="n">
        <v>2.1</v>
      </c>
      <c r="L2782" s="15" t="n">
        <v>330.26</v>
      </c>
      <c r="M2782" s="15" t="n">
        <f aca="false">F2782*G2782</f>
        <v>428.91</v>
      </c>
      <c r="N2782" s="15" t="n">
        <f aca="false">M2782-L2782</f>
        <v>98.65</v>
      </c>
      <c r="O2782" s="1" t="n">
        <f aca="false">YEAR(B2782)</f>
        <v>2029</v>
      </c>
      <c r="P2782" s="1" t="n">
        <f aca="false">MONTH(B2782)</f>
        <v>8</v>
      </c>
      <c r="Q2782" s="1" t="str">
        <f aca="false">TEXT(B2782,"mmm")</f>
        <v>Aug</v>
      </c>
      <c r="R2782" s="1" t="str">
        <f aca="false">"Q"&amp;ROUNDUP(MONTH(B2782)/3,0)</f>
        <v>Q3</v>
      </c>
    </row>
    <row r="2783" customFormat="false" ht="15" hidden="false" customHeight="true" outlineLevel="0" collapsed="false">
      <c r="A2783" s="1" t="n">
        <v>12782</v>
      </c>
      <c r="B2783" s="14" t="n">
        <v>47343</v>
      </c>
      <c r="C2783" s="1" t="n">
        <v>1216</v>
      </c>
      <c r="D2783" s="1" t="s">
        <v>37</v>
      </c>
      <c r="E2783" s="1" t="s">
        <v>28</v>
      </c>
      <c r="F2783" s="1" t="n">
        <v>7</v>
      </c>
      <c r="G2783" s="15" t="n">
        <v>378.8</v>
      </c>
      <c r="H2783" s="16" t="n">
        <v>0.34</v>
      </c>
      <c r="I2783" s="1" t="s">
        <v>33</v>
      </c>
      <c r="J2783" s="1" t="n">
        <v>3</v>
      </c>
      <c r="K2783" s="1" t="n">
        <v>1.4</v>
      </c>
      <c r="L2783" s="15" t="n">
        <v>1750.06</v>
      </c>
      <c r="M2783" s="15" t="n">
        <f aca="false">F2783*G2783</f>
        <v>2651.6</v>
      </c>
      <c r="N2783" s="15" t="n">
        <f aca="false">M2783-L2783</f>
        <v>901.54</v>
      </c>
      <c r="O2783" s="1" t="n">
        <f aca="false">YEAR(B2783)</f>
        <v>2029</v>
      </c>
      <c r="P2783" s="1" t="n">
        <f aca="false">MONTH(B2783)</f>
        <v>8</v>
      </c>
      <c r="Q2783" s="1" t="str">
        <f aca="false">TEXT(B2783,"mmm")</f>
        <v>Aug</v>
      </c>
      <c r="R2783" s="1" t="str">
        <f aca="false">"Q"&amp;ROUNDUP(MONTH(B2783)/3,0)</f>
        <v>Q3</v>
      </c>
    </row>
    <row r="2784" customFormat="false" ht="15" hidden="false" customHeight="true" outlineLevel="0" collapsed="false">
      <c r="A2784" s="1" t="n">
        <v>12783</v>
      </c>
      <c r="B2784" s="14" t="n">
        <v>47344</v>
      </c>
      <c r="C2784" s="1" t="n">
        <v>1305</v>
      </c>
      <c r="D2784" s="1" t="s">
        <v>27</v>
      </c>
      <c r="E2784" s="1" t="s">
        <v>35</v>
      </c>
      <c r="F2784" s="1" t="n">
        <v>4</v>
      </c>
      <c r="G2784" s="15" t="n">
        <v>305.18</v>
      </c>
      <c r="H2784" s="16" t="n">
        <v>0.22</v>
      </c>
      <c r="I2784" s="1" t="s">
        <v>33</v>
      </c>
      <c r="J2784" s="1" t="n">
        <v>11</v>
      </c>
      <c r="K2784" s="1" t="n">
        <v>2.9</v>
      </c>
      <c r="L2784" s="15" t="n">
        <v>952.16</v>
      </c>
      <c r="M2784" s="15" t="n">
        <f aca="false">F2784*G2784</f>
        <v>1220.72</v>
      </c>
      <c r="N2784" s="15" t="n">
        <f aca="false">M2784-L2784</f>
        <v>268.56</v>
      </c>
      <c r="O2784" s="1" t="n">
        <f aca="false">YEAR(B2784)</f>
        <v>2029</v>
      </c>
      <c r="P2784" s="1" t="n">
        <f aca="false">MONTH(B2784)</f>
        <v>8</v>
      </c>
      <c r="Q2784" s="1" t="str">
        <f aca="false">TEXT(B2784,"mmm")</f>
        <v>Aug</v>
      </c>
      <c r="R2784" s="1" t="str">
        <f aca="false">"Q"&amp;ROUNDUP(MONTH(B2784)/3,0)</f>
        <v>Q3</v>
      </c>
    </row>
    <row r="2785" customFormat="false" ht="15" hidden="false" customHeight="true" outlineLevel="0" collapsed="false">
      <c r="A2785" s="1" t="n">
        <v>12784</v>
      </c>
      <c r="B2785" s="14" t="n">
        <v>47345</v>
      </c>
      <c r="C2785" s="1" t="n">
        <v>1796</v>
      </c>
      <c r="D2785" s="1" t="s">
        <v>34</v>
      </c>
      <c r="E2785" s="1" t="s">
        <v>32</v>
      </c>
      <c r="F2785" s="1" t="n">
        <v>4</v>
      </c>
      <c r="G2785" s="15" t="n">
        <v>189.73</v>
      </c>
      <c r="H2785" s="16" t="n">
        <v>0.31</v>
      </c>
      <c r="I2785" s="1" t="s">
        <v>33</v>
      </c>
      <c r="J2785" s="1" t="n">
        <v>3</v>
      </c>
      <c r="K2785" s="1" t="n">
        <v>3.1</v>
      </c>
      <c r="L2785" s="15" t="n">
        <v>523.65</v>
      </c>
      <c r="M2785" s="15" t="n">
        <f aca="false">F2785*G2785</f>
        <v>758.92</v>
      </c>
      <c r="N2785" s="15" t="n">
        <f aca="false">M2785-L2785</f>
        <v>235.27</v>
      </c>
      <c r="O2785" s="1" t="n">
        <f aca="false">YEAR(B2785)</f>
        <v>2029</v>
      </c>
      <c r="P2785" s="1" t="n">
        <f aca="false">MONTH(B2785)</f>
        <v>8</v>
      </c>
      <c r="Q2785" s="1" t="str">
        <f aca="false">TEXT(B2785,"mmm")</f>
        <v>Aug</v>
      </c>
      <c r="R2785" s="1" t="str">
        <f aca="false">"Q"&amp;ROUNDUP(MONTH(B2785)/3,0)</f>
        <v>Q3</v>
      </c>
    </row>
    <row r="2786" customFormat="false" ht="15" hidden="false" customHeight="true" outlineLevel="0" collapsed="false">
      <c r="A2786" s="1" t="n">
        <v>12785</v>
      </c>
      <c r="B2786" s="14" t="n">
        <v>47346</v>
      </c>
      <c r="C2786" s="1" t="n">
        <v>1184</v>
      </c>
      <c r="D2786" s="1" t="s">
        <v>30</v>
      </c>
      <c r="E2786" s="1" t="s">
        <v>32</v>
      </c>
      <c r="F2786" s="1" t="n">
        <v>7</v>
      </c>
      <c r="G2786" s="15" t="n">
        <v>84.76</v>
      </c>
      <c r="H2786" s="16" t="n">
        <v>0.12</v>
      </c>
      <c r="I2786" s="1" t="s">
        <v>31</v>
      </c>
      <c r="J2786" s="1" t="n">
        <v>11</v>
      </c>
      <c r="K2786" s="1" t="n">
        <v>3.3</v>
      </c>
      <c r="L2786" s="15" t="n">
        <v>522.12</v>
      </c>
      <c r="M2786" s="15" t="n">
        <f aca="false">F2786*G2786</f>
        <v>593.32</v>
      </c>
      <c r="N2786" s="15" t="n">
        <f aca="false">M2786-L2786</f>
        <v>71.2000000000001</v>
      </c>
      <c r="O2786" s="1" t="n">
        <f aca="false">YEAR(B2786)</f>
        <v>2029</v>
      </c>
      <c r="P2786" s="1" t="n">
        <f aca="false">MONTH(B2786)</f>
        <v>8</v>
      </c>
      <c r="Q2786" s="1" t="str">
        <f aca="false">TEXT(B2786,"mmm")</f>
        <v>Aug</v>
      </c>
      <c r="R2786" s="1" t="str">
        <f aca="false">"Q"&amp;ROUNDUP(MONTH(B2786)/3,0)</f>
        <v>Q3</v>
      </c>
    </row>
    <row r="2787" customFormat="false" ht="15" hidden="false" customHeight="true" outlineLevel="0" collapsed="false">
      <c r="A2787" s="1" t="n">
        <v>12786</v>
      </c>
      <c r="B2787" s="14" t="n">
        <v>47347</v>
      </c>
      <c r="C2787" s="1" t="n">
        <v>1038</v>
      </c>
      <c r="D2787" s="1" t="s">
        <v>30</v>
      </c>
      <c r="E2787" s="1" t="s">
        <v>32</v>
      </c>
      <c r="F2787" s="1" t="n">
        <v>5</v>
      </c>
      <c r="G2787" s="15" t="n">
        <v>254.31</v>
      </c>
      <c r="H2787" s="16" t="n">
        <v>0.14</v>
      </c>
      <c r="I2787" s="1" t="s">
        <v>29</v>
      </c>
      <c r="J2787" s="1" t="n">
        <v>6</v>
      </c>
      <c r="K2787" s="1" t="n">
        <v>3.7</v>
      </c>
      <c r="L2787" s="15" t="n">
        <v>1093.53</v>
      </c>
      <c r="M2787" s="15" t="n">
        <f aca="false">F2787*G2787</f>
        <v>1271.55</v>
      </c>
      <c r="N2787" s="15" t="n">
        <f aca="false">M2787-L2787</f>
        <v>178.02</v>
      </c>
      <c r="O2787" s="1" t="n">
        <f aca="false">YEAR(B2787)</f>
        <v>2029</v>
      </c>
      <c r="P2787" s="1" t="n">
        <f aca="false">MONTH(B2787)</f>
        <v>8</v>
      </c>
      <c r="Q2787" s="1" t="str">
        <f aca="false">TEXT(B2787,"mmm")</f>
        <v>Aug</v>
      </c>
      <c r="R2787" s="1" t="str">
        <f aca="false">"Q"&amp;ROUNDUP(MONTH(B2787)/3,0)</f>
        <v>Q3</v>
      </c>
    </row>
    <row r="2788" customFormat="false" ht="15" hidden="false" customHeight="true" outlineLevel="0" collapsed="false">
      <c r="A2788" s="1" t="n">
        <v>12787</v>
      </c>
      <c r="B2788" s="14" t="n">
        <v>47348</v>
      </c>
      <c r="C2788" s="1" t="n">
        <v>1222</v>
      </c>
      <c r="D2788" s="1" t="s">
        <v>30</v>
      </c>
      <c r="E2788" s="1" t="s">
        <v>36</v>
      </c>
      <c r="F2788" s="1" t="n">
        <v>4</v>
      </c>
      <c r="G2788" s="15" t="n">
        <v>31.68</v>
      </c>
      <c r="H2788" s="16" t="n">
        <v>0.32</v>
      </c>
      <c r="I2788" s="1" t="s">
        <v>33</v>
      </c>
      <c r="J2788" s="1" t="n">
        <v>6</v>
      </c>
      <c r="K2788" s="1" t="n">
        <v>1.3</v>
      </c>
      <c r="L2788" s="15" t="n">
        <v>86.17</v>
      </c>
      <c r="M2788" s="15" t="n">
        <f aca="false">F2788*G2788</f>
        <v>126.72</v>
      </c>
      <c r="N2788" s="15" t="n">
        <f aca="false">M2788-L2788</f>
        <v>40.55</v>
      </c>
      <c r="O2788" s="1" t="n">
        <f aca="false">YEAR(B2788)</f>
        <v>2029</v>
      </c>
      <c r="P2788" s="1" t="n">
        <f aca="false">MONTH(B2788)</f>
        <v>8</v>
      </c>
      <c r="Q2788" s="1" t="str">
        <f aca="false">TEXT(B2788,"mmm")</f>
        <v>Aug</v>
      </c>
      <c r="R2788" s="1" t="str">
        <f aca="false">"Q"&amp;ROUNDUP(MONTH(B2788)/3,0)</f>
        <v>Q3</v>
      </c>
    </row>
    <row r="2789" customFormat="false" ht="15" hidden="false" customHeight="true" outlineLevel="0" collapsed="false">
      <c r="A2789" s="1" t="n">
        <v>12788</v>
      </c>
      <c r="B2789" s="14" t="n">
        <v>47349</v>
      </c>
      <c r="C2789" s="1" t="n">
        <v>1183</v>
      </c>
      <c r="D2789" s="1" t="s">
        <v>34</v>
      </c>
      <c r="E2789" s="1" t="s">
        <v>32</v>
      </c>
      <c r="F2789" s="1" t="n">
        <v>3</v>
      </c>
      <c r="G2789" s="15" t="n">
        <v>138.47</v>
      </c>
      <c r="H2789" s="16" t="n">
        <v>0.26</v>
      </c>
      <c r="I2789" s="1" t="s">
        <v>31</v>
      </c>
      <c r="J2789" s="1" t="n">
        <v>3</v>
      </c>
      <c r="K2789" s="1" t="n">
        <v>3.5</v>
      </c>
      <c r="L2789" s="15" t="n">
        <v>307.4</v>
      </c>
      <c r="M2789" s="15" t="n">
        <f aca="false">F2789*G2789</f>
        <v>415.41</v>
      </c>
      <c r="N2789" s="15" t="n">
        <f aca="false">M2789-L2789</f>
        <v>108.01</v>
      </c>
      <c r="O2789" s="1" t="n">
        <f aca="false">YEAR(B2789)</f>
        <v>2029</v>
      </c>
      <c r="P2789" s="1" t="n">
        <f aca="false">MONTH(B2789)</f>
        <v>8</v>
      </c>
      <c r="Q2789" s="1" t="str">
        <f aca="false">TEXT(B2789,"mmm")</f>
        <v>Aug</v>
      </c>
      <c r="R2789" s="1" t="str">
        <f aca="false">"Q"&amp;ROUNDUP(MONTH(B2789)/3,0)</f>
        <v>Q3</v>
      </c>
    </row>
    <row r="2790" customFormat="false" ht="15" hidden="false" customHeight="true" outlineLevel="0" collapsed="false">
      <c r="A2790" s="1" t="n">
        <v>12789</v>
      </c>
      <c r="B2790" s="14" t="n">
        <v>47350</v>
      </c>
      <c r="C2790" s="1" t="n">
        <v>1494</v>
      </c>
      <c r="D2790" s="1" t="s">
        <v>27</v>
      </c>
      <c r="E2790" s="1" t="s">
        <v>28</v>
      </c>
      <c r="F2790" s="1" t="n">
        <v>2</v>
      </c>
      <c r="G2790" s="15" t="n">
        <v>268</v>
      </c>
      <c r="H2790" s="16" t="n">
        <v>0.34</v>
      </c>
      <c r="I2790" s="1" t="s">
        <v>33</v>
      </c>
      <c r="J2790" s="1" t="n">
        <v>6</v>
      </c>
      <c r="K2790" s="1" t="n">
        <v>4.7</v>
      </c>
      <c r="L2790" s="15" t="n">
        <v>353.76</v>
      </c>
      <c r="M2790" s="15" t="n">
        <f aca="false">F2790*G2790</f>
        <v>536</v>
      </c>
      <c r="N2790" s="15" t="n">
        <f aca="false">M2790-L2790</f>
        <v>182.24</v>
      </c>
      <c r="O2790" s="1" t="n">
        <f aca="false">YEAR(B2790)</f>
        <v>2029</v>
      </c>
      <c r="P2790" s="1" t="n">
        <f aca="false">MONTH(B2790)</f>
        <v>8</v>
      </c>
      <c r="Q2790" s="1" t="str">
        <f aca="false">TEXT(B2790,"mmm")</f>
        <v>Aug</v>
      </c>
      <c r="R2790" s="1" t="str">
        <f aca="false">"Q"&amp;ROUNDUP(MONTH(B2790)/3,0)</f>
        <v>Q3</v>
      </c>
    </row>
    <row r="2791" customFormat="false" ht="15" hidden="false" customHeight="true" outlineLevel="0" collapsed="false">
      <c r="A2791" s="1" t="n">
        <v>12790</v>
      </c>
      <c r="B2791" s="14" t="n">
        <v>47351</v>
      </c>
      <c r="C2791" s="1" t="n">
        <v>1426</v>
      </c>
      <c r="D2791" s="1" t="s">
        <v>27</v>
      </c>
      <c r="E2791" s="1" t="s">
        <v>36</v>
      </c>
      <c r="F2791" s="1" t="n">
        <v>1</v>
      </c>
      <c r="G2791" s="15" t="n">
        <v>259.88</v>
      </c>
      <c r="H2791" s="16" t="n">
        <v>0.27</v>
      </c>
      <c r="I2791" s="1" t="s">
        <v>33</v>
      </c>
      <c r="J2791" s="1" t="n">
        <v>9</v>
      </c>
      <c r="K2791" s="1" t="n">
        <v>2.8</v>
      </c>
      <c r="L2791" s="15" t="n">
        <v>189.71</v>
      </c>
      <c r="M2791" s="15" t="n">
        <f aca="false">F2791*G2791</f>
        <v>259.88</v>
      </c>
      <c r="N2791" s="15" t="n">
        <f aca="false">M2791-L2791</f>
        <v>70.17</v>
      </c>
      <c r="O2791" s="1" t="n">
        <f aca="false">YEAR(B2791)</f>
        <v>2029</v>
      </c>
      <c r="P2791" s="1" t="n">
        <f aca="false">MONTH(B2791)</f>
        <v>8</v>
      </c>
      <c r="Q2791" s="1" t="str">
        <f aca="false">TEXT(B2791,"mmm")</f>
        <v>Aug</v>
      </c>
      <c r="R2791" s="1" t="str">
        <f aca="false">"Q"&amp;ROUNDUP(MONTH(B2791)/3,0)</f>
        <v>Q3</v>
      </c>
    </row>
    <row r="2792" customFormat="false" ht="15" hidden="false" customHeight="true" outlineLevel="0" collapsed="false">
      <c r="A2792" s="1" t="n">
        <v>12791</v>
      </c>
      <c r="B2792" s="14" t="n">
        <v>47352</v>
      </c>
      <c r="C2792" s="1" t="n">
        <v>1177</v>
      </c>
      <c r="D2792" s="1" t="s">
        <v>30</v>
      </c>
      <c r="E2792" s="1" t="s">
        <v>36</v>
      </c>
      <c r="F2792" s="1" t="n">
        <v>6</v>
      </c>
      <c r="G2792" s="15" t="n">
        <v>40.91</v>
      </c>
      <c r="H2792" s="16" t="n">
        <v>0.16</v>
      </c>
      <c r="I2792" s="1" t="s">
        <v>31</v>
      </c>
      <c r="J2792" s="1" t="n">
        <v>11</v>
      </c>
      <c r="K2792" s="1" t="n">
        <v>1.4</v>
      </c>
      <c r="L2792" s="15" t="n">
        <v>206.19</v>
      </c>
      <c r="M2792" s="15" t="n">
        <f aca="false">F2792*G2792</f>
        <v>245.46</v>
      </c>
      <c r="N2792" s="15" t="n">
        <f aca="false">M2792-L2792</f>
        <v>39.27</v>
      </c>
      <c r="O2792" s="1" t="n">
        <f aca="false">YEAR(B2792)</f>
        <v>2029</v>
      </c>
      <c r="P2792" s="1" t="n">
        <f aca="false">MONTH(B2792)</f>
        <v>8</v>
      </c>
      <c r="Q2792" s="1" t="str">
        <f aca="false">TEXT(B2792,"mmm")</f>
        <v>Aug</v>
      </c>
      <c r="R2792" s="1" t="str">
        <f aca="false">"Q"&amp;ROUNDUP(MONTH(B2792)/3,0)</f>
        <v>Q3</v>
      </c>
    </row>
    <row r="2793" customFormat="false" ht="15" hidden="false" customHeight="true" outlineLevel="0" collapsed="false">
      <c r="A2793" s="1" t="n">
        <v>12792</v>
      </c>
      <c r="B2793" s="14" t="n">
        <v>47353</v>
      </c>
      <c r="C2793" s="1" t="n">
        <v>1918</v>
      </c>
      <c r="D2793" s="1" t="s">
        <v>30</v>
      </c>
      <c r="E2793" s="1" t="s">
        <v>36</v>
      </c>
      <c r="F2793" s="1" t="n">
        <v>5</v>
      </c>
      <c r="G2793" s="15" t="n">
        <v>359.6</v>
      </c>
      <c r="H2793" s="16" t="n">
        <v>0.19</v>
      </c>
      <c r="I2793" s="1" t="s">
        <v>31</v>
      </c>
      <c r="J2793" s="1" t="n">
        <v>8</v>
      </c>
      <c r="K2793" s="1" t="n">
        <v>1.3</v>
      </c>
      <c r="L2793" s="15" t="n">
        <v>1456.38</v>
      </c>
      <c r="M2793" s="15" t="n">
        <f aca="false">F2793*G2793</f>
        <v>1798</v>
      </c>
      <c r="N2793" s="15" t="n">
        <f aca="false">M2793-L2793</f>
        <v>341.62</v>
      </c>
      <c r="O2793" s="1" t="n">
        <f aca="false">YEAR(B2793)</f>
        <v>2029</v>
      </c>
      <c r="P2793" s="1" t="n">
        <f aca="false">MONTH(B2793)</f>
        <v>8</v>
      </c>
      <c r="Q2793" s="1" t="str">
        <f aca="false">TEXT(B2793,"mmm")</f>
        <v>Aug</v>
      </c>
      <c r="R2793" s="1" t="str">
        <f aca="false">"Q"&amp;ROUNDUP(MONTH(B2793)/3,0)</f>
        <v>Q3</v>
      </c>
    </row>
    <row r="2794" customFormat="false" ht="15" hidden="false" customHeight="true" outlineLevel="0" collapsed="false">
      <c r="A2794" s="1" t="n">
        <v>12793</v>
      </c>
      <c r="B2794" s="14" t="n">
        <v>47354</v>
      </c>
      <c r="C2794" s="1" t="n">
        <v>1427</v>
      </c>
      <c r="D2794" s="1" t="s">
        <v>34</v>
      </c>
      <c r="E2794" s="1" t="s">
        <v>36</v>
      </c>
      <c r="F2794" s="1" t="n">
        <v>4</v>
      </c>
      <c r="G2794" s="15" t="n">
        <v>336.57</v>
      </c>
      <c r="H2794" s="16" t="n">
        <v>0.32</v>
      </c>
      <c r="I2794" s="1" t="s">
        <v>31</v>
      </c>
      <c r="J2794" s="1" t="n">
        <v>11</v>
      </c>
      <c r="K2794" s="1" t="n">
        <v>2.1</v>
      </c>
      <c r="L2794" s="15" t="n">
        <v>915.47</v>
      </c>
      <c r="M2794" s="15" t="n">
        <f aca="false">F2794*G2794</f>
        <v>1346.28</v>
      </c>
      <c r="N2794" s="15" t="n">
        <f aca="false">M2794-L2794</f>
        <v>430.81</v>
      </c>
      <c r="O2794" s="1" t="n">
        <f aca="false">YEAR(B2794)</f>
        <v>2029</v>
      </c>
      <c r="P2794" s="1" t="n">
        <f aca="false">MONTH(B2794)</f>
        <v>8</v>
      </c>
      <c r="Q2794" s="1" t="str">
        <f aca="false">TEXT(B2794,"mmm")</f>
        <v>Aug</v>
      </c>
      <c r="R2794" s="1" t="str">
        <f aca="false">"Q"&amp;ROUNDUP(MONTH(B2794)/3,0)</f>
        <v>Q3</v>
      </c>
    </row>
    <row r="2795" customFormat="false" ht="15" hidden="false" customHeight="true" outlineLevel="0" collapsed="false">
      <c r="A2795" s="1" t="n">
        <v>12794</v>
      </c>
      <c r="B2795" s="14" t="n">
        <v>47355</v>
      </c>
      <c r="C2795" s="1" t="n">
        <v>1293</v>
      </c>
      <c r="D2795" s="1" t="s">
        <v>30</v>
      </c>
      <c r="E2795" s="1" t="s">
        <v>36</v>
      </c>
      <c r="F2795" s="1" t="n">
        <v>2</v>
      </c>
      <c r="G2795" s="15" t="n">
        <v>60.69</v>
      </c>
      <c r="H2795" s="16" t="n">
        <v>0.19</v>
      </c>
      <c r="I2795" s="1" t="s">
        <v>31</v>
      </c>
      <c r="J2795" s="1" t="n">
        <v>7</v>
      </c>
      <c r="K2795" s="1" t="n">
        <v>4</v>
      </c>
      <c r="L2795" s="15" t="n">
        <v>98.32</v>
      </c>
      <c r="M2795" s="15" t="n">
        <f aca="false">F2795*G2795</f>
        <v>121.38</v>
      </c>
      <c r="N2795" s="15" t="n">
        <f aca="false">M2795-L2795</f>
        <v>23.06</v>
      </c>
      <c r="O2795" s="1" t="n">
        <f aca="false">YEAR(B2795)</f>
        <v>2029</v>
      </c>
      <c r="P2795" s="1" t="n">
        <f aca="false">MONTH(B2795)</f>
        <v>8</v>
      </c>
      <c r="Q2795" s="1" t="str">
        <f aca="false">TEXT(B2795,"mmm")</f>
        <v>Aug</v>
      </c>
      <c r="R2795" s="1" t="str">
        <f aca="false">"Q"&amp;ROUNDUP(MONTH(B2795)/3,0)</f>
        <v>Q3</v>
      </c>
    </row>
    <row r="2796" customFormat="false" ht="15" hidden="false" customHeight="true" outlineLevel="0" collapsed="false">
      <c r="A2796" s="1" t="n">
        <v>12795</v>
      </c>
      <c r="B2796" s="14" t="n">
        <v>47356</v>
      </c>
      <c r="C2796" s="1" t="n">
        <v>1851</v>
      </c>
      <c r="D2796" s="1" t="s">
        <v>37</v>
      </c>
      <c r="E2796" s="1" t="s">
        <v>36</v>
      </c>
      <c r="F2796" s="1" t="n">
        <v>6</v>
      </c>
      <c r="G2796" s="15" t="n">
        <v>566.75</v>
      </c>
      <c r="H2796" s="16" t="n">
        <v>0.09</v>
      </c>
      <c r="I2796" s="1" t="s">
        <v>31</v>
      </c>
      <c r="J2796" s="1" t="n">
        <v>7</v>
      </c>
      <c r="K2796" s="1" t="n">
        <v>2</v>
      </c>
      <c r="L2796" s="15" t="n">
        <v>3094.46</v>
      </c>
      <c r="M2796" s="15" t="n">
        <f aca="false">F2796*G2796</f>
        <v>3400.5</v>
      </c>
      <c r="N2796" s="15" t="n">
        <f aca="false">M2796-L2796</f>
        <v>306.04</v>
      </c>
      <c r="O2796" s="1" t="n">
        <f aca="false">YEAR(B2796)</f>
        <v>2029</v>
      </c>
      <c r="P2796" s="1" t="n">
        <f aca="false">MONTH(B2796)</f>
        <v>8</v>
      </c>
      <c r="Q2796" s="1" t="str">
        <f aca="false">TEXT(B2796,"mmm")</f>
        <v>Aug</v>
      </c>
      <c r="R2796" s="1" t="str">
        <f aca="false">"Q"&amp;ROUNDUP(MONTH(B2796)/3,0)</f>
        <v>Q3</v>
      </c>
    </row>
    <row r="2797" customFormat="false" ht="15" hidden="false" customHeight="true" outlineLevel="0" collapsed="false">
      <c r="A2797" s="1" t="n">
        <v>12796</v>
      </c>
      <c r="B2797" s="14" t="n">
        <v>47357</v>
      </c>
      <c r="C2797" s="1" t="n">
        <v>1150</v>
      </c>
      <c r="D2797" s="1" t="s">
        <v>30</v>
      </c>
      <c r="E2797" s="1" t="s">
        <v>36</v>
      </c>
      <c r="F2797" s="1" t="n">
        <v>3</v>
      </c>
      <c r="G2797" s="15" t="n">
        <v>73.14</v>
      </c>
      <c r="H2797" s="16" t="n">
        <v>0.15</v>
      </c>
      <c r="I2797" s="1" t="s">
        <v>31</v>
      </c>
      <c r="J2797" s="1" t="n">
        <v>8</v>
      </c>
      <c r="K2797" s="1" t="n">
        <v>4.3</v>
      </c>
      <c r="L2797" s="15" t="n">
        <v>186.51</v>
      </c>
      <c r="M2797" s="15" t="n">
        <f aca="false">F2797*G2797</f>
        <v>219.42</v>
      </c>
      <c r="N2797" s="15" t="n">
        <f aca="false">M2797-L2797</f>
        <v>32.91</v>
      </c>
      <c r="O2797" s="1" t="n">
        <f aca="false">YEAR(B2797)</f>
        <v>2029</v>
      </c>
      <c r="P2797" s="1" t="n">
        <f aca="false">MONTH(B2797)</f>
        <v>8</v>
      </c>
      <c r="Q2797" s="1" t="str">
        <f aca="false">TEXT(B2797,"mmm")</f>
        <v>Aug</v>
      </c>
      <c r="R2797" s="1" t="str">
        <f aca="false">"Q"&amp;ROUNDUP(MONTH(B2797)/3,0)</f>
        <v>Q3</v>
      </c>
    </row>
    <row r="2798" customFormat="false" ht="15" hidden="false" customHeight="true" outlineLevel="0" collapsed="false">
      <c r="A2798" s="1" t="n">
        <v>12797</v>
      </c>
      <c r="B2798" s="14" t="n">
        <v>47358</v>
      </c>
      <c r="C2798" s="1" t="n">
        <v>1383</v>
      </c>
      <c r="D2798" s="1" t="s">
        <v>27</v>
      </c>
      <c r="E2798" s="1" t="s">
        <v>32</v>
      </c>
      <c r="F2798" s="1" t="n">
        <v>4</v>
      </c>
      <c r="G2798" s="15" t="n">
        <v>515.08</v>
      </c>
      <c r="H2798" s="16" t="n">
        <v>0.18</v>
      </c>
      <c r="I2798" s="1" t="s">
        <v>31</v>
      </c>
      <c r="J2798" s="1" t="n">
        <v>7</v>
      </c>
      <c r="K2798" s="1" t="n">
        <v>4.3</v>
      </c>
      <c r="L2798" s="15" t="n">
        <v>1689.46</v>
      </c>
      <c r="M2798" s="15" t="n">
        <f aca="false">F2798*G2798</f>
        <v>2060.32</v>
      </c>
      <c r="N2798" s="15" t="n">
        <f aca="false">M2798-L2798</f>
        <v>370.86</v>
      </c>
      <c r="O2798" s="1" t="n">
        <f aca="false">YEAR(B2798)</f>
        <v>2029</v>
      </c>
      <c r="P2798" s="1" t="n">
        <f aca="false">MONTH(B2798)</f>
        <v>8</v>
      </c>
      <c r="Q2798" s="1" t="str">
        <f aca="false">TEXT(B2798,"mmm")</f>
        <v>Aug</v>
      </c>
      <c r="R2798" s="1" t="str">
        <f aca="false">"Q"&amp;ROUNDUP(MONTH(B2798)/3,0)</f>
        <v>Q3</v>
      </c>
    </row>
    <row r="2799" customFormat="false" ht="15" hidden="false" customHeight="true" outlineLevel="0" collapsed="false">
      <c r="A2799" s="1" t="n">
        <v>12798</v>
      </c>
      <c r="B2799" s="14" t="n">
        <v>47359</v>
      </c>
      <c r="C2799" s="1" t="n">
        <v>1637</v>
      </c>
      <c r="D2799" s="1" t="s">
        <v>30</v>
      </c>
      <c r="E2799" s="1" t="s">
        <v>35</v>
      </c>
      <c r="F2799" s="1" t="n">
        <v>4</v>
      </c>
      <c r="G2799" s="15" t="n">
        <v>15.18</v>
      </c>
      <c r="H2799" s="16" t="n">
        <v>0.03</v>
      </c>
      <c r="I2799" s="1" t="s">
        <v>31</v>
      </c>
      <c r="J2799" s="1" t="n">
        <v>3</v>
      </c>
      <c r="K2799" s="1" t="n">
        <v>2.8</v>
      </c>
      <c r="L2799" s="15" t="n">
        <v>58.9</v>
      </c>
      <c r="M2799" s="15" t="n">
        <f aca="false">F2799*G2799</f>
        <v>60.72</v>
      </c>
      <c r="N2799" s="15" t="n">
        <f aca="false">M2799-L2799</f>
        <v>1.82</v>
      </c>
      <c r="O2799" s="1" t="n">
        <f aca="false">YEAR(B2799)</f>
        <v>2029</v>
      </c>
      <c r="P2799" s="1" t="n">
        <f aca="false">MONTH(B2799)</f>
        <v>8</v>
      </c>
      <c r="Q2799" s="1" t="str">
        <f aca="false">TEXT(B2799,"mmm")</f>
        <v>Aug</v>
      </c>
      <c r="R2799" s="1" t="str">
        <f aca="false">"Q"&amp;ROUNDUP(MONTH(B2799)/3,0)</f>
        <v>Q3</v>
      </c>
    </row>
    <row r="2800" customFormat="false" ht="15" hidden="false" customHeight="true" outlineLevel="0" collapsed="false">
      <c r="A2800" s="1" t="n">
        <v>12799</v>
      </c>
      <c r="B2800" s="14" t="n">
        <v>47360</v>
      </c>
      <c r="C2800" s="1" t="n">
        <v>1812</v>
      </c>
      <c r="D2800" s="1" t="s">
        <v>30</v>
      </c>
      <c r="E2800" s="1" t="s">
        <v>28</v>
      </c>
      <c r="F2800" s="1" t="n">
        <v>1</v>
      </c>
      <c r="G2800" s="15" t="n">
        <v>531.13</v>
      </c>
      <c r="H2800" s="16" t="n">
        <v>0.26</v>
      </c>
      <c r="I2800" s="1" t="s">
        <v>29</v>
      </c>
      <c r="J2800" s="1" t="n">
        <v>8</v>
      </c>
      <c r="K2800" s="1" t="n">
        <v>2.2</v>
      </c>
      <c r="L2800" s="15" t="n">
        <v>393.04</v>
      </c>
      <c r="M2800" s="15" t="n">
        <f aca="false">F2800*G2800</f>
        <v>531.13</v>
      </c>
      <c r="N2800" s="15" t="n">
        <f aca="false">M2800-L2800</f>
        <v>138.09</v>
      </c>
      <c r="O2800" s="1" t="n">
        <f aca="false">YEAR(B2800)</f>
        <v>2029</v>
      </c>
      <c r="P2800" s="1" t="n">
        <f aca="false">MONTH(B2800)</f>
        <v>8</v>
      </c>
      <c r="Q2800" s="1" t="str">
        <f aca="false">TEXT(B2800,"mmm")</f>
        <v>Aug</v>
      </c>
      <c r="R2800" s="1" t="str">
        <f aca="false">"Q"&amp;ROUNDUP(MONTH(B2800)/3,0)</f>
        <v>Q3</v>
      </c>
    </row>
    <row r="2801" customFormat="false" ht="15" hidden="false" customHeight="true" outlineLevel="0" collapsed="false">
      <c r="A2801" s="1" t="n">
        <v>12800</v>
      </c>
      <c r="B2801" s="14" t="n">
        <v>47361</v>
      </c>
      <c r="C2801" s="1" t="n">
        <v>1307</v>
      </c>
      <c r="D2801" s="1" t="s">
        <v>37</v>
      </c>
      <c r="E2801" s="1" t="s">
        <v>28</v>
      </c>
      <c r="F2801" s="1" t="n">
        <v>3</v>
      </c>
      <c r="G2801" s="15" t="n">
        <v>26.54</v>
      </c>
      <c r="H2801" s="16" t="n">
        <v>0.04</v>
      </c>
      <c r="I2801" s="1" t="s">
        <v>31</v>
      </c>
      <c r="J2801" s="1" t="n">
        <v>8</v>
      </c>
      <c r="K2801" s="1" t="n">
        <v>3.4</v>
      </c>
      <c r="L2801" s="15" t="n">
        <v>76.44</v>
      </c>
      <c r="M2801" s="15" t="n">
        <f aca="false">F2801*G2801</f>
        <v>79.62</v>
      </c>
      <c r="N2801" s="15" t="n">
        <f aca="false">M2801-L2801</f>
        <v>3.18000000000001</v>
      </c>
      <c r="O2801" s="1" t="n">
        <f aca="false">YEAR(B2801)</f>
        <v>2029</v>
      </c>
      <c r="P2801" s="1" t="n">
        <f aca="false">MONTH(B2801)</f>
        <v>8</v>
      </c>
      <c r="Q2801" s="1" t="str">
        <f aca="false">TEXT(B2801,"mmm")</f>
        <v>Aug</v>
      </c>
      <c r="R2801" s="1" t="str">
        <f aca="false">"Q"&amp;ROUNDUP(MONTH(B2801)/3,0)</f>
        <v>Q3</v>
      </c>
    </row>
    <row r="2802" customFormat="false" ht="15" hidden="false" customHeight="true" outlineLevel="0" collapsed="false">
      <c r="A2802" s="1" t="n">
        <v>12801</v>
      </c>
      <c r="B2802" s="14" t="n">
        <v>47362</v>
      </c>
      <c r="C2802" s="1" t="n">
        <v>1335</v>
      </c>
      <c r="D2802" s="1" t="s">
        <v>34</v>
      </c>
      <c r="E2802" s="1" t="s">
        <v>32</v>
      </c>
      <c r="F2802" s="1" t="n">
        <v>3</v>
      </c>
      <c r="G2802" s="15" t="n">
        <v>458.32</v>
      </c>
      <c r="H2802" s="16" t="n">
        <v>0.14</v>
      </c>
      <c r="I2802" s="1" t="s">
        <v>31</v>
      </c>
      <c r="J2802" s="1" t="n">
        <v>1</v>
      </c>
      <c r="K2802" s="1" t="n">
        <v>4.2</v>
      </c>
      <c r="L2802" s="15" t="n">
        <v>1182.47</v>
      </c>
      <c r="M2802" s="15" t="n">
        <f aca="false">F2802*G2802</f>
        <v>1374.96</v>
      </c>
      <c r="N2802" s="15" t="n">
        <f aca="false">M2802-L2802</f>
        <v>192.49</v>
      </c>
      <c r="O2802" s="1" t="n">
        <f aca="false">YEAR(B2802)</f>
        <v>2029</v>
      </c>
      <c r="P2802" s="1" t="n">
        <f aca="false">MONTH(B2802)</f>
        <v>9</v>
      </c>
      <c r="Q2802" s="1" t="str">
        <f aca="false">TEXT(B2802,"mmm")</f>
        <v>Sep</v>
      </c>
      <c r="R2802" s="1" t="str">
        <f aca="false">"Q"&amp;ROUNDUP(MONTH(B2802)/3,0)</f>
        <v>Q3</v>
      </c>
    </row>
    <row r="2803" customFormat="false" ht="15" hidden="false" customHeight="true" outlineLevel="0" collapsed="false">
      <c r="A2803" s="1" t="n">
        <v>12802</v>
      </c>
      <c r="B2803" s="14" t="n">
        <v>47363</v>
      </c>
      <c r="C2803" s="1" t="n">
        <v>1945</v>
      </c>
      <c r="D2803" s="1" t="s">
        <v>30</v>
      </c>
      <c r="E2803" s="1" t="s">
        <v>32</v>
      </c>
      <c r="F2803" s="1" t="n">
        <v>5</v>
      </c>
      <c r="G2803" s="15" t="n">
        <v>226.59</v>
      </c>
      <c r="H2803" s="16" t="n">
        <v>0.28</v>
      </c>
      <c r="I2803" s="1" t="s">
        <v>31</v>
      </c>
      <c r="J2803" s="1" t="n">
        <v>10</v>
      </c>
      <c r="K2803" s="1" t="n">
        <v>1.3</v>
      </c>
      <c r="L2803" s="15" t="n">
        <v>815.72</v>
      </c>
      <c r="M2803" s="15" t="n">
        <f aca="false">F2803*G2803</f>
        <v>1132.95</v>
      </c>
      <c r="N2803" s="15" t="n">
        <f aca="false">M2803-L2803</f>
        <v>317.23</v>
      </c>
      <c r="O2803" s="1" t="n">
        <f aca="false">YEAR(B2803)</f>
        <v>2029</v>
      </c>
      <c r="P2803" s="1" t="n">
        <f aca="false">MONTH(B2803)</f>
        <v>9</v>
      </c>
      <c r="Q2803" s="1" t="str">
        <f aca="false">TEXT(B2803,"mmm")</f>
        <v>Sep</v>
      </c>
      <c r="R2803" s="1" t="str">
        <f aca="false">"Q"&amp;ROUNDUP(MONTH(B2803)/3,0)</f>
        <v>Q3</v>
      </c>
    </row>
    <row r="2804" customFormat="false" ht="15" hidden="false" customHeight="true" outlineLevel="0" collapsed="false">
      <c r="A2804" s="1" t="n">
        <v>12803</v>
      </c>
      <c r="B2804" s="14" t="n">
        <v>47364</v>
      </c>
      <c r="C2804" s="1" t="n">
        <v>1745</v>
      </c>
      <c r="D2804" s="1" t="s">
        <v>34</v>
      </c>
      <c r="E2804" s="1" t="s">
        <v>36</v>
      </c>
      <c r="F2804" s="1" t="n">
        <v>6</v>
      </c>
      <c r="G2804" s="15" t="n">
        <v>446.86</v>
      </c>
      <c r="H2804" s="16" t="n">
        <v>0.16</v>
      </c>
      <c r="I2804" s="1" t="s">
        <v>33</v>
      </c>
      <c r="J2804" s="1" t="n">
        <v>5</v>
      </c>
      <c r="K2804" s="1" t="n">
        <v>4.8</v>
      </c>
      <c r="L2804" s="15" t="n">
        <v>2252.17</v>
      </c>
      <c r="M2804" s="15" t="n">
        <f aca="false">F2804*G2804</f>
        <v>2681.16</v>
      </c>
      <c r="N2804" s="15" t="n">
        <f aca="false">M2804-L2804</f>
        <v>428.99</v>
      </c>
      <c r="O2804" s="1" t="n">
        <f aca="false">YEAR(B2804)</f>
        <v>2029</v>
      </c>
      <c r="P2804" s="1" t="n">
        <f aca="false">MONTH(B2804)</f>
        <v>9</v>
      </c>
      <c r="Q2804" s="1" t="str">
        <f aca="false">TEXT(B2804,"mmm")</f>
        <v>Sep</v>
      </c>
      <c r="R2804" s="1" t="str">
        <f aca="false">"Q"&amp;ROUNDUP(MONTH(B2804)/3,0)</f>
        <v>Q3</v>
      </c>
    </row>
    <row r="2805" customFormat="false" ht="15" hidden="false" customHeight="true" outlineLevel="0" collapsed="false">
      <c r="A2805" s="1" t="n">
        <v>12804</v>
      </c>
      <c r="B2805" s="14" t="n">
        <v>47365</v>
      </c>
      <c r="C2805" s="1" t="n">
        <v>1891</v>
      </c>
      <c r="D2805" s="1" t="s">
        <v>30</v>
      </c>
      <c r="E2805" s="1" t="s">
        <v>35</v>
      </c>
      <c r="F2805" s="1" t="n">
        <v>1</v>
      </c>
      <c r="G2805" s="15" t="n">
        <v>250.02</v>
      </c>
      <c r="H2805" s="16" t="n">
        <v>0.29</v>
      </c>
      <c r="I2805" s="1" t="s">
        <v>31</v>
      </c>
      <c r="J2805" s="1" t="n">
        <v>5</v>
      </c>
      <c r="K2805" s="1" t="n">
        <v>3.6</v>
      </c>
      <c r="L2805" s="15" t="n">
        <v>177.51</v>
      </c>
      <c r="M2805" s="15" t="n">
        <f aca="false">F2805*G2805</f>
        <v>250.02</v>
      </c>
      <c r="N2805" s="15" t="n">
        <f aca="false">M2805-L2805</f>
        <v>72.51</v>
      </c>
      <c r="O2805" s="1" t="n">
        <f aca="false">YEAR(B2805)</f>
        <v>2029</v>
      </c>
      <c r="P2805" s="1" t="n">
        <f aca="false">MONTH(B2805)</f>
        <v>9</v>
      </c>
      <c r="Q2805" s="1" t="str">
        <f aca="false">TEXT(B2805,"mmm")</f>
        <v>Sep</v>
      </c>
      <c r="R2805" s="1" t="str">
        <f aca="false">"Q"&amp;ROUNDUP(MONTH(B2805)/3,0)</f>
        <v>Q3</v>
      </c>
    </row>
    <row r="2806" customFormat="false" ht="15" hidden="false" customHeight="true" outlineLevel="0" collapsed="false">
      <c r="A2806" s="1" t="n">
        <v>12805</v>
      </c>
      <c r="B2806" s="14" t="n">
        <v>47366</v>
      </c>
      <c r="C2806" s="1" t="n">
        <v>1374</v>
      </c>
      <c r="D2806" s="1" t="s">
        <v>37</v>
      </c>
      <c r="E2806" s="1" t="s">
        <v>36</v>
      </c>
      <c r="F2806" s="1" t="n">
        <v>5</v>
      </c>
      <c r="G2806" s="15" t="n">
        <v>56.48</v>
      </c>
      <c r="H2806" s="16" t="n">
        <v>0.12</v>
      </c>
      <c r="I2806" s="1" t="s">
        <v>31</v>
      </c>
      <c r="J2806" s="1" t="n">
        <v>1</v>
      </c>
      <c r="K2806" s="1" t="n">
        <v>2.6</v>
      </c>
      <c r="L2806" s="15" t="n">
        <v>248.51</v>
      </c>
      <c r="M2806" s="15" t="n">
        <f aca="false">F2806*G2806</f>
        <v>282.4</v>
      </c>
      <c r="N2806" s="15" t="n">
        <f aca="false">M2806-L2806</f>
        <v>33.89</v>
      </c>
      <c r="O2806" s="1" t="n">
        <f aca="false">YEAR(B2806)</f>
        <v>2029</v>
      </c>
      <c r="P2806" s="1" t="n">
        <f aca="false">MONTH(B2806)</f>
        <v>9</v>
      </c>
      <c r="Q2806" s="1" t="str">
        <f aca="false">TEXT(B2806,"mmm")</f>
        <v>Sep</v>
      </c>
      <c r="R2806" s="1" t="str">
        <f aca="false">"Q"&amp;ROUNDUP(MONTH(B2806)/3,0)</f>
        <v>Q3</v>
      </c>
    </row>
    <row r="2807" customFormat="false" ht="15" hidden="false" customHeight="true" outlineLevel="0" collapsed="false">
      <c r="A2807" s="1" t="n">
        <v>12806</v>
      </c>
      <c r="B2807" s="14" t="n">
        <v>47367</v>
      </c>
      <c r="C2807" s="1" t="n">
        <v>1007</v>
      </c>
      <c r="D2807" s="1" t="s">
        <v>30</v>
      </c>
      <c r="E2807" s="1" t="s">
        <v>32</v>
      </c>
      <c r="F2807" s="1" t="n">
        <v>1</v>
      </c>
      <c r="G2807" s="15" t="n">
        <v>463.99</v>
      </c>
      <c r="H2807" s="16" t="n">
        <v>0.34</v>
      </c>
      <c r="I2807" s="1" t="s">
        <v>31</v>
      </c>
      <c r="J2807" s="1" t="n">
        <v>6</v>
      </c>
      <c r="K2807" s="1" t="n">
        <v>3</v>
      </c>
      <c r="L2807" s="15" t="n">
        <v>306.23</v>
      </c>
      <c r="M2807" s="15" t="n">
        <f aca="false">F2807*G2807</f>
        <v>463.99</v>
      </c>
      <c r="N2807" s="15" t="n">
        <f aca="false">M2807-L2807</f>
        <v>157.76</v>
      </c>
      <c r="O2807" s="1" t="n">
        <f aca="false">YEAR(B2807)</f>
        <v>2029</v>
      </c>
      <c r="P2807" s="1" t="n">
        <f aca="false">MONTH(B2807)</f>
        <v>9</v>
      </c>
      <c r="Q2807" s="1" t="str">
        <f aca="false">TEXT(B2807,"mmm")</f>
        <v>Sep</v>
      </c>
      <c r="R2807" s="1" t="str">
        <f aca="false">"Q"&amp;ROUNDUP(MONTH(B2807)/3,0)</f>
        <v>Q3</v>
      </c>
    </row>
    <row r="2808" customFormat="false" ht="15" hidden="false" customHeight="true" outlineLevel="0" collapsed="false">
      <c r="A2808" s="1" t="n">
        <v>12807</v>
      </c>
      <c r="B2808" s="14" t="n">
        <v>47368</v>
      </c>
      <c r="C2808" s="1" t="n">
        <v>1340</v>
      </c>
      <c r="D2808" s="1" t="s">
        <v>37</v>
      </c>
      <c r="E2808" s="1" t="s">
        <v>36</v>
      </c>
      <c r="F2808" s="1" t="n">
        <v>3</v>
      </c>
      <c r="G2808" s="15" t="n">
        <v>56.68</v>
      </c>
      <c r="H2808" s="16" t="n">
        <v>0.07</v>
      </c>
      <c r="I2808" s="1" t="s">
        <v>29</v>
      </c>
      <c r="J2808" s="1" t="n">
        <v>6</v>
      </c>
      <c r="K2808" s="1" t="n">
        <v>2.5</v>
      </c>
      <c r="L2808" s="15" t="n">
        <v>158.14</v>
      </c>
      <c r="M2808" s="15" t="n">
        <f aca="false">F2808*G2808</f>
        <v>170.04</v>
      </c>
      <c r="N2808" s="15" t="n">
        <f aca="false">M2808-L2808</f>
        <v>11.9</v>
      </c>
      <c r="O2808" s="1" t="n">
        <f aca="false">YEAR(B2808)</f>
        <v>2029</v>
      </c>
      <c r="P2808" s="1" t="n">
        <f aca="false">MONTH(B2808)</f>
        <v>9</v>
      </c>
      <c r="Q2808" s="1" t="str">
        <f aca="false">TEXT(B2808,"mmm")</f>
        <v>Sep</v>
      </c>
      <c r="R2808" s="1" t="str">
        <f aca="false">"Q"&amp;ROUNDUP(MONTH(B2808)/3,0)</f>
        <v>Q3</v>
      </c>
    </row>
    <row r="2809" customFormat="false" ht="15" hidden="false" customHeight="true" outlineLevel="0" collapsed="false">
      <c r="A2809" s="1" t="n">
        <v>12808</v>
      </c>
      <c r="B2809" s="14" t="n">
        <v>47369</v>
      </c>
      <c r="C2809" s="1" t="n">
        <v>1128</v>
      </c>
      <c r="D2809" s="1" t="s">
        <v>30</v>
      </c>
      <c r="E2809" s="1" t="s">
        <v>28</v>
      </c>
      <c r="F2809" s="1" t="n">
        <v>1</v>
      </c>
      <c r="G2809" s="15" t="n">
        <v>554.44</v>
      </c>
      <c r="H2809" s="16" t="n">
        <v>0.01</v>
      </c>
      <c r="I2809" s="1" t="s">
        <v>33</v>
      </c>
      <c r="J2809" s="1" t="n">
        <v>4</v>
      </c>
      <c r="K2809" s="1" t="n">
        <v>2.7</v>
      </c>
      <c r="L2809" s="15" t="n">
        <v>548.9</v>
      </c>
      <c r="M2809" s="15" t="n">
        <f aca="false">F2809*G2809</f>
        <v>554.44</v>
      </c>
      <c r="N2809" s="15" t="n">
        <f aca="false">M2809-L2809</f>
        <v>5.54000000000008</v>
      </c>
      <c r="O2809" s="1" t="n">
        <f aca="false">YEAR(B2809)</f>
        <v>2029</v>
      </c>
      <c r="P2809" s="1" t="n">
        <f aca="false">MONTH(B2809)</f>
        <v>9</v>
      </c>
      <c r="Q2809" s="1" t="str">
        <f aca="false">TEXT(B2809,"mmm")</f>
        <v>Sep</v>
      </c>
      <c r="R2809" s="1" t="str">
        <f aca="false">"Q"&amp;ROUNDUP(MONTH(B2809)/3,0)</f>
        <v>Q3</v>
      </c>
    </row>
    <row r="2810" customFormat="false" ht="15" hidden="false" customHeight="true" outlineLevel="0" collapsed="false">
      <c r="A2810" s="1" t="n">
        <v>12809</v>
      </c>
      <c r="B2810" s="14" t="n">
        <v>47370</v>
      </c>
      <c r="C2810" s="1" t="n">
        <v>1775</v>
      </c>
      <c r="D2810" s="1" t="s">
        <v>34</v>
      </c>
      <c r="E2810" s="1" t="s">
        <v>28</v>
      </c>
      <c r="F2810" s="1" t="n">
        <v>1</v>
      </c>
      <c r="G2810" s="15" t="n">
        <v>44.82</v>
      </c>
      <c r="H2810" s="16" t="n">
        <v>0.31</v>
      </c>
      <c r="I2810" s="1" t="s">
        <v>31</v>
      </c>
      <c r="J2810" s="1" t="n">
        <v>6</v>
      </c>
      <c r="K2810" s="1" t="n">
        <v>3.4</v>
      </c>
      <c r="L2810" s="15" t="n">
        <v>30.93</v>
      </c>
      <c r="M2810" s="15" t="n">
        <f aca="false">F2810*G2810</f>
        <v>44.82</v>
      </c>
      <c r="N2810" s="15" t="n">
        <f aca="false">M2810-L2810</f>
        <v>13.89</v>
      </c>
      <c r="O2810" s="1" t="n">
        <f aca="false">YEAR(B2810)</f>
        <v>2029</v>
      </c>
      <c r="P2810" s="1" t="n">
        <f aca="false">MONTH(B2810)</f>
        <v>9</v>
      </c>
      <c r="Q2810" s="1" t="str">
        <f aca="false">TEXT(B2810,"mmm")</f>
        <v>Sep</v>
      </c>
      <c r="R2810" s="1" t="str">
        <f aca="false">"Q"&amp;ROUNDUP(MONTH(B2810)/3,0)</f>
        <v>Q3</v>
      </c>
    </row>
    <row r="2811" customFormat="false" ht="15" hidden="false" customHeight="true" outlineLevel="0" collapsed="false">
      <c r="A2811" s="1" t="n">
        <v>12810</v>
      </c>
      <c r="B2811" s="14" t="n">
        <v>47371</v>
      </c>
      <c r="C2811" s="1" t="n">
        <v>1668</v>
      </c>
      <c r="D2811" s="1" t="s">
        <v>37</v>
      </c>
      <c r="E2811" s="1" t="s">
        <v>36</v>
      </c>
      <c r="F2811" s="1" t="n">
        <v>1</v>
      </c>
      <c r="G2811" s="15" t="n">
        <v>295.41</v>
      </c>
      <c r="H2811" s="16" t="n">
        <v>0.26</v>
      </c>
      <c r="I2811" s="1" t="s">
        <v>31</v>
      </c>
      <c r="J2811" s="1" t="n">
        <v>6</v>
      </c>
      <c r="K2811" s="1" t="n">
        <v>1.2</v>
      </c>
      <c r="L2811" s="15" t="n">
        <v>218.6</v>
      </c>
      <c r="M2811" s="15" t="n">
        <f aca="false">F2811*G2811</f>
        <v>295.41</v>
      </c>
      <c r="N2811" s="15" t="n">
        <f aca="false">M2811-L2811</f>
        <v>76.81</v>
      </c>
      <c r="O2811" s="1" t="n">
        <f aca="false">YEAR(B2811)</f>
        <v>2029</v>
      </c>
      <c r="P2811" s="1" t="n">
        <f aca="false">MONTH(B2811)</f>
        <v>9</v>
      </c>
      <c r="Q2811" s="1" t="str">
        <f aca="false">TEXT(B2811,"mmm")</f>
        <v>Sep</v>
      </c>
      <c r="R2811" s="1" t="str">
        <f aca="false">"Q"&amp;ROUNDUP(MONTH(B2811)/3,0)</f>
        <v>Q3</v>
      </c>
    </row>
    <row r="2812" customFormat="false" ht="15" hidden="false" customHeight="true" outlineLevel="0" collapsed="false">
      <c r="A2812" s="1" t="n">
        <v>12811</v>
      </c>
      <c r="B2812" s="14" t="n">
        <v>47372</v>
      </c>
      <c r="C2812" s="1" t="n">
        <v>1351</v>
      </c>
      <c r="D2812" s="1" t="s">
        <v>34</v>
      </c>
      <c r="E2812" s="1" t="s">
        <v>35</v>
      </c>
      <c r="F2812" s="1" t="n">
        <v>2</v>
      </c>
      <c r="G2812" s="15" t="n">
        <v>437.98</v>
      </c>
      <c r="H2812" s="16" t="n">
        <v>0.08</v>
      </c>
      <c r="I2812" s="1" t="s">
        <v>31</v>
      </c>
      <c r="J2812" s="1" t="n">
        <v>1</v>
      </c>
      <c r="K2812" s="1" t="n">
        <v>1.7</v>
      </c>
      <c r="L2812" s="15" t="n">
        <v>805.88</v>
      </c>
      <c r="M2812" s="15" t="n">
        <f aca="false">F2812*G2812</f>
        <v>875.96</v>
      </c>
      <c r="N2812" s="15" t="n">
        <f aca="false">M2812-L2812</f>
        <v>70.08</v>
      </c>
      <c r="O2812" s="1" t="n">
        <f aca="false">YEAR(B2812)</f>
        <v>2029</v>
      </c>
      <c r="P2812" s="1" t="n">
        <f aca="false">MONTH(B2812)</f>
        <v>9</v>
      </c>
      <c r="Q2812" s="1" t="str">
        <f aca="false">TEXT(B2812,"mmm")</f>
        <v>Sep</v>
      </c>
      <c r="R2812" s="1" t="str">
        <f aca="false">"Q"&amp;ROUNDUP(MONTH(B2812)/3,0)</f>
        <v>Q3</v>
      </c>
    </row>
    <row r="2813" customFormat="false" ht="15" hidden="false" customHeight="true" outlineLevel="0" collapsed="false">
      <c r="A2813" s="1" t="n">
        <v>12812</v>
      </c>
      <c r="B2813" s="14" t="n">
        <v>47373</v>
      </c>
      <c r="C2813" s="1" t="n">
        <v>1357</v>
      </c>
      <c r="D2813" s="1" t="s">
        <v>34</v>
      </c>
      <c r="E2813" s="1" t="s">
        <v>36</v>
      </c>
      <c r="F2813" s="1" t="n">
        <v>2</v>
      </c>
      <c r="G2813" s="15" t="n">
        <v>245.05</v>
      </c>
      <c r="H2813" s="16" t="n">
        <v>0.34</v>
      </c>
      <c r="I2813" s="1" t="s">
        <v>31</v>
      </c>
      <c r="J2813" s="1" t="n">
        <v>5</v>
      </c>
      <c r="K2813" s="1" t="n">
        <v>1.9</v>
      </c>
      <c r="L2813" s="15" t="n">
        <v>323.47</v>
      </c>
      <c r="M2813" s="15" t="n">
        <f aca="false">F2813*G2813</f>
        <v>490.1</v>
      </c>
      <c r="N2813" s="15" t="n">
        <f aca="false">M2813-L2813</f>
        <v>166.63</v>
      </c>
      <c r="O2813" s="1" t="n">
        <f aca="false">YEAR(B2813)</f>
        <v>2029</v>
      </c>
      <c r="P2813" s="1" t="n">
        <f aca="false">MONTH(B2813)</f>
        <v>9</v>
      </c>
      <c r="Q2813" s="1" t="str">
        <f aca="false">TEXT(B2813,"mmm")</f>
        <v>Sep</v>
      </c>
      <c r="R2813" s="1" t="str">
        <f aca="false">"Q"&amp;ROUNDUP(MONTH(B2813)/3,0)</f>
        <v>Q3</v>
      </c>
    </row>
    <row r="2814" customFormat="false" ht="15" hidden="false" customHeight="true" outlineLevel="0" collapsed="false">
      <c r="A2814" s="1" t="n">
        <v>12813</v>
      </c>
      <c r="B2814" s="14" t="n">
        <v>47374</v>
      </c>
      <c r="C2814" s="1" t="n">
        <v>1516</v>
      </c>
      <c r="D2814" s="1" t="s">
        <v>30</v>
      </c>
      <c r="E2814" s="1" t="s">
        <v>36</v>
      </c>
      <c r="F2814" s="1" t="n">
        <v>6</v>
      </c>
      <c r="G2814" s="15" t="n">
        <v>142.08</v>
      </c>
      <c r="H2814" s="16" t="n">
        <v>0.18</v>
      </c>
      <c r="I2814" s="1" t="s">
        <v>33</v>
      </c>
      <c r="J2814" s="1" t="n">
        <v>2</v>
      </c>
      <c r="K2814" s="1" t="n">
        <v>2.6</v>
      </c>
      <c r="L2814" s="15" t="n">
        <v>699.03</v>
      </c>
      <c r="M2814" s="15" t="n">
        <f aca="false">F2814*G2814</f>
        <v>852.48</v>
      </c>
      <c r="N2814" s="15" t="n">
        <f aca="false">M2814-L2814</f>
        <v>153.45</v>
      </c>
      <c r="O2814" s="1" t="n">
        <f aca="false">YEAR(B2814)</f>
        <v>2029</v>
      </c>
      <c r="P2814" s="1" t="n">
        <f aca="false">MONTH(B2814)</f>
        <v>9</v>
      </c>
      <c r="Q2814" s="1" t="str">
        <f aca="false">TEXT(B2814,"mmm")</f>
        <v>Sep</v>
      </c>
      <c r="R2814" s="1" t="str">
        <f aca="false">"Q"&amp;ROUNDUP(MONTH(B2814)/3,0)</f>
        <v>Q3</v>
      </c>
    </row>
    <row r="2815" customFormat="false" ht="15" hidden="false" customHeight="true" outlineLevel="0" collapsed="false">
      <c r="A2815" s="1" t="n">
        <v>12814</v>
      </c>
      <c r="B2815" s="14" t="n">
        <v>47375</v>
      </c>
      <c r="C2815" s="1" t="n">
        <v>1494</v>
      </c>
      <c r="D2815" s="1" t="s">
        <v>34</v>
      </c>
      <c r="E2815" s="1" t="s">
        <v>35</v>
      </c>
      <c r="F2815" s="1" t="n">
        <v>6</v>
      </c>
      <c r="G2815" s="15" t="n">
        <v>459.07</v>
      </c>
      <c r="H2815" s="16" t="n">
        <v>0.33</v>
      </c>
      <c r="I2815" s="1" t="s">
        <v>33</v>
      </c>
      <c r="J2815" s="1" t="n">
        <v>7</v>
      </c>
      <c r="K2815" s="1" t="n">
        <v>2.5</v>
      </c>
      <c r="L2815" s="15" t="n">
        <v>1845.46</v>
      </c>
      <c r="M2815" s="15" t="n">
        <f aca="false">F2815*G2815</f>
        <v>2754.42</v>
      </c>
      <c r="N2815" s="15" t="n">
        <f aca="false">M2815-L2815</f>
        <v>908.96</v>
      </c>
      <c r="O2815" s="1" t="n">
        <f aca="false">YEAR(B2815)</f>
        <v>2029</v>
      </c>
      <c r="P2815" s="1" t="n">
        <f aca="false">MONTH(B2815)</f>
        <v>9</v>
      </c>
      <c r="Q2815" s="1" t="str">
        <f aca="false">TEXT(B2815,"mmm")</f>
        <v>Sep</v>
      </c>
      <c r="R2815" s="1" t="str">
        <f aca="false">"Q"&amp;ROUNDUP(MONTH(B2815)/3,0)</f>
        <v>Q3</v>
      </c>
    </row>
    <row r="2816" customFormat="false" ht="15" hidden="false" customHeight="true" outlineLevel="0" collapsed="false">
      <c r="A2816" s="1" t="n">
        <v>12815</v>
      </c>
      <c r="B2816" s="14" t="n">
        <v>47376</v>
      </c>
      <c r="C2816" s="1" t="n">
        <v>1085</v>
      </c>
      <c r="D2816" s="1" t="s">
        <v>34</v>
      </c>
      <c r="E2816" s="1" t="s">
        <v>35</v>
      </c>
      <c r="F2816" s="1" t="n">
        <v>7</v>
      </c>
      <c r="G2816" s="15" t="n">
        <v>473.81</v>
      </c>
      <c r="H2816" s="16" t="n">
        <v>0.18</v>
      </c>
      <c r="I2816" s="1" t="s">
        <v>33</v>
      </c>
      <c r="J2816" s="1" t="n">
        <v>9</v>
      </c>
      <c r="K2816" s="1" t="n">
        <v>3.9</v>
      </c>
      <c r="L2816" s="15" t="n">
        <v>2719.67</v>
      </c>
      <c r="M2816" s="15" t="n">
        <f aca="false">F2816*G2816</f>
        <v>3316.67</v>
      </c>
      <c r="N2816" s="15" t="n">
        <f aca="false">M2816-L2816</f>
        <v>597</v>
      </c>
      <c r="O2816" s="1" t="n">
        <f aca="false">YEAR(B2816)</f>
        <v>2029</v>
      </c>
      <c r="P2816" s="1" t="n">
        <f aca="false">MONTH(B2816)</f>
        <v>9</v>
      </c>
      <c r="Q2816" s="1" t="str">
        <f aca="false">TEXT(B2816,"mmm")</f>
        <v>Sep</v>
      </c>
      <c r="R2816" s="1" t="str">
        <f aca="false">"Q"&amp;ROUNDUP(MONTH(B2816)/3,0)</f>
        <v>Q3</v>
      </c>
    </row>
    <row r="2817" customFormat="false" ht="15" hidden="false" customHeight="true" outlineLevel="0" collapsed="false">
      <c r="A2817" s="1" t="n">
        <v>12816</v>
      </c>
      <c r="B2817" s="14" t="n">
        <v>47377</v>
      </c>
      <c r="C2817" s="1" t="n">
        <v>1174</v>
      </c>
      <c r="D2817" s="1" t="s">
        <v>30</v>
      </c>
      <c r="E2817" s="1" t="s">
        <v>35</v>
      </c>
      <c r="F2817" s="1" t="n">
        <v>3</v>
      </c>
      <c r="G2817" s="15" t="n">
        <v>554.78</v>
      </c>
      <c r="H2817" s="16" t="n">
        <v>0.17</v>
      </c>
      <c r="I2817" s="1" t="s">
        <v>31</v>
      </c>
      <c r="J2817" s="1" t="n">
        <v>9</v>
      </c>
      <c r="K2817" s="1" t="n">
        <v>2</v>
      </c>
      <c r="L2817" s="15" t="n">
        <v>1381.4</v>
      </c>
      <c r="M2817" s="15" t="n">
        <f aca="false">F2817*G2817</f>
        <v>1664.34</v>
      </c>
      <c r="N2817" s="15" t="n">
        <f aca="false">M2817-L2817</f>
        <v>282.94</v>
      </c>
      <c r="O2817" s="1" t="n">
        <f aca="false">YEAR(B2817)</f>
        <v>2029</v>
      </c>
      <c r="P2817" s="1" t="n">
        <f aca="false">MONTH(B2817)</f>
        <v>9</v>
      </c>
      <c r="Q2817" s="1" t="str">
        <f aca="false">TEXT(B2817,"mmm")</f>
        <v>Sep</v>
      </c>
      <c r="R2817" s="1" t="str">
        <f aca="false">"Q"&amp;ROUNDUP(MONTH(B2817)/3,0)</f>
        <v>Q3</v>
      </c>
    </row>
    <row r="2818" customFormat="false" ht="15" hidden="false" customHeight="true" outlineLevel="0" collapsed="false">
      <c r="A2818" s="1" t="n">
        <v>12817</v>
      </c>
      <c r="B2818" s="14" t="n">
        <v>47378</v>
      </c>
      <c r="C2818" s="1" t="n">
        <v>1801</v>
      </c>
      <c r="D2818" s="1" t="s">
        <v>30</v>
      </c>
      <c r="E2818" s="1" t="s">
        <v>28</v>
      </c>
      <c r="F2818" s="1" t="n">
        <v>1</v>
      </c>
      <c r="G2818" s="15" t="n">
        <v>235.06</v>
      </c>
      <c r="H2818" s="16" t="n">
        <v>0.16</v>
      </c>
      <c r="I2818" s="1" t="s">
        <v>33</v>
      </c>
      <c r="J2818" s="1" t="n">
        <v>11</v>
      </c>
      <c r="K2818" s="1" t="n">
        <v>1.2</v>
      </c>
      <c r="L2818" s="15" t="n">
        <v>197.45</v>
      </c>
      <c r="M2818" s="15" t="n">
        <f aca="false">F2818*G2818</f>
        <v>235.06</v>
      </c>
      <c r="N2818" s="15" t="n">
        <f aca="false">M2818-L2818</f>
        <v>37.61</v>
      </c>
      <c r="O2818" s="1" t="n">
        <f aca="false">YEAR(B2818)</f>
        <v>2029</v>
      </c>
      <c r="P2818" s="1" t="n">
        <f aca="false">MONTH(B2818)</f>
        <v>9</v>
      </c>
      <c r="Q2818" s="1" t="str">
        <f aca="false">TEXT(B2818,"mmm")</f>
        <v>Sep</v>
      </c>
      <c r="R2818" s="1" t="str">
        <f aca="false">"Q"&amp;ROUNDUP(MONTH(B2818)/3,0)</f>
        <v>Q3</v>
      </c>
    </row>
    <row r="2819" customFormat="false" ht="15" hidden="false" customHeight="true" outlineLevel="0" collapsed="false">
      <c r="A2819" s="1" t="n">
        <v>12818</v>
      </c>
      <c r="B2819" s="14" t="n">
        <v>47379</v>
      </c>
      <c r="C2819" s="1" t="n">
        <v>1192</v>
      </c>
      <c r="D2819" s="1" t="s">
        <v>30</v>
      </c>
      <c r="E2819" s="1" t="s">
        <v>36</v>
      </c>
      <c r="F2819" s="1" t="n">
        <v>3</v>
      </c>
      <c r="G2819" s="15" t="n">
        <v>311.16</v>
      </c>
      <c r="H2819" s="16" t="n">
        <v>0.12</v>
      </c>
      <c r="I2819" s="1" t="s">
        <v>31</v>
      </c>
      <c r="J2819" s="1" t="n">
        <v>9</v>
      </c>
      <c r="K2819" s="1" t="n">
        <v>1.2</v>
      </c>
      <c r="L2819" s="15" t="n">
        <v>821.46</v>
      </c>
      <c r="M2819" s="15" t="n">
        <f aca="false">F2819*G2819</f>
        <v>933.48</v>
      </c>
      <c r="N2819" s="15" t="n">
        <f aca="false">M2819-L2819</f>
        <v>112.02</v>
      </c>
      <c r="O2819" s="1" t="n">
        <f aca="false">YEAR(B2819)</f>
        <v>2029</v>
      </c>
      <c r="P2819" s="1" t="n">
        <f aca="false">MONTH(B2819)</f>
        <v>9</v>
      </c>
      <c r="Q2819" s="1" t="str">
        <f aca="false">TEXT(B2819,"mmm")</f>
        <v>Sep</v>
      </c>
      <c r="R2819" s="1" t="str">
        <f aca="false">"Q"&amp;ROUNDUP(MONTH(B2819)/3,0)</f>
        <v>Q3</v>
      </c>
    </row>
    <row r="2820" customFormat="false" ht="15" hidden="false" customHeight="true" outlineLevel="0" collapsed="false">
      <c r="A2820" s="1" t="n">
        <v>12819</v>
      </c>
      <c r="B2820" s="14" t="n">
        <v>47380</v>
      </c>
      <c r="C2820" s="1" t="n">
        <v>1310</v>
      </c>
      <c r="D2820" s="1" t="s">
        <v>27</v>
      </c>
      <c r="E2820" s="1" t="s">
        <v>32</v>
      </c>
      <c r="F2820" s="1" t="n">
        <v>2</v>
      </c>
      <c r="G2820" s="15" t="n">
        <v>227.43</v>
      </c>
      <c r="H2820" s="16" t="n">
        <v>0.19</v>
      </c>
      <c r="I2820" s="1" t="s">
        <v>31</v>
      </c>
      <c r="J2820" s="1" t="n">
        <v>11</v>
      </c>
      <c r="K2820" s="1" t="n">
        <v>1</v>
      </c>
      <c r="L2820" s="15" t="n">
        <v>368.44</v>
      </c>
      <c r="M2820" s="15" t="n">
        <f aca="false">F2820*G2820</f>
        <v>454.86</v>
      </c>
      <c r="N2820" s="15" t="n">
        <f aca="false">M2820-L2820</f>
        <v>86.42</v>
      </c>
      <c r="O2820" s="1" t="n">
        <f aca="false">YEAR(B2820)</f>
        <v>2029</v>
      </c>
      <c r="P2820" s="1" t="n">
        <f aca="false">MONTH(B2820)</f>
        <v>9</v>
      </c>
      <c r="Q2820" s="1" t="str">
        <f aca="false">TEXT(B2820,"mmm")</f>
        <v>Sep</v>
      </c>
      <c r="R2820" s="1" t="str">
        <f aca="false">"Q"&amp;ROUNDUP(MONTH(B2820)/3,0)</f>
        <v>Q3</v>
      </c>
    </row>
    <row r="2821" customFormat="false" ht="15" hidden="false" customHeight="true" outlineLevel="0" collapsed="false">
      <c r="A2821" s="1" t="n">
        <v>12820</v>
      </c>
      <c r="B2821" s="14" t="n">
        <v>47381</v>
      </c>
      <c r="C2821" s="1" t="n">
        <v>1118</v>
      </c>
      <c r="D2821" s="1" t="s">
        <v>30</v>
      </c>
      <c r="E2821" s="1" t="s">
        <v>35</v>
      </c>
      <c r="F2821" s="1" t="n">
        <v>1</v>
      </c>
      <c r="G2821" s="15" t="n">
        <v>165.39</v>
      </c>
      <c r="H2821" s="16" t="n">
        <v>0.16</v>
      </c>
      <c r="I2821" s="1" t="s">
        <v>33</v>
      </c>
      <c r="J2821" s="1" t="n">
        <v>7</v>
      </c>
      <c r="K2821" s="1" t="n">
        <v>1.2</v>
      </c>
      <c r="L2821" s="15" t="n">
        <v>138.93</v>
      </c>
      <c r="M2821" s="15" t="n">
        <f aca="false">F2821*G2821</f>
        <v>165.39</v>
      </c>
      <c r="N2821" s="15" t="n">
        <f aca="false">M2821-L2821</f>
        <v>26.46</v>
      </c>
      <c r="O2821" s="1" t="n">
        <f aca="false">YEAR(B2821)</f>
        <v>2029</v>
      </c>
      <c r="P2821" s="1" t="n">
        <f aca="false">MONTH(B2821)</f>
        <v>9</v>
      </c>
      <c r="Q2821" s="1" t="str">
        <f aca="false">TEXT(B2821,"mmm")</f>
        <v>Sep</v>
      </c>
      <c r="R2821" s="1" t="str">
        <f aca="false">"Q"&amp;ROUNDUP(MONTH(B2821)/3,0)</f>
        <v>Q3</v>
      </c>
    </row>
    <row r="2822" customFormat="false" ht="15" hidden="false" customHeight="true" outlineLevel="0" collapsed="false">
      <c r="A2822" s="1" t="n">
        <v>12821</v>
      </c>
      <c r="B2822" s="14" t="n">
        <v>47382</v>
      </c>
      <c r="C2822" s="1" t="n">
        <v>1217</v>
      </c>
      <c r="D2822" s="1" t="s">
        <v>27</v>
      </c>
      <c r="E2822" s="1" t="s">
        <v>35</v>
      </c>
      <c r="F2822" s="1" t="n">
        <v>5</v>
      </c>
      <c r="G2822" s="15" t="n">
        <v>454.35</v>
      </c>
      <c r="H2822" s="16" t="n">
        <v>0.01</v>
      </c>
      <c r="I2822" s="1" t="s">
        <v>31</v>
      </c>
      <c r="J2822" s="1" t="n">
        <v>7</v>
      </c>
      <c r="K2822" s="1" t="n">
        <v>4.4</v>
      </c>
      <c r="L2822" s="15" t="n">
        <v>2249.03</v>
      </c>
      <c r="M2822" s="15" t="n">
        <f aca="false">F2822*G2822</f>
        <v>2271.75</v>
      </c>
      <c r="N2822" s="15" t="n">
        <f aca="false">M2822-L2822</f>
        <v>22.7199999999998</v>
      </c>
      <c r="O2822" s="1" t="n">
        <f aca="false">YEAR(B2822)</f>
        <v>2029</v>
      </c>
      <c r="P2822" s="1" t="n">
        <f aca="false">MONTH(B2822)</f>
        <v>9</v>
      </c>
      <c r="Q2822" s="1" t="str">
        <f aca="false">TEXT(B2822,"mmm")</f>
        <v>Sep</v>
      </c>
      <c r="R2822" s="1" t="str">
        <f aca="false">"Q"&amp;ROUNDUP(MONTH(B2822)/3,0)</f>
        <v>Q3</v>
      </c>
    </row>
    <row r="2823" customFormat="false" ht="15" hidden="false" customHeight="true" outlineLevel="0" collapsed="false">
      <c r="A2823" s="1" t="n">
        <v>12822</v>
      </c>
      <c r="B2823" s="14" t="n">
        <v>47383</v>
      </c>
      <c r="C2823" s="1" t="n">
        <v>1426</v>
      </c>
      <c r="D2823" s="1" t="s">
        <v>34</v>
      </c>
      <c r="E2823" s="1" t="s">
        <v>36</v>
      </c>
      <c r="F2823" s="1" t="n">
        <v>2</v>
      </c>
      <c r="G2823" s="15" t="n">
        <v>213.7</v>
      </c>
      <c r="H2823" s="16" t="n">
        <v>0.09</v>
      </c>
      <c r="I2823" s="1" t="s">
        <v>33</v>
      </c>
      <c r="J2823" s="1" t="n">
        <v>1</v>
      </c>
      <c r="K2823" s="1" t="n">
        <v>3.8</v>
      </c>
      <c r="L2823" s="15" t="n">
        <v>388.93</v>
      </c>
      <c r="M2823" s="15" t="n">
        <f aca="false">F2823*G2823</f>
        <v>427.4</v>
      </c>
      <c r="N2823" s="15" t="n">
        <f aca="false">M2823-L2823</f>
        <v>38.47</v>
      </c>
      <c r="O2823" s="1" t="n">
        <f aca="false">YEAR(B2823)</f>
        <v>2029</v>
      </c>
      <c r="P2823" s="1" t="n">
        <f aca="false">MONTH(B2823)</f>
        <v>9</v>
      </c>
      <c r="Q2823" s="1" t="str">
        <f aca="false">TEXT(B2823,"mmm")</f>
        <v>Sep</v>
      </c>
      <c r="R2823" s="1" t="str">
        <f aca="false">"Q"&amp;ROUNDUP(MONTH(B2823)/3,0)</f>
        <v>Q3</v>
      </c>
    </row>
    <row r="2824" customFormat="false" ht="15" hidden="false" customHeight="true" outlineLevel="0" collapsed="false">
      <c r="A2824" s="1" t="n">
        <v>12823</v>
      </c>
      <c r="B2824" s="14" t="n">
        <v>47384</v>
      </c>
      <c r="C2824" s="1" t="n">
        <v>1969</v>
      </c>
      <c r="D2824" s="1" t="s">
        <v>30</v>
      </c>
      <c r="E2824" s="1" t="s">
        <v>32</v>
      </c>
      <c r="F2824" s="1" t="n">
        <v>2</v>
      </c>
      <c r="G2824" s="15" t="n">
        <v>265.47</v>
      </c>
      <c r="H2824" s="16" t="n">
        <v>0.07</v>
      </c>
      <c r="I2824" s="1" t="s">
        <v>29</v>
      </c>
      <c r="J2824" s="1" t="n">
        <v>11</v>
      </c>
      <c r="K2824" s="1" t="n">
        <v>5</v>
      </c>
      <c r="L2824" s="15" t="n">
        <v>493.77</v>
      </c>
      <c r="M2824" s="15" t="n">
        <f aca="false">F2824*G2824</f>
        <v>530.94</v>
      </c>
      <c r="N2824" s="15" t="n">
        <f aca="false">M2824-L2824</f>
        <v>37.1700000000001</v>
      </c>
      <c r="O2824" s="1" t="n">
        <f aca="false">YEAR(B2824)</f>
        <v>2029</v>
      </c>
      <c r="P2824" s="1" t="n">
        <f aca="false">MONTH(B2824)</f>
        <v>9</v>
      </c>
      <c r="Q2824" s="1" t="str">
        <f aca="false">TEXT(B2824,"mmm")</f>
        <v>Sep</v>
      </c>
      <c r="R2824" s="1" t="str">
        <f aca="false">"Q"&amp;ROUNDUP(MONTH(B2824)/3,0)</f>
        <v>Q3</v>
      </c>
    </row>
    <row r="2825" customFormat="false" ht="15" hidden="false" customHeight="true" outlineLevel="0" collapsed="false">
      <c r="A2825" s="1" t="n">
        <v>12824</v>
      </c>
      <c r="B2825" s="14" t="n">
        <v>47385</v>
      </c>
      <c r="C2825" s="1" t="n">
        <v>1413</v>
      </c>
      <c r="D2825" s="1" t="s">
        <v>27</v>
      </c>
      <c r="E2825" s="1" t="s">
        <v>36</v>
      </c>
      <c r="F2825" s="1" t="n">
        <v>2</v>
      </c>
      <c r="G2825" s="15" t="n">
        <v>251.15</v>
      </c>
      <c r="H2825" s="16" t="n">
        <v>0.3</v>
      </c>
      <c r="I2825" s="1" t="s">
        <v>31</v>
      </c>
      <c r="J2825" s="1" t="n">
        <v>11</v>
      </c>
      <c r="K2825" s="1" t="n">
        <v>1.1</v>
      </c>
      <c r="L2825" s="15" t="n">
        <v>351.61</v>
      </c>
      <c r="M2825" s="15" t="n">
        <f aca="false">F2825*G2825</f>
        <v>502.3</v>
      </c>
      <c r="N2825" s="15" t="n">
        <f aca="false">M2825-L2825</f>
        <v>150.69</v>
      </c>
      <c r="O2825" s="1" t="n">
        <f aca="false">YEAR(B2825)</f>
        <v>2029</v>
      </c>
      <c r="P2825" s="1" t="n">
        <f aca="false">MONTH(B2825)</f>
        <v>9</v>
      </c>
      <c r="Q2825" s="1" t="str">
        <f aca="false">TEXT(B2825,"mmm")</f>
        <v>Sep</v>
      </c>
      <c r="R2825" s="1" t="str">
        <f aca="false">"Q"&amp;ROUNDUP(MONTH(B2825)/3,0)</f>
        <v>Q3</v>
      </c>
    </row>
    <row r="2826" customFormat="false" ht="15" hidden="false" customHeight="true" outlineLevel="0" collapsed="false">
      <c r="A2826" s="1" t="n">
        <v>12825</v>
      </c>
      <c r="B2826" s="14" t="n">
        <v>47386</v>
      </c>
      <c r="C2826" s="1" t="n">
        <v>1113</v>
      </c>
      <c r="D2826" s="1" t="s">
        <v>30</v>
      </c>
      <c r="E2826" s="1" t="s">
        <v>36</v>
      </c>
      <c r="F2826" s="1" t="n">
        <v>7</v>
      </c>
      <c r="G2826" s="15" t="n">
        <v>431.91</v>
      </c>
      <c r="H2826" s="16" t="n">
        <v>0.21</v>
      </c>
      <c r="I2826" s="1" t="s">
        <v>29</v>
      </c>
      <c r="J2826" s="1" t="n">
        <v>6</v>
      </c>
      <c r="K2826" s="1" t="n">
        <v>4.4</v>
      </c>
      <c r="L2826" s="15" t="n">
        <v>2388.46</v>
      </c>
      <c r="M2826" s="15" t="n">
        <f aca="false">F2826*G2826</f>
        <v>3023.37</v>
      </c>
      <c r="N2826" s="15" t="n">
        <f aca="false">M2826-L2826</f>
        <v>634.91</v>
      </c>
      <c r="O2826" s="1" t="n">
        <f aca="false">YEAR(B2826)</f>
        <v>2029</v>
      </c>
      <c r="P2826" s="1" t="n">
        <f aca="false">MONTH(B2826)</f>
        <v>9</v>
      </c>
      <c r="Q2826" s="1" t="str">
        <f aca="false">TEXT(B2826,"mmm")</f>
        <v>Sep</v>
      </c>
      <c r="R2826" s="1" t="str">
        <f aca="false">"Q"&amp;ROUNDUP(MONTH(B2826)/3,0)</f>
        <v>Q3</v>
      </c>
    </row>
    <row r="2827" customFormat="false" ht="15" hidden="false" customHeight="true" outlineLevel="0" collapsed="false">
      <c r="A2827" s="1" t="n">
        <v>12826</v>
      </c>
      <c r="B2827" s="14" t="n">
        <v>47387</v>
      </c>
      <c r="C2827" s="1" t="n">
        <v>1977</v>
      </c>
      <c r="D2827" s="1" t="s">
        <v>37</v>
      </c>
      <c r="E2827" s="1" t="s">
        <v>35</v>
      </c>
      <c r="F2827" s="1" t="n">
        <v>1</v>
      </c>
      <c r="G2827" s="15" t="n">
        <v>551.91</v>
      </c>
      <c r="H2827" s="16" t="n">
        <v>0.27</v>
      </c>
      <c r="I2827" s="1" t="s">
        <v>31</v>
      </c>
      <c r="J2827" s="1" t="n">
        <v>5</v>
      </c>
      <c r="K2827" s="1" t="n">
        <v>3.8</v>
      </c>
      <c r="L2827" s="15" t="n">
        <v>402.89</v>
      </c>
      <c r="M2827" s="15" t="n">
        <f aca="false">F2827*G2827</f>
        <v>551.91</v>
      </c>
      <c r="N2827" s="15" t="n">
        <f aca="false">M2827-L2827</f>
        <v>149.02</v>
      </c>
      <c r="O2827" s="1" t="n">
        <f aca="false">YEAR(B2827)</f>
        <v>2029</v>
      </c>
      <c r="P2827" s="1" t="n">
        <f aca="false">MONTH(B2827)</f>
        <v>9</v>
      </c>
      <c r="Q2827" s="1" t="str">
        <f aca="false">TEXT(B2827,"mmm")</f>
        <v>Sep</v>
      </c>
      <c r="R2827" s="1" t="str">
        <f aca="false">"Q"&amp;ROUNDUP(MONTH(B2827)/3,0)</f>
        <v>Q3</v>
      </c>
    </row>
    <row r="2828" customFormat="false" ht="15" hidden="false" customHeight="true" outlineLevel="0" collapsed="false">
      <c r="A2828" s="1" t="n">
        <v>12827</v>
      </c>
      <c r="B2828" s="14" t="n">
        <v>47388</v>
      </c>
      <c r="C2828" s="1" t="n">
        <v>1144</v>
      </c>
      <c r="D2828" s="1" t="s">
        <v>30</v>
      </c>
      <c r="E2828" s="1" t="s">
        <v>35</v>
      </c>
      <c r="F2828" s="1" t="n">
        <v>6</v>
      </c>
      <c r="G2828" s="15" t="n">
        <v>405.05</v>
      </c>
      <c r="H2828" s="16" t="n">
        <v>0.33</v>
      </c>
      <c r="I2828" s="1" t="s">
        <v>31</v>
      </c>
      <c r="J2828" s="1" t="n">
        <v>8</v>
      </c>
      <c r="K2828" s="1" t="n">
        <v>3.6</v>
      </c>
      <c r="L2828" s="15" t="n">
        <v>1628.3</v>
      </c>
      <c r="M2828" s="15" t="n">
        <f aca="false">F2828*G2828</f>
        <v>2430.3</v>
      </c>
      <c r="N2828" s="15" t="n">
        <f aca="false">M2828-L2828</f>
        <v>802</v>
      </c>
      <c r="O2828" s="1" t="n">
        <f aca="false">YEAR(B2828)</f>
        <v>2029</v>
      </c>
      <c r="P2828" s="1" t="n">
        <f aca="false">MONTH(B2828)</f>
        <v>9</v>
      </c>
      <c r="Q2828" s="1" t="str">
        <f aca="false">TEXT(B2828,"mmm")</f>
        <v>Sep</v>
      </c>
      <c r="R2828" s="1" t="str">
        <f aca="false">"Q"&amp;ROUNDUP(MONTH(B2828)/3,0)</f>
        <v>Q3</v>
      </c>
    </row>
    <row r="2829" customFormat="false" ht="15" hidden="false" customHeight="true" outlineLevel="0" collapsed="false">
      <c r="A2829" s="1" t="n">
        <v>12828</v>
      </c>
      <c r="B2829" s="14" t="n">
        <v>47389</v>
      </c>
      <c r="C2829" s="1" t="n">
        <v>1537</v>
      </c>
      <c r="D2829" s="1" t="s">
        <v>34</v>
      </c>
      <c r="E2829" s="1" t="s">
        <v>28</v>
      </c>
      <c r="F2829" s="1" t="n">
        <v>4</v>
      </c>
      <c r="G2829" s="15" t="n">
        <v>290.88</v>
      </c>
      <c r="H2829" s="16" t="n">
        <v>0.23</v>
      </c>
      <c r="I2829" s="1" t="s">
        <v>33</v>
      </c>
      <c r="J2829" s="1" t="n">
        <v>8</v>
      </c>
      <c r="K2829" s="1" t="n">
        <v>2.4</v>
      </c>
      <c r="L2829" s="15" t="n">
        <v>895.91</v>
      </c>
      <c r="M2829" s="15" t="n">
        <f aca="false">F2829*G2829</f>
        <v>1163.52</v>
      </c>
      <c r="N2829" s="15" t="n">
        <f aca="false">M2829-L2829</f>
        <v>267.61</v>
      </c>
      <c r="O2829" s="1" t="n">
        <f aca="false">YEAR(B2829)</f>
        <v>2029</v>
      </c>
      <c r="P2829" s="1" t="n">
        <f aca="false">MONTH(B2829)</f>
        <v>9</v>
      </c>
      <c r="Q2829" s="1" t="str">
        <f aca="false">TEXT(B2829,"mmm")</f>
        <v>Sep</v>
      </c>
      <c r="R2829" s="1" t="str">
        <f aca="false">"Q"&amp;ROUNDUP(MONTH(B2829)/3,0)</f>
        <v>Q3</v>
      </c>
    </row>
    <row r="2830" customFormat="false" ht="15" hidden="false" customHeight="true" outlineLevel="0" collapsed="false">
      <c r="A2830" s="1" t="n">
        <v>12829</v>
      </c>
      <c r="B2830" s="14" t="n">
        <v>47390</v>
      </c>
      <c r="C2830" s="1" t="n">
        <v>1647</v>
      </c>
      <c r="D2830" s="1" t="s">
        <v>30</v>
      </c>
      <c r="E2830" s="1" t="s">
        <v>32</v>
      </c>
      <c r="F2830" s="1" t="n">
        <v>5</v>
      </c>
      <c r="G2830" s="15" t="n">
        <v>470.83</v>
      </c>
      <c r="H2830" s="16" t="n">
        <v>0.34</v>
      </c>
      <c r="I2830" s="1" t="s">
        <v>33</v>
      </c>
      <c r="J2830" s="1" t="n">
        <v>11</v>
      </c>
      <c r="K2830" s="1" t="n">
        <v>2.5</v>
      </c>
      <c r="L2830" s="15" t="n">
        <v>1553.74</v>
      </c>
      <c r="M2830" s="15" t="n">
        <f aca="false">F2830*G2830</f>
        <v>2354.15</v>
      </c>
      <c r="N2830" s="15" t="n">
        <f aca="false">M2830-L2830</f>
        <v>800.41</v>
      </c>
      <c r="O2830" s="1" t="n">
        <f aca="false">YEAR(B2830)</f>
        <v>2029</v>
      </c>
      <c r="P2830" s="1" t="n">
        <f aca="false">MONTH(B2830)</f>
        <v>9</v>
      </c>
      <c r="Q2830" s="1" t="str">
        <f aca="false">TEXT(B2830,"mmm")</f>
        <v>Sep</v>
      </c>
      <c r="R2830" s="1" t="str">
        <f aca="false">"Q"&amp;ROUNDUP(MONTH(B2830)/3,0)</f>
        <v>Q3</v>
      </c>
    </row>
    <row r="2831" customFormat="false" ht="15" hidden="false" customHeight="true" outlineLevel="0" collapsed="false">
      <c r="A2831" s="1" t="n">
        <v>12830</v>
      </c>
      <c r="B2831" s="14" t="n">
        <v>47391</v>
      </c>
      <c r="C2831" s="1" t="n">
        <v>1302</v>
      </c>
      <c r="D2831" s="1" t="s">
        <v>30</v>
      </c>
      <c r="E2831" s="1" t="s">
        <v>32</v>
      </c>
      <c r="F2831" s="1" t="n">
        <v>5</v>
      </c>
      <c r="G2831" s="15" t="n">
        <v>389.97</v>
      </c>
      <c r="H2831" s="16" t="n">
        <v>0.11</v>
      </c>
      <c r="I2831" s="1" t="s">
        <v>31</v>
      </c>
      <c r="J2831" s="1" t="n">
        <v>4</v>
      </c>
      <c r="K2831" s="1" t="n">
        <v>4.4</v>
      </c>
      <c r="L2831" s="15" t="n">
        <v>1735.37</v>
      </c>
      <c r="M2831" s="15" t="n">
        <f aca="false">F2831*G2831</f>
        <v>1949.85</v>
      </c>
      <c r="N2831" s="15" t="n">
        <f aca="false">M2831-L2831</f>
        <v>214.48</v>
      </c>
      <c r="O2831" s="1" t="n">
        <f aca="false">YEAR(B2831)</f>
        <v>2029</v>
      </c>
      <c r="P2831" s="1" t="n">
        <f aca="false">MONTH(B2831)</f>
        <v>9</v>
      </c>
      <c r="Q2831" s="1" t="str">
        <f aca="false">TEXT(B2831,"mmm")</f>
        <v>Sep</v>
      </c>
      <c r="R2831" s="1" t="str">
        <f aca="false">"Q"&amp;ROUNDUP(MONTH(B2831)/3,0)</f>
        <v>Q3</v>
      </c>
    </row>
    <row r="2832" customFormat="false" ht="15" hidden="false" customHeight="true" outlineLevel="0" collapsed="false">
      <c r="A2832" s="1" t="n">
        <v>12831</v>
      </c>
      <c r="B2832" s="14" t="n">
        <v>47392</v>
      </c>
      <c r="C2832" s="1" t="n">
        <v>1743</v>
      </c>
      <c r="D2832" s="1" t="s">
        <v>27</v>
      </c>
      <c r="E2832" s="1" t="s">
        <v>35</v>
      </c>
      <c r="F2832" s="1" t="n">
        <v>3</v>
      </c>
      <c r="G2832" s="15" t="n">
        <v>50.46</v>
      </c>
      <c r="H2832" s="16" t="n">
        <v>0.07</v>
      </c>
      <c r="I2832" s="1" t="s">
        <v>33</v>
      </c>
      <c r="J2832" s="1" t="n">
        <v>1</v>
      </c>
      <c r="K2832" s="1" t="n">
        <v>3.9</v>
      </c>
      <c r="L2832" s="15" t="n">
        <v>140.78</v>
      </c>
      <c r="M2832" s="15" t="n">
        <f aca="false">F2832*G2832</f>
        <v>151.38</v>
      </c>
      <c r="N2832" s="15" t="n">
        <f aca="false">M2832-L2832</f>
        <v>10.6</v>
      </c>
      <c r="O2832" s="1" t="n">
        <f aca="false">YEAR(B2832)</f>
        <v>2029</v>
      </c>
      <c r="P2832" s="1" t="n">
        <f aca="false">MONTH(B2832)</f>
        <v>10</v>
      </c>
      <c r="Q2832" s="1" t="str">
        <f aca="false">TEXT(B2832,"mmm")</f>
        <v>Oct</v>
      </c>
      <c r="R2832" s="1" t="str">
        <f aca="false">"Q"&amp;ROUNDUP(MONTH(B2832)/3,0)</f>
        <v>Q4</v>
      </c>
    </row>
    <row r="2833" customFormat="false" ht="15" hidden="false" customHeight="true" outlineLevel="0" collapsed="false">
      <c r="A2833" s="1" t="n">
        <v>12832</v>
      </c>
      <c r="B2833" s="14" t="n">
        <v>47393</v>
      </c>
      <c r="C2833" s="1" t="n">
        <v>1880</v>
      </c>
      <c r="D2833" s="1" t="s">
        <v>34</v>
      </c>
      <c r="E2833" s="1" t="s">
        <v>35</v>
      </c>
      <c r="F2833" s="1" t="n">
        <v>1</v>
      </c>
      <c r="G2833" s="15" t="n">
        <v>70.96</v>
      </c>
      <c r="H2833" s="16" t="n">
        <v>0.14</v>
      </c>
      <c r="I2833" s="1" t="s">
        <v>29</v>
      </c>
      <c r="J2833" s="1" t="n">
        <v>6</v>
      </c>
      <c r="K2833" s="1" t="n">
        <v>3.7</v>
      </c>
      <c r="L2833" s="15" t="n">
        <v>61.03</v>
      </c>
      <c r="M2833" s="15" t="n">
        <f aca="false">F2833*G2833</f>
        <v>70.96</v>
      </c>
      <c r="N2833" s="15" t="n">
        <f aca="false">M2833-L2833</f>
        <v>9.92999999999999</v>
      </c>
      <c r="O2833" s="1" t="n">
        <f aca="false">YEAR(B2833)</f>
        <v>2029</v>
      </c>
      <c r="P2833" s="1" t="n">
        <f aca="false">MONTH(B2833)</f>
        <v>10</v>
      </c>
      <c r="Q2833" s="1" t="str">
        <f aca="false">TEXT(B2833,"mmm")</f>
        <v>Oct</v>
      </c>
      <c r="R2833" s="1" t="str">
        <f aca="false">"Q"&amp;ROUNDUP(MONTH(B2833)/3,0)</f>
        <v>Q4</v>
      </c>
    </row>
    <row r="2834" customFormat="false" ht="15" hidden="false" customHeight="true" outlineLevel="0" collapsed="false">
      <c r="A2834" s="1" t="n">
        <v>12833</v>
      </c>
      <c r="B2834" s="14" t="n">
        <v>47394</v>
      </c>
      <c r="C2834" s="1" t="n">
        <v>1587</v>
      </c>
      <c r="D2834" s="1" t="s">
        <v>27</v>
      </c>
      <c r="E2834" s="1" t="s">
        <v>35</v>
      </c>
      <c r="F2834" s="1" t="n">
        <v>6</v>
      </c>
      <c r="G2834" s="15" t="n">
        <v>37.18</v>
      </c>
      <c r="H2834" s="16" t="n">
        <v>0.16</v>
      </c>
      <c r="I2834" s="1" t="s">
        <v>31</v>
      </c>
      <c r="J2834" s="1" t="n">
        <v>10</v>
      </c>
      <c r="K2834" s="1" t="n">
        <v>1.1</v>
      </c>
      <c r="L2834" s="15" t="n">
        <v>187.39</v>
      </c>
      <c r="M2834" s="15" t="n">
        <f aca="false">F2834*G2834</f>
        <v>223.08</v>
      </c>
      <c r="N2834" s="15" t="n">
        <f aca="false">M2834-L2834</f>
        <v>35.69</v>
      </c>
      <c r="O2834" s="1" t="n">
        <f aca="false">YEAR(B2834)</f>
        <v>2029</v>
      </c>
      <c r="P2834" s="1" t="n">
        <f aca="false">MONTH(B2834)</f>
        <v>10</v>
      </c>
      <c r="Q2834" s="1" t="str">
        <f aca="false">TEXT(B2834,"mmm")</f>
        <v>Oct</v>
      </c>
      <c r="R2834" s="1" t="str">
        <f aca="false">"Q"&amp;ROUNDUP(MONTH(B2834)/3,0)</f>
        <v>Q4</v>
      </c>
    </row>
    <row r="2835" customFormat="false" ht="15" hidden="false" customHeight="true" outlineLevel="0" collapsed="false">
      <c r="A2835" s="1" t="n">
        <v>12834</v>
      </c>
      <c r="B2835" s="14" t="n">
        <v>47395</v>
      </c>
      <c r="C2835" s="1" t="n">
        <v>1986</v>
      </c>
      <c r="D2835" s="1" t="s">
        <v>27</v>
      </c>
      <c r="E2835" s="1" t="s">
        <v>32</v>
      </c>
      <c r="F2835" s="1" t="n">
        <v>2</v>
      </c>
      <c r="G2835" s="15" t="n">
        <v>282.24</v>
      </c>
      <c r="H2835" s="16" t="n">
        <v>0.31</v>
      </c>
      <c r="I2835" s="1" t="s">
        <v>29</v>
      </c>
      <c r="J2835" s="1" t="n">
        <v>1</v>
      </c>
      <c r="K2835" s="1" t="n">
        <v>1.7</v>
      </c>
      <c r="L2835" s="15" t="n">
        <v>389.49</v>
      </c>
      <c r="M2835" s="15" t="n">
        <f aca="false">F2835*G2835</f>
        <v>564.48</v>
      </c>
      <c r="N2835" s="15" t="n">
        <f aca="false">M2835-L2835</f>
        <v>174.99</v>
      </c>
      <c r="O2835" s="1" t="n">
        <f aca="false">YEAR(B2835)</f>
        <v>2029</v>
      </c>
      <c r="P2835" s="1" t="n">
        <f aca="false">MONTH(B2835)</f>
        <v>10</v>
      </c>
      <c r="Q2835" s="1" t="str">
        <f aca="false">TEXT(B2835,"mmm")</f>
        <v>Oct</v>
      </c>
      <c r="R2835" s="1" t="str">
        <f aca="false">"Q"&amp;ROUNDUP(MONTH(B2835)/3,0)</f>
        <v>Q4</v>
      </c>
    </row>
    <row r="2836" customFormat="false" ht="15" hidden="false" customHeight="true" outlineLevel="0" collapsed="false">
      <c r="A2836" s="1" t="n">
        <v>12835</v>
      </c>
      <c r="B2836" s="14" t="n">
        <v>47396</v>
      </c>
      <c r="C2836" s="1" t="n">
        <v>1839</v>
      </c>
      <c r="D2836" s="1" t="s">
        <v>34</v>
      </c>
      <c r="E2836" s="1" t="s">
        <v>28</v>
      </c>
      <c r="F2836" s="1" t="n">
        <v>4</v>
      </c>
      <c r="G2836" s="15" t="n">
        <v>498.12</v>
      </c>
      <c r="H2836" s="16" t="n">
        <v>0.2</v>
      </c>
      <c r="I2836" s="1" t="s">
        <v>33</v>
      </c>
      <c r="J2836" s="1" t="n">
        <v>5</v>
      </c>
      <c r="K2836" s="1" t="n">
        <v>4.9</v>
      </c>
      <c r="L2836" s="15" t="n">
        <v>1593.98</v>
      </c>
      <c r="M2836" s="15" t="n">
        <f aca="false">F2836*G2836</f>
        <v>1992.48</v>
      </c>
      <c r="N2836" s="15" t="n">
        <f aca="false">M2836-L2836</f>
        <v>398.5</v>
      </c>
      <c r="O2836" s="1" t="n">
        <f aca="false">YEAR(B2836)</f>
        <v>2029</v>
      </c>
      <c r="P2836" s="1" t="n">
        <f aca="false">MONTH(B2836)</f>
        <v>10</v>
      </c>
      <c r="Q2836" s="1" t="str">
        <f aca="false">TEXT(B2836,"mmm")</f>
        <v>Oct</v>
      </c>
      <c r="R2836" s="1" t="str">
        <f aca="false">"Q"&amp;ROUNDUP(MONTH(B2836)/3,0)</f>
        <v>Q4</v>
      </c>
    </row>
    <row r="2837" customFormat="false" ht="15" hidden="false" customHeight="true" outlineLevel="0" collapsed="false">
      <c r="A2837" s="1" t="n">
        <v>12836</v>
      </c>
      <c r="B2837" s="14" t="n">
        <v>47397</v>
      </c>
      <c r="C2837" s="1" t="n">
        <v>1344</v>
      </c>
      <c r="D2837" s="1" t="s">
        <v>34</v>
      </c>
      <c r="E2837" s="1" t="s">
        <v>32</v>
      </c>
      <c r="F2837" s="1" t="n">
        <v>1</v>
      </c>
      <c r="G2837" s="15" t="n">
        <v>198.15</v>
      </c>
      <c r="H2837" s="16" t="n">
        <v>0.1</v>
      </c>
      <c r="I2837" s="1" t="s">
        <v>29</v>
      </c>
      <c r="J2837" s="1" t="n">
        <v>5</v>
      </c>
      <c r="K2837" s="1" t="n">
        <v>2.8</v>
      </c>
      <c r="L2837" s="15" t="n">
        <v>178.34</v>
      </c>
      <c r="M2837" s="15" t="n">
        <f aca="false">F2837*G2837</f>
        <v>198.15</v>
      </c>
      <c r="N2837" s="15" t="n">
        <f aca="false">M2837-L2837</f>
        <v>19.81</v>
      </c>
      <c r="O2837" s="1" t="n">
        <f aca="false">YEAR(B2837)</f>
        <v>2029</v>
      </c>
      <c r="P2837" s="1" t="n">
        <f aca="false">MONTH(B2837)</f>
        <v>10</v>
      </c>
      <c r="Q2837" s="1" t="str">
        <f aca="false">TEXT(B2837,"mmm")</f>
        <v>Oct</v>
      </c>
      <c r="R2837" s="1" t="str">
        <f aca="false">"Q"&amp;ROUNDUP(MONTH(B2837)/3,0)</f>
        <v>Q4</v>
      </c>
    </row>
    <row r="2838" customFormat="false" ht="15" hidden="false" customHeight="true" outlineLevel="0" collapsed="false">
      <c r="A2838" s="1" t="n">
        <v>12837</v>
      </c>
      <c r="B2838" s="14" t="n">
        <v>47398</v>
      </c>
      <c r="C2838" s="1" t="n">
        <v>1813</v>
      </c>
      <c r="D2838" s="1" t="s">
        <v>27</v>
      </c>
      <c r="E2838" s="1" t="s">
        <v>35</v>
      </c>
      <c r="F2838" s="1" t="n">
        <v>1</v>
      </c>
      <c r="G2838" s="15" t="n">
        <v>239.73</v>
      </c>
      <c r="H2838" s="16" t="n">
        <v>0.26</v>
      </c>
      <c r="I2838" s="1" t="s">
        <v>31</v>
      </c>
      <c r="J2838" s="1" t="n">
        <v>3</v>
      </c>
      <c r="K2838" s="1" t="n">
        <v>4.1</v>
      </c>
      <c r="L2838" s="15" t="n">
        <v>177.4</v>
      </c>
      <c r="M2838" s="15" t="n">
        <f aca="false">F2838*G2838</f>
        <v>239.73</v>
      </c>
      <c r="N2838" s="15" t="n">
        <f aca="false">M2838-L2838</f>
        <v>62.33</v>
      </c>
      <c r="O2838" s="1" t="n">
        <f aca="false">YEAR(B2838)</f>
        <v>2029</v>
      </c>
      <c r="P2838" s="1" t="n">
        <f aca="false">MONTH(B2838)</f>
        <v>10</v>
      </c>
      <c r="Q2838" s="1" t="str">
        <f aca="false">TEXT(B2838,"mmm")</f>
        <v>Oct</v>
      </c>
      <c r="R2838" s="1" t="str">
        <f aca="false">"Q"&amp;ROUNDUP(MONTH(B2838)/3,0)</f>
        <v>Q4</v>
      </c>
    </row>
    <row r="2839" customFormat="false" ht="15" hidden="false" customHeight="true" outlineLevel="0" collapsed="false">
      <c r="A2839" s="1" t="n">
        <v>12838</v>
      </c>
      <c r="B2839" s="14" t="n">
        <v>47399</v>
      </c>
      <c r="C2839" s="1" t="n">
        <v>1963</v>
      </c>
      <c r="D2839" s="1" t="s">
        <v>27</v>
      </c>
      <c r="E2839" s="1" t="s">
        <v>35</v>
      </c>
      <c r="F2839" s="1" t="n">
        <v>7</v>
      </c>
      <c r="G2839" s="15" t="n">
        <v>547.04</v>
      </c>
      <c r="H2839" s="16" t="n">
        <v>0.18</v>
      </c>
      <c r="I2839" s="1" t="s">
        <v>33</v>
      </c>
      <c r="J2839" s="1" t="n">
        <v>5</v>
      </c>
      <c r="K2839" s="1" t="n">
        <v>2.6</v>
      </c>
      <c r="L2839" s="15" t="n">
        <v>3140.01</v>
      </c>
      <c r="M2839" s="15" t="n">
        <f aca="false">F2839*G2839</f>
        <v>3829.28</v>
      </c>
      <c r="N2839" s="15" t="n">
        <f aca="false">M2839-L2839</f>
        <v>689.27</v>
      </c>
      <c r="O2839" s="1" t="n">
        <f aca="false">YEAR(B2839)</f>
        <v>2029</v>
      </c>
      <c r="P2839" s="1" t="n">
        <f aca="false">MONTH(B2839)</f>
        <v>10</v>
      </c>
      <c r="Q2839" s="1" t="str">
        <f aca="false">TEXT(B2839,"mmm")</f>
        <v>Oct</v>
      </c>
      <c r="R2839" s="1" t="str">
        <f aca="false">"Q"&amp;ROUNDUP(MONTH(B2839)/3,0)</f>
        <v>Q4</v>
      </c>
    </row>
    <row r="2840" customFormat="false" ht="15" hidden="false" customHeight="true" outlineLevel="0" collapsed="false">
      <c r="A2840" s="1" t="n">
        <v>12839</v>
      </c>
      <c r="B2840" s="14" t="n">
        <v>47400</v>
      </c>
      <c r="C2840" s="1" t="n">
        <v>1800</v>
      </c>
      <c r="D2840" s="1" t="s">
        <v>30</v>
      </c>
      <c r="E2840" s="1" t="s">
        <v>28</v>
      </c>
      <c r="F2840" s="1" t="n">
        <v>6</v>
      </c>
      <c r="G2840" s="15" t="n">
        <v>504.59</v>
      </c>
      <c r="H2840" s="16" t="n">
        <v>0.06</v>
      </c>
      <c r="I2840" s="1" t="s">
        <v>31</v>
      </c>
      <c r="J2840" s="1" t="n">
        <v>6</v>
      </c>
      <c r="K2840" s="1" t="n">
        <v>4.1</v>
      </c>
      <c r="L2840" s="15" t="n">
        <v>2845.89</v>
      </c>
      <c r="M2840" s="15" t="n">
        <f aca="false">F2840*G2840</f>
        <v>3027.54</v>
      </c>
      <c r="N2840" s="15" t="n">
        <f aca="false">M2840-L2840</f>
        <v>181.65</v>
      </c>
      <c r="O2840" s="1" t="n">
        <f aca="false">YEAR(B2840)</f>
        <v>2029</v>
      </c>
      <c r="P2840" s="1" t="n">
        <f aca="false">MONTH(B2840)</f>
        <v>10</v>
      </c>
      <c r="Q2840" s="1" t="str">
        <f aca="false">TEXT(B2840,"mmm")</f>
        <v>Oct</v>
      </c>
      <c r="R2840" s="1" t="str">
        <f aca="false">"Q"&amp;ROUNDUP(MONTH(B2840)/3,0)</f>
        <v>Q4</v>
      </c>
    </row>
    <row r="2841" customFormat="false" ht="15" hidden="false" customHeight="true" outlineLevel="0" collapsed="false">
      <c r="A2841" s="1" t="n">
        <v>12840</v>
      </c>
      <c r="B2841" s="14" t="n">
        <v>47401</v>
      </c>
      <c r="C2841" s="1" t="n">
        <v>1000</v>
      </c>
      <c r="D2841" s="1" t="s">
        <v>34</v>
      </c>
      <c r="E2841" s="1" t="s">
        <v>36</v>
      </c>
      <c r="F2841" s="1" t="n">
        <v>4</v>
      </c>
      <c r="G2841" s="15" t="n">
        <v>404.05</v>
      </c>
      <c r="H2841" s="16" t="n">
        <v>0.2</v>
      </c>
      <c r="I2841" s="1" t="s">
        <v>29</v>
      </c>
      <c r="J2841" s="1" t="n">
        <v>5</v>
      </c>
      <c r="K2841" s="1" t="n">
        <v>1.5</v>
      </c>
      <c r="L2841" s="15" t="n">
        <v>1292.96</v>
      </c>
      <c r="M2841" s="15" t="n">
        <f aca="false">F2841*G2841</f>
        <v>1616.2</v>
      </c>
      <c r="N2841" s="15" t="n">
        <f aca="false">M2841-L2841</f>
        <v>323.24</v>
      </c>
      <c r="O2841" s="1" t="n">
        <f aca="false">YEAR(B2841)</f>
        <v>2029</v>
      </c>
      <c r="P2841" s="1" t="n">
        <f aca="false">MONTH(B2841)</f>
        <v>10</v>
      </c>
      <c r="Q2841" s="1" t="str">
        <f aca="false">TEXT(B2841,"mmm")</f>
        <v>Oct</v>
      </c>
      <c r="R2841" s="1" t="str">
        <f aca="false">"Q"&amp;ROUNDUP(MONTH(B2841)/3,0)</f>
        <v>Q4</v>
      </c>
    </row>
    <row r="2842" customFormat="false" ht="15" hidden="false" customHeight="true" outlineLevel="0" collapsed="false">
      <c r="A2842" s="1" t="n">
        <v>12841</v>
      </c>
      <c r="B2842" s="14" t="n">
        <v>47402</v>
      </c>
      <c r="C2842" s="1" t="n">
        <v>1146</v>
      </c>
      <c r="D2842" s="1" t="s">
        <v>30</v>
      </c>
      <c r="E2842" s="1" t="s">
        <v>36</v>
      </c>
      <c r="F2842" s="1" t="n">
        <v>2</v>
      </c>
      <c r="G2842" s="15" t="n">
        <v>171.08</v>
      </c>
      <c r="H2842" s="16" t="n">
        <v>0.32</v>
      </c>
      <c r="I2842" s="1" t="s">
        <v>33</v>
      </c>
      <c r="J2842" s="1" t="n">
        <v>1</v>
      </c>
      <c r="K2842" s="1" t="n">
        <v>1.2</v>
      </c>
      <c r="L2842" s="15" t="n">
        <v>232.67</v>
      </c>
      <c r="M2842" s="15" t="n">
        <f aca="false">F2842*G2842</f>
        <v>342.16</v>
      </c>
      <c r="N2842" s="15" t="n">
        <f aca="false">M2842-L2842</f>
        <v>109.49</v>
      </c>
      <c r="O2842" s="1" t="n">
        <f aca="false">YEAR(B2842)</f>
        <v>2029</v>
      </c>
      <c r="P2842" s="1" t="n">
        <f aca="false">MONTH(B2842)</f>
        <v>10</v>
      </c>
      <c r="Q2842" s="1" t="str">
        <f aca="false">TEXT(B2842,"mmm")</f>
        <v>Oct</v>
      </c>
      <c r="R2842" s="1" t="str">
        <f aca="false">"Q"&amp;ROUNDUP(MONTH(B2842)/3,0)</f>
        <v>Q4</v>
      </c>
    </row>
    <row r="2843" customFormat="false" ht="15" hidden="false" customHeight="true" outlineLevel="0" collapsed="false">
      <c r="A2843" s="1" t="n">
        <v>12842</v>
      </c>
      <c r="B2843" s="14" t="n">
        <v>47403</v>
      </c>
      <c r="C2843" s="1" t="n">
        <v>1286</v>
      </c>
      <c r="D2843" s="1" t="s">
        <v>37</v>
      </c>
      <c r="E2843" s="1" t="s">
        <v>32</v>
      </c>
      <c r="F2843" s="1" t="n">
        <v>1</v>
      </c>
      <c r="G2843" s="15" t="n">
        <v>83.47</v>
      </c>
      <c r="H2843" s="16" t="n">
        <v>0.29</v>
      </c>
      <c r="I2843" s="1" t="s">
        <v>31</v>
      </c>
      <c r="J2843" s="1" t="n">
        <v>7</v>
      </c>
      <c r="K2843" s="1" t="n">
        <v>2.9</v>
      </c>
      <c r="L2843" s="15" t="n">
        <v>59.26</v>
      </c>
      <c r="M2843" s="15" t="n">
        <f aca="false">F2843*G2843</f>
        <v>83.47</v>
      </c>
      <c r="N2843" s="15" t="n">
        <f aca="false">M2843-L2843</f>
        <v>24.21</v>
      </c>
      <c r="O2843" s="1" t="n">
        <f aca="false">YEAR(B2843)</f>
        <v>2029</v>
      </c>
      <c r="P2843" s="1" t="n">
        <f aca="false">MONTH(B2843)</f>
        <v>10</v>
      </c>
      <c r="Q2843" s="1" t="str">
        <f aca="false">TEXT(B2843,"mmm")</f>
        <v>Oct</v>
      </c>
      <c r="R2843" s="1" t="str">
        <f aca="false">"Q"&amp;ROUNDUP(MONTH(B2843)/3,0)</f>
        <v>Q4</v>
      </c>
    </row>
    <row r="2844" customFormat="false" ht="15" hidden="false" customHeight="true" outlineLevel="0" collapsed="false">
      <c r="A2844" s="1" t="n">
        <v>12843</v>
      </c>
      <c r="B2844" s="14" t="n">
        <v>47404</v>
      </c>
      <c r="C2844" s="1" t="n">
        <v>1975</v>
      </c>
      <c r="D2844" s="1" t="s">
        <v>34</v>
      </c>
      <c r="E2844" s="1" t="s">
        <v>36</v>
      </c>
      <c r="F2844" s="1" t="n">
        <v>5</v>
      </c>
      <c r="G2844" s="15" t="n">
        <v>24.39</v>
      </c>
      <c r="H2844" s="16" t="n">
        <v>0.21</v>
      </c>
      <c r="I2844" s="1" t="s">
        <v>31</v>
      </c>
      <c r="J2844" s="1" t="n">
        <v>3</v>
      </c>
      <c r="K2844" s="1" t="n">
        <v>3.4</v>
      </c>
      <c r="L2844" s="15" t="n">
        <v>96.34</v>
      </c>
      <c r="M2844" s="15" t="n">
        <f aca="false">F2844*G2844</f>
        <v>121.95</v>
      </c>
      <c r="N2844" s="15" t="n">
        <f aca="false">M2844-L2844</f>
        <v>25.61</v>
      </c>
      <c r="O2844" s="1" t="n">
        <f aca="false">YEAR(B2844)</f>
        <v>2029</v>
      </c>
      <c r="P2844" s="1" t="n">
        <f aca="false">MONTH(B2844)</f>
        <v>10</v>
      </c>
      <c r="Q2844" s="1" t="str">
        <f aca="false">TEXT(B2844,"mmm")</f>
        <v>Oct</v>
      </c>
      <c r="R2844" s="1" t="str">
        <f aca="false">"Q"&amp;ROUNDUP(MONTH(B2844)/3,0)</f>
        <v>Q4</v>
      </c>
    </row>
    <row r="2845" customFormat="false" ht="15" hidden="false" customHeight="true" outlineLevel="0" collapsed="false">
      <c r="A2845" s="1" t="n">
        <v>12844</v>
      </c>
      <c r="B2845" s="14" t="n">
        <v>47405</v>
      </c>
      <c r="C2845" s="1" t="n">
        <v>1653</v>
      </c>
      <c r="D2845" s="1" t="s">
        <v>37</v>
      </c>
      <c r="E2845" s="1" t="s">
        <v>36</v>
      </c>
      <c r="F2845" s="1" t="n">
        <v>5</v>
      </c>
      <c r="G2845" s="15" t="n">
        <v>77.6</v>
      </c>
      <c r="H2845" s="16" t="n">
        <v>0.13</v>
      </c>
      <c r="I2845" s="1" t="s">
        <v>29</v>
      </c>
      <c r="J2845" s="1" t="n">
        <v>7</v>
      </c>
      <c r="K2845" s="1" t="n">
        <v>2.3</v>
      </c>
      <c r="L2845" s="15" t="n">
        <v>337.56</v>
      </c>
      <c r="M2845" s="15" t="n">
        <f aca="false">F2845*G2845</f>
        <v>388</v>
      </c>
      <c r="N2845" s="15" t="n">
        <f aca="false">M2845-L2845</f>
        <v>50.44</v>
      </c>
      <c r="O2845" s="1" t="n">
        <f aca="false">YEAR(B2845)</f>
        <v>2029</v>
      </c>
      <c r="P2845" s="1" t="n">
        <f aca="false">MONTH(B2845)</f>
        <v>10</v>
      </c>
      <c r="Q2845" s="1" t="str">
        <f aca="false">TEXT(B2845,"mmm")</f>
        <v>Oct</v>
      </c>
      <c r="R2845" s="1" t="str">
        <f aca="false">"Q"&amp;ROUNDUP(MONTH(B2845)/3,0)</f>
        <v>Q4</v>
      </c>
    </row>
    <row r="2846" customFormat="false" ht="15" hidden="false" customHeight="true" outlineLevel="0" collapsed="false">
      <c r="A2846" s="1" t="n">
        <v>12845</v>
      </c>
      <c r="B2846" s="14" t="n">
        <v>47406</v>
      </c>
      <c r="C2846" s="1" t="n">
        <v>1052</v>
      </c>
      <c r="D2846" s="1" t="s">
        <v>34</v>
      </c>
      <c r="E2846" s="1" t="s">
        <v>32</v>
      </c>
      <c r="F2846" s="1" t="n">
        <v>4</v>
      </c>
      <c r="G2846" s="15" t="n">
        <v>186.17</v>
      </c>
      <c r="H2846" s="16" t="n">
        <v>0.03</v>
      </c>
      <c r="I2846" s="1" t="s">
        <v>33</v>
      </c>
      <c r="J2846" s="1" t="n">
        <v>5</v>
      </c>
      <c r="K2846" s="1" t="n">
        <v>3.9</v>
      </c>
      <c r="L2846" s="15" t="n">
        <v>722.34</v>
      </c>
      <c r="M2846" s="15" t="n">
        <f aca="false">F2846*G2846</f>
        <v>744.68</v>
      </c>
      <c r="N2846" s="15" t="n">
        <f aca="false">M2846-L2846</f>
        <v>22.3399999999999</v>
      </c>
      <c r="O2846" s="1" t="n">
        <f aca="false">YEAR(B2846)</f>
        <v>2029</v>
      </c>
      <c r="P2846" s="1" t="n">
        <f aca="false">MONTH(B2846)</f>
        <v>10</v>
      </c>
      <c r="Q2846" s="1" t="str">
        <f aca="false">TEXT(B2846,"mmm")</f>
        <v>Oct</v>
      </c>
      <c r="R2846" s="1" t="str">
        <f aca="false">"Q"&amp;ROUNDUP(MONTH(B2846)/3,0)</f>
        <v>Q4</v>
      </c>
    </row>
    <row r="2847" customFormat="false" ht="15" hidden="false" customHeight="true" outlineLevel="0" collapsed="false">
      <c r="A2847" s="1" t="n">
        <v>12846</v>
      </c>
      <c r="B2847" s="14" t="n">
        <v>47407</v>
      </c>
      <c r="C2847" s="1" t="n">
        <v>1303</v>
      </c>
      <c r="D2847" s="1" t="s">
        <v>34</v>
      </c>
      <c r="E2847" s="1" t="s">
        <v>35</v>
      </c>
      <c r="F2847" s="1" t="n">
        <v>2</v>
      </c>
      <c r="G2847" s="15" t="n">
        <v>337.8</v>
      </c>
      <c r="H2847" s="16" t="n">
        <v>0.16</v>
      </c>
      <c r="I2847" s="1" t="s">
        <v>31</v>
      </c>
      <c r="J2847" s="1" t="n">
        <v>3</v>
      </c>
      <c r="K2847" s="1" t="n">
        <v>3</v>
      </c>
      <c r="L2847" s="15" t="n">
        <v>567.5</v>
      </c>
      <c r="M2847" s="15" t="n">
        <f aca="false">F2847*G2847</f>
        <v>675.6</v>
      </c>
      <c r="N2847" s="15" t="n">
        <f aca="false">M2847-L2847</f>
        <v>108.1</v>
      </c>
      <c r="O2847" s="1" t="n">
        <f aca="false">YEAR(B2847)</f>
        <v>2029</v>
      </c>
      <c r="P2847" s="1" t="n">
        <f aca="false">MONTH(B2847)</f>
        <v>10</v>
      </c>
      <c r="Q2847" s="1" t="str">
        <f aca="false">TEXT(B2847,"mmm")</f>
        <v>Oct</v>
      </c>
      <c r="R2847" s="1" t="str">
        <f aca="false">"Q"&amp;ROUNDUP(MONTH(B2847)/3,0)</f>
        <v>Q4</v>
      </c>
    </row>
    <row r="2848" customFormat="false" ht="15" hidden="false" customHeight="true" outlineLevel="0" collapsed="false">
      <c r="A2848" s="1" t="n">
        <v>12847</v>
      </c>
      <c r="B2848" s="14" t="n">
        <v>47408</v>
      </c>
      <c r="C2848" s="1" t="n">
        <v>1068</v>
      </c>
      <c r="D2848" s="1" t="s">
        <v>30</v>
      </c>
      <c r="E2848" s="1" t="s">
        <v>36</v>
      </c>
      <c r="F2848" s="1" t="n">
        <v>4</v>
      </c>
      <c r="G2848" s="15" t="n">
        <v>52.44</v>
      </c>
      <c r="H2848" s="16" t="n">
        <v>0.26</v>
      </c>
      <c r="I2848" s="1" t="s">
        <v>31</v>
      </c>
      <c r="J2848" s="1" t="n">
        <v>11</v>
      </c>
      <c r="K2848" s="1" t="n">
        <v>4.7</v>
      </c>
      <c r="L2848" s="15" t="n">
        <v>155.22</v>
      </c>
      <c r="M2848" s="15" t="n">
        <f aca="false">F2848*G2848</f>
        <v>209.76</v>
      </c>
      <c r="N2848" s="15" t="n">
        <f aca="false">M2848-L2848</f>
        <v>54.54</v>
      </c>
      <c r="O2848" s="1" t="n">
        <f aca="false">YEAR(B2848)</f>
        <v>2029</v>
      </c>
      <c r="P2848" s="1" t="n">
        <f aca="false">MONTH(B2848)</f>
        <v>10</v>
      </c>
      <c r="Q2848" s="1" t="str">
        <f aca="false">TEXT(B2848,"mmm")</f>
        <v>Oct</v>
      </c>
      <c r="R2848" s="1" t="str">
        <f aca="false">"Q"&amp;ROUNDUP(MONTH(B2848)/3,0)</f>
        <v>Q4</v>
      </c>
    </row>
    <row r="2849" customFormat="false" ht="15" hidden="false" customHeight="true" outlineLevel="0" collapsed="false">
      <c r="A2849" s="1" t="n">
        <v>12848</v>
      </c>
      <c r="B2849" s="14" t="n">
        <v>47409</v>
      </c>
      <c r="C2849" s="1" t="n">
        <v>1360</v>
      </c>
      <c r="D2849" s="1" t="s">
        <v>30</v>
      </c>
      <c r="E2849" s="1" t="s">
        <v>35</v>
      </c>
      <c r="F2849" s="1" t="n">
        <v>1</v>
      </c>
      <c r="G2849" s="15" t="n">
        <v>94.69</v>
      </c>
      <c r="H2849" s="16" t="n">
        <v>0.13</v>
      </c>
      <c r="I2849" s="1" t="s">
        <v>29</v>
      </c>
      <c r="J2849" s="1" t="n">
        <v>6</v>
      </c>
      <c r="K2849" s="1" t="n">
        <v>1.3</v>
      </c>
      <c r="L2849" s="15" t="n">
        <v>82.38</v>
      </c>
      <c r="M2849" s="15" t="n">
        <f aca="false">F2849*G2849</f>
        <v>94.69</v>
      </c>
      <c r="N2849" s="15" t="n">
        <f aca="false">M2849-L2849</f>
        <v>12.31</v>
      </c>
      <c r="O2849" s="1" t="n">
        <f aca="false">YEAR(B2849)</f>
        <v>2029</v>
      </c>
      <c r="P2849" s="1" t="n">
        <f aca="false">MONTH(B2849)</f>
        <v>10</v>
      </c>
      <c r="Q2849" s="1" t="str">
        <f aca="false">TEXT(B2849,"mmm")</f>
        <v>Oct</v>
      </c>
      <c r="R2849" s="1" t="str">
        <f aca="false">"Q"&amp;ROUNDUP(MONTH(B2849)/3,0)</f>
        <v>Q4</v>
      </c>
    </row>
    <row r="2850" customFormat="false" ht="15" hidden="false" customHeight="true" outlineLevel="0" collapsed="false">
      <c r="A2850" s="1" t="n">
        <v>12849</v>
      </c>
      <c r="B2850" s="14" t="n">
        <v>47410</v>
      </c>
      <c r="C2850" s="1" t="n">
        <v>1601</v>
      </c>
      <c r="D2850" s="1" t="s">
        <v>34</v>
      </c>
      <c r="E2850" s="1" t="s">
        <v>32</v>
      </c>
      <c r="F2850" s="1" t="n">
        <v>7</v>
      </c>
      <c r="G2850" s="15" t="n">
        <v>120.93</v>
      </c>
      <c r="H2850" s="16" t="n">
        <v>0.08</v>
      </c>
      <c r="I2850" s="1" t="s">
        <v>31</v>
      </c>
      <c r="J2850" s="1" t="n">
        <v>1</v>
      </c>
      <c r="K2850" s="1" t="n">
        <v>1.3</v>
      </c>
      <c r="L2850" s="15" t="n">
        <v>778.79</v>
      </c>
      <c r="M2850" s="15" t="n">
        <f aca="false">F2850*G2850</f>
        <v>846.51</v>
      </c>
      <c r="N2850" s="15" t="n">
        <f aca="false">M2850-L2850</f>
        <v>67.72</v>
      </c>
      <c r="O2850" s="1" t="n">
        <f aca="false">YEAR(B2850)</f>
        <v>2029</v>
      </c>
      <c r="P2850" s="1" t="n">
        <f aca="false">MONTH(B2850)</f>
        <v>10</v>
      </c>
      <c r="Q2850" s="1" t="str">
        <f aca="false">TEXT(B2850,"mmm")</f>
        <v>Oct</v>
      </c>
      <c r="R2850" s="1" t="str">
        <f aca="false">"Q"&amp;ROUNDUP(MONTH(B2850)/3,0)</f>
        <v>Q4</v>
      </c>
    </row>
    <row r="2851" customFormat="false" ht="15" hidden="false" customHeight="true" outlineLevel="0" collapsed="false">
      <c r="A2851" s="1" t="n">
        <v>12850</v>
      </c>
      <c r="B2851" s="14" t="n">
        <v>47411</v>
      </c>
      <c r="C2851" s="1" t="n">
        <v>1957</v>
      </c>
      <c r="D2851" s="1" t="s">
        <v>30</v>
      </c>
      <c r="E2851" s="1" t="s">
        <v>35</v>
      </c>
      <c r="F2851" s="1" t="n">
        <v>7</v>
      </c>
      <c r="G2851" s="15" t="n">
        <v>384.71</v>
      </c>
      <c r="H2851" s="16" t="n">
        <v>0.33</v>
      </c>
      <c r="I2851" s="1" t="s">
        <v>31</v>
      </c>
      <c r="J2851" s="1" t="n">
        <v>6</v>
      </c>
      <c r="K2851" s="1" t="n">
        <v>4.6</v>
      </c>
      <c r="L2851" s="15" t="n">
        <v>1804.29</v>
      </c>
      <c r="M2851" s="15" t="n">
        <f aca="false">F2851*G2851</f>
        <v>2692.97</v>
      </c>
      <c r="N2851" s="15" t="n">
        <f aca="false">M2851-L2851</f>
        <v>888.68</v>
      </c>
      <c r="O2851" s="1" t="n">
        <f aca="false">YEAR(B2851)</f>
        <v>2029</v>
      </c>
      <c r="P2851" s="1" t="n">
        <f aca="false">MONTH(B2851)</f>
        <v>10</v>
      </c>
      <c r="Q2851" s="1" t="str">
        <f aca="false">TEXT(B2851,"mmm")</f>
        <v>Oct</v>
      </c>
      <c r="R2851" s="1" t="str">
        <f aca="false">"Q"&amp;ROUNDUP(MONTH(B2851)/3,0)</f>
        <v>Q4</v>
      </c>
    </row>
    <row r="2852" customFormat="false" ht="15" hidden="false" customHeight="true" outlineLevel="0" collapsed="false">
      <c r="A2852" s="1" t="n">
        <v>12851</v>
      </c>
      <c r="B2852" s="14" t="n">
        <v>47412</v>
      </c>
      <c r="C2852" s="1" t="n">
        <v>1219</v>
      </c>
      <c r="D2852" s="1" t="s">
        <v>34</v>
      </c>
      <c r="E2852" s="1" t="s">
        <v>35</v>
      </c>
      <c r="F2852" s="1" t="n">
        <v>5</v>
      </c>
      <c r="G2852" s="15" t="n">
        <v>375.24</v>
      </c>
      <c r="H2852" s="16" t="n">
        <v>0.29</v>
      </c>
      <c r="I2852" s="1" t="s">
        <v>29</v>
      </c>
      <c r="J2852" s="1" t="n">
        <v>4</v>
      </c>
      <c r="K2852" s="1" t="n">
        <v>3.7</v>
      </c>
      <c r="L2852" s="15" t="n">
        <v>1332.1</v>
      </c>
      <c r="M2852" s="15" t="n">
        <f aca="false">F2852*G2852</f>
        <v>1876.2</v>
      </c>
      <c r="N2852" s="15" t="n">
        <f aca="false">M2852-L2852</f>
        <v>544.1</v>
      </c>
      <c r="O2852" s="1" t="n">
        <f aca="false">YEAR(B2852)</f>
        <v>2029</v>
      </c>
      <c r="P2852" s="1" t="n">
        <f aca="false">MONTH(B2852)</f>
        <v>10</v>
      </c>
      <c r="Q2852" s="1" t="str">
        <f aca="false">TEXT(B2852,"mmm")</f>
        <v>Oct</v>
      </c>
      <c r="R2852" s="1" t="str">
        <f aca="false">"Q"&amp;ROUNDUP(MONTH(B2852)/3,0)</f>
        <v>Q4</v>
      </c>
    </row>
    <row r="2853" customFormat="false" ht="15" hidden="false" customHeight="true" outlineLevel="0" collapsed="false">
      <c r="A2853" s="1" t="n">
        <v>12852</v>
      </c>
      <c r="B2853" s="14" t="n">
        <v>47413</v>
      </c>
      <c r="C2853" s="1" t="n">
        <v>1961</v>
      </c>
      <c r="D2853" s="1" t="s">
        <v>34</v>
      </c>
      <c r="E2853" s="1" t="s">
        <v>32</v>
      </c>
      <c r="F2853" s="1" t="n">
        <v>7</v>
      </c>
      <c r="G2853" s="15" t="n">
        <v>337.2</v>
      </c>
      <c r="H2853" s="16" t="n">
        <v>0.22</v>
      </c>
      <c r="I2853" s="1" t="s">
        <v>31</v>
      </c>
      <c r="J2853" s="1" t="n">
        <v>4</v>
      </c>
      <c r="K2853" s="1" t="n">
        <v>3.7</v>
      </c>
      <c r="L2853" s="15" t="n">
        <v>1841.11</v>
      </c>
      <c r="M2853" s="15" t="n">
        <f aca="false">F2853*G2853</f>
        <v>2360.4</v>
      </c>
      <c r="N2853" s="15" t="n">
        <f aca="false">M2853-L2853</f>
        <v>519.29</v>
      </c>
      <c r="O2853" s="1" t="n">
        <f aca="false">YEAR(B2853)</f>
        <v>2029</v>
      </c>
      <c r="P2853" s="1" t="n">
        <f aca="false">MONTH(B2853)</f>
        <v>10</v>
      </c>
      <c r="Q2853" s="1" t="str">
        <f aca="false">TEXT(B2853,"mmm")</f>
        <v>Oct</v>
      </c>
      <c r="R2853" s="1" t="str">
        <f aca="false">"Q"&amp;ROUNDUP(MONTH(B2853)/3,0)</f>
        <v>Q4</v>
      </c>
    </row>
    <row r="2854" customFormat="false" ht="15" hidden="false" customHeight="true" outlineLevel="0" collapsed="false">
      <c r="A2854" s="1" t="n">
        <v>12853</v>
      </c>
      <c r="B2854" s="14" t="n">
        <v>47414</v>
      </c>
      <c r="C2854" s="1" t="n">
        <v>1703</v>
      </c>
      <c r="D2854" s="1" t="s">
        <v>34</v>
      </c>
      <c r="E2854" s="1" t="s">
        <v>35</v>
      </c>
      <c r="F2854" s="1" t="n">
        <v>3</v>
      </c>
      <c r="G2854" s="15" t="n">
        <v>161.54</v>
      </c>
      <c r="H2854" s="16" t="n">
        <v>0.05</v>
      </c>
      <c r="I2854" s="1" t="s">
        <v>31</v>
      </c>
      <c r="J2854" s="1" t="n">
        <v>5</v>
      </c>
      <c r="K2854" s="1" t="n">
        <v>1.1</v>
      </c>
      <c r="L2854" s="15" t="n">
        <v>460.39</v>
      </c>
      <c r="M2854" s="15" t="n">
        <f aca="false">F2854*G2854</f>
        <v>484.62</v>
      </c>
      <c r="N2854" s="15" t="n">
        <f aca="false">M2854-L2854</f>
        <v>24.23</v>
      </c>
      <c r="O2854" s="1" t="n">
        <f aca="false">YEAR(B2854)</f>
        <v>2029</v>
      </c>
      <c r="P2854" s="1" t="n">
        <f aca="false">MONTH(B2854)</f>
        <v>10</v>
      </c>
      <c r="Q2854" s="1" t="str">
        <f aca="false">TEXT(B2854,"mmm")</f>
        <v>Oct</v>
      </c>
      <c r="R2854" s="1" t="str">
        <f aca="false">"Q"&amp;ROUNDUP(MONTH(B2854)/3,0)</f>
        <v>Q4</v>
      </c>
    </row>
    <row r="2855" customFormat="false" ht="15" hidden="false" customHeight="true" outlineLevel="0" collapsed="false">
      <c r="A2855" s="1" t="n">
        <v>12854</v>
      </c>
      <c r="B2855" s="14" t="n">
        <v>47415</v>
      </c>
      <c r="C2855" s="1" t="n">
        <v>1965</v>
      </c>
      <c r="D2855" s="1" t="s">
        <v>27</v>
      </c>
      <c r="E2855" s="1" t="s">
        <v>36</v>
      </c>
      <c r="F2855" s="1" t="n">
        <v>4</v>
      </c>
      <c r="G2855" s="15" t="n">
        <v>232.11</v>
      </c>
      <c r="H2855" s="16" t="n">
        <v>0.05</v>
      </c>
      <c r="I2855" s="1" t="s">
        <v>31</v>
      </c>
      <c r="J2855" s="1" t="n">
        <v>9</v>
      </c>
      <c r="K2855" s="1" t="n">
        <v>4.8</v>
      </c>
      <c r="L2855" s="15" t="n">
        <v>882.02</v>
      </c>
      <c r="M2855" s="15" t="n">
        <f aca="false">F2855*G2855</f>
        <v>928.44</v>
      </c>
      <c r="N2855" s="15" t="n">
        <f aca="false">M2855-L2855</f>
        <v>46.4200000000001</v>
      </c>
      <c r="O2855" s="1" t="n">
        <f aca="false">YEAR(B2855)</f>
        <v>2029</v>
      </c>
      <c r="P2855" s="1" t="n">
        <f aca="false">MONTH(B2855)</f>
        <v>10</v>
      </c>
      <c r="Q2855" s="1" t="str">
        <f aca="false">TEXT(B2855,"mmm")</f>
        <v>Oct</v>
      </c>
      <c r="R2855" s="1" t="str">
        <f aca="false">"Q"&amp;ROUNDUP(MONTH(B2855)/3,0)</f>
        <v>Q4</v>
      </c>
    </row>
    <row r="2856" customFormat="false" ht="15" hidden="false" customHeight="true" outlineLevel="0" collapsed="false">
      <c r="A2856" s="1" t="n">
        <v>12855</v>
      </c>
      <c r="B2856" s="14" t="n">
        <v>47416</v>
      </c>
      <c r="C2856" s="1" t="n">
        <v>1574</v>
      </c>
      <c r="D2856" s="1" t="s">
        <v>30</v>
      </c>
      <c r="E2856" s="1" t="s">
        <v>36</v>
      </c>
      <c r="F2856" s="1" t="n">
        <v>7</v>
      </c>
      <c r="G2856" s="15" t="n">
        <v>71.56</v>
      </c>
      <c r="H2856" s="16" t="n">
        <v>0.04</v>
      </c>
      <c r="I2856" s="1" t="s">
        <v>29</v>
      </c>
      <c r="J2856" s="1" t="n">
        <v>1</v>
      </c>
      <c r="K2856" s="1" t="n">
        <v>4.1</v>
      </c>
      <c r="L2856" s="15" t="n">
        <v>480.88</v>
      </c>
      <c r="M2856" s="15" t="n">
        <f aca="false">F2856*G2856</f>
        <v>500.92</v>
      </c>
      <c r="N2856" s="15" t="n">
        <f aca="false">M2856-L2856</f>
        <v>20.04</v>
      </c>
      <c r="O2856" s="1" t="n">
        <f aca="false">YEAR(B2856)</f>
        <v>2029</v>
      </c>
      <c r="P2856" s="1" t="n">
        <f aca="false">MONTH(B2856)</f>
        <v>10</v>
      </c>
      <c r="Q2856" s="1" t="str">
        <f aca="false">TEXT(B2856,"mmm")</f>
        <v>Oct</v>
      </c>
      <c r="R2856" s="1" t="str">
        <f aca="false">"Q"&amp;ROUNDUP(MONTH(B2856)/3,0)</f>
        <v>Q4</v>
      </c>
    </row>
    <row r="2857" customFormat="false" ht="15" hidden="false" customHeight="true" outlineLevel="0" collapsed="false">
      <c r="A2857" s="1" t="n">
        <v>12856</v>
      </c>
      <c r="B2857" s="14" t="n">
        <v>47417</v>
      </c>
      <c r="C2857" s="1" t="n">
        <v>1584</v>
      </c>
      <c r="D2857" s="1" t="s">
        <v>30</v>
      </c>
      <c r="E2857" s="1" t="s">
        <v>36</v>
      </c>
      <c r="F2857" s="1" t="n">
        <v>3</v>
      </c>
      <c r="G2857" s="15" t="n">
        <v>147.48</v>
      </c>
      <c r="H2857" s="16" t="n">
        <v>0.22</v>
      </c>
      <c r="I2857" s="1" t="s">
        <v>31</v>
      </c>
      <c r="J2857" s="1" t="n">
        <v>3</v>
      </c>
      <c r="K2857" s="1" t="n">
        <v>4.1</v>
      </c>
      <c r="L2857" s="15" t="n">
        <v>345.1</v>
      </c>
      <c r="M2857" s="15" t="n">
        <f aca="false">F2857*G2857</f>
        <v>442.44</v>
      </c>
      <c r="N2857" s="15" t="n">
        <f aca="false">M2857-L2857</f>
        <v>97.3399999999999</v>
      </c>
      <c r="O2857" s="1" t="n">
        <f aca="false">YEAR(B2857)</f>
        <v>2029</v>
      </c>
      <c r="P2857" s="1" t="n">
        <f aca="false">MONTH(B2857)</f>
        <v>10</v>
      </c>
      <c r="Q2857" s="1" t="str">
        <f aca="false">TEXT(B2857,"mmm")</f>
        <v>Oct</v>
      </c>
      <c r="R2857" s="1" t="str">
        <f aca="false">"Q"&amp;ROUNDUP(MONTH(B2857)/3,0)</f>
        <v>Q4</v>
      </c>
    </row>
    <row r="2858" customFormat="false" ht="15" hidden="false" customHeight="true" outlineLevel="0" collapsed="false">
      <c r="A2858" s="1" t="n">
        <v>12857</v>
      </c>
      <c r="B2858" s="14" t="n">
        <v>47418</v>
      </c>
      <c r="C2858" s="1" t="n">
        <v>1160</v>
      </c>
      <c r="D2858" s="1" t="s">
        <v>30</v>
      </c>
      <c r="E2858" s="1" t="s">
        <v>36</v>
      </c>
      <c r="F2858" s="1" t="n">
        <v>3</v>
      </c>
      <c r="G2858" s="15" t="n">
        <v>540.16</v>
      </c>
      <c r="H2858" s="16" t="n">
        <v>0.04</v>
      </c>
      <c r="I2858" s="1" t="s">
        <v>33</v>
      </c>
      <c r="J2858" s="1" t="n">
        <v>11</v>
      </c>
      <c r="K2858" s="1" t="n">
        <v>4.6</v>
      </c>
      <c r="L2858" s="15" t="n">
        <v>1555.66</v>
      </c>
      <c r="M2858" s="15" t="n">
        <f aca="false">F2858*G2858</f>
        <v>1620.48</v>
      </c>
      <c r="N2858" s="15" t="n">
        <f aca="false">M2858-L2858</f>
        <v>64.8199999999999</v>
      </c>
      <c r="O2858" s="1" t="n">
        <f aca="false">YEAR(B2858)</f>
        <v>2029</v>
      </c>
      <c r="P2858" s="1" t="n">
        <f aca="false">MONTH(B2858)</f>
        <v>10</v>
      </c>
      <c r="Q2858" s="1" t="str">
        <f aca="false">TEXT(B2858,"mmm")</f>
        <v>Oct</v>
      </c>
      <c r="R2858" s="1" t="str">
        <f aca="false">"Q"&amp;ROUNDUP(MONTH(B2858)/3,0)</f>
        <v>Q4</v>
      </c>
    </row>
    <row r="2859" customFormat="false" ht="15" hidden="false" customHeight="true" outlineLevel="0" collapsed="false">
      <c r="A2859" s="1" t="n">
        <v>12858</v>
      </c>
      <c r="B2859" s="14" t="n">
        <v>47419</v>
      </c>
      <c r="C2859" s="1" t="n">
        <v>1680</v>
      </c>
      <c r="D2859" s="1" t="s">
        <v>27</v>
      </c>
      <c r="E2859" s="1" t="s">
        <v>35</v>
      </c>
      <c r="F2859" s="1" t="n">
        <v>6</v>
      </c>
      <c r="G2859" s="15" t="n">
        <v>588.12</v>
      </c>
      <c r="H2859" s="16" t="n">
        <v>0.29</v>
      </c>
      <c r="I2859" s="1" t="s">
        <v>29</v>
      </c>
      <c r="J2859" s="1" t="n">
        <v>4</v>
      </c>
      <c r="K2859" s="1" t="n">
        <v>3.3</v>
      </c>
      <c r="L2859" s="15" t="n">
        <v>2505.39</v>
      </c>
      <c r="M2859" s="15" t="n">
        <f aca="false">F2859*G2859</f>
        <v>3528.72</v>
      </c>
      <c r="N2859" s="15" t="n">
        <f aca="false">M2859-L2859</f>
        <v>1023.33</v>
      </c>
      <c r="O2859" s="1" t="n">
        <f aca="false">YEAR(B2859)</f>
        <v>2029</v>
      </c>
      <c r="P2859" s="1" t="n">
        <f aca="false">MONTH(B2859)</f>
        <v>10</v>
      </c>
      <c r="Q2859" s="1" t="str">
        <f aca="false">TEXT(B2859,"mmm")</f>
        <v>Oct</v>
      </c>
      <c r="R2859" s="1" t="str">
        <f aca="false">"Q"&amp;ROUNDUP(MONTH(B2859)/3,0)</f>
        <v>Q4</v>
      </c>
    </row>
    <row r="2860" customFormat="false" ht="15" hidden="false" customHeight="true" outlineLevel="0" collapsed="false">
      <c r="A2860" s="1" t="n">
        <v>12859</v>
      </c>
      <c r="B2860" s="14" t="n">
        <v>47420</v>
      </c>
      <c r="C2860" s="1" t="n">
        <v>1088</v>
      </c>
      <c r="D2860" s="1" t="s">
        <v>34</v>
      </c>
      <c r="E2860" s="1" t="s">
        <v>36</v>
      </c>
      <c r="F2860" s="1" t="n">
        <v>5</v>
      </c>
      <c r="G2860" s="15" t="n">
        <v>393.88</v>
      </c>
      <c r="H2860" s="16" t="n">
        <v>0.35</v>
      </c>
      <c r="I2860" s="1" t="s">
        <v>31</v>
      </c>
      <c r="J2860" s="1" t="n">
        <v>2</v>
      </c>
      <c r="K2860" s="1" t="n">
        <v>2.6</v>
      </c>
      <c r="L2860" s="15" t="n">
        <v>1280.11</v>
      </c>
      <c r="M2860" s="15" t="n">
        <f aca="false">F2860*G2860</f>
        <v>1969.4</v>
      </c>
      <c r="N2860" s="15" t="n">
        <f aca="false">M2860-L2860</f>
        <v>689.29</v>
      </c>
      <c r="O2860" s="1" t="n">
        <f aca="false">YEAR(B2860)</f>
        <v>2029</v>
      </c>
      <c r="P2860" s="1" t="n">
        <f aca="false">MONTH(B2860)</f>
        <v>10</v>
      </c>
      <c r="Q2860" s="1" t="str">
        <f aca="false">TEXT(B2860,"mmm")</f>
        <v>Oct</v>
      </c>
      <c r="R2860" s="1" t="str">
        <f aca="false">"Q"&amp;ROUNDUP(MONTH(B2860)/3,0)</f>
        <v>Q4</v>
      </c>
    </row>
    <row r="2861" customFormat="false" ht="15" hidden="false" customHeight="true" outlineLevel="0" collapsed="false">
      <c r="A2861" s="1" t="n">
        <v>12860</v>
      </c>
      <c r="B2861" s="14" t="n">
        <v>47421</v>
      </c>
      <c r="C2861" s="1" t="n">
        <v>1687</v>
      </c>
      <c r="D2861" s="1" t="s">
        <v>37</v>
      </c>
      <c r="E2861" s="1" t="s">
        <v>35</v>
      </c>
      <c r="F2861" s="1" t="n">
        <v>4</v>
      </c>
      <c r="G2861" s="15" t="n">
        <v>551.34</v>
      </c>
      <c r="H2861" s="16" t="n">
        <v>0.13</v>
      </c>
      <c r="I2861" s="1" t="s">
        <v>29</v>
      </c>
      <c r="J2861" s="1" t="n">
        <v>9</v>
      </c>
      <c r="K2861" s="1" t="n">
        <v>2.9</v>
      </c>
      <c r="L2861" s="15" t="n">
        <v>1918.66</v>
      </c>
      <c r="M2861" s="15" t="n">
        <f aca="false">F2861*G2861</f>
        <v>2205.36</v>
      </c>
      <c r="N2861" s="15" t="n">
        <f aca="false">M2861-L2861</f>
        <v>286.7</v>
      </c>
      <c r="O2861" s="1" t="n">
        <f aca="false">YEAR(B2861)</f>
        <v>2029</v>
      </c>
      <c r="P2861" s="1" t="n">
        <f aca="false">MONTH(B2861)</f>
        <v>10</v>
      </c>
      <c r="Q2861" s="1" t="str">
        <f aca="false">TEXT(B2861,"mmm")</f>
        <v>Oct</v>
      </c>
      <c r="R2861" s="1" t="str">
        <f aca="false">"Q"&amp;ROUNDUP(MONTH(B2861)/3,0)</f>
        <v>Q4</v>
      </c>
    </row>
    <row r="2862" customFormat="false" ht="15" hidden="false" customHeight="true" outlineLevel="0" collapsed="false">
      <c r="A2862" s="1" t="n">
        <v>12861</v>
      </c>
      <c r="B2862" s="14" t="n">
        <v>47422</v>
      </c>
      <c r="C2862" s="1" t="n">
        <v>1780</v>
      </c>
      <c r="D2862" s="1" t="s">
        <v>37</v>
      </c>
      <c r="E2862" s="1" t="s">
        <v>28</v>
      </c>
      <c r="F2862" s="1" t="n">
        <v>3</v>
      </c>
      <c r="G2862" s="15" t="n">
        <v>391</v>
      </c>
      <c r="H2862" s="16" t="n">
        <v>0.16</v>
      </c>
      <c r="I2862" s="1" t="s">
        <v>31</v>
      </c>
      <c r="J2862" s="1" t="n">
        <v>11</v>
      </c>
      <c r="K2862" s="1" t="n">
        <v>4.1</v>
      </c>
      <c r="L2862" s="15" t="n">
        <v>985.32</v>
      </c>
      <c r="M2862" s="15" t="n">
        <f aca="false">F2862*G2862</f>
        <v>1173</v>
      </c>
      <c r="N2862" s="15" t="n">
        <f aca="false">M2862-L2862</f>
        <v>187.68</v>
      </c>
      <c r="O2862" s="1" t="n">
        <f aca="false">YEAR(B2862)</f>
        <v>2029</v>
      </c>
      <c r="P2862" s="1" t="n">
        <f aca="false">MONTH(B2862)</f>
        <v>10</v>
      </c>
      <c r="Q2862" s="1" t="str">
        <f aca="false">TEXT(B2862,"mmm")</f>
        <v>Oct</v>
      </c>
      <c r="R2862" s="1" t="str">
        <f aca="false">"Q"&amp;ROUNDUP(MONTH(B2862)/3,0)</f>
        <v>Q4</v>
      </c>
    </row>
    <row r="2863" customFormat="false" ht="15" hidden="false" customHeight="true" outlineLevel="0" collapsed="false">
      <c r="A2863" s="1" t="n">
        <v>12862</v>
      </c>
      <c r="B2863" s="14" t="n">
        <v>47423</v>
      </c>
      <c r="C2863" s="1" t="n">
        <v>1584</v>
      </c>
      <c r="D2863" s="1" t="s">
        <v>30</v>
      </c>
      <c r="E2863" s="1" t="s">
        <v>35</v>
      </c>
      <c r="F2863" s="1" t="n">
        <v>1</v>
      </c>
      <c r="G2863" s="15" t="n">
        <v>34.42</v>
      </c>
      <c r="H2863" s="16" t="n">
        <v>0.25</v>
      </c>
      <c r="I2863" s="1" t="s">
        <v>33</v>
      </c>
      <c r="J2863" s="1" t="n">
        <v>7</v>
      </c>
      <c r="K2863" s="1" t="n">
        <v>4.1</v>
      </c>
      <c r="L2863" s="15" t="n">
        <v>25.82</v>
      </c>
      <c r="M2863" s="15" t="n">
        <f aca="false">F2863*G2863</f>
        <v>34.42</v>
      </c>
      <c r="N2863" s="15" t="n">
        <f aca="false">M2863-L2863</f>
        <v>8.6</v>
      </c>
      <c r="O2863" s="1" t="n">
        <f aca="false">YEAR(B2863)</f>
        <v>2029</v>
      </c>
      <c r="P2863" s="1" t="n">
        <f aca="false">MONTH(B2863)</f>
        <v>11</v>
      </c>
      <c r="Q2863" s="1" t="str">
        <f aca="false">TEXT(B2863,"mmm")</f>
        <v>Nov</v>
      </c>
      <c r="R2863" s="1" t="str">
        <f aca="false">"Q"&amp;ROUNDUP(MONTH(B2863)/3,0)</f>
        <v>Q4</v>
      </c>
    </row>
    <row r="2864" customFormat="false" ht="15" hidden="false" customHeight="true" outlineLevel="0" collapsed="false">
      <c r="A2864" s="1" t="n">
        <v>12863</v>
      </c>
      <c r="B2864" s="14" t="n">
        <v>47424</v>
      </c>
      <c r="C2864" s="1" t="n">
        <v>1756</v>
      </c>
      <c r="D2864" s="1" t="s">
        <v>34</v>
      </c>
      <c r="E2864" s="1" t="s">
        <v>36</v>
      </c>
      <c r="F2864" s="1" t="n">
        <v>7</v>
      </c>
      <c r="G2864" s="15" t="n">
        <v>598.11</v>
      </c>
      <c r="H2864" s="16" t="n">
        <v>0.33</v>
      </c>
      <c r="I2864" s="1" t="s">
        <v>31</v>
      </c>
      <c r="J2864" s="1" t="n">
        <v>1</v>
      </c>
      <c r="K2864" s="1" t="n">
        <v>3.4</v>
      </c>
      <c r="L2864" s="15" t="n">
        <v>2805.14</v>
      </c>
      <c r="M2864" s="15" t="n">
        <f aca="false">F2864*G2864</f>
        <v>4186.77</v>
      </c>
      <c r="N2864" s="15" t="n">
        <f aca="false">M2864-L2864</f>
        <v>1381.63</v>
      </c>
      <c r="O2864" s="1" t="n">
        <f aca="false">YEAR(B2864)</f>
        <v>2029</v>
      </c>
      <c r="P2864" s="1" t="n">
        <f aca="false">MONTH(B2864)</f>
        <v>11</v>
      </c>
      <c r="Q2864" s="1" t="str">
        <f aca="false">TEXT(B2864,"mmm")</f>
        <v>Nov</v>
      </c>
      <c r="R2864" s="1" t="str">
        <f aca="false">"Q"&amp;ROUNDUP(MONTH(B2864)/3,0)</f>
        <v>Q4</v>
      </c>
    </row>
    <row r="2865" customFormat="false" ht="15" hidden="false" customHeight="true" outlineLevel="0" collapsed="false">
      <c r="A2865" s="1" t="n">
        <v>12864</v>
      </c>
      <c r="B2865" s="14" t="n">
        <v>47425</v>
      </c>
      <c r="C2865" s="1" t="n">
        <v>1588</v>
      </c>
      <c r="D2865" s="1" t="s">
        <v>37</v>
      </c>
      <c r="E2865" s="1" t="s">
        <v>28</v>
      </c>
      <c r="F2865" s="1" t="n">
        <v>6</v>
      </c>
      <c r="G2865" s="15" t="n">
        <v>72.89</v>
      </c>
      <c r="H2865" s="16" t="n">
        <v>0.31</v>
      </c>
      <c r="I2865" s="1" t="s">
        <v>33</v>
      </c>
      <c r="J2865" s="1" t="n">
        <v>9</v>
      </c>
      <c r="K2865" s="1" t="n">
        <v>1.9</v>
      </c>
      <c r="L2865" s="15" t="n">
        <v>301.76</v>
      </c>
      <c r="M2865" s="15" t="n">
        <f aca="false">F2865*G2865</f>
        <v>437.34</v>
      </c>
      <c r="N2865" s="15" t="n">
        <f aca="false">M2865-L2865</f>
        <v>135.58</v>
      </c>
      <c r="O2865" s="1" t="n">
        <f aca="false">YEAR(B2865)</f>
        <v>2029</v>
      </c>
      <c r="P2865" s="1" t="n">
        <f aca="false">MONTH(B2865)</f>
        <v>11</v>
      </c>
      <c r="Q2865" s="1" t="str">
        <f aca="false">TEXT(B2865,"mmm")</f>
        <v>Nov</v>
      </c>
      <c r="R2865" s="1" t="str">
        <f aca="false">"Q"&amp;ROUNDUP(MONTH(B2865)/3,0)</f>
        <v>Q4</v>
      </c>
    </row>
    <row r="2866" customFormat="false" ht="15" hidden="false" customHeight="true" outlineLevel="0" collapsed="false">
      <c r="A2866" s="1" t="n">
        <v>12865</v>
      </c>
      <c r="B2866" s="14" t="n">
        <v>47426</v>
      </c>
      <c r="C2866" s="1" t="n">
        <v>1158</v>
      </c>
      <c r="D2866" s="1" t="s">
        <v>34</v>
      </c>
      <c r="E2866" s="1" t="s">
        <v>32</v>
      </c>
      <c r="F2866" s="1" t="n">
        <v>2</v>
      </c>
      <c r="G2866" s="15" t="n">
        <v>414.35</v>
      </c>
      <c r="H2866" s="16" t="n">
        <v>0.02</v>
      </c>
      <c r="I2866" s="1" t="s">
        <v>31</v>
      </c>
      <c r="J2866" s="1" t="n">
        <v>6</v>
      </c>
      <c r="K2866" s="1" t="n">
        <v>4.3</v>
      </c>
      <c r="L2866" s="15" t="n">
        <v>812.13</v>
      </c>
      <c r="M2866" s="15" t="n">
        <f aca="false">F2866*G2866</f>
        <v>828.7</v>
      </c>
      <c r="N2866" s="15" t="n">
        <f aca="false">M2866-L2866</f>
        <v>16.5700000000001</v>
      </c>
      <c r="O2866" s="1" t="n">
        <f aca="false">YEAR(B2866)</f>
        <v>2029</v>
      </c>
      <c r="P2866" s="1" t="n">
        <f aca="false">MONTH(B2866)</f>
        <v>11</v>
      </c>
      <c r="Q2866" s="1" t="str">
        <f aca="false">TEXT(B2866,"mmm")</f>
        <v>Nov</v>
      </c>
      <c r="R2866" s="1" t="str">
        <f aca="false">"Q"&amp;ROUNDUP(MONTH(B2866)/3,0)</f>
        <v>Q4</v>
      </c>
    </row>
    <row r="2867" customFormat="false" ht="15" hidden="false" customHeight="true" outlineLevel="0" collapsed="false">
      <c r="A2867" s="1" t="n">
        <v>12866</v>
      </c>
      <c r="B2867" s="14" t="n">
        <v>47427</v>
      </c>
      <c r="C2867" s="1" t="n">
        <v>1488</v>
      </c>
      <c r="D2867" s="1" t="s">
        <v>30</v>
      </c>
      <c r="E2867" s="1" t="s">
        <v>35</v>
      </c>
      <c r="F2867" s="1" t="n">
        <v>7</v>
      </c>
      <c r="G2867" s="15" t="n">
        <v>162.91</v>
      </c>
      <c r="H2867" s="16" t="n">
        <v>0.06</v>
      </c>
      <c r="I2867" s="1" t="s">
        <v>31</v>
      </c>
      <c r="J2867" s="1" t="n">
        <v>2</v>
      </c>
      <c r="K2867" s="1" t="n">
        <v>3.6</v>
      </c>
      <c r="L2867" s="15" t="n">
        <v>1071.95</v>
      </c>
      <c r="M2867" s="15" t="n">
        <f aca="false">F2867*G2867</f>
        <v>1140.37</v>
      </c>
      <c r="N2867" s="15" t="n">
        <f aca="false">M2867-L2867</f>
        <v>68.4199999999999</v>
      </c>
      <c r="O2867" s="1" t="n">
        <f aca="false">YEAR(B2867)</f>
        <v>2029</v>
      </c>
      <c r="P2867" s="1" t="n">
        <f aca="false">MONTH(B2867)</f>
        <v>11</v>
      </c>
      <c r="Q2867" s="1" t="str">
        <f aca="false">TEXT(B2867,"mmm")</f>
        <v>Nov</v>
      </c>
      <c r="R2867" s="1" t="str">
        <f aca="false">"Q"&amp;ROUNDUP(MONTH(B2867)/3,0)</f>
        <v>Q4</v>
      </c>
    </row>
    <row r="2868" customFormat="false" ht="15" hidden="false" customHeight="true" outlineLevel="0" collapsed="false">
      <c r="A2868" s="1" t="n">
        <v>12867</v>
      </c>
      <c r="B2868" s="14" t="n">
        <v>47428</v>
      </c>
      <c r="C2868" s="1" t="n">
        <v>1970</v>
      </c>
      <c r="D2868" s="1" t="s">
        <v>37</v>
      </c>
      <c r="E2868" s="1" t="s">
        <v>36</v>
      </c>
      <c r="F2868" s="1" t="n">
        <v>7</v>
      </c>
      <c r="G2868" s="15" t="n">
        <v>244.31</v>
      </c>
      <c r="H2868" s="16" t="n">
        <v>0.26</v>
      </c>
      <c r="I2868" s="1" t="s">
        <v>29</v>
      </c>
      <c r="J2868" s="1" t="n">
        <v>1</v>
      </c>
      <c r="K2868" s="1" t="n">
        <v>1.9</v>
      </c>
      <c r="L2868" s="15" t="n">
        <v>1265.53</v>
      </c>
      <c r="M2868" s="15" t="n">
        <f aca="false">F2868*G2868</f>
        <v>1710.17</v>
      </c>
      <c r="N2868" s="15" t="n">
        <f aca="false">M2868-L2868</f>
        <v>444.64</v>
      </c>
      <c r="O2868" s="1" t="n">
        <f aca="false">YEAR(B2868)</f>
        <v>2029</v>
      </c>
      <c r="P2868" s="1" t="n">
        <f aca="false">MONTH(B2868)</f>
        <v>11</v>
      </c>
      <c r="Q2868" s="1" t="str">
        <f aca="false">TEXT(B2868,"mmm")</f>
        <v>Nov</v>
      </c>
      <c r="R2868" s="1" t="str">
        <f aca="false">"Q"&amp;ROUNDUP(MONTH(B2868)/3,0)</f>
        <v>Q4</v>
      </c>
    </row>
    <row r="2869" customFormat="false" ht="15" hidden="false" customHeight="true" outlineLevel="0" collapsed="false">
      <c r="A2869" s="1" t="n">
        <v>12868</v>
      </c>
      <c r="B2869" s="14" t="n">
        <v>47429</v>
      </c>
      <c r="C2869" s="1" t="n">
        <v>1323</v>
      </c>
      <c r="D2869" s="1" t="s">
        <v>34</v>
      </c>
      <c r="E2869" s="1" t="s">
        <v>36</v>
      </c>
      <c r="F2869" s="1" t="n">
        <v>7</v>
      </c>
      <c r="G2869" s="15" t="n">
        <v>392.87</v>
      </c>
      <c r="H2869" s="16" t="n">
        <v>0.24</v>
      </c>
      <c r="I2869" s="1" t="s">
        <v>31</v>
      </c>
      <c r="J2869" s="1" t="n">
        <v>6</v>
      </c>
      <c r="K2869" s="1" t="n">
        <v>2.9</v>
      </c>
      <c r="L2869" s="15" t="n">
        <v>2090.07</v>
      </c>
      <c r="M2869" s="15" t="n">
        <f aca="false">F2869*G2869</f>
        <v>2750.09</v>
      </c>
      <c r="N2869" s="15" t="n">
        <f aca="false">M2869-L2869</f>
        <v>660.02</v>
      </c>
      <c r="O2869" s="1" t="n">
        <f aca="false">YEAR(B2869)</f>
        <v>2029</v>
      </c>
      <c r="P2869" s="1" t="n">
        <f aca="false">MONTH(B2869)</f>
        <v>11</v>
      </c>
      <c r="Q2869" s="1" t="str">
        <f aca="false">TEXT(B2869,"mmm")</f>
        <v>Nov</v>
      </c>
      <c r="R2869" s="1" t="str">
        <f aca="false">"Q"&amp;ROUNDUP(MONTH(B2869)/3,0)</f>
        <v>Q4</v>
      </c>
    </row>
    <row r="2870" customFormat="false" ht="15" hidden="false" customHeight="true" outlineLevel="0" collapsed="false">
      <c r="A2870" s="1" t="n">
        <v>12869</v>
      </c>
      <c r="B2870" s="14" t="n">
        <v>47430</v>
      </c>
      <c r="C2870" s="1" t="n">
        <v>1609</v>
      </c>
      <c r="D2870" s="1" t="s">
        <v>37</v>
      </c>
      <c r="E2870" s="1" t="s">
        <v>36</v>
      </c>
      <c r="F2870" s="1" t="n">
        <v>6</v>
      </c>
      <c r="G2870" s="15" t="n">
        <v>270.35</v>
      </c>
      <c r="H2870" s="16" t="n">
        <v>0.05</v>
      </c>
      <c r="I2870" s="1" t="s">
        <v>29</v>
      </c>
      <c r="J2870" s="1" t="n">
        <v>7</v>
      </c>
      <c r="K2870" s="1" t="n">
        <v>5</v>
      </c>
      <c r="L2870" s="15" t="n">
        <v>1541</v>
      </c>
      <c r="M2870" s="15" t="n">
        <f aca="false">F2870*G2870</f>
        <v>1622.1</v>
      </c>
      <c r="N2870" s="15" t="n">
        <f aca="false">M2870-L2870</f>
        <v>81.1000000000001</v>
      </c>
      <c r="O2870" s="1" t="n">
        <f aca="false">YEAR(B2870)</f>
        <v>2029</v>
      </c>
      <c r="P2870" s="1" t="n">
        <f aca="false">MONTH(B2870)</f>
        <v>11</v>
      </c>
      <c r="Q2870" s="1" t="str">
        <f aca="false">TEXT(B2870,"mmm")</f>
        <v>Nov</v>
      </c>
      <c r="R2870" s="1" t="str">
        <f aca="false">"Q"&amp;ROUNDUP(MONTH(B2870)/3,0)</f>
        <v>Q4</v>
      </c>
    </row>
    <row r="2871" customFormat="false" ht="15" hidden="false" customHeight="true" outlineLevel="0" collapsed="false">
      <c r="A2871" s="1" t="n">
        <v>12870</v>
      </c>
      <c r="B2871" s="14" t="n">
        <v>47431</v>
      </c>
      <c r="C2871" s="1" t="n">
        <v>1380</v>
      </c>
      <c r="D2871" s="1" t="s">
        <v>34</v>
      </c>
      <c r="E2871" s="1" t="s">
        <v>32</v>
      </c>
      <c r="F2871" s="1" t="n">
        <v>2</v>
      </c>
      <c r="G2871" s="15" t="n">
        <v>161.57</v>
      </c>
      <c r="H2871" s="16" t="n">
        <v>0.18</v>
      </c>
      <c r="I2871" s="1" t="s">
        <v>31</v>
      </c>
      <c r="J2871" s="1" t="n">
        <v>10</v>
      </c>
      <c r="K2871" s="1" t="n">
        <v>2.3</v>
      </c>
      <c r="L2871" s="15" t="n">
        <v>264.97</v>
      </c>
      <c r="M2871" s="15" t="n">
        <f aca="false">F2871*G2871</f>
        <v>323.14</v>
      </c>
      <c r="N2871" s="15" t="n">
        <f aca="false">M2871-L2871</f>
        <v>58.17</v>
      </c>
      <c r="O2871" s="1" t="n">
        <f aca="false">YEAR(B2871)</f>
        <v>2029</v>
      </c>
      <c r="P2871" s="1" t="n">
        <f aca="false">MONTH(B2871)</f>
        <v>11</v>
      </c>
      <c r="Q2871" s="1" t="str">
        <f aca="false">TEXT(B2871,"mmm")</f>
        <v>Nov</v>
      </c>
      <c r="R2871" s="1" t="str">
        <f aca="false">"Q"&amp;ROUNDUP(MONTH(B2871)/3,0)</f>
        <v>Q4</v>
      </c>
    </row>
    <row r="2872" customFormat="false" ht="15" hidden="false" customHeight="true" outlineLevel="0" collapsed="false">
      <c r="A2872" s="1" t="n">
        <v>12871</v>
      </c>
      <c r="B2872" s="14" t="n">
        <v>47432</v>
      </c>
      <c r="C2872" s="1" t="n">
        <v>1101</v>
      </c>
      <c r="D2872" s="1" t="s">
        <v>37</v>
      </c>
      <c r="E2872" s="1" t="s">
        <v>28</v>
      </c>
      <c r="F2872" s="1" t="n">
        <v>5</v>
      </c>
      <c r="G2872" s="15" t="n">
        <v>210.65</v>
      </c>
      <c r="H2872" s="16" t="n">
        <v>0.27</v>
      </c>
      <c r="I2872" s="1" t="s">
        <v>31</v>
      </c>
      <c r="J2872" s="1" t="n">
        <v>6</v>
      </c>
      <c r="K2872" s="1" t="n">
        <v>1.5</v>
      </c>
      <c r="L2872" s="15" t="n">
        <v>768.87</v>
      </c>
      <c r="M2872" s="15" t="n">
        <f aca="false">F2872*G2872</f>
        <v>1053.25</v>
      </c>
      <c r="N2872" s="15" t="n">
        <f aca="false">M2872-L2872</f>
        <v>284.38</v>
      </c>
      <c r="O2872" s="1" t="n">
        <f aca="false">YEAR(B2872)</f>
        <v>2029</v>
      </c>
      <c r="P2872" s="1" t="n">
        <f aca="false">MONTH(B2872)</f>
        <v>11</v>
      </c>
      <c r="Q2872" s="1" t="str">
        <f aca="false">TEXT(B2872,"mmm")</f>
        <v>Nov</v>
      </c>
      <c r="R2872" s="1" t="str">
        <f aca="false">"Q"&amp;ROUNDUP(MONTH(B2872)/3,0)</f>
        <v>Q4</v>
      </c>
    </row>
    <row r="2873" customFormat="false" ht="15" hidden="false" customHeight="true" outlineLevel="0" collapsed="false">
      <c r="A2873" s="1" t="n">
        <v>12872</v>
      </c>
      <c r="B2873" s="14" t="n">
        <v>47433</v>
      </c>
      <c r="C2873" s="1" t="n">
        <v>1493</v>
      </c>
      <c r="D2873" s="1" t="s">
        <v>30</v>
      </c>
      <c r="E2873" s="1" t="s">
        <v>28</v>
      </c>
      <c r="F2873" s="1" t="n">
        <v>4</v>
      </c>
      <c r="G2873" s="15" t="n">
        <v>214.81</v>
      </c>
      <c r="H2873" s="16" t="n">
        <v>0.08</v>
      </c>
      <c r="I2873" s="1" t="s">
        <v>29</v>
      </c>
      <c r="J2873" s="1" t="n">
        <v>7</v>
      </c>
      <c r="K2873" s="1" t="n">
        <v>1.1</v>
      </c>
      <c r="L2873" s="15" t="n">
        <v>790.5</v>
      </c>
      <c r="M2873" s="15" t="n">
        <f aca="false">F2873*G2873</f>
        <v>859.24</v>
      </c>
      <c r="N2873" s="15" t="n">
        <f aca="false">M2873-L2873</f>
        <v>68.74</v>
      </c>
      <c r="O2873" s="1" t="n">
        <f aca="false">YEAR(B2873)</f>
        <v>2029</v>
      </c>
      <c r="P2873" s="1" t="n">
        <f aca="false">MONTH(B2873)</f>
        <v>11</v>
      </c>
      <c r="Q2873" s="1" t="str">
        <f aca="false">TEXT(B2873,"mmm")</f>
        <v>Nov</v>
      </c>
      <c r="R2873" s="1" t="str">
        <f aca="false">"Q"&amp;ROUNDUP(MONTH(B2873)/3,0)</f>
        <v>Q4</v>
      </c>
    </row>
    <row r="2874" customFormat="false" ht="15" hidden="false" customHeight="true" outlineLevel="0" collapsed="false">
      <c r="A2874" s="1" t="n">
        <v>12873</v>
      </c>
      <c r="B2874" s="14" t="n">
        <v>47434</v>
      </c>
      <c r="C2874" s="1" t="n">
        <v>1643</v>
      </c>
      <c r="D2874" s="1" t="s">
        <v>34</v>
      </c>
      <c r="E2874" s="1" t="s">
        <v>36</v>
      </c>
      <c r="F2874" s="1" t="n">
        <v>4</v>
      </c>
      <c r="G2874" s="15" t="n">
        <v>576.2</v>
      </c>
      <c r="H2874" s="16" t="n">
        <v>0.3</v>
      </c>
      <c r="I2874" s="1" t="s">
        <v>31</v>
      </c>
      <c r="J2874" s="1" t="n">
        <v>6</v>
      </c>
      <c r="K2874" s="1" t="n">
        <v>1.7</v>
      </c>
      <c r="L2874" s="15" t="n">
        <v>1613.36</v>
      </c>
      <c r="M2874" s="15" t="n">
        <f aca="false">F2874*G2874</f>
        <v>2304.8</v>
      </c>
      <c r="N2874" s="15" t="n">
        <f aca="false">M2874-L2874</f>
        <v>691.44</v>
      </c>
      <c r="O2874" s="1" t="n">
        <f aca="false">YEAR(B2874)</f>
        <v>2029</v>
      </c>
      <c r="P2874" s="1" t="n">
        <f aca="false">MONTH(B2874)</f>
        <v>11</v>
      </c>
      <c r="Q2874" s="1" t="str">
        <f aca="false">TEXT(B2874,"mmm")</f>
        <v>Nov</v>
      </c>
      <c r="R2874" s="1" t="str">
        <f aca="false">"Q"&amp;ROUNDUP(MONTH(B2874)/3,0)</f>
        <v>Q4</v>
      </c>
    </row>
    <row r="2875" customFormat="false" ht="15" hidden="false" customHeight="true" outlineLevel="0" collapsed="false">
      <c r="A2875" s="1" t="n">
        <v>12874</v>
      </c>
      <c r="B2875" s="14" t="n">
        <v>47435</v>
      </c>
      <c r="C2875" s="1" t="n">
        <v>1613</v>
      </c>
      <c r="D2875" s="1" t="s">
        <v>34</v>
      </c>
      <c r="E2875" s="1" t="s">
        <v>35</v>
      </c>
      <c r="F2875" s="1" t="n">
        <v>2</v>
      </c>
      <c r="G2875" s="15" t="n">
        <v>482.19</v>
      </c>
      <c r="H2875" s="16" t="n">
        <v>0.02</v>
      </c>
      <c r="I2875" s="1" t="s">
        <v>29</v>
      </c>
      <c r="J2875" s="1" t="n">
        <v>8</v>
      </c>
      <c r="K2875" s="1" t="n">
        <v>1.7</v>
      </c>
      <c r="L2875" s="15" t="n">
        <v>945.09</v>
      </c>
      <c r="M2875" s="15" t="n">
        <f aca="false">F2875*G2875</f>
        <v>964.38</v>
      </c>
      <c r="N2875" s="15" t="n">
        <f aca="false">M2875-L2875</f>
        <v>19.29</v>
      </c>
      <c r="O2875" s="1" t="n">
        <f aca="false">YEAR(B2875)</f>
        <v>2029</v>
      </c>
      <c r="P2875" s="1" t="n">
        <f aca="false">MONTH(B2875)</f>
        <v>11</v>
      </c>
      <c r="Q2875" s="1" t="str">
        <f aca="false">TEXT(B2875,"mmm")</f>
        <v>Nov</v>
      </c>
      <c r="R2875" s="1" t="str">
        <f aca="false">"Q"&amp;ROUNDUP(MONTH(B2875)/3,0)</f>
        <v>Q4</v>
      </c>
    </row>
    <row r="2876" customFormat="false" ht="15" hidden="false" customHeight="true" outlineLevel="0" collapsed="false">
      <c r="A2876" s="1" t="n">
        <v>12875</v>
      </c>
      <c r="B2876" s="14" t="n">
        <v>47436</v>
      </c>
      <c r="C2876" s="1" t="n">
        <v>1018</v>
      </c>
      <c r="D2876" s="1" t="s">
        <v>27</v>
      </c>
      <c r="E2876" s="1" t="s">
        <v>36</v>
      </c>
      <c r="F2876" s="1" t="n">
        <v>7</v>
      </c>
      <c r="G2876" s="15" t="n">
        <v>283.25</v>
      </c>
      <c r="H2876" s="16" t="n">
        <v>0.27</v>
      </c>
      <c r="I2876" s="1" t="s">
        <v>33</v>
      </c>
      <c r="J2876" s="1" t="n">
        <v>2</v>
      </c>
      <c r="K2876" s="1" t="n">
        <v>4.4</v>
      </c>
      <c r="L2876" s="15" t="n">
        <v>1447.41</v>
      </c>
      <c r="M2876" s="15" t="n">
        <f aca="false">F2876*G2876</f>
        <v>1982.75</v>
      </c>
      <c r="N2876" s="15" t="n">
        <f aca="false">M2876-L2876</f>
        <v>535.34</v>
      </c>
      <c r="O2876" s="1" t="n">
        <f aca="false">YEAR(B2876)</f>
        <v>2029</v>
      </c>
      <c r="P2876" s="1" t="n">
        <f aca="false">MONTH(B2876)</f>
        <v>11</v>
      </c>
      <c r="Q2876" s="1" t="str">
        <f aca="false">TEXT(B2876,"mmm")</f>
        <v>Nov</v>
      </c>
      <c r="R2876" s="1" t="str">
        <f aca="false">"Q"&amp;ROUNDUP(MONTH(B2876)/3,0)</f>
        <v>Q4</v>
      </c>
    </row>
    <row r="2877" customFormat="false" ht="15" hidden="false" customHeight="true" outlineLevel="0" collapsed="false">
      <c r="A2877" s="1" t="n">
        <v>12876</v>
      </c>
      <c r="B2877" s="14" t="n">
        <v>47437</v>
      </c>
      <c r="C2877" s="1" t="n">
        <v>1453</v>
      </c>
      <c r="D2877" s="1" t="s">
        <v>34</v>
      </c>
      <c r="E2877" s="1" t="s">
        <v>36</v>
      </c>
      <c r="F2877" s="1" t="n">
        <v>1</v>
      </c>
      <c r="G2877" s="15" t="n">
        <v>131.9</v>
      </c>
      <c r="H2877" s="16" t="n">
        <v>0.22</v>
      </c>
      <c r="I2877" s="1" t="s">
        <v>31</v>
      </c>
      <c r="J2877" s="1" t="n">
        <v>9</v>
      </c>
      <c r="K2877" s="1" t="n">
        <v>1.6</v>
      </c>
      <c r="L2877" s="15" t="n">
        <v>102.88</v>
      </c>
      <c r="M2877" s="15" t="n">
        <f aca="false">F2877*G2877</f>
        <v>131.9</v>
      </c>
      <c r="N2877" s="15" t="n">
        <f aca="false">M2877-L2877</f>
        <v>29.02</v>
      </c>
      <c r="O2877" s="1" t="n">
        <f aca="false">YEAR(B2877)</f>
        <v>2029</v>
      </c>
      <c r="P2877" s="1" t="n">
        <f aca="false">MONTH(B2877)</f>
        <v>11</v>
      </c>
      <c r="Q2877" s="1" t="str">
        <f aca="false">TEXT(B2877,"mmm")</f>
        <v>Nov</v>
      </c>
      <c r="R2877" s="1" t="str">
        <f aca="false">"Q"&amp;ROUNDUP(MONTH(B2877)/3,0)</f>
        <v>Q4</v>
      </c>
    </row>
    <row r="2878" customFormat="false" ht="15" hidden="false" customHeight="true" outlineLevel="0" collapsed="false">
      <c r="A2878" s="1" t="n">
        <v>12877</v>
      </c>
      <c r="B2878" s="14" t="n">
        <v>47438</v>
      </c>
      <c r="C2878" s="1" t="n">
        <v>1481</v>
      </c>
      <c r="D2878" s="1" t="s">
        <v>34</v>
      </c>
      <c r="E2878" s="1" t="s">
        <v>35</v>
      </c>
      <c r="F2878" s="1" t="n">
        <v>2</v>
      </c>
      <c r="G2878" s="15" t="n">
        <v>489.44</v>
      </c>
      <c r="H2878" s="16" t="n">
        <v>0.11</v>
      </c>
      <c r="I2878" s="1" t="s">
        <v>33</v>
      </c>
      <c r="J2878" s="1" t="n">
        <v>9</v>
      </c>
      <c r="K2878" s="1" t="n">
        <v>4.5</v>
      </c>
      <c r="L2878" s="15" t="n">
        <v>871.2</v>
      </c>
      <c r="M2878" s="15" t="n">
        <f aca="false">F2878*G2878</f>
        <v>978.88</v>
      </c>
      <c r="N2878" s="15" t="n">
        <f aca="false">M2878-L2878</f>
        <v>107.68</v>
      </c>
      <c r="O2878" s="1" t="n">
        <f aca="false">YEAR(B2878)</f>
        <v>2029</v>
      </c>
      <c r="P2878" s="1" t="n">
        <f aca="false">MONTH(B2878)</f>
        <v>11</v>
      </c>
      <c r="Q2878" s="1" t="str">
        <f aca="false">TEXT(B2878,"mmm")</f>
        <v>Nov</v>
      </c>
      <c r="R2878" s="1" t="str">
        <f aca="false">"Q"&amp;ROUNDUP(MONTH(B2878)/3,0)</f>
        <v>Q4</v>
      </c>
    </row>
    <row r="2879" customFormat="false" ht="15" hidden="false" customHeight="true" outlineLevel="0" collapsed="false">
      <c r="A2879" s="1" t="n">
        <v>12878</v>
      </c>
      <c r="B2879" s="14" t="n">
        <v>47439</v>
      </c>
      <c r="C2879" s="1" t="n">
        <v>1593</v>
      </c>
      <c r="D2879" s="1" t="s">
        <v>34</v>
      </c>
      <c r="E2879" s="1" t="s">
        <v>36</v>
      </c>
      <c r="F2879" s="1" t="n">
        <v>2</v>
      </c>
      <c r="G2879" s="15" t="n">
        <v>106.95</v>
      </c>
      <c r="H2879" s="16" t="n">
        <v>0.25</v>
      </c>
      <c r="I2879" s="1" t="s">
        <v>31</v>
      </c>
      <c r="J2879" s="1" t="n">
        <v>11</v>
      </c>
      <c r="K2879" s="1" t="n">
        <v>1.3</v>
      </c>
      <c r="L2879" s="15" t="n">
        <v>160.43</v>
      </c>
      <c r="M2879" s="15" t="n">
        <f aca="false">F2879*G2879</f>
        <v>213.9</v>
      </c>
      <c r="N2879" s="15" t="n">
        <f aca="false">M2879-L2879</f>
        <v>53.47</v>
      </c>
      <c r="O2879" s="1" t="n">
        <f aca="false">YEAR(B2879)</f>
        <v>2029</v>
      </c>
      <c r="P2879" s="1" t="n">
        <f aca="false">MONTH(B2879)</f>
        <v>11</v>
      </c>
      <c r="Q2879" s="1" t="str">
        <f aca="false">TEXT(B2879,"mmm")</f>
        <v>Nov</v>
      </c>
      <c r="R2879" s="1" t="str">
        <f aca="false">"Q"&amp;ROUNDUP(MONTH(B2879)/3,0)</f>
        <v>Q4</v>
      </c>
    </row>
    <row r="2880" customFormat="false" ht="15" hidden="false" customHeight="true" outlineLevel="0" collapsed="false">
      <c r="A2880" s="1" t="n">
        <v>12879</v>
      </c>
      <c r="B2880" s="14" t="n">
        <v>47440</v>
      </c>
      <c r="C2880" s="1" t="n">
        <v>1396</v>
      </c>
      <c r="D2880" s="1" t="s">
        <v>30</v>
      </c>
      <c r="E2880" s="1" t="s">
        <v>32</v>
      </c>
      <c r="F2880" s="1" t="n">
        <v>4</v>
      </c>
      <c r="G2880" s="15" t="n">
        <v>138.12</v>
      </c>
      <c r="H2880" s="16" t="n">
        <v>0.27</v>
      </c>
      <c r="I2880" s="1" t="s">
        <v>31</v>
      </c>
      <c r="J2880" s="1" t="n">
        <v>9</v>
      </c>
      <c r="K2880" s="1" t="n">
        <v>4.6</v>
      </c>
      <c r="L2880" s="15" t="n">
        <v>403.31</v>
      </c>
      <c r="M2880" s="15" t="n">
        <f aca="false">F2880*G2880</f>
        <v>552.48</v>
      </c>
      <c r="N2880" s="15" t="n">
        <f aca="false">M2880-L2880</f>
        <v>149.17</v>
      </c>
      <c r="O2880" s="1" t="n">
        <f aca="false">YEAR(B2880)</f>
        <v>2029</v>
      </c>
      <c r="P2880" s="1" t="n">
        <f aca="false">MONTH(B2880)</f>
        <v>11</v>
      </c>
      <c r="Q2880" s="1" t="str">
        <f aca="false">TEXT(B2880,"mmm")</f>
        <v>Nov</v>
      </c>
      <c r="R2880" s="1" t="str">
        <f aca="false">"Q"&amp;ROUNDUP(MONTH(B2880)/3,0)</f>
        <v>Q4</v>
      </c>
    </row>
    <row r="2881" customFormat="false" ht="15" hidden="false" customHeight="true" outlineLevel="0" collapsed="false">
      <c r="A2881" s="1" t="n">
        <v>12880</v>
      </c>
      <c r="B2881" s="14" t="n">
        <v>47441</v>
      </c>
      <c r="C2881" s="1" t="n">
        <v>1278</v>
      </c>
      <c r="D2881" s="1" t="s">
        <v>30</v>
      </c>
      <c r="E2881" s="1" t="s">
        <v>36</v>
      </c>
      <c r="F2881" s="1" t="n">
        <v>3</v>
      </c>
      <c r="G2881" s="15" t="n">
        <v>229.12</v>
      </c>
      <c r="H2881" s="16" t="n">
        <v>0.33</v>
      </c>
      <c r="I2881" s="1" t="s">
        <v>33</v>
      </c>
      <c r="J2881" s="1" t="n">
        <v>7</v>
      </c>
      <c r="K2881" s="1" t="n">
        <v>2</v>
      </c>
      <c r="L2881" s="15" t="n">
        <v>460.53</v>
      </c>
      <c r="M2881" s="15" t="n">
        <f aca="false">F2881*G2881</f>
        <v>687.36</v>
      </c>
      <c r="N2881" s="15" t="n">
        <f aca="false">M2881-L2881</f>
        <v>226.83</v>
      </c>
      <c r="O2881" s="1" t="n">
        <f aca="false">YEAR(B2881)</f>
        <v>2029</v>
      </c>
      <c r="P2881" s="1" t="n">
        <f aca="false">MONTH(B2881)</f>
        <v>11</v>
      </c>
      <c r="Q2881" s="1" t="str">
        <f aca="false">TEXT(B2881,"mmm")</f>
        <v>Nov</v>
      </c>
      <c r="R2881" s="1" t="str">
        <f aca="false">"Q"&amp;ROUNDUP(MONTH(B2881)/3,0)</f>
        <v>Q4</v>
      </c>
    </row>
    <row r="2882" customFormat="false" ht="15" hidden="false" customHeight="true" outlineLevel="0" collapsed="false">
      <c r="A2882" s="1" t="n">
        <v>12881</v>
      </c>
      <c r="B2882" s="14" t="n">
        <v>47442</v>
      </c>
      <c r="C2882" s="1" t="n">
        <v>1850</v>
      </c>
      <c r="D2882" s="1" t="s">
        <v>34</v>
      </c>
      <c r="E2882" s="1" t="s">
        <v>32</v>
      </c>
      <c r="F2882" s="1" t="n">
        <v>1</v>
      </c>
      <c r="G2882" s="15" t="n">
        <v>530</v>
      </c>
      <c r="H2882" s="16" t="n">
        <v>0.13</v>
      </c>
      <c r="I2882" s="1" t="s">
        <v>31</v>
      </c>
      <c r="J2882" s="1" t="n">
        <v>9</v>
      </c>
      <c r="K2882" s="1" t="n">
        <v>3.4</v>
      </c>
      <c r="L2882" s="15" t="n">
        <v>461.1</v>
      </c>
      <c r="M2882" s="15" t="n">
        <f aca="false">F2882*G2882</f>
        <v>530</v>
      </c>
      <c r="N2882" s="15" t="n">
        <f aca="false">M2882-L2882</f>
        <v>68.9</v>
      </c>
      <c r="O2882" s="1" t="n">
        <f aca="false">YEAR(B2882)</f>
        <v>2029</v>
      </c>
      <c r="P2882" s="1" t="n">
        <f aca="false">MONTH(B2882)</f>
        <v>11</v>
      </c>
      <c r="Q2882" s="1" t="str">
        <f aca="false">TEXT(B2882,"mmm")</f>
        <v>Nov</v>
      </c>
      <c r="R2882" s="1" t="str">
        <f aca="false">"Q"&amp;ROUNDUP(MONTH(B2882)/3,0)</f>
        <v>Q4</v>
      </c>
    </row>
    <row r="2883" customFormat="false" ht="15" hidden="false" customHeight="true" outlineLevel="0" collapsed="false">
      <c r="A2883" s="1" t="n">
        <v>12882</v>
      </c>
      <c r="B2883" s="14" t="n">
        <v>47443</v>
      </c>
      <c r="C2883" s="1" t="n">
        <v>1364</v>
      </c>
      <c r="D2883" s="1" t="s">
        <v>34</v>
      </c>
      <c r="E2883" s="1" t="s">
        <v>36</v>
      </c>
      <c r="F2883" s="1" t="n">
        <v>4</v>
      </c>
      <c r="G2883" s="15" t="n">
        <v>92.1</v>
      </c>
      <c r="H2883" s="16" t="n">
        <v>0.24</v>
      </c>
      <c r="I2883" s="1" t="s">
        <v>31</v>
      </c>
      <c r="J2883" s="1" t="n">
        <v>1</v>
      </c>
      <c r="K2883" s="1" t="n">
        <v>1.6</v>
      </c>
      <c r="L2883" s="15" t="n">
        <v>279.98</v>
      </c>
      <c r="M2883" s="15" t="n">
        <f aca="false">F2883*G2883</f>
        <v>368.4</v>
      </c>
      <c r="N2883" s="15" t="n">
        <f aca="false">M2883-L2883</f>
        <v>88.42</v>
      </c>
      <c r="O2883" s="1" t="n">
        <f aca="false">YEAR(B2883)</f>
        <v>2029</v>
      </c>
      <c r="P2883" s="1" t="n">
        <f aca="false">MONTH(B2883)</f>
        <v>11</v>
      </c>
      <c r="Q2883" s="1" t="str">
        <f aca="false">TEXT(B2883,"mmm")</f>
        <v>Nov</v>
      </c>
      <c r="R2883" s="1" t="str">
        <f aca="false">"Q"&amp;ROUNDUP(MONTH(B2883)/3,0)</f>
        <v>Q4</v>
      </c>
    </row>
    <row r="2884" customFormat="false" ht="15" hidden="false" customHeight="true" outlineLevel="0" collapsed="false">
      <c r="A2884" s="1" t="n">
        <v>12883</v>
      </c>
      <c r="B2884" s="14" t="n">
        <v>47444</v>
      </c>
      <c r="C2884" s="1" t="n">
        <v>1330</v>
      </c>
      <c r="D2884" s="1" t="s">
        <v>34</v>
      </c>
      <c r="E2884" s="1" t="s">
        <v>28</v>
      </c>
      <c r="F2884" s="1" t="n">
        <v>6</v>
      </c>
      <c r="G2884" s="15" t="n">
        <v>86.51</v>
      </c>
      <c r="H2884" s="16" t="n">
        <v>0.21</v>
      </c>
      <c r="I2884" s="1" t="s">
        <v>29</v>
      </c>
      <c r="J2884" s="1" t="n">
        <v>3</v>
      </c>
      <c r="K2884" s="1" t="n">
        <v>2.6</v>
      </c>
      <c r="L2884" s="15" t="n">
        <v>410.06</v>
      </c>
      <c r="M2884" s="15" t="n">
        <f aca="false">F2884*G2884</f>
        <v>519.06</v>
      </c>
      <c r="N2884" s="15" t="n">
        <f aca="false">M2884-L2884</f>
        <v>109</v>
      </c>
      <c r="O2884" s="1" t="n">
        <f aca="false">YEAR(B2884)</f>
        <v>2029</v>
      </c>
      <c r="P2884" s="1" t="n">
        <f aca="false">MONTH(B2884)</f>
        <v>11</v>
      </c>
      <c r="Q2884" s="1" t="str">
        <f aca="false">TEXT(B2884,"mmm")</f>
        <v>Nov</v>
      </c>
      <c r="R2884" s="1" t="str">
        <f aca="false">"Q"&amp;ROUNDUP(MONTH(B2884)/3,0)</f>
        <v>Q4</v>
      </c>
    </row>
    <row r="2885" customFormat="false" ht="15" hidden="false" customHeight="true" outlineLevel="0" collapsed="false">
      <c r="A2885" s="1" t="n">
        <v>12884</v>
      </c>
      <c r="B2885" s="14" t="n">
        <v>47445</v>
      </c>
      <c r="C2885" s="1" t="n">
        <v>1640</v>
      </c>
      <c r="D2885" s="1" t="s">
        <v>34</v>
      </c>
      <c r="E2885" s="1" t="s">
        <v>35</v>
      </c>
      <c r="F2885" s="1" t="n">
        <v>2</v>
      </c>
      <c r="G2885" s="15" t="n">
        <v>303.98</v>
      </c>
      <c r="H2885" s="16" t="n">
        <v>0.18</v>
      </c>
      <c r="I2885" s="1" t="s">
        <v>29</v>
      </c>
      <c r="J2885" s="1" t="n">
        <v>2</v>
      </c>
      <c r="K2885" s="1" t="n">
        <v>1.3</v>
      </c>
      <c r="L2885" s="15" t="n">
        <v>498.53</v>
      </c>
      <c r="M2885" s="15" t="n">
        <f aca="false">F2885*G2885</f>
        <v>607.96</v>
      </c>
      <c r="N2885" s="15" t="n">
        <f aca="false">M2885-L2885</f>
        <v>109.43</v>
      </c>
      <c r="O2885" s="1" t="n">
        <f aca="false">YEAR(B2885)</f>
        <v>2029</v>
      </c>
      <c r="P2885" s="1" t="n">
        <f aca="false">MONTH(B2885)</f>
        <v>11</v>
      </c>
      <c r="Q2885" s="1" t="str">
        <f aca="false">TEXT(B2885,"mmm")</f>
        <v>Nov</v>
      </c>
      <c r="R2885" s="1" t="str">
        <f aca="false">"Q"&amp;ROUNDUP(MONTH(B2885)/3,0)</f>
        <v>Q4</v>
      </c>
    </row>
    <row r="2886" customFormat="false" ht="15" hidden="false" customHeight="true" outlineLevel="0" collapsed="false">
      <c r="A2886" s="1" t="n">
        <v>12885</v>
      </c>
      <c r="B2886" s="14" t="n">
        <v>47446</v>
      </c>
      <c r="C2886" s="1" t="n">
        <v>1343</v>
      </c>
      <c r="D2886" s="1" t="s">
        <v>30</v>
      </c>
      <c r="E2886" s="1" t="s">
        <v>28</v>
      </c>
      <c r="F2886" s="1" t="n">
        <v>3</v>
      </c>
      <c r="G2886" s="15" t="n">
        <v>176.7</v>
      </c>
      <c r="H2886" s="16" t="n">
        <v>0.31</v>
      </c>
      <c r="I2886" s="1" t="s">
        <v>33</v>
      </c>
      <c r="J2886" s="1" t="n">
        <v>11</v>
      </c>
      <c r="K2886" s="1" t="n">
        <v>3.3</v>
      </c>
      <c r="L2886" s="15" t="n">
        <v>365.77</v>
      </c>
      <c r="M2886" s="15" t="n">
        <f aca="false">F2886*G2886</f>
        <v>530.1</v>
      </c>
      <c r="N2886" s="15" t="n">
        <f aca="false">M2886-L2886</f>
        <v>164.33</v>
      </c>
      <c r="O2886" s="1" t="n">
        <f aca="false">YEAR(B2886)</f>
        <v>2029</v>
      </c>
      <c r="P2886" s="1" t="n">
        <f aca="false">MONTH(B2886)</f>
        <v>11</v>
      </c>
      <c r="Q2886" s="1" t="str">
        <f aca="false">TEXT(B2886,"mmm")</f>
        <v>Nov</v>
      </c>
      <c r="R2886" s="1" t="str">
        <f aca="false">"Q"&amp;ROUNDUP(MONTH(B2886)/3,0)</f>
        <v>Q4</v>
      </c>
    </row>
    <row r="2887" customFormat="false" ht="15" hidden="false" customHeight="true" outlineLevel="0" collapsed="false">
      <c r="A2887" s="1" t="n">
        <v>12886</v>
      </c>
      <c r="B2887" s="14" t="n">
        <v>47447</v>
      </c>
      <c r="C2887" s="1" t="n">
        <v>1821</v>
      </c>
      <c r="D2887" s="1" t="s">
        <v>37</v>
      </c>
      <c r="E2887" s="1" t="s">
        <v>36</v>
      </c>
      <c r="F2887" s="1" t="n">
        <v>1</v>
      </c>
      <c r="G2887" s="15" t="n">
        <v>347.71</v>
      </c>
      <c r="H2887" s="16" t="n">
        <v>0</v>
      </c>
      <c r="I2887" s="1" t="s">
        <v>33</v>
      </c>
      <c r="J2887" s="1" t="n">
        <v>1</v>
      </c>
      <c r="K2887" s="1" t="n">
        <v>2.4</v>
      </c>
      <c r="L2887" s="15" t="n">
        <v>347.71</v>
      </c>
      <c r="M2887" s="15" t="n">
        <f aca="false">F2887*G2887</f>
        <v>347.71</v>
      </c>
      <c r="N2887" s="15" t="n">
        <f aca="false">M2887-L2887</f>
        <v>0</v>
      </c>
      <c r="O2887" s="1" t="n">
        <f aca="false">YEAR(B2887)</f>
        <v>2029</v>
      </c>
      <c r="P2887" s="1" t="n">
        <f aca="false">MONTH(B2887)</f>
        <v>11</v>
      </c>
      <c r="Q2887" s="1" t="str">
        <f aca="false">TEXT(B2887,"mmm")</f>
        <v>Nov</v>
      </c>
      <c r="R2887" s="1" t="str">
        <f aca="false">"Q"&amp;ROUNDUP(MONTH(B2887)/3,0)</f>
        <v>Q4</v>
      </c>
    </row>
    <row r="2888" customFormat="false" ht="15" hidden="false" customHeight="true" outlineLevel="0" collapsed="false">
      <c r="A2888" s="1" t="n">
        <v>12887</v>
      </c>
      <c r="B2888" s="14" t="n">
        <v>47448</v>
      </c>
      <c r="C2888" s="1" t="n">
        <v>1454</v>
      </c>
      <c r="D2888" s="1" t="s">
        <v>34</v>
      </c>
      <c r="E2888" s="1" t="s">
        <v>36</v>
      </c>
      <c r="F2888" s="1" t="n">
        <v>5</v>
      </c>
      <c r="G2888" s="15" t="n">
        <v>279.21</v>
      </c>
      <c r="H2888" s="16" t="n">
        <v>0.1</v>
      </c>
      <c r="I2888" s="1" t="s">
        <v>33</v>
      </c>
      <c r="J2888" s="1" t="n">
        <v>5</v>
      </c>
      <c r="K2888" s="1" t="n">
        <v>4.4</v>
      </c>
      <c r="L2888" s="15" t="n">
        <v>1256.44</v>
      </c>
      <c r="M2888" s="15" t="n">
        <f aca="false">F2888*G2888</f>
        <v>1396.05</v>
      </c>
      <c r="N2888" s="15" t="n">
        <f aca="false">M2888-L2888</f>
        <v>139.61</v>
      </c>
      <c r="O2888" s="1" t="n">
        <f aca="false">YEAR(B2888)</f>
        <v>2029</v>
      </c>
      <c r="P2888" s="1" t="n">
        <f aca="false">MONTH(B2888)</f>
        <v>11</v>
      </c>
      <c r="Q2888" s="1" t="str">
        <f aca="false">TEXT(B2888,"mmm")</f>
        <v>Nov</v>
      </c>
      <c r="R2888" s="1" t="str">
        <f aca="false">"Q"&amp;ROUNDUP(MONTH(B2888)/3,0)</f>
        <v>Q4</v>
      </c>
    </row>
    <row r="2889" customFormat="false" ht="15" hidden="false" customHeight="true" outlineLevel="0" collapsed="false">
      <c r="A2889" s="1" t="n">
        <v>12888</v>
      </c>
      <c r="B2889" s="14" t="n">
        <v>47449</v>
      </c>
      <c r="C2889" s="1" t="n">
        <v>1600</v>
      </c>
      <c r="D2889" s="1" t="s">
        <v>30</v>
      </c>
      <c r="E2889" s="1" t="s">
        <v>32</v>
      </c>
      <c r="F2889" s="1" t="n">
        <v>1</v>
      </c>
      <c r="G2889" s="15" t="n">
        <v>269.45</v>
      </c>
      <c r="H2889" s="16" t="n">
        <v>0.19</v>
      </c>
      <c r="I2889" s="1" t="s">
        <v>33</v>
      </c>
      <c r="J2889" s="1" t="n">
        <v>1</v>
      </c>
      <c r="K2889" s="1" t="n">
        <v>1.7</v>
      </c>
      <c r="L2889" s="15" t="n">
        <v>218.25</v>
      </c>
      <c r="M2889" s="15" t="n">
        <f aca="false">F2889*G2889</f>
        <v>269.45</v>
      </c>
      <c r="N2889" s="15" t="n">
        <f aca="false">M2889-L2889</f>
        <v>51.2</v>
      </c>
      <c r="O2889" s="1" t="n">
        <f aca="false">YEAR(B2889)</f>
        <v>2029</v>
      </c>
      <c r="P2889" s="1" t="n">
        <f aca="false">MONTH(B2889)</f>
        <v>11</v>
      </c>
      <c r="Q2889" s="1" t="str">
        <f aca="false">TEXT(B2889,"mmm")</f>
        <v>Nov</v>
      </c>
      <c r="R2889" s="1" t="str">
        <f aca="false">"Q"&amp;ROUNDUP(MONTH(B2889)/3,0)</f>
        <v>Q4</v>
      </c>
    </row>
    <row r="2890" customFormat="false" ht="15" hidden="false" customHeight="true" outlineLevel="0" collapsed="false">
      <c r="A2890" s="1" t="n">
        <v>12889</v>
      </c>
      <c r="B2890" s="14" t="n">
        <v>47450</v>
      </c>
      <c r="C2890" s="1" t="n">
        <v>1724</v>
      </c>
      <c r="D2890" s="1" t="s">
        <v>30</v>
      </c>
      <c r="E2890" s="1" t="s">
        <v>36</v>
      </c>
      <c r="F2890" s="1" t="n">
        <v>1</v>
      </c>
      <c r="G2890" s="15" t="n">
        <v>80.5</v>
      </c>
      <c r="H2890" s="16" t="n">
        <v>0.06</v>
      </c>
      <c r="I2890" s="1" t="s">
        <v>31</v>
      </c>
      <c r="J2890" s="1" t="n">
        <v>3</v>
      </c>
      <c r="K2890" s="1" t="n">
        <v>2.1</v>
      </c>
      <c r="L2890" s="15" t="n">
        <v>75.67</v>
      </c>
      <c r="M2890" s="15" t="n">
        <f aca="false">F2890*G2890</f>
        <v>80.5</v>
      </c>
      <c r="N2890" s="15" t="n">
        <f aca="false">M2890-L2890</f>
        <v>4.83</v>
      </c>
      <c r="O2890" s="1" t="n">
        <f aca="false">YEAR(B2890)</f>
        <v>2029</v>
      </c>
      <c r="P2890" s="1" t="n">
        <f aca="false">MONTH(B2890)</f>
        <v>11</v>
      </c>
      <c r="Q2890" s="1" t="str">
        <f aca="false">TEXT(B2890,"mmm")</f>
        <v>Nov</v>
      </c>
      <c r="R2890" s="1" t="str">
        <f aca="false">"Q"&amp;ROUNDUP(MONTH(B2890)/3,0)</f>
        <v>Q4</v>
      </c>
    </row>
    <row r="2891" customFormat="false" ht="15" hidden="false" customHeight="true" outlineLevel="0" collapsed="false">
      <c r="A2891" s="1" t="n">
        <v>12890</v>
      </c>
      <c r="B2891" s="14" t="n">
        <v>47451</v>
      </c>
      <c r="C2891" s="1" t="n">
        <v>1654</v>
      </c>
      <c r="D2891" s="1" t="s">
        <v>27</v>
      </c>
      <c r="E2891" s="1" t="s">
        <v>36</v>
      </c>
      <c r="F2891" s="1" t="n">
        <v>7</v>
      </c>
      <c r="G2891" s="15" t="n">
        <v>97.51</v>
      </c>
      <c r="H2891" s="16" t="n">
        <v>0.32</v>
      </c>
      <c r="I2891" s="1" t="s">
        <v>29</v>
      </c>
      <c r="J2891" s="1" t="n">
        <v>6</v>
      </c>
      <c r="K2891" s="1" t="n">
        <v>1.7</v>
      </c>
      <c r="L2891" s="15" t="n">
        <v>464.15</v>
      </c>
      <c r="M2891" s="15" t="n">
        <f aca="false">F2891*G2891</f>
        <v>682.57</v>
      </c>
      <c r="N2891" s="15" t="n">
        <f aca="false">M2891-L2891</f>
        <v>218.42</v>
      </c>
      <c r="O2891" s="1" t="n">
        <f aca="false">YEAR(B2891)</f>
        <v>2029</v>
      </c>
      <c r="P2891" s="1" t="n">
        <f aca="false">MONTH(B2891)</f>
        <v>11</v>
      </c>
      <c r="Q2891" s="1" t="str">
        <f aca="false">TEXT(B2891,"mmm")</f>
        <v>Nov</v>
      </c>
      <c r="R2891" s="1" t="str">
        <f aca="false">"Q"&amp;ROUNDUP(MONTH(B2891)/3,0)</f>
        <v>Q4</v>
      </c>
    </row>
    <row r="2892" customFormat="false" ht="15" hidden="false" customHeight="true" outlineLevel="0" collapsed="false">
      <c r="A2892" s="1" t="n">
        <v>12891</v>
      </c>
      <c r="B2892" s="14" t="n">
        <v>47452</v>
      </c>
      <c r="C2892" s="1" t="n">
        <v>1064</v>
      </c>
      <c r="D2892" s="1" t="s">
        <v>27</v>
      </c>
      <c r="E2892" s="1" t="s">
        <v>36</v>
      </c>
      <c r="F2892" s="1" t="n">
        <v>2</v>
      </c>
      <c r="G2892" s="15" t="n">
        <v>495.33</v>
      </c>
      <c r="H2892" s="16" t="n">
        <v>0.23</v>
      </c>
      <c r="I2892" s="1" t="s">
        <v>31</v>
      </c>
      <c r="J2892" s="1" t="n">
        <v>6</v>
      </c>
      <c r="K2892" s="1" t="n">
        <v>3.3</v>
      </c>
      <c r="L2892" s="15" t="n">
        <v>762.81</v>
      </c>
      <c r="M2892" s="15" t="n">
        <f aca="false">F2892*G2892</f>
        <v>990.66</v>
      </c>
      <c r="N2892" s="15" t="n">
        <f aca="false">M2892-L2892</f>
        <v>227.85</v>
      </c>
      <c r="O2892" s="1" t="n">
        <f aca="false">YEAR(B2892)</f>
        <v>2029</v>
      </c>
      <c r="P2892" s="1" t="n">
        <f aca="false">MONTH(B2892)</f>
        <v>11</v>
      </c>
      <c r="Q2892" s="1" t="str">
        <f aca="false">TEXT(B2892,"mmm")</f>
        <v>Nov</v>
      </c>
      <c r="R2892" s="1" t="str">
        <f aca="false">"Q"&amp;ROUNDUP(MONTH(B2892)/3,0)</f>
        <v>Q4</v>
      </c>
    </row>
    <row r="2893" customFormat="false" ht="15" hidden="false" customHeight="true" outlineLevel="0" collapsed="false">
      <c r="A2893" s="1" t="n">
        <v>12892</v>
      </c>
      <c r="B2893" s="14" t="n">
        <v>47453</v>
      </c>
      <c r="C2893" s="1" t="n">
        <v>1075</v>
      </c>
      <c r="D2893" s="1" t="s">
        <v>37</v>
      </c>
      <c r="E2893" s="1" t="s">
        <v>28</v>
      </c>
      <c r="F2893" s="1" t="n">
        <v>2</v>
      </c>
      <c r="G2893" s="15" t="n">
        <v>533.24</v>
      </c>
      <c r="H2893" s="16" t="n">
        <v>0.17</v>
      </c>
      <c r="I2893" s="1" t="s">
        <v>33</v>
      </c>
      <c r="J2893" s="1" t="n">
        <v>3</v>
      </c>
      <c r="K2893" s="1" t="n">
        <v>1.4</v>
      </c>
      <c r="L2893" s="15" t="n">
        <v>885.18</v>
      </c>
      <c r="M2893" s="15" t="n">
        <f aca="false">F2893*G2893</f>
        <v>1066.48</v>
      </c>
      <c r="N2893" s="15" t="n">
        <f aca="false">M2893-L2893</f>
        <v>181.3</v>
      </c>
      <c r="O2893" s="1" t="n">
        <f aca="false">YEAR(B2893)</f>
        <v>2029</v>
      </c>
      <c r="P2893" s="1" t="n">
        <f aca="false">MONTH(B2893)</f>
        <v>12</v>
      </c>
      <c r="Q2893" s="1" t="str">
        <f aca="false">TEXT(B2893,"mmm")</f>
        <v>Dec</v>
      </c>
      <c r="R2893" s="1" t="str">
        <f aca="false">"Q"&amp;ROUNDUP(MONTH(B2893)/3,0)</f>
        <v>Q4</v>
      </c>
    </row>
    <row r="2894" customFormat="false" ht="15" hidden="false" customHeight="true" outlineLevel="0" collapsed="false">
      <c r="A2894" s="1" t="n">
        <v>12893</v>
      </c>
      <c r="B2894" s="14" t="n">
        <v>47454</v>
      </c>
      <c r="C2894" s="1" t="n">
        <v>1710</v>
      </c>
      <c r="D2894" s="1" t="s">
        <v>34</v>
      </c>
      <c r="E2894" s="1" t="s">
        <v>32</v>
      </c>
      <c r="F2894" s="1" t="n">
        <v>5</v>
      </c>
      <c r="G2894" s="15" t="n">
        <v>152.29</v>
      </c>
      <c r="H2894" s="16" t="n">
        <v>0.29</v>
      </c>
      <c r="I2894" s="1" t="s">
        <v>29</v>
      </c>
      <c r="J2894" s="1" t="n">
        <v>4</v>
      </c>
      <c r="K2894" s="1" t="n">
        <v>1.8</v>
      </c>
      <c r="L2894" s="15" t="n">
        <v>540.63</v>
      </c>
      <c r="M2894" s="15" t="n">
        <f aca="false">F2894*G2894</f>
        <v>761.45</v>
      </c>
      <c r="N2894" s="15" t="n">
        <f aca="false">M2894-L2894</f>
        <v>220.82</v>
      </c>
      <c r="O2894" s="1" t="n">
        <f aca="false">YEAR(B2894)</f>
        <v>2029</v>
      </c>
      <c r="P2894" s="1" t="n">
        <f aca="false">MONTH(B2894)</f>
        <v>12</v>
      </c>
      <c r="Q2894" s="1" t="str">
        <f aca="false">TEXT(B2894,"mmm")</f>
        <v>Dec</v>
      </c>
      <c r="R2894" s="1" t="str">
        <f aca="false">"Q"&amp;ROUNDUP(MONTH(B2894)/3,0)</f>
        <v>Q4</v>
      </c>
    </row>
    <row r="2895" customFormat="false" ht="15" hidden="false" customHeight="true" outlineLevel="0" collapsed="false">
      <c r="A2895" s="1" t="n">
        <v>12894</v>
      </c>
      <c r="B2895" s="14" t="n">
        <v>47455</v>
      </c>
      <c r="C2895" s="1" t="n">
        <v>1142</v>
      </c>
      <c r="D2895" s="1" t="s">
        <v>34</v>
      </c>
      <c r="E2895" s="1" t="s">
        <v>28</v>
      </c>
      <c r="F2895" s="1" t="n">
        <v>5</v>
      </c>
      <c r="G2895" s="15" t="n">
        <v>81.37</v>
      </c>
      <c r="H2895" s="16" t="n">
        <v>0.16</v>
      </c>
      <c r="I2895" s="1" t="s">
        <v>33</v>
      </c>
      <c r="J2895" s="1" t="n">
        <v>7</v>
      </c>
      <c r="K2895" s="1" t="n">
        <v>3.7</v>
      </c>
      <c r="L2895" s="15" t="n">
        <v>341.75</v>
      </c>
      <c r="M2895" s="15" t="n">
        <f aca="false">F2895*G2895</f>
        <v>406.85</v>
      </c>
      <c r="N2895" s="15" t="n">
        <f aca="false">M2895-L2895</f>
        <v>65.1</v>
      </c>
      <c r="O2895" s="1" t="n">
        <f aca="false">YEAR(B2895)</f>
        <v>2029</v>
      </c>
      <c r="P2895" s="1" t="n">
        <f aca="false">MONTH(B2895)</f>
        <v>12</v>
      </c>
      <c r="Q2895" s="1" t="str">
        <f aca="false">TEXT(B2895,"mmm")</f>
        <v>Dec</v>
      </c>
      <c r="R2895" s="1" t="str">
        <f aca="false">"Q"&amp;ROUNDUP(MONTH(B2895)/3,0)</f>
        <v>Q4</v>
      </c>
    </row>
    <row r="2896" customFormat="false" ht="15" hidden="false" customHeight="true" outlineLevel="0" collapsed="false">
      <c r="A2896" s="1" t="n">
        <v>12895</v>
      </c>
      <c r="B2896" s="14" t="n">
        <v>47456</v>
      </c>
      <c r="C2896" s="1" t="n">
        <v>1916</v>
      </c>
      <c r="D2896" s="1" t="s">
        <v>34</v>
      </c>
      <c r="E2896" s="1" t="s">
        <v>32</v>
      </c>
      <c r="F2896" s="1" t="n">
        <v>5</v>
      </c>
      <c r="G2896" s="15" t="n">
        <v>46.25</v>
      </c>
      <c r="H2896" s="16" t="n">
        <v>0.2</v>
      </c>
      <c r="I2896" s="1" t="s">
        <v>29</v>
      </c>
      <c r="J2896" s="1" t="n">
        <v>6</v>
      </c>
      <c r="K2896" s="1" t="n">
        <v>1.3</v>
      </c>
      <c r="L2896" s="15" t="n">
        <v>185</v>
      </c>
      <c r="M2896" s="15" t="n">
        <f aca="false">F2896*G2896</f>
        <v>231.25</v>
      </c>
      <c r="N2896" s="15" t="n">
        <f aca="false">M2896-L2896</f>
        <v>46.25</v>
      </c>
      <c r="O2896" s="1" t="n">
        <f aca="false">YEAR(B2896)</f>
        <v>2029</v>
      </c>
      <c r="P2896" s="1" t="n">
        <f aca="false">MONTH(B2896)</f>
        <v>12</v>
      </c>
      <c r="Q2896" s="1" t="str">
        <f aca="false">TEXT(B2896,"mmm")</f>
        <v>Dec</v>
      </c>
      <c r="R2896" s="1" t="str">
        <f aca="false">"Q"&amp;ROUNDUP(MONTH(B2896)/3,0)</f>
        <v>Q4</v>
      </c>
    </row>
    <row r="2897" customFormat="false" ht="15" hidden="false" customHeight="true" outlineLevel="0" collapsed="false">
      <c r="A2897" s="1" t="n">
        <v>12896</v>
      </c>
      <c r="B2897" s="14" t="n">
        <v>47457</v>
      </c>
      <c r="C2897" s="1" t="n">
        <v>1914</v>
      </c>
      <c r="D2897" s="1" t="s">
        <v>34</v>
      </c>
      <c r="E2897" s="1" t="s">
        <v>28</v>
      </c>
      <c r="F2897" s="1" t="n">
        <v>4</v>
      </c>
      <c r="G2897" s="15" t="n">
        <v>370.85</v>
      </c>
      <c r="H2897" s="16" t="n">
        <v>0</v>
      </c>
      <c r="I2897" s="1" t="s">
        <v>31</v>
      </c>
      <c r="J2897" s="1" t="n">
        <v>11</v>
      </c>
      <c r="K2897" s="1" t="n">
        <v>4</v>
      </c>
      <c r="L2897" s="15" t="n">
        <v>1483.4</v>
      </c>
      <c r="M2897" s="15" t="n">
        <f aca="false">F2897*G2897</f>
        <v>1483.4</v>
      </c>
      <c r="N2897" s="15" t="n">
        <f aca="false">M2897-L2897</f>
        <v>0</v>
      </c>
      <c r="O2897" s="1" t="n">
        <f aca="false">YEAR(B2897)</f>
        <v>2029</v>
      </c>
      <c r="P2897" s="1" t="n">
        <f aca="false">MONTH(B2897)</f>
        <v>12</v>
      </c>
      <c r="Q2897" s="1" t="str">
        <f aca="false">TEXT(B2897,"mmm")</f>
        <v>Dec</v>
      </c>
      <c r="R2897" s="1" t="str">
        <f aca="false">"Q"&amp;ROUNDUP(MONTH(B2897)/3,0)</f>
        <v>Q4</v>
      </c>
    </row>
    <row r="2898" customFormat="false" ht="15" hidden="false" customHeight="true" outlineLevel="0" collapsed="false">
      <c r="A2898" s="1" t="n">
        <v>12897</v>
      </c>
      <c r="B2898" s="14" t="n">
        <v>47458</v>
      </c>
      <c r="C2898" s="1" t="n">
        <v>1827</v>
      </c>
      <c r="D2898" s="1" t="s">
        <v>30</v>
      </c>
      <c r="E2898" s="1" t="s">
        <v>36</v>
      </c>
      <c r="F2898" s="1" t="n">
        <v>4</v>
      </c>
      <c r="G2898" s="15" t="n">
        <v>433.48</v>
      </c>
      <c r="H2898" s="16" t="n">
        <v>0.13</v>
      </c>
      <c r="I2898" s="1" t="s">
        <v>31</v>
      </c>
      <c r="J2898" s="1" t="n">
        <v>2</v>
      </c>
      <c r="K2898" s="1" t="n">
        <v>1.4</v>
      </c>
      <c r="L2898" s="15" t="n">
        <v>1508.51</v>
      </c>
      <c r="M2898" s="15" t="n">
        <f aca="false">F2898*G2898</f>
        <v>1733.92</v>
      </c>
      <c r="N2898" s="15" t="n">
        <f aca="false">M2898-L2898</f>
        <v>225.41</v>
      </c>
      <c r="O2898" s="1" t="n">
        <f aca="false">YEAR(B2898)</f>
        <v>2029</v>
      </c>
      <c r="P2898" s="1" t="n">
        <f aca="false">MONTH(B2898)</f>
        <v>12</v>
      </c>
      <c r="Q2898" s="1" t="str">
        <f aca="false">TEXT(B2898,"mmm")</f>
        <v>Dec</v>
      </c>
      <c r="R2898" s="1" t="str">
        <f aca="false">"Q"&amp;ROUNDUP(MONTH(B2898)/3,0)</f>
        <v>Q4</v>
      </c>
    </row>
    <row r="2899" customFormat="false" ht="15" hidden="false" customHeight="true" outlineLevel="0" collapsed="false">
      <c r="A2899" s="1" t="n">
        <v>12898</v>
      </c>
      <c r="B2899" s="14" t="n">
        <v>47459</v>
      </c>
      <c r="C2899" s="1" t="n">
        <v>1604</v>
      </c>
      <c r="D2899" s="1" t="s">
        <v>37</v>
      </c>
      <c r="E2899" s="1" t="s">
        <v>28</v>
      </c>
      <c r="F2899" s="1" t="n">
        <v>2</v>
      </c>
      <c r="G2899" s="15" t="n">
        <v>233.09</v>
      </c>
      <c r="H2899" s="16" t="n">
        <v>0.05</v>
      </c>
      <c r="I2899" s="1" t="s">
        <v>29</v>
      </c>
      <c r="J2899" s="1" t="n">
        <v>9</v>
      </c>
      <c r="K2899" s="1" t="n">
        <v>3.3</v>
      </c>
      <c r="L2899" s="15" t="n">
        <v>442.87</v>
      </c>
      <c r="M2899" s="15" t="n">
        <f aca="false">F2899*G2899</f>
        <v>466.18</v>
      </c>
      <c r="N2899" s="15" t="n">
        <f aca="false">M2899-L2899</f>
        <v>23.31</v>
      </c>
      <c r="O2899" s="1" t="n">
        <f aca="false">YEAR(B2899)</f>
        <v>2029</v>
      </c>
      <c r="P2899" s="1" t="n">
        <f aca="false">MONTH(B2899)</f>
        <v>12</v>
      </c>
      <c r="Q2899" s="1" t="str">
        <f aca="false">TEXT(B2899,"mmm")</f>
        <v>Dec</v>
      </c>
      <c r="R2899" s="1" t="str">
        <f aca="false">"Q"&amp;ROUNDUP(MONTH(B2899)/3,0)</f>
        <v>Q4</v>
      </c>
    </row>
    <row r="2900" customFormat="false" ht="15" hidden="false" customHeight="true" outlineLevel="0" collapsed="false">
      <c r="A2900" s="1" t="n">
        <v>12899</v>
      </c>
      <c r="B2900" s="14" t="n">
        <v>47460</v>
      </c>
      <c r="C2900" s="1" t="n">
        <v>1472</v>
      </c>
      <c r="D2900" s="1" t="s">
        <v>27</v>
      </c>
      <c r="E2900" s="1" t="s">
        <v>28</v>
      </c>
      <c r="F2900" s="1" t="n">
        <v>2</v>
      </c>
      <c r="G2900" s="15" t="n">
        <v>412.61</v>
      </c>
      <c r="H2900" s="16" t="n">
        <v>0.24</v>
      </c>
      <c r="I2900" s="1" t="s">
        <v>31</v>
      </c>
      <c r="J2900" s="1" t="n">
        <v>6</v>
      </c>
      <c r="K2900" s="1" t="n">
        <v>5</v>
      </c>
      <c r="L2900" s="15" t="n">
        <v>627.17</v>
      </c>
      <c r="M2900" s="15" t="n">
        <f aca="false">F2900*G2900</f>
        <v>825.22</v>
      </c>
      <c r="N2900" s="15" t="n">
        <f aca="false">M2900-L2900</f>
        <v>198.05</v>
      </c>
      <c r="O2900" s="1" t="n">
        <f aca="false">YEAR(B2900)</f>
        <v>2029</v>
      </c>
      <c r="P2900" s="1" t="n">
        <f aca="false">MONTH(B2900)</f>
        <v>12</v>
      </c>
      <c r="Q2900" s="1" t="str">
        <f aca="false">TEXT(B2900,"mmm")</f>
        <v>Dec</v>
      </c>
      <c r="R2900" s="1" t="str">
        <f aca="false">"Q"&amp;ROUNDUP(MONTH(B2900)/3,0)</f>
        <v>Q4</v>
      </c>
    </row>
    <row r="2901" customFormat="false" ht="15" hidden="false" customHeight="true" outlineLevel="0" collapsed="false">
      <c r="A2901" s="1" t="n">
        <v>12900</v>
      </c>
      <c r="B2901" s="14" t="n">
        <v>47461</v>
      </c>
      <c r="C2901" s="1" t="n">
        <v>1416</v>
      </c>
      <c r="D2901" s="1" t="s">
        <v>37</v>
      </c>
      <c r="E2901" s="1" t="s">
        <v>32</v>
      </c>
      <c r="F2901" s="1" t="n">
        <v>5</v>
      </c>
      <c r="G2901" s="15" t="n">
        <v>432.08</v>
      </c>
      <c r="H2901" s="16" t="n">
        <v>0.17</v>
      </c>
      <c r="I2901" s="1" t="s">
        <v>33</v>
      </c>
      <c r="J2901" s="1" t="n">
        <v>2</v>
      </c>
      <c r="K2901" s="1" t="n">
        <v>1.7</v>
      </c>
      <c r="L2901" s="15" t="n">
        <v>1793.13</v>
      </c>
      <c r="M2901" s="15" t="n">
        <f aca="false">F2901*G2901</f>
        <v>2160.4</v>
      </c>
      <c r="N2901" s="15" t="n">
        <f aca="false">M2901-L2901</f>
        <v>367.27</v>
      </c>
      <c r="O2901" s="1" t="n">
        <f aca="false">YEAR(B2901)</f>
        <v>2029</v>
      </c>
      <c r="P2901" s="1" t="n">
        <f aca="false">MONTH(B2901)</f>
        <v>12</v>
      </c>
      <c r="Q2901" s="1" t="str">
        <f aca="false">TEXT(B2901,"mmm")</f>
        <v>Dec</v>
      </c>
      <c r="R2901" s="1" t="str">
        <f aca="false">"Q"&amp;ROUNDUP(MONTH(B2901)/3,0)</f>
        <v>Q4</v>
      </c>
    </row>
    <row r="2902" customFormat="false" ht="15" hidden="false" customHeight="true" outlineLevel="0" collapsed="false">
      <c r="A2902" s="1" t="n">
        <v>12901</v>
      </c>
      <c r="B2902" s="14" t="n">
        <v>47462</v>
      </c>
      <c r="C2902" s="1" t="n">
        <v>1304</v>
      </c>
      <c r="D2902" s="1" t="s">
        <v>30</v>
      </c>
      <c r="E2902" s="1" t="s">
        <v>32</v>
      </c>
      <c r="F2902" s="1" t="n">
        <v>4</v>
      </c>
      <c r="G2902" s="15" t="n">
        <v>562.18</v>
      </c>
      <c r="H2902" s="16" t="n">
        <v>0.11</v>
      </c>
      <c r="I2902" s="1" t="s">
        <v>31</v>
      </c>
      <c r="J2902" s="1" t="n">
        <v>7</v>
      </c>
      <c r="K2902" s="1" t="n">
        <v>2</v>
      </c>
      <c r="L2902" s="15" t="n">
        <v>2001.36</v>
      </c>
      <c r="M2902" s="15" t="n">
        <f aca="false">F2902*G2902</f>
        <v>2248.72</v>
      </c>
      <c r="N2902" s="15" t="n">
        <f aca="false">M2902-L2902</f>
        <v>247.36</v>
      </c>
      <c r="O2902" s="1" t="n">
        <f aca="false">YEAR(B2902)</f>
        <v>2029</v>
      </c>
      <c r="P2902" s="1" t="n">
        <f aca="false">MONTH(B2902)</f>
        <v>12</v>
      </c>
      <c r="Q2902" s="1" t="str">
        <f aca="false">TEXT(B2902,"mmm")</f>
        <v>Dec</v>
      </c>
      <c r="R2902" s="1" t="str">
        <f aca="false">"Q"&amp;ROUNDUP(MONTH(B2902)/3,0)</f>
        <v>Q4</v>
      </c>
    </row>
    <row r="2903" customFormat="false" ht="15" hidden="false" customHeight="true" outlineLevel="0" collapsed="false">
      <c r="A2903" s="1" t="n">
        <v>12902</v>
      </c>
      <c r="B2903" s="14" t="n">
        <v>47463</v>
      </c>
      <c r="C2903" s="1" t="n">
        <v>1735</v>
      </c>
      <c r="D2903" s="1" t="s">
        <v>37</v>
      </c>
      <c r="E2903" s="1" t="s">
        <v>28</v>
      </c>
      <c r="F2903" s="1" t="n">
        <v>3</v>
      </c>
      <c r="G2903" s="15" t="n">
        <v>52.95</v>
      </c>
      <c r="H2903" s="16" t="n">
        <v>0.16</v>
      </c>
      <c r="I2903" s="1" t="s">
        <v>33</v>
      </c>
      <c r="J2903" s="1" t="n">
        <v>11</v>
      </c>
      <c r="K2903" s="1" t="n">
        <v>4.6</v>
      </c>
      <c r="L2903" s="15" t="n">
        <v>133.43</v>
      </c>
      <c r="M2903" s="15" t="n">
        <f aca="false">F2903*G2903</f>
        <v>158.85</v>
      </c>
      <c r="N2903" s="15" t="n">
        <f aca="false">M2903-L2903</f>
        <v>25.42</v>
      </c>
      <c r="O2903" s="1" t="n">
        <f aca="false">YEAR(B2903)</f>
        <v>2029</v>
      </c>
      <c r="P2903" s="1" t="n">
        <f aca="false">MONTH(B2903)</f>
        <v>12</v>
      </c>
      <c r="Q2903" s="1" t="str">
        <f aca="false">TEXT(B2903,"mmm")</f>
        <v>Dec</v>
      </c>
      <c r="R2903" s="1" t="str">
        <f aca="false">"Q"&amp;ROUNDUP(MONTH(B2903)/3,0)</f>
        <v>Q4</v>
      </c>
    </row>
    <row r="2904" customFormat="false" ht="15" hidden="false" customHeight="true" outlineLevel="0" collapsed="false">
      <c r="A2904" s="1" t="n">
        <v>12903</v>
      </c>
      <c r="B2904" s="14" t="n">
        <v>47464</v>
      </c>
      <c r="C2904" s="1" t="n">
        <v>1496</v>
      </c>
      <c r="D2904" s="1" t="s">
        <v>34</v>
      </c>
      <c r="E2904" s="1" t="s">
        <v>32</v>
      </c>
      <c r="F2904" s="1" t="n">
        <v>4</v>
      </c>
      <c r="G2904" s="15" t="n">
        <v>127.49</v>
      </c>
      <c r="H2904" s="16" t="n">
        <v>0.07</v>
      </c>
      <c r="I2904" s="1" t="s">
        <v>33</v>
      </c>
      <c r="J2904" s="1" t="n">
        <v>11</v>
      </c>
      <c r="K2904" s="1" t="n">
        <v>3.5</v>
      </c>
      <c r="L2904" s="15" t="n">
        <v>474.26</v>
      </c>
      <c r="M2904" s="15" t="n">
        <f aca="false">F2904*G2904</f>
        <v>509.96</v>
      </c>
      <c r="N2904" s="15" t="n">
        <f aca="false">M2904-L2904</f>
        <v>35.7</v>
      </c>
      <c r="O2904" s="1" t="n">
        <f aca="false">YEAR(B2904)</f>
        <v>2029</v>
      </c>
      <c r="P2904" s="1" t="n">
        <f aca="false">MONTH(B2904)</f>
        <v>12</v>
      </c>
      <c r="Q2904" s="1" t="str">
        <f aca="false">TEXT(B2904,"mmm")</f>
        <v>Dec</v>
      </c>
      <c r="R2904" s="1" t="str">
        <f aca="false">"Q"&amp;ROUNDUP(MONTH(B2904)/3,0)</f>
        <v>Q4</v>
      </c>
    </row>
    <row r="2905" customFormat="false" ht="15" hidden="false" customHeight="true" outlineLevel="0" collapsed="false">
      <c r="A2905" s="1" t="n">
        <v>12904</v>
      </c>
      <c r="B2905" s="14" t="n">
        <v>47465</v>
      </c>
      <c r="C2905" s="1" t="n">
        <v>1290</v>
      </c>
      <c r="D2905" s="1" t="s">
        <v>34</v>
      </c>
      <c r="E2905" s="1" t="s">
        <v>32</v>
      </c>
      <c r="F2905" s="1" t="n">
        <v>2</v>
      </c>
      <c r="G2905" s="15" t="n">
        <v>55.09</v>
      </c>
      <c r="H2905" s="16" t="n">
        <v>0.32</v>
      </c>
      <c r="I2905" s="1" t="s">
        <v>31</v>
      </c>
      <c r="J2905" s="1" t="n">
        <v>10</v>
      </c>
      <c r="K2905" s="1" t="n">
        <v>3</v>
      </c>
      <c r="L2905" s="15" t="n">
        <v>74.92</v>
      </c>
      <c r="M2905" s="15" t="n">
        <f aca="false">F2905*G2905</f>
        <v>110.18</v>
      </c>
      <c r="N2905" s="15" t="n">
        <f aca="false">M2905-L2905</f>
        <v>35.26</v>
      </c>
      <c r="O2905" s="1" t="n">
        <f aca="false">YEAR(B2905)</f>
        <v>2029</v>
      </c>
      <c r="P2905" s="1" t="n">
        <f aca="false">MONTH(B2905)</f>
        <v>12</v>
      </c>
      <c r="Q2905" s="1" t="str">
        <f aca="false">TEXT(B2905,"mmm")</f>
        <v>Dec</v>
      </c>
      <c r="R2905" s="1" t="str">
        <f aca="false">"Q"&amp;ROUNDUP(MONTH(B2905)/3,0)</f>
        <v>Q4</v>
      </c>
    </row>
    <row r="2906" customFormat="false" ht="15" hidden="false" customHeight="true" outlineLevel="0" collapsed="false">
      <c r="A2906" s="1" t="n">
        <v>12905</v>
      </c>
      <c r="B2906" s="14" t="n">
        <v>47466</v>
      </c>
      <c r="C2906" s="1" t="n">
        <v>1939</v>
      </c>
      <c r="D2906" s="1" t="s">
        <v>37</v>
      </c>
      <c r="E2906" s="1" t="s">
        <v>32</v>
      </c>
      <c r="F2906" s="1" t="n">
        <v>4</v>
      </c>
      <c r="G2906" s="15" t="n">
        <v>522.78</v>
      </c>
      <c r="H2906" s="16" t="n">
        <v>0.02</v>
      </c>
      <c r="I2906" s="1" t="s">
        <v>33</v>
      </c>
      <c r="J2906" s="1" t="n">
        <v>10</v>
      </c>
      <c r="K2906" s="1" t="n">
        <v>3.3</v>
      </c>
      <c r="L2906" s="15" t="n">
        <v>2049.3</v>
      </c>
      <c r="M2906" s="15" t="n">
        <f aca="false">F2906*G2906</f>
        <v>2091.12</v>
      </c>
      <c r="N2906" s="15" t="n">
        <f aca="false">M2906-L2906</f>
        <v>41.8199999999997</v>
      </c>
      <c r="O2906" s="1" t="n">
        <f aca="false">YEAR(B2906)</f>
        <v>2029</v>
      </c>
      <c r="P2906" s="1" t="n">
        <f aca="false">MONTH(B2906)</f>
        <v>12</v>
      </c>
      <c r="Q2906" s="1" t="str">
        <f aca="false">TEXT(B2906,"mmm")</f>
        <v>Dec</v>
      </c>
      <c r="R2906" s="1" t="str">
        <f aca="false">"Q"&amp;ROUNDUP(MONTH(B2906)/3,0)</f>
        <v>Q4</v>
      </c>
    </row>
    <row r="2907" customFormat="false" ht="15" hidden="false" customHeight="true" outlineLevel="0" collapsed="false">
      <c r="A2907" s="1" t="n">
        <v>12906</v>
      </c>
      <c r="B2907" s="14" t="n">
        <v>47467</v>
      </c>
      <c r="C2907" s="1" t="n">
        <v>1101</v>
      </c>
      <c r="D2907" s="1" t="s">
        <v>34</v>
      </c>
      <c r="E2907" s="1" t="s">
        <v>35</v>
      </c>
      <c r="F2907" s="1" t="n">
        <v>2</v>
      </c>
      <c r="G2907" s="15" t="n">
        <v>478.66</v>
      </c>
      <c r="H2907" s="16" t="n">
        <v>0.3</v>
      </c>
      <c r="I2907" s="1" t="s">
        <v>33</v>
      </c>
      <c r="J2907" s="1" t="n">
        <v>4</v>
      </c>
      <c r="K2907" s="1" t="n">
        <v>2.2</v>
      </c>
      <c r="L2907" s="15" t="n">
        <v>670.12</v>
      </c>
      <c r="M2907" s="15" t="n">
        <f aca="false">F2907*G2907</f>
        <v>957.32</v>
      </c>
      <c r="N2907" s="15" t="n">
        <f aca="false">M2907-L2907</f>
        <v>287.2</v>
      </c>
      <c r="O2907" s="1" t="n">
        <f aca="false">YEAR(B2907)</f>
        <v>2029</v>
      </c>
      <c r="P2907" s="1" t="n">
        <f aca="false">MONTH(B2907)</f>
        <v>12</v>
      </c>
      <c r="Q2907" s="1" t="str">
        <f aca="false">TEXT(B2907,"mmm")</f>
        <v>Dec</v>
      </c>
      <c r="R2907" s="1" t="str">
        <f aca="false">"Q"&amp;ROUNDUP(MONTH(B2907)/3,0)</f>
        <v>Q4</v>
      </c>
    </row>
    <row r="2908" customFormat="false" ht="15" hidden="false" customHeight="true" outlineLevel="0" collapsed="false">
      <c r="A2908" s="1" t="n">
        <v>12907</v>
      </c>
      <c r="B2908" s="14" t="n">
        <v>47468</v>
      </c>
      <c r="C2908" s="1" t="n">
        <v>1985</v>
      </c>
      <c r="D2908" s="1" t="s">
        <v>30</v>
      </c>
      <c r="E2908" s="1" t="s">
        <v>32</v>
      </c>
      <c r="F2908" s="1" t="n">
        <v>5</v>
      </c>
      <c r="G2908" s="15" t="n">
        <v>351.17</v>
      </c>
      <c r="H2908" s="16" t="n">
        <v>0.18</v>
      </c>
      <c r="I2908" s="1" t="s">
        <v>31</v>
      </c>
      <c r="J2908" s="1" t="n">
        <v>1</v>
      </c>
      <c r="K2908" s="1" t="n">
        <v>4.4</v>
      </c>
      <c r="L2908" s="15" t="n">
        <v>1439.8</v>
      </c>
      <c r="M2908" s="15" t="n">
        <f aca="false">F2908*G2908</f>
        <v>1755.85</v>
      </c>
      <c r="N2908" s="15" t="n">
        <f aca="false">M2908-L2908</f>
        <v>316.05</v>
      </c>
      <c r="O2908" s="1" t="n">
        <f aca="false">YEAR(B2908)</f>
        <v>2029</v>
      </c>
      <c r="P2908" s="1" t="n">
        <f aca="false">MONTH(B2908)</f>
        <v>12</v>
      </c>
      <c r="Q2908" s="1" t="str">
        <f aca="false">TEXT(B2908,"mmm")</f>
        <v>Dec</v>
      </c>
      <c r="R2908" s="1" t="str">
        <f aca="false">"Q"&amp;ROUNDUP(MONTH(B2908)/3,0)</f>
        <v>Q4</v>
      </c>
    </row>
    <row r="2909" customFormat="false" ht="15" hidden="false" customHeight="true" outlineLevel="0" collapsed="false">
      <c r="A2909" s="1" t="n">
        <v>12908</v>
      </c>
      <c r="B2909" s="14" t="n">
        <v>47469</v>
      </c>
      <c r="C2909" s="1" t="n">
        <v>1266</v>
      </c>
      <c r="D2909" s="1" t="s">
        <v>34</v>
      </c>
      <c r="E2909" s="1" t="s">
        <v>35</v>
      </c>
      <c r="F2909" s="1" t="n">
        <v>7</v>
      </c>
      <c r="G2909" s="15" t="n">
        <v>63.94</v>
      </c>
      <c r="H2909" s="16" t="n">
        <v>0.22</v>
      </c>
      <c r="I2909" s="1" t="s">
        <v>33</v>
      </c>
      <c r="J2909" s="1" t="n">
        <v>10</v>
      </c>
      <c r="K2909" s="1" t="n">
        <v>4</v>
      </c>
      <c r="L2909" s="15" t="n">
        <v>349.11</v>
      </c>
      <c r="M2909" s="15" t="n">
        <f aca="false">F2909*G2909</f>
        <v>447.58</v>
      </c>
      <c r="N2909" s="15" t="n">
        <f aca="false">M2909-L2909</f>
        <v>98.47</v>
      </c>
      <c r="O2909" s="1" t="n">
        <f aca="false">YEAR(B2909)</f>
        <v>2029</v>
      </c>
      <c r="P2909" s="1" t="n">
        <f aca="false">MONTH(B2909)</f>
        <v>12</v>
      </c>
      <c r="Q2909" s="1" t="str">
        <f aca="false">TEXT(B2909,"mmm")</f>
        <v>Dec</v>
      </c>
      <c r="R2909" s="1" t="str">
        <f aca="false">"Q"&amp;ROUNDUP(MONTH(B2909)/3,0)</f>
        <v>Q4</v>
      </c>
    </row>
    <row r="2910" customFormat="false" ht="15" hidden="false" customHeight="true" outlineLevel="0" collapsed="false">
      <c r="A2910" s="1" t="n">
        <v>12909</v>
      </c>
      <c r="B2910" s="14" t="n">
        <v>47470</v>
      </c>
      <c r="C2910" s="1" t="n">
        <v>1866</v>
      </c>
      <c r="D2910" s="1" t="s">
        <v>37</v>
      </c>
      <c r="E2910" s="1" t="s">
        <v>35</v>
      </c>
      <c r="F2910" s="1" t="n">
        <v>5</v>
      </c>
      <c r="G2910" s="15" t="n">
        <v>174.89</v>
      </c>
      <c r="H2910" s="16" t="n">
        <v>0.11</v>
      </c>
      <c r="I2910" s="1" t="s">
        <v>33</v>
      </c>
      <c r="J2910" s="1" t="n">
        <v>9</v>
      </c>
      <c r="K2910" s="1" t="n">
        <v>3.6</v>
      </c>
      <c r="L2910" s="15" t="n">
        <v>778.26</v>
      </c>
      <c r="M2910" s="15" t="n">
        <f aca="false">F2910*G2910</f>
        <v>874.45</v>
      </c>
      <c r="N2910" s="15" t="n">
        <f aca="false">M2910-L2910</f>
        <v>96.1899999999999</v>
      </c>
      <c r="O2910" s="1" t="n">
        <f aca="false">YEAR(B2910)</f>
        <v>2029</v>
      </c>
      <c r="P2910" s="1" t="n">
        <f aca="false">MONTH(B2910)</f>
        <v>12</v>
      </c>
      <c r="Q2910" s="1" t="str">
        <f aca="false">TEXT(B2910,"mmm")</f>
        <v>Dec</v>
      </c>
      <c r="R2910" s="1" t="str">
        <f aca="false">"Q"&amp;ROUNDUP(MONTH(B2910)/3,0)</f>
        <v>Q4</v>
      </c>
    </row>
    <row r="2911" customFormat="false" ht="15" hidden="false" customHeight="true" outlineLevel="0" collapsed="false">
      <c r="A2911" s="1" t="n">
        <v>12910</v>
      </c>
      <c r="B2911" s="14" t="n">
        <v>47471</v>
      </c>
      <c r="C2911" s="1" t="n">
        <v>1967</v>
      </c>
      <c r="D2911" s="1" t="s">
        <v>37</v>
      </c>
      <c r="E2911" s="1" t="s">
        <v>32</v>
      </c>
      <c r="F2911" s="1" t="n">
        <v>5</v>
      </c>
      <c r="G2911" s="15" t="n">
        <v>189.17</v>
      </c>
      <c r="H2911" s="16" t="n">
        <v>0.34</v>
      </c>
      <c r="I2911" s="1" t="s">
        <v>31</v>
      </c>
      <c r="J2911" s="1" t="n">
        <v>11</v>
      </c>
      <c r="K2911" s="1" t="n">
        <v>4.7</v>
      </c>
      <c r="L2911" s="15" t="n">
        <v>624.26</v>
      </c>
      <c r="M2911" s="15" t="n">
        <f aca="false">F2911*G2911</f>
        <v>945.85</v>
      </c>
      <c r="N2911" s="15" t="n">
        <f aca="false">M2911-L2911</f>
        <v>321.59</v>
      </c>
      <c r="O2911" s="1" t="n">
        <f aca="false">YEAR(B2911)</f>
        <v>2029</v>
      </c>
      <c r="P2911" s="1" t="n">
        <f aca="false">MONTH(B2911)</f>
        <v>12</v>
      </c>
      <c r="Q2911" s="1" t="str">
        <f aca="false">TEXT(B2911,"mmm")</f>
        <v>Dec</v>
      </c>
      <c r="R2911" s="1" t="str">
        <f aca="false">"Q"&amp;ROUNDUP(MONTH(B2911)/3,0)</f>
        <v>Q4</v>
      </c>
    </row>
    <row r="2912" customFormat="false" ht="15" hidden="false" customHeight="true" outlineLevel="0" collapsed="false">
      <c r="A2912" s="1" t="n">
        <v>12911</v>
      </c>
      <c r="B2912" s="14" t="n">
        <v>47472</v>
      </c>
      <c r="C2912" s="1" t="n">
        <v>1621</v>
      </c>
      <c r="D2912" s="1" t="s">
        <v>34</v>
      </c>
      <c r="E2912" s="1" t="s">
        <v>28</v>
      </c>
      <c r="F2912" s="1" t="n">
        <v>3</v>
      </c>
      <c r="G2912" s="15" t="n">
        <v>343.03</v>
      </c>
      <c r="H2912" s="16" t="n">
        <v>0.1</v>
      </c>
      <c r="I2912" s="1" t="s">
        <v>33</v>
      </c>
      <c r="J2912" s="1" t="n">
        <v>10</v>
      </c>
      <c r="K2912" s="1" t="n">
        <v>3.3</v>
      </c>
      <c r="L2912" s="15" t="n">
        <v>926.18</v>
      </c>
      <c r="M2912" s="15" t="n">
        <f aca="false">F2912*G2912</f>
        <v>1029.09</v>
      </c>
      <c r="N2912" s="15" t="n">
        <f aca="false">M2912-L2912</f>
        <v>102.91</v>
      </c>
      <c r="O2912" s="1" t="n">
        <f aca="false">YEAR(B2912)</f>
        <v>2029</v>
      </c>
      <c r="P2912" s="1" t="n">
        <f aca="false">MONTH(B2912)</f>
        <v>12</v>
      </c>
      <c r="Q2912" s="1" t="str">
        <f aca="false">TEXT(B2912,"mmm")</f>
        <v>Dec</v>
      </c>
      <c r="R2912" s="1" t="str">
        <f aca="false">"Q"&amp;ROUNDUP(MONTH(B2912)/3,0)</f>
        <v>Q4</v>
      </c>
    </row>
    <row r="2913" customFormat="false" ht="15" hidden="false" customHeight="true" outlineLevel="0" collapsed="false">
      <c r="A2913" s="1" t="n">
        <v>12912</v>
      </c>
      <c r="B2913" s="14" t="n">
        <v>47473</v>
      </c>
      <c r="C2913" s="1" t="n">
        <v>1973</v>
      </c>
      <c r="D2913" s="1" t="s">
        <v>37</v>
      </c>
      <c r="E2913" s="1" t="s">
        <v>32</v>
      </c>
      <c r="F2913" s="1" t="n">
        <v>7</v>
      </c>
      <c r="G2913" s="15" t="n">
        <v>165.96</v>
      </c>
      <c r="H2913" s="16" t="n">
        <v>0.21</v>
      </c>
      <c r="I2913" s="1" t="s">
        <v>31</v>
      </c>
      <c r="J2913" s="1" t="n">
        <v>8</v>
      </c>
      <c r="K2913" s="1" t="n">
        <v>3</v>
      </c>
      <c r="L2913" s="15" t="n">
        <v>917.76</v>
      </c>
      <c r="M2913" s="15" t="n">
        <f aca="false">F2913*G2913</f>
        <v>1161.72</v>
      </c>
      <c r="N2913" s="15" t="n">
        <f aca="false">M2913-L2913</f>
        <v>243.96</v>
      </c>
      <c r="O2913" s="1" t="n">
        <f aca="false">YEAR(B2913)</f>
        <v>2029</v>
      </c>
      <c r="P2913" s="1" t="n">
        <f aca="false">MONTH(B2913)</f>
        <v>12</v>
      </c>
      <c r="Q2913" s="1" t="str">
        <f aca="false">TEXT(B2913,"mmm")</f>
        <v>Dec</v>
      </c>
      <c r="R2913" s="1" t="str">
        <f aca="false">"Q"&amp;ROUNDUP(MONTH(B2913)/3,0)</f>
        <v>Q4</v>
      </c>
    </row>
    <row r="2914" customFormat="false" ht="15" hidden="false" customHeight="true" outlineLevel="0" collapsed="false">
      <c r="A2914" s="1" t="n">
        <v>12913</v>
      </c>
      <c r="B2914" s="14" t="n">
        <v>47474</v>
      </c>
      <c r="C2914" s="1" t="n">
        <v>1841</v>
      </c>
      <c r="D2914" s="1" t="s">
        <v>34</v>
      </c>
      <c r="E2914" s="1" t="s">
        <v>36</v>
      </c>
      <c r="F2914" s="1" t="n">
        <v>3</v>
      </c>
      <c r="G2914" s="15" t="n">
        <v>57.68</v>
      </c>
      <c r="H2914" s="16" t="n">
        <v>0.35</v>
      </c>
      <c r="I2914" s="1" t="s">
        <v>31</v>
      </c>
      <c r="J2914" s="1" t="n">
        <v>5</v>
      </c>
      <c r="K2914" s="1" t="n">
        <v>4.9</v>
      </c>
      <c r="L2914" s="15" t="n">
        <v>112.48</v>
      </c>
      <c r="M2914" s="15" t="n">
        <f aca="false">F2914*G2914</f>
        <v>173.04</v>
      </c>
      <c r="N2914" s="15" t="n">
        <f aca="false">M2914-L2914</f>
        <v>60.56</v>
      </c>
      <c r="O2914" s="1" t="n">
        <f aca="false">YEAR(B2914)</f>
        <v>2029</v>
      </c>
      <c r="P2914" s="1" t="n">
        <f aca="false">MONTH(B2914)</f>
        <v>12</v>
      </c>
      <c r="Q2914" s="1" t="str">
        <f aca="false">TEXT(B2914,"mmm")</f>
        <v>Dec</v>
      </c>
      <c r="R2914" s="1" t="str">
        <f aca="false">"Q"&amp;ROUNDUP(MONTH(B2914)/3,0)</f>
        <v>Q4</v>
      </c>
    </row>
    <row r="2915" customFormat="false" ht="15" hidden="false" customHeight="true" outlineLevel="0" collapsed="false">
      <c r="A2915" s="1" t="n">
        <v>12914</v>
      </c>
      <c r="B2915" s="14" t="n">
        <v>47475</v>
      </c>
      <c r="C2915" s="1" t="n">
        <v>1961</v>
      </c>
      <c r="D2915" s="1" t="s">
        <v>30</v>
      </c>
      <c r="E2915" s="1" t="s">
        <v>28</v>
      </c>
      <c r="F2915" s="1" t="n">
        <v>2</v>
      </c>
      <c r="G2915" s="15" t="n">
        <v>442.5</v>
      </c>
      <c r="H2915" s="16" t="n">
        <v>0.31</v>
      </c>
      <c r="I2915" s="1" t="s">
        <v>33</v>
      </c>
      <c r="J2915" s="1" t="n">
        <v>3</v>
      </c>
      <c r="K2915" s="1" t="n">
        <v>1.8</v>
      </c>
      <c r="L2915" s="15" t="n">
        <v>610.65</v>
      </c>
      <c r="M2915" s="15" t="n">
        <f aca="false">F2915*G2915</f>
        <v>885</v>
      </c>
      <c r="N2915" s="15" t="n">
        <f aca="false">M2915-L2915</f>
        <v>274.35</v>
      </c>
      <c r="O2915" s="1" t="n">
        <f aca="false">YEAR(B2915)</f>
        <v>2029</v>
      </c>
      <c r="P2915" s="1" t="n">
        <f aca="false">MONTH(B2915)</f>
        <v>12</v>
      </c>
      <c r="Q2915" s="1" t="str">
        <f aca="false">TEXT(B2915,"mmm")</f>
        <v>Dec</v>
      </c>
      <c r="R2915" s="1" t="str">
        <f aca="false">"Q"&amp;ROUNDUP(MONTH(B2915)/3,0)</f>
        <v>Q4</v>
      </c>
    </row>
    <row r="2916" customFormat="false" ht="15" hidden="false" customHeight="true" outlineLevel="0" collapsed="false">
      <c r="A2916" s="1" t="n">
        <v>12915</v>
      </c>
      <c r="B2916" s="14" t="n">
        <v>47476</v>
      </c>
      <c r="C2916" s="1" t="n">
        <v>1941</v>
      </c>
      <c r="D2916" s="1" t="s">
        <v>37</v>
      </c>
      <c r="E2916" s="1" t="s">
        <v>35</v>
      </c>
      <c r="F2916" s="1" t="n">
        <v>1</v>
      </c>
      <c r="G2916" s="15" t="n">
        <v>189.96</v>
      </c>
      <c r="H2916" s="16" t="n">
        <v>0.19</v>
      </c>
      <c r="I2916" s="1" t="s">
        <v>33</v>
      </c>
      <c r="J2916" s="1" t="n">
        <v>4</v>
      </c>
      <c r="K2916" s="1" t="n">
        <v>1.6</v>
      </c>
      <c r="L2916" s="15" t="n">
        <v>153.87</v>
      </c>
      <c r="M2916" s="15" t="n">
        <f aca="false">F2916*G2916</f>
        <v>189.96</v>
      </c>
      <c r="N2916" s="15" t="n">
        <f aca="false">M2916-L2916</f>
        <v>36.09</v>
      </c>
      <c r="O2916" s="1" t="n">
        <f aca="false">YEAR(B2916)</f>
        <v>2029</v>
      </c>
      <c r="P2916" s="1" t="n">
        <f aca="false">MONTH(B2916)</f>
        <v>12</v>
      </c>
      <c r="Q2916" s="1" t="str">
        <f aca="false">TEXT(B2916,"mmm")</f>
        <v>Dec</v>
      </c>
      <c r="R2916" s="1" t="str">
        <f aca="false">"Q"&amp;ROUNDUP(MONTH(B2916)/3,0)</f>
        <v>Q4</v>
      </c>
    </row>
    <row r="2917" customFormat="false" ht="15" hidden="false" customHeight="true" outlineLevel="0" collapsed="false">
      <c r="A2917" s="1" t="n">
        <v>12916</v>
      </c>
      <c r="B2917" s="14" t="n">
        <v>47477</v>
      </c>
      <c r="C2917" s="1" t="n">
        <v>1776</v>
      </c>
      <c r="D2917" s="1" t="s">
        <v>37</v>
      </c>
      <c r="E2917" s="1" t="s">
        <v>35</v>
      </c>
      <c r="F2917" s="1" t="n">
        <v>6</v>
      </c>
      <c r="G2917" s="15" t="n">
        <v>279.64</v>
      </c>
      <c r="H2917" s="16" t="n">
        <v>0.35</v>
      </c>
      <c r="I2917" s="1" t="s">
        <v>29</v>
      </c>
      <c r="J2917" s="1" t="n">
        <v>3</v>
      </c>
      <c r="K2917" s="1" t="n">
        <v>1.6</v>
      </c>
      <c r="L2917" s="15" t="n">
        <v>1090.6</v>
      </c>
      <c r="M2917" s="15" t="n">
        <f aca="false">F2917*G2917</f>
        <v>1677.84</v>
      </c>
      <c r="N2917" s="15" t="n">
        <f aca="false">M2917-L2917</f>
        <v>587.24</v>
      </c>
      <c r="O2917" s="1" t="n">
        <f aca="false">YEAR(B2917)</f>
        <v>2029</v>
      </c>
      <c r="P2917" s="1" t="n">
        <f aca="false">MONTH(B2917)</f>
        <v>12</v>
      </c>
      <c r="Q2917" s="1" t="str">
        <f aca="false">TEXT(B2917,"mmm")</f>
        <v>Dec</v>
      </c>
      <c r="R2917" s="1" t="str">
        <f aca="false">"Q"&amp;ROUNDUP(MONTH(B2917)/3,0)</f>
        <v>Q4</v>
      </c>
    </row>
    <row r="2918" customFormat="false" ht="15" hidden="false" customHeight="true" outlineLevel="0" collapsed="false">
      <c r="A2918" s="1" t="n">
        <v>12917</v>
      </c>
      <c r="B2918" s="14" t="n">
        <v>47478</v>
      </c>
      <c r="C2918" s="1" t="n">
        <v>1002</v>
      </c>
      <c r="D2918" s="1" t="s">
        <v>27</v>
      </c>
      <c r="E2918" s="1" t="s">
        <v>28</v>
      </c>
      <c r="F2918" s="1" t="n">
        <v>3</v>
      </c>
      <c r="G2918" s="15" t="n">
        <v>89.68</v>
      </c>
      <c r="H2918" s="16" t="n">
        <v>0.25</v>
      </c>
      <c r="I2918" s="1" t="s">
        <v>31</v>
      </c>
      <c r="J2918" s="1" t="n">
        <v>10</v>
      </c>
      <c r="K2918" s="1" t="n">
        <v>5</v>
      </c>
      <c r="L2918" s="15" t="n">
        <v>201.78</v>
      </c>
      <c r="M2918" s="15" t="n">
        <f aca="false">F2918*G2918</f>
        <v>269.04</v>
      </c>
      <c r="N2918" s="15" t="n">
        <f aca="false">M2918-L2918</f>
        <v>67.26</v>
      </c>
      <c r="O2918" s="1" t="n">
        <f aca="false">YEAR(B2918)</f>
        <v>2029</v>
      </c>
      <c r="P2918" s="1" t="n">
        <f aca="false">MONTH(B2918)</f>
        <v>12</v>
      </c>
      <c r="Q2918" s="1" t="str">
        <f aca="false">TEXT(B2918,"mmm")</f>
        <v>Dec</v>
      </c>
      <c r="R2918" s="1" t="str">
        <f aca="false">"Q"&amp;ROUNDUP(MONTH(B2918)/3,0)</f>
        <v>Q4</v>
      </c>
    </row>
    <row r="2919" customFormat="false" ht="15" hidden="false" customHeight="true" outlineLevel="0" collapsed="false">
      <c r="A2919" s="1" t="n">
        <v>12918</v>
      </c>
      <c r="B2919" s="14" t="n">
        <v>47479</v>
      </c>
      <c r="C2919" s="1" t="n">
        <v>1084</v>
      </c>
      <c r="D2919" s="1" t="s">
        <v>34</v>
      </c>
      <c r="E2919" s="1" t="s">
        <v>28</v>
      </c>
      <c r="F2919" s="1" t="n">
        <v>2</v>
      </c>
      <c r="G2919" s="15" t="n">
        <v>484.49</v>
      </c>
      <c r="H2919" s="16" t="n">
        <v>0.07</v>
      </c>
      <c r="I2919" s="1" t="s">
        <v>31</v>
      </c>
      <c r="J2919" s="1" t="n">
        <v>8</v>
      </c>
      <c r="K2919" s="1" t="n">
        <v>3.6</v>
      </c>
      <c r="L2919" s="15" t="n">
        <v>901.15</v>
      </c>
      <c r="M2919" s="15" t="n">
        <f aca="false">F2919*G2919</f>
        <v>968.98</v>
      </c>
      <c r="N2919" s="15" t="n">
        <f aca="false">M2919-L2919</f>
        <v>67.83</v>
      </c>
      <c r="O2919" s="1" t="n">
        <f aca="false">YEAR(B2919)</f>
        <v>2029</v>
      </c>
      <c r="P2919" s="1" t="n">
        <f aca="false">MONTH(B2919)</f>
        <v>12</v>
      </c>
      <c r="Q2919" s="1" t="str">
        <f aca="false">TEXT(B2919,"mmm")</f>
        <v>Dec</v>
      </c>
      <c r="R2919" s="1" t="str">
        <f aca="false">"Q"&amp;ROUNDUP(MONTH(B2919)/3,0)</f>
        <v>Q4</v>
      </c>
    </row>
    <row r="2920" customFormat="false" ht="15" hidden="false" customHeight="true" outlineLevel="0" collapsed="false">
      <c r="A2920" s="1" t="n">
        <v>12919</v>
      </c>
      <c r="B2920" s="14" t="n">
        <v>47480</v>
      </c>
      <c r="C2920" s="1" t="n">
        <v>1793</v>
      </c>
      <c r="D2920" s="1" t="s">
        <v>37</v>
      </c>
      <c r="E2920" s="1" t="s">
        <v>32</v>
      </c>
      <c r="F2920" s="1" t="n">
        <v>7</v>
      </c>
      <c r="G2920" s="15" t="n">
        <v>345.84</v>
      </c>
      <c r="H2920" s="16" t="n">
        <v>0.14</v>
      </c>
      <c r="I2920" s="1" t="s">
        <v>31</v>
      </c>
      <c r="J2920" s="1" t="n">
        <v>5</v>
      </c>
      <c r="K2920" s="1" t="n">
        <v>2.2</v>
      </c>
      <c r="L2920" s="15" t="n">
        <v>2081.96</v>
      </c>
      <c r="M2920" s="15" t="n">
        <f aca="false">F2920*G2920</f>
        <v>2420.88</v>
      </c>
      <c r="N2920" s="15" t="n">
        <f aca="false">M2920-L2920</f>
        <v>338.92</v>
      </c>
      <c r="O2920" s="1" t="n">
        <f aca="false">YEAR(B2920)</f>
        <v>2029</v>
      </c>
      <c r="P2920" s="1" t="n">
        <f aca="false">MONTH(B2920)</f>
        <v>12</v>
      </c>
      <c r="Q2920" s="1" t="str">
        <f aca="false">TEXT(B2920,"mmm")</f>
        <v>Dec</v>
      </c>
      <c r="R2920" s="1" t="str">
        <f aca="false">"Q"&amp;ROUNDUP(MONTH(B2920)/3,0)</f>
        <v>Q4</v>
      </c>
    </row>
    <row r="2921" customFormat="false" ht="15" hidden="false" customHeight="true" outlineLevel="0" collapsed="false">
      <c r="A2921" s="1" t="n">
        <v>12920</v>
      </c>
      <c r="B2921" s="14" t="n">
        <v>47481</v>
      </c>
      <c r="C2921" s="1" t="n">
        <v>1327</v>
      </c>
      <c r="D2921" s="1" t="s">
        <v>30</v>
      </c>
      <c r="E2921" s="1" t="s">
        <v>35</v>
      </c>
      <c r="F2921" s="1" t="n">
        <v>4</v>
      </c>
      <c r="G2921" s="15" t="n">
        <v>542.43</v>
      </c>
      <c r="H2921" s="16" t="n">
        <v>0.12</v>
      </c>
      <c r="I2921" s="1" t="s">
        <v>33</v>
      </c>
      <c r="J2921" s="1" t="n">
        <v>11</v>
      </c>
      <c r="K2921" s="1" t="n">
        <v>2</v>
      </c>
      <c r="L2921" s="15" t="n">
        <v>1909.35</v>
      </c>
      <c r="M2921" s="15" t="n">
        <f aca="false">F2921*G2921</f>
        <v>2169.72</v>
      </c>
      <c r="N2921" s="15" t="n">
        <f aca="false">M2921-L2921</f>
        <v>260.37</v>
      </c>
      <c r="O2921" s="1" t="n">
        <f aca="false">YEAR(B2921)</f>
        <v>2029</v>
      </c>
      <c r="P2921" s="1" t="n">
        <f aca="false">MONTH(B2921)</f>
        <v>12</v>
      </c>
      <c r="Q2921" s="1" t="str">
        <f aca="false">TEXT(B2921,"mmm")</f>
        <v>Dec</v>
      </c>
      <c r="R2921" s="1" t="str">
        <f aca="false">"Q"&amp;ROUNDUP(MONTH(B2921)/3,0)</f>
        <v>Q4</v>
      </c>
    </row>
    <row r="2922" customFormat="false" ht="15" hidden="false" customHeight="true" outlineLevel="0" collapsed="false">
      <c r="A2922" s="1" t="n">
        <v>12921</v>
      </c>
      <c r="B2922" s="14" t="n">
        <v>47482</v>
      </c>
      <c r="C2922" s="1" t="n">
        <v>1815</v>
      </c>
      <c r="D2922" s="1" t="s">
        <v>27</v>
      </c>
      <c r="E2922" s="1" t="s">
        <v>36</v>
      </c>
      <c r="F2922" s="1" t="n">
        <v>7</v>
      </c>
      <c r="G2922" s="15" t="n">
        <v>304.85</v>
      </c>
      <c r="H2922" s="16" t="n">
        <v>0.12</v>
      </c>
      <c r="I2922" s="1" t="s">
        <v>31</v>
      </c>
      <c r="J2922" s="1" t="n">
        <v>8</v>
      </c>
      <c r="K2922" s="1" t="n">
        <v>1.2</v>
      </c>
      <c r="L2922" s="15" t="n">
        <v>1877.88</v>
      </c>
      <c r="M2922" s="15" t="n">
        <f aca="false">F2922*G2922</f>
        <v>2133.95</v>
      </c>
      <c r="N2922" s="15" t="n">
        <f aca="false">M2922-L2922</f>
        <v>256.07</v>
      </c>
      <c r="O2922" s="1" t="n">
        <f aca="false">YEAR(B2922)</f>
        <v>2029</v>
      </c>
      <c r="P2922" s="1" t="n">
        <f aca="false">MONTH(B2922)</f>
        <v>12</v>
      </c>
      <c r="Q2922" s="1" t="str">
        <f aca="false">TEXT(B2922,"mmm")</f>
        <v>Dec</v>
      </c>
      <c r="R2922" s="1" t="str">
        <f aca="false">"Q"&amp;ROUNDUP(MONTH(B2922)/3,0)</f>
        <v>Q4</v>
      </c>
    </row>
    <row r="2923" customFormat="false" ht="15" hidden="false" customHeight="true" outlineLevel="0" collapsed="false">
      <c r="A2923" s="1" t="n">
        <v>12922</v>
      </c>
      <c r="B2923" s="14" t="n">
        <v>47483</v>
      </c>
      <c r="C2923" s="1" t="n">
        <v>1449</v>
      </c>
      <c r="D2923" s="1" t="s">
        <v>34</v>
      </c>
      <c r="E2923" s="1" t="s">
        <v>32</v>
      </c>
      <c r="F2923" s="1" t="n">
        <v>5</v>
      </c>
      <c r="G2923" s="15" t="n">
        <v>565.73</v>
      </c>
      <c r="H2923" s="16" t="n">
        <v>0.27</v>
      </c>
      <c r="I2923" s="1" t="s">
        <v>33</v>
      </c>
      <c r="J2923" s="1" t="n">
        <v>1</v>
      </c>
      <c r="K2923" s="1" t="n">
        <v>1.5</v>
      </c>
      <c r="L2923" s="15" t="n">
        <v>2064.91</v>
      </c>
      <c r="M2923" s="15" t="n">
        <f aca="false">F2923*G2923</f>
        <v>2828.65</v>
      </c>
      <c r="N2923" s="15" t="n">
        <f aca="false">M2923-L2923</f>
        <v>763.74</v>
      </c>
      <c r="O2923" s="1" t="n">
        <f aca="false">YEAR(B2923)</f>
        <v>2029</v>
      </c>
      <c r="P2923" s="1" t="n">
        <f aca="false">MONTH(B2923)</f>
        <v>12</v>
      </c>
      <c r="Q2923" s="1" t="str">
        <f aca="false">TEXT(B2923,"mmm")</f>
        <v>Dec</v>
      </c>
      <c r="R2923" s="1" t="str">
        <f aca="false">"Q"&amp;ROUNDUP(MONTH(B2923)/3,0)</f>
        <v>Q4</v>
      </c>
    </row>
    <row r="2924" customFormat="false" ht="15" hidden="false" customHeight="true" outlineLevel="0" collapsed="false">
      <c r="A2924" s="1" t="n">
        <v>12923</v>
      </c>
      <c r="B2924" s="14" t="n">
        <v>47484</v>
      </c>
      <c r="C2924" s="1" t="n">
        <v>1453</v>
      </c>
      <c r="D2924" s="1" t="s">
        <v>37</v>
      </c>
      <c r="E2924" s="1" t="s">
        <v>28</v>
      </c>
      <c r="F2924" s="1" t="n">
        <v>5</v>
      </c>
      <c r="G2924" s="15" t="n">
        <v>536.74</v>
      </c>
      <c r="H2924" s="16" t="n">
        <v>0.2</v>
      </c>
      <c r="I2924" s="1" t="s">
        <v>31</v>
      </c>
      <c r="J2924" s="1" t="n">
        <v>9</v>
      </c>
      <c r="K2924" s="1" t="n">
        <v>4.6</v>
      </c>
      <c r="L2924" s="15" t="n">
        <v>2146.96</v>
      </c>
      <c r="M2924" s="15" t="n">
        <f aca="false">F2924*G2924</f>
        <v>2683.7</v>
      </c>
      <c r="N2924" s="15" t="n">
        <f aca="false">M2924-L2924</f>
        <v>536.74</v>
      </c>
      <c r="O2924" s="1" t="n">
        <f aca="false">YEAR(B2924)</f>
        <v>2030</v>
      </c>
      <c r="P2924" s="1" t="n">
        <f aca="false">MONTH(B2924)</f>
        <v>1</v>
      </c>
      <c r="Q2924" s="1" t="str">
        <f aca="false">TEXT(B2924,"mmm")</f>
        <v>Jan</v>
      </c>
      <c r="R2924" s="1" t="str">
        <f aca="false">"Q"&amp;ROUNDUP(MONTH(B2924)/3,0)</f>
        <v>Q1</v>
      </c>
    </row>
    <row r="2925" customFormat="false" ht="15" hidden="false" customHeight="true" outlineLevel="0" collapsed="false">
      <c r="A2925" s="1" t="n">
        <v>12924</v>
      </c>
      <c r="B2925" s="14" t="n">
        <v>47485</v>
      </c>
      <c r="C2925" s="1" t="n">
        <v>1923</v>
      </c>
      <c r="D2925" s="1" t="s">
        <v>30</v>
      </c>
      <c r="E2925" s="1" t="s">
        <v>35</v>
      </c>
      <c r="F2925" s="1" t="n">
        <v>5</v>
      </c>
      <c r="G2925" s="15" t="n">
        <v>352.23</v>
      </c>
      <c r="H2925" s="16" t="n">
        <v>0.01</v>
      </c>
      <c r="I2925" s="1" t="s">
        <v>29</v>
      </c>
      <c r="J2925" s="1" t="n">
        <v>11</v>
      </c>
      <c r="K2925" s="1" t="n">
        <v>4</v>
      </c>
      <c r="L2925" s="15" t="n">
        <v>1743.54</v>
      </c>
      <c r="M2925" s="15" t="n">
        <f aca="false">F2925*G2925</f>
        <v>1761.15</v>
      </c>
      <c r="N2925" s="15" t="n">
        <f aca="false">M2925-L2925</f>
        <v>17.6100000000001</v>
      </c>
      <c r="O2925" s="1" t="n">
        <f aca="false">YEAR(B2925)</f>
        <v>2030</v>
      </c>
      <c r="P2925" s="1" t="n">
        <f aca="false">MONTH(B2925)</f>
        <v>1</v>
      </c>
      <c r="Q2925" s="1" t="str">
        <f aca="false">TEXT(B2925,"mmm")</f>
        <v>Jan</v>
      </c>
      <c r="R2925" s="1" t="str">
        <f aca="false">"Q"&amp;ROUNDUP(MONTH(B2925)/3,0)</f>
        <v>Q1</v>
      </c>
    </row>
    <row r="2926" customFormat="false" ht="15" hidden="false" customHeight="true" outlineLevel="0" collapsed="false">
      <c r="A2926" s="1" t="n">
        <v>12925</v>
      </c>
      <c r="B2926" s="14" t="n">
        <v>47486</v>
      </c>
      <c r="C2926" s="1" t="n">
        <v>1628</v>
      </c>
      <c r="D2926" s="1" t="s">
        <v>34</v>
      </c>
      <c r="E2926" s="1" t="s">
        <v>28</v>
      </c>
      <c r="F2926" s="1" t="n">
        <v>2</v>
      </c>
      <c r="G2926" s="15" t="n">
        <v>561.33</v>
      </c>
      <c r="H2926" s="16" t="n">
        <v>0.31</v>
      </c>
      <c r="I2926" s="1" t="s">
        <v>33</v>
      </c>
      <c r="J2926" s="1" t="n">
        <v>10</v>
      </c>
      <c r="K2926" s="1" t="n">
        <v>4.8</v>
      </c>
      <c r="L2926" s="15" t="n">
        <v>774.64</v>
      </c>
      <c r="M2926" s="15" t="n">
        <f aca="false">F2926*G2926</f>
        <v>1122.66</v>
      </c>
      <c r="N2926" s="15" t="n">
        <f aca="false">M2926-L2926</f>
        <v>348.02</v>
      </c>
      <c r="O2926" s="1" t="n">
        <f aca="false">YEAR(B2926)</f>
        <v>2030</v>
      </c>
      <c r="P2926" s="1" t="n">
        <f aca="false">MONTH(B2926)</f>
        <v>1</v>
      </c>
      <c r="Q2926" s="1" t="str">
        <f aca="false">TEXT(B2926,"mmm")</f>
        <v>Jan</v>
      </c>
      <c r="R2926" s="1" t="str">
        <f aca="false">"Q"&amp;ROUNDUP(MONTH(B2926)/3,0)</f>
        <v>Q1</v>
      </c>
    </row>
    <row r="2927" customFormat="false" ht="15" hidden="false" customHeight="true" outlineLevel="0" collapsed="false">
      <c r="A2927" s="1" t="n">
        <v>12926</v>
      </c>
      <c r="B2927" s="14" t="n">
        <v>47487</v>
      </c>
      <c r="C2927" s="1" t="n">
        <v>1220</v>
      </c>
      <c r="D2927" s="1" t="s">
        <v>30</v>
      </c>
      <c r="E2927" s="1" t="s">
        <v>28</v>
      </c>
      <c r="F2927" s="1" t="n">
        <v>5</v>
      </c>
      <c r="G2927" s="15" t="n">
        <v>204.01</v>
      </c>
      <c r="H2927" s="16" t="n">
        <v>0.1</v>
      </c>
      <c r="I2927" s="1" t="s">
        <v>29</v>
      </c>
      <c r="J2927" s="1" t="n">
        <v>3</v>
      </c>
      <c r="K2927" s="1" t="n">
        <v>2.7</v>
      </c>
      <c r="L2927" s="15" t="n">
        <v>918.04</v>
      </c>
      <c r="M2927" s="15" t="n">
        <f aca="false">F2927*G2927</f>
        <v>1020.05</v>
      </c>
      <c r="N2927" s="15" t="n">
        <f aca="false">M2927-L2927</f>
        <v>102.01</v>
      </c>
      <c r="O2927" s="1" t="n">
        <f aca="false">YEAR(B2927)</f>
        <v>2030</v>
      </c>
      <c r="P2927" s="1" t="n">
        <f aca="false">MONTH(B2927)</f>
        <v>1</v>
      </c>
      <c r="Q2927" s="1" t="str">
        <f aca="false">TEXT(B2927,"mmm")</f>
        <v>Jan</v>
      </c>
      <c r="R2927" s="1" t="str">
        <f aca="false">"Q"&amp;ROUNDUP(MONTH(B2927)/3,0)</f>
        <v>Q1</v>
      </c>
    </row>
    <row r="2928" customFormat="false" ht="15" hidden="false" customHeight="true" outlineLevel="0" collapsed="false">
      <c r="A2928" s="1" t="n">
        <v>12927</v>
      </c>
      <c r="B2928" s="14" t="n">
        <v>47488</v>
      </c>
      <c r="C2928" s="1" t="n">
        <v>1153</v>
      </c>
      <c r="D2928" s="1" t="s">
        <v>34</v>
      </c>
      <c r="E2928" s="1" t="s">
        <v>28</v>
      </c>
      <c r="F2928" s="1" t="n">
        <v>3</v>
      </c>
      <c r="G2928" s="15" t="n">
        <v>228.9</v>
      </c>
      <c r="H2928" s="16" t="n">
        <v>0.35</v>
      </c>
      <c r="I2928" s="1" t="s">
        <v>31</v>
      </c>
      <c r="J2928" s="1" t="n">
        <v>1</v>
      </c>
      <c r="K2928" s="1" t="n">
        <v>3.4</v>
      </c>
      <c r="L2928" s="15" t="n">
        <v>446.36</v>
      </c>
      <c r="M2928" s="15" t="n">
        <f aca="false">F2928*G2928</f>
        <v>686.7</v>
      </c>
      <c r="N2928" s="15" t="n">
        <f aca="false">M2928-L2928</f>
        <v>240.34</v>
      </c>
      <c r="O2928" s="1" t="n">
        <f aca="false">YEAR(B2928)</f>
        <v>2030</v>
      </c>
      <c r="P2928" s="1" t="n">
        <f aca="false">MONTH(B2928)</f>
        <v>1</v>
      </c>
      <c r="Q2928" s="1" t="str">
        <f aca="false">TEXT(B2928,"mmm")</f>
        <v>Jan</v>
      </c>
      <c r="R2928" s="1" t="str">
        <f aca="false">"Q"&amp;ROUNDUP(MONTH(B2928)/3,0)</f>
        <v>Q1</v>
      </c>
    </row>
    <row r="2929" customFormat="false" ht="15" hidden="false" customHeight="true" outlineLevel="0" collapsed="false">
      <c r="A2929" s="1" t="n">
        <v>12928</v>
      </c>
      <c r="B2929" s="14" t="n">
        <v>47489</v>
      </c>
      <c r="C2929" s="1" t="n">
        <v>1664</v>
      </c>
      <c r="D2929" s="1" t="s">
        <v>30</v>
      </c>
      <c r="E2929" s="1" t="s">
        <v>32</v>
      </c>
      <c r="F2929" s="1" t="n">
        <v>4</v>
      </c>
      <c r="G2929" s="15" t="n">
        <v>41.6</v>
      </c>
      <c r="H2929" s="16" t="n">
        <v>0.33</v>
      </c>
      <c r="I2929" s="1" t="s">
        <v>33</v>
      </c>
      <c r="J2929" s="1" t="n">
        <v>3</v>
      </c>
      <c r="K2929" s="1" t="n">
        <v>2.9</v>
      </c>
      <c r="L2929" s="15" t="n">
        <v>111.49</v>
      </c>
      <c r="M2929" s="15" t="n">
        <f aca="false">F2929*G2929</f>
        <v>166.4</v>
      </c>
      <c r="N2929" s="15" t="n">
        <f aca="false">M2929-L2929</f>
        <v>54.91</v>
      </c>
      <c r="O2929" s="1" t="n">
        <f aca="false">YEAR(B2929)</f>
        <v>2030</v>
      </c>
      <c r="P2929" s="1" t="n">
        <f aca="false">MONTH(B2929)</f>
        <v>1</v>
      </c>
      <c r="Q2929" s="1" t="str">
        <f aca="false">TEXT(B2929,"mmm")</f>
        <v>Jan</v>
      </c>
      <c r="R2929" s="1" t="str">
        <f aca="false">"Q"&amp;ROUNDUP(MONTH(B2929)/3,0)</f>
        <v>Q1</v>
      </c>
    </row>
    <row r="2930" customFormat="false" ht="15" hidden="false" customHeight="true" outlineLevel="0" collapsed="false">
      <c r="A2930" s="1" t="n">
        <v>12929</v>
      </c>
      <c r="B2930" s="14" t="n">
        <v>47490</v>
      </c>
      <c r="C2930" s="1" t="n">
        <v>1011</v>
      </c>
      <c r="D2930" s="1" t="s">
        <v>27</v>
      </c>
      <c r="E2930" s="1" t="s">
        <v>36</v>
      </c>
      <c r="F2930" s="1" t="n">
        <v>5</v>
      </c>
      <c r="G2930" s="15" t="n">
        <v>359.68</v>
      </c>
      <c r="H2930" s="16" t="n">
        <v>0.33</v>
      </c>
      <c r="I2930" s="1" t="s">
        <v>33</v>
      </c>
      <c r="J2930" s="1" t="n">
        <v>2</v>
      </c>
      <c r="K2930" s="1" t="n">
        <v>4.5</v>
      </c>
      <c r="L2930" s="15" t="n">
        <v>1204.93</v>
      </c>
      <c r="M2930" s="15" t="n">
        <f aca="false">F2930*G2930</f>
        <v>1798.4</v>
      </c>
      <c r="N2930" s="15" t="n">
        <f aca="false">M2930-L2930</f>
        <v>593.47</v>
      </c>
      <c r="O2930" s="1" t="n">
        <f aca="false">YEAR(B2930)</f>
        <v>2030</v>
      </c>
      <c r="P2930" s="1" t="n">
        <f aca="false">MONTH(B2930)</f>
        <v>1</v>
      </c>
      <c r="Q2930" s="1" t="str">
        <f aca="false">TEXT(B2930,"mmm")</f>
        <v>Jan</v>
      </c>
      <c r="R2930" s="1" t="str">
        <f aca="false">"Q"&amp;ROUNDUP(MONTH(B2930)/3,0)</f>
        <v>Q1</v>
      </c>
    </row>
    <row r="2931" customFormat="false" ht="15" hidden="false" customHeight="true" outlineLevel="0" collapsed="false">
      <c r="A2931" s="1" t="n">
        <v>12930</v>
      </c>
      <c r="B2931" s="14" t="n">
        <v>47491</v>
      </c>
      <c r="C2931" s="1" t="n">
        <v>1132</v>
      </c>
      <c r="D2931" s="1" t="s">
        <v>30</v>
      </c>
      <c r="E2931" s="1" t="s">
        <v>36</v>
      </c>
      <c r="F2931" s="1" t="n">
        <v>2</v>
      </c>
      <c r="G2931" s="15" t="n">
        <v>437.33</v>
      </c>
      <c r="H2931" s="16" t="n">
        <v>0.28</v>
      </c>
      <c r="I2931" s="1" t="s">
        <v>33</v>
      </c>
      <c r="J2931" s="1" t="n">
        <v>7</v>
      </c>
      <c r="K2931" s="1" t="n">
        <v>5</v>
      </c>
      <c r="L2931" s="15" t="n">
        <v>629.76</v>
      </c>
      <c r="M2931" s="15" t="n">
        <f aca="false">F2931*G2931</f>
        <v>874.66</v>
      </c>
      <c r="N2931" s="15" t="n">
        <f aca="false">M2931-L2931</f>
        <v>244.9</v>
      </c>
      <c r="O2931" s="1" t="n">
        <f aca="false">YEAR(B2931)</f>
        <v>2030</v>
      </c>
      <c r="P2931" s="1" t="n">
        <f aca="false">MONTH(B2931)</f>
        <v>1</v>
      </c>
      <c r="Q2931" s="1" t="str">
        <f aca="false">TEXT(B2931,"mmm")</f>
        <v>Jan</v>
      </c>
      <c r="R2931" s="1" t="str">
        <f aca="false">"Q"&amp;ROUNDUP(MONTH(B2931)/3,0)</f>
        <v>Q1</v>
      </c>
    </row>
    <row r="2932" customFormat="false" ht="15" hidden="false" customHeight="true" outlineLevel="0" collapsed="false">
      <c r="A2932" s="1" t="n">
        <v>12931</v>
      </c>
      <c r="B2932" s="14" t="n">
        <v>47492</v>
      </c>
      <c r="C2932" s="1" t="n">
        <v>1993</v>
      </c>
      <c r="D2932" s="1" t="s">
        <v>30</v>
      </c>
      <c r="E2932" s="1" t="s">
        <v>35</v>
      </c>
      <c r="F2932" s="1" t="n">
        <v>4</v>
      </c>
      <c r="G2932" s="15" t="n">
        <v>467.51</v>
      </c>
      <c r="H2932" s="16" t="n">
        <v>0.08</v>
      </c>
      <c r="I2932" s="1" t="s">
        <v>31</v>
      </c>
      <c r="J2932" s="1" t="n">
        <v>10</v>
      </c>
      <c r="K2932" s="1" t="n">
        <v>4.7</v>
      </c>
      <c r="L2932" s="15" t="n">
        <v>1720.44</v>
      </c>
      <c r="M2932" s="15" t="n">
        <f aca="false">F2932*G2932</f>
        <v>1870.04</v>
      </c>
      <c r="N2932" s="15" t="n">
        <f aca="false">M2932-L2932</f>
        <v>149.6</v>
      </c>
      <c r="O2932" s="1" t="n">
        <f aca="false">YEAR(B2932)</f>
        <v>2030</v>
      </c>
      <c r="P2932" s="1" t="n">
        <f aca="false">MONTH(B2932)</f>
        <v>1</v>
      </c>
      <c r="Q2932" s="1" t="str">
        <f aca="false">TEXT(B2932,"mmm")</f>
        <v>Jan</v>
      </c>
      <c r="R2932" s="1" t="str">
        <f aca="false">"Q"&amp;ROUNDUP(MONTH(B2932)/3,0)</f>
        <v>Q1</v>
      </c>
    </row>
    <row r="2933" customFormat="false" ht="15" hidden="false" customHeight="true" outlineLevel="0" collapsed="false">
      <c r="A2933" s="1" t="n">
        <v>12932</v>
      </c>
      <c r="B2933" s="14" t="n">
        <v>47493</v>
      </c>
      <c r="C2933" s="1" t="n">
        <v>1303</v>
      </c>
      <c r="D2933" s="1" t="s">
        <v>30</v>
      </c>
      <c r="E2933" s="1" t="s">
        <v>28</v>
      </c>
      <c r="F2933" s="1" t="n">
        <v>5</v>
      </c>
      <c r="G2933" s="15" t="n">
        <v>102.64</v>
      </c>
      <c r="H2933" s="16" t="n">
        <v>0.19</v>
      </c>
      <c r="I2933" s="1" t="s">
        <v>29</v>
      </c>
      <c r="J2933" s="1" t="n">
        <v>4</v>
      </c>
      <c r="K2933" s="1" t="n">
        <v>3.4</v>
      </c>
      <c r="L2933" s="15" t="n">
        <v>415.69</v>
      </c>
      <c r="M2933" s="15" t="n">
        <f aca="false">F2933*G2933</f>
        <v>513.2</v>
      </c>
      <c r="N2933" s="15" t="n">
        <f aca="false">M2933-L2933</f>
        <v>97.5100000000001</v>
      </c>
      <c r="O2933" s="1" t="n">
        <f aca="false">YEAR(B2933)</f>
        <v>2030</v>
      </c>
      <c r="P2933" s="1" t="n">
        <f aca="false">MONTH(B2933)</f>
        <v>1</v>
      </c>
      <c r="Q2933" s="1" t="str">
        <f aca="false">TEXT(B2933,"mmm")</f>
        <v>Jan</v>
      </c>
      <c r="R2933" s="1" t="str">
        <f aca="false">"Q"&amp;ROUNDUP(MONTH(B2933)/3,0)</f>
        <v>Q1</v>
      </c>
    </row>
    <row r="2934" customFormat="false" ht="15" hidden="false" customHeight="true" outlineLevel="0" collapsed="false">
      <c r="A2934" s="1" t="n">
        <v>12933</v>
      </c>
      <c r="B2934" s="14" t="n">
        <v>47494</v>
      </c>
      <c r="C2934" s="1" t="n">
        <v>1292</v>
      </c>
      <c r="D2934" s="1" t="s">
        <v>34</v>
      </c>
      <c r="E2934" s="1" t="s">
        <v>36</v>
      </c>
      <c r="F2934" s="1" t="n">
        <v>1</v>
      </c>
      <c r="G2934" s="15" t="n">
        <v>274.83</v>
      </c>
      <c r="H2934" s="16" t="n">
        <v>0.08</v>
      </c>
      <c r="I2934" s="1" t="s">
        <v>31</v>
      </c>
      <c r="J2934" s="1" t="n">
        <v>7</v>
      </c>
      <c r="K2934" s="1" t="n">
        <v>1.2</v>
      </c>
      <c r="L2934" s="15" t="n">
        <v>252.84</v>
      </c>
      <c r="M2934" s="15" t="n">
        <f aca="false">F2934*G2934</f>
        <v>274.83</v>
      </c>
      <c r="N2934" s="15" t="n">
        <f aca="false">M2934-L2934</f>
        <v>21.99</v>
      </c>
      <c r="O2934" s="1" t="n">
        <f aca="false">YEAR(B2934)</f>
        <v>2030</v>
      </c>
      <c r="P2934" s="1" t="n">
        <f aca="false">MONTH(B2934)</f>
        <v>1</v>
      </c>
      <c r="Q2934" s="1" t="str">
        <f aca="false">TEXT(B2934,"mmm")</f>
        <v>Jan</v>
      </c>
      <c r="R2934" s="1" t="str">
        <f aca="false">"Q"&amp;ROUNDUP(MONTH(B2934)/3,0)</f>
        <v>Q1</v>
      </c>
    </row>
    <row r="2935" customFormat="false" ht="15" hidden="false" customHeight="true" outlineLevel="0" collapsed="false">
      <c r="A2935" s="1" t="n">
        <v>12934</v>
      </c>
      <c r="B2935" s="14" t="n">
        <v>47495</v>
      </c>
      <c r="C2935" s="1" t="n">
        <v>1974</v>
      </c>
      <c r="D2935" s="1" t="s">
        <v>34</v>
      </c>
      <c r="E2935" s="1" t="s">
        <v>28</v>
      </c>
      <c r="F2935" s="1" t="n">
        <v>5</v>
      </c>
      <c r="G2935" s="15" t="n">
        <v>118.46</v>
      </c>
      <c r="H2935" s="16" t="n">
        <v>0.09</v>
      </c>
      <c r="I2935" s="1" t="s">
        <v>31</v>
      </c>
      <c r="J2935" s="1" t="n">
        <v>3</v>
      </c>
      <c r="K2935" s="1" t="n">
        <v>3.5</v>
      </c>
      <c r="L2935" s="15" t="n">
        <v>538.99</v>
      </c>
      <c r="M2935" s="15" t="n">
        <f aca="false">F2935*G2935</f>
        <v>592.3</v>
      </c>
      <c r="N2935" s="15" t="n">
        <f aca="false">M2935-L2935</f>
        <v>53.3099999999999</v>
      </c>
      <c r="O2935" s="1" t="n">
        <f aca="false">YEAR(B2935)</f>
        <v>2030</v>
      </c>
      <c r="P2935" s="1" t="n">
        <f aca="false">MONTH(B2935)</f>
        <v>1</v>
      </c>
      <c r="Q2935" s="1" t="str">
        <f aca="false">TEXT(B2935,"mmm")</f>
        <v>Jan</v>
      </c>
      <c r="R2935" s="1" t="str">
        <f aca="false">"Q"&amp;ROUNDUP(MONTH(B2935)/3,0)</f>
        <v>Q1</v>
      </c>
    </row>
    <row r="2936" customFormat="false" ht="15" hidden="false" customHeight="true" outlineLevel="0" collapsed="false">
      <c r="A2936" s="1" t="n">
        <v>12935</v>
      </c>
      <c r="B2936" s="14" t="n">
        <v>47496</v>
      </c>
      <c r="C2936" s="1" t="n">
        <v>1299</v>
      </c>
      <c r="D2936" s="1" t="s">
        <v>30</v>
      </c>
      <c r="E2936" s="1" t="s">
        <v>35</v>
      </c>
      <c r="F2936" s="1" t="n">
        <v>6</v>
      </c>
      <c r="G2936" s="15" t="n">
        <v>402.34</v>
      </c>
      <c r="H2936" s="16" t="n">
        <v>0.21</v>
      </c>
      <c r="I2936" s="1" t="s">
        <v>33</v>
      </c>
      <c r="J2936" s="1" t="n">
        <v>6</v>
      </c>
      <c r="K2936" s="1" t="n">
        <v>1.4</v>
      </c>
      <c r="L2936" s="15" t="n">
        <v>1907.09</v>
      </c>
      <c r="M2936" s="15" t="n">
        <f aca="false">F2936*G2936</f>
        <v>2414.04</v>
      </c>
      <c r="N2936" s="15" t="n">
        <f aca="false">M2936-L2936</f>
        <v>506.95</v>
      </c>
      <c r="O2936" s="1" t="n">
        <f aca="false">YEAR(B2936)</f>
        <v>2030</v>
      </c>
      <c r="P2936" s="1" t="n">
        <f aca="false">MONTH(B2936)</f>
        <v>1</v>
      </c>
      <c r="Q2936" s="1" t="str">
        <f aca="false">TEXT(B2936,"mmm")</f>
        <v>Jan</v>
      </c>
      <c r="R2936" s="1" t="str">
        <f aca="false">"Q"&amp;ROUNDUP(MONTH(B2936)/3,0)</f>
        <v>Q1</v>
      </c>
    </row>
    <row r="2937" customFormat="false" ht="15" hidden="false" customHeight="true" outlineLevel="0" collapsed="false">
      <c r="A2937" s="1" t="n">
        <v>12936</v>
      </c>
      <c r="B2937" s="14" t="n">
        <v>47497</v>
      </c>
      <c r="C2937" s="1" t="n">
        <v>1739</v>
      </c>
      <c r="D2937" s="1" t="s">
        <v>34</v>
      </c>
      <c r="E2937" s="1" t="s">
        <v>28</v>
      </c>
      <c r="F2937" s="1" t="n">
        <v>7</v>
      </c>
      <c r="G2937" s="15" t="n">
        <v>107.4</v>
      </c>
      <c r="H2937" s="16" t="n">
        <v>0.01</v>
      </c>
      <c r="I2937" s="1" t="s">
        <v>33</v>
      </c>
      <c r="J2937" s="1" t="n">
        <v>7</v>
      </c>
      <c r="K2937" s="1" t="n">
        <v>1.6</v>
      </c>
      <c r="L2937" s="15" t="n">
        <v>744.28</v>
      </c>
      <c r="M2937" s="15" t="n">
        <f aca="false">F2937*G2937</f>
        <v>751.8</v>
      </c>
      <c r="N2937" s="15" t="n">
        <f aca="false">M2937-L2937</f>
        <v>7.5200000000001</v>
      </c>
      <c r="O2937" s="1" t="n">
        <f aca="false">YEAR(B2937)</f>
        <v>2030</v>
      </c>
      <c r="P2937" s="1" t="n">
        <f aca="false">MONTH(B2937)</f>
        <v>1</v>
      </c>
      <c r="Q2937" s="1" t="str">
        <f aca="false">TEXT(B2937,"mmm")</f>
        <v>Jan</v>
      </c>
      <c r="R2937" s="1" t="str">
        <f aca="false">"Q"&amp;ROUNDUP(MONTH(B2937)/3,0)</f>
        <v>Q1</v>
      </c>
    </row>
    <row r="2938" customFormat="false" ht="15" hidden="false" customHeight="true" outlineLevel="0" collapsed="false">
      <c r="A2938" s="1" t="n">
        <v>12937</v>
      </c>
      <c r="B2938" s="14" t="n">
        <v>47498</v>
      </c>
      <c r="C2938" s="1" t="n">
        <v>1782</v>
      </c>
      <c r="D2938" s="1" t="s">
        <v>34</v>
      </c>
      <c r="E2938" s="1" t="s">
        <v>36</v>
      </c>
      <c r="F2938" s="1" t="n">
        <v>3</v>
      </c>
      <c r="G2938" s="15" t="n">
        <v>543.94</v>
      </c>
      <c r="H2938" s="16" t="n">
        <v>0.34</v>
      </c>
      <c r="I2938" s="1" t="s">
        <v>33</v>
      </c>
      <c r="J2938" s="1" t="n">
        <v>7</v>
      </c>
      <c r="K2938" s="1" t="n">
        <v>1.8</v>
      </c>
      <c r="L2938" s="15" t="n">
        <v>1077</v>
      </c>
      <c r="M2938" s="15" t="n">
        <f aca="false">F2938*G2938</f>
        <v>1631.82</v>
      </c>
      <c r="N2938" s="15" t="n">
        <f aca="false">M2938-L2938</f>
        <v>554.82</v>
      </c>
      <c r="O2938" s="1" t="n">
        <f aca="false">YEAR(B2938)</f>
        <v>2030</v>
      </c>
      <c r="P2938" s="1" t="n">
        <f aca="false">MONTH(B2938)</f>
        <v>1</v>
      </c>
      <c r="Q2938" s="1" t="str">
        <f aca="false">TEXT(B2938,"mmm")</f>
        <v>Jan</v>
      </c>
      <c r="R2938" s="1" t="str">
        <f aca="false">"Q"&amp;ROUNDUP(MONTH(B2938)/3,0)</f>
        <v>Q1</v>
      </c>
    </row>
    <row r="2939" customFormat="false" ht="15" hidden="false" customHeight="true" outlineLevel="0" collapsed="false">
      <c r="A2939" s="1" t="n">
        <v>12938</v>
      </c>
      <c r="B2939" s="14" t="n">
        <v>47499</v>
      </c>
      <c r="C2939" s="1" t="n">
        <v>1042</v>
      </c>
      <c r="D2939" s="1" t="s">
        <v>30</v>
      </c>
      <c r="E2939" s="1" t="s">
        <v>28</v>
      </c>
      <c r="F2939" s="1" t="n">
        <v>4</v>
      </c>
      <c r="G2939" s="15" t="n">
        <v>149.92</v>
      </c>
      <c r="H2939" s="16" t="n">
        <v>0.32</v>
      </c>
      <c r="I2939" s="1" t="s">
        <v>31</v>
      </c>
      <c r="J2939" s="1" t="n">
        <v>5</v>
      </c>
      <c r="K2939" s="1" t="n">
        <v>2.5</v>
      </c>
      <c r="L2939" s="15" t="n">
        <v>407.78</v>
      </c>
      <c r="M2939" s="15" t="n">
        <f aca="false">F2939*G2939</f>
        <v>599.68</v>
      </c>
      <c r="N2939" s="15" t="n">
        <f aca="false">M2939-L2939</f>
        <v>191.9</v>
      </c>
      <c r="O2939" s="1" t="n">
        <f aca="false">YEAR(B2939)</f>
        <v>2030</v>
      </c>
      <c r="P2939" s="1" t="n">
        <f aca="false">MONTH(B2939)</f>
        <v>1</v>
      </c>
      <c r="Q2939" s="1" t="str">
        <f aca="false">TEXT(B2939,"mmm")</f>
        <v>Jan</v>
      </c>
      <c r="R2939" s="1" t="str">
        <f aca="false">"Q"&amp;ROUNDUP(MONTH(B2939)/3,0)</f>
        <v>Q1</v>
      </c>
    </row>
    <row r="2940" customFormat="false" ht="15" hidden="false" customHeight="true" outlineLevel="0" collapsed="false">
      <c r="A2940" s="1" t="n">
        <v>12939</v>
      </c>
      <c r="B2940" s="14" t="n">
        <v>47500</v>
      </c>
      <c r="C2940" s="1" t="n">
        <v>1943</v>
      </c>
      <c r="D2940" s="1" t="s">
        <v>34</v>
      </c>
      <c r="E2940" s="1" t="s">
        <v>36</v>
      </c>
      <c r="F2940" s="1" t="n">
        <v>3</v>
      </c>
      <c r="G2940" s="15" t="n">
        <v>185.47</v>
      </c>
      <c r="H2940" s="16" t="n">
        <v>0.13</v>
      </c>
      <c r="I2940" s="1" t="s">
        <v>31</v>
      </c>
      <c r="J2940" s="1" t="n">
        <v>6</v>
      </c>
      <c r="K2940" s="1" t="n">
        <v>3.4</v>
      </c>
      <c r="L2940" s="15" t="n">
        <v>484.08</v>
      </c>
      <c r="M2940" s="15" t="n">
        <f aca="false">F2940*G2940</f>
        <v>556.41</v>
      </c>
      <c r="N2940" s="15" t="n">
        <f aca="false">M2940-L2940</f>
        <v>72.33</v>
      </c>
      <c r="O2940" s="1" t="n">
        <f aca="false">YEAR(B2940)</f>
        <v>2030</v>
      </c>
      <c r="P2940" s="1" t="n">
        <f aca="false">MONTH(B2940)</f>
        <v>1</v>
      </c>
      <c r="Q2940" s="1" t="str">
        <f aca="false">TEXT(B2940,"mmm")</f>
        <v>Jan</v>
      </c>
      <c r="R2940" s="1" t="str">
        <f aca="false">"Q"&amp;ROUNDUP(MONTH(B2940)/3,0)</f>
        <v>Q1</v>
      </c>
    </row>
    <row r="2941" customFormat="false" ht="15" hidden="false" customHeight="true" outlineLevel="0" collapsed="false">
      <c r="A2941" s="1" t="n">
        <v>12940</v>
      </c>
      <c r="B2941" s="14" t="n">
        <v>47501</v>
      </c>
      <c r="C2941" s="1" t="n">
        <v>1342</v>
      </c>
      <c r="D2941" s="1" t="s">
        <v>34</v>
      </c>
      <c r="E2941" s="1" t="s">
        <v>35</v>
      </c>
      <c r="F2941" s="1" t="n">
        <v>1</v>
      </c>
      <c r="G2941" s="15" t="n">
        <v>512.78</v>
      </c>
      <c r="H2941" s="16" t="n">
        <v>0.18</v>
      </c>
      <c r="I2941" s="1" t="s">
        <v>33</v>
      </c>
      <c r="J2941" s="1" t="n">
        <v>3</v>
      </c>
      <c r="K2941" s="1" t="n">
        <v>2.3</v>
      </c>
      <c r="L2941" s="15" t="n">
        <v>420.48</v>
      </c>
      <c r="M2941" s="15" t="n">
        <f aca="false">F2941*G2941</f>
        <v>512.78</v>
      </c>
      <c r="N2941" s="15" t="n">
        <f aca="false">M2941-L2941</f>
        <v>92.3</v>
      </c>
      <c r="O2941" s="1" t="n">
        <f aca="false">YEAR(B2941)</f>
        <v>2030</v>
      </c>
      <c r="P2941" s="1" t="n">
        <f aca="false">MONTH(B2941)</f>
        <v>1</v>
      </c>
      <c r="Q2941" s="1" t="str">
        <f aca="false">TEXT(B2941,"mmm")</f>
        <v>Jan</v>
      </c>
      <c r="R2941" s="1" t="str">
        <f aca="false">"Q"&amp;ROUNDUP(MONTH(B2941)/3,0)</f>
        <v>Q1</v>
      </c>
    </row>
    <row r="2942" customFormat="false" ht="15" hidden="false" customHeight="true" outlineLevel="0" collapsed="false">
      <c r="A2942" s="1" t="n">
        <v>12941</v>
      </c>
      <c r="B2942" s="14" t="n">
        <v>47502</v>
      </c>
      <c r="C2942" s="1" t="n">
        <v>1325</v>
      </c>
      <c r="D2942" s="1" t="s">
        <v>30</v>
      </c>
      <c r="E2942" s="1" t="s">
        <v>28</v>
      </c>
      <c r="F2942" s="1" t="n">
        <v>1</v>
      </c>
      <c r="G2942" s="15" t="n">
        <v>283.2</v>
      </c>
      <c r="H2942" s="16" t="n">
        <v>0.16</v>
      </c>
      <c r="I2942" s="1" t="s">
        <v>31</v>
      </c>
      <c r="J2942" s="1" t="n">
        <v>4</v>
      </c>
      <c r="K2942" s="1" t="n">
        <v>2.8</v>
      </c>
      <c r="L2942" s="15" t="n">
        <v>237.89</v>
      </c>
      <c r="M2942" s="15" t="n">
        <f aca="false">F2942*G2942</f>
        <v>283.2</v>
      </c>
      <c r="N2942" s="15" t="n">
        <f aca="false">M2942-L2942</f>
        <v>45.31</v>
      </c>
      <c r="O2942" s="1" t="n">
        <f aca="false">YEAR(B2942)</f>
        <v>2030</v>
      </c>
      <c r="P2942" s="1" t="n">
        <f aca="false">MONTH(B2942)</f>
        <v>1</v>
      </c>
      <c r="Q2942" s="1" t="str">
        <f aca="false">TEXT(B2942,"mmm")</f>
        <v>Jan</v>
      </c>
      <c r="R2942" s="1" t="str">
        <f aca="false">"Q"&amp;ROUNDUP(MONTH(B2942)/3,0)</f>
        <v>Q1</v>
      </c>
    </row>
    <row r="2943" customFormat="false" ht="15" hidden="false" customHeight="true" outlineLevel="0" collapsed="false">
      <c r="A2943" s="1" t="n">
        <v>12942</v>
      </c>
      <c r="B2943" s="14" t="n">
        <v>47503</v>
      </c>
      <c r="C2943" s="1" t="n">
        <v>1813</v>
      </c>
      <c r="D2943" s="1" t="s">
        <v>34</v>
      </c>
      <c r="E2943" s="1" t="s">
        <v>36</v>
      </c>
      <c r="F2943" s="1" t="n">
        <v>6</v>
      </c>
      <c r="G2943" s="15" t="n">
        <v>29.04</v>
      </c>
      <c r="H2943" s="16" t="n">
        <v>0.31</v>
      </c>
      <c r="I2943" s="1" t="s">
        <v>29</v>
      </c>
      <c r="J2943" s="1" t="n">
        <v>11</v>
      </c>
      <c r="K2943" s="1" t="n">
        <v>1.2</v>
      </c>
      <c r="L2943" s="15" t="n">
        <v>120.23</v>
      </c>
      <c r="M2943" s="15" t="n">
        <f aca="false">F2943*G2943</f>
        <v>174.24</v>
      </c>
      <c r="N2943" s="15" t="n">
        <f aca="false">M2943-L2943</f>
        <v>54.01</v>
      </c>
      <c r="O2943" s="1" t="n">
        <f aca="false">YEAR(B2943)</f>
        <v>2030</v>
      </c>
      <c r="P2943" s="1" t="n">
        <f aca="false">MONTH(B2943)</f>
        <v>1</v>
      </c>
      <c r="Q2943" s="1" t="str">
        <f aca="false">TEXT(B2943,"mmm")</f>
        <v>Jan</v>
      </c>
      <c r="R2943" s="1" t="str">
        <f aca="false">"Q"&amp;ROUNDUP(MONTH(B2943)/3,0)</f>
        <v>Q1</v>
      </c>
    </row>
    <row r="2944" customFormat="false" ht="15" hidden="false" customHeight="true" outlineLevel="0" collapsed="false">
      <c r="A2944" s="1" t="n">
        <v>12943</v>
      </c>
      <c r="B2944" s="14" t="n">
        <v>47504</v>
      </c>
      <c r="C2944" s="1" t="n">
        <v>1497</v>
      </c>
      <c r="D2944" s="1" t="s">
        <v>27</v>
      </c>
      <c r="E2944" s="1" t="s">
        <v>35</v>
      </c>
      <c r="F2944" s="1" t="n">
        <v>3</v>
      </c>
      <c r="G2944" s="15" t="n">
        <v>304.33</v>
      </c>
      <c r="H2944" s="16" t="n">
        <v>0.24</v>
      </c>
      <c r="I2944" s="1" t="s">
        <v>29</v>
      </c>
      <c r="J2944" s="1" t="n">
        <v>6</v>
      </c>
      <c r="K2944" s="1" t="n">
        <v>3.5</v>
      </c>
      <c r="L2944" s="15" t="n">
        <v>693.87</v>
      </c>
      <c r="M2944" s="15" t="n">
        <f aca="false">F2944*G2944</f>
        <v>912.99</v>
      </c>
      <c r="N2944" s="15" t="n">
        <f aca="false">M2944-L2944</f>
        <v>219.12</v>
      </c>
      <c r="O2944" s="1" t="n">
        <f aca="false">YEAR(B2944)</f>
        <v>2030</v>
      </c>
      <c r="P2944" s="1" t="n">
        <f aca="false">MONTH(B2944)</f>
        <v>1</v>
      </c>
      <c r="Q2944" s="1" t="str">
        <f aca="false">TEXT(B2944,"mmm")</f>
        <v>Jan</v>
      </c>
      <c r="R2944" s="1" t="str">
        <f aca="false">"Q"&amp;ROUNDUP(MONTH(B2944)/3,0)</f>
        <v>Q1</v>
      </c>
    </row>
    <row r="2945" customFormat="false" ht="15" hidden="false" customHeight="true" outlineLevel="0" collapsed="false">
      <c r="A2945" s="1" t="n">
        <v>12944</v>
      </c>
      <c r="B2945" s="14" t="n">
        <v>47505</v>
      </c>
      <c r="C2945" s="1" t="n">
        <v>1363</v>
      </c>
      <c r="D2945" s="1" t="s">
        <v>27</v>
      </c>
      <c r="E2945" s="1" t="s">
        <v>28</v>
      </c>
      <c r="F2945" s="1" t="n">
        <v>4</v>
      </c>
      <c r="G2945" s="15" t="n">
        <v>64.46</v>
      </c>
      <c r="H2945" s="16" t="n">
        <v>0.1</v>
      </c>
      <c r="I2945" s="1" t="s">
        <v>33</v>
      </c>
      <c r="J2945" s="1" t="n">
        <v>3</v>
      </c>
      <c r="K2945" s="1" t="n">
        <v>3.6</v>
      </c>
      <c r="L2945" s="15" t="n">
        <v>232.06</v>
      </c>
      <c r="M2945" s="15" t="n">
        <f aca="false">F2945*G2945</f>
        <v>257.84</v>
      </c>
      <c r="N2945" s="15" t="n">
        <f aca="false">M2945-L2945</f>
        <v>25.78</v>
      </c>
      <c r="O2945" s="1" t="n">
        <f aca="false">YEAR(B2945)</f>
        <v>2030</v>
      </c>
      <c r="P2945" s="1" t="n">
        <f aca="false">MONTH(B2945)</f>
        <v>1</v>
      </c>
      <c r="Q2945" s="1" t="str">
        <f aca="false">TEXT(B2945,"mmm")</f>
        <v>Jan</v>
      </c>
      <c r="R2945" s="1" t="str">
        <f aca="false">"Q"&amp;ROUNDUP(MONTH(B2945)/3,0)</f>
        <v>Q1</v>
      </c>
    </row>
    <row r="2946" customFormat="false" ht="15" hidden="false" customHeight="true" outlineLevel="0" collapsed="false">
      <c r="A2946" s="1" t="n">
        <v>12945</v>
      </c>
      <c r="B2946" s="14" t="n">
        <v>47506</v>
      </c>
      <c r="C2946" s="1" t="n">
        <v>1890</v>
      </c>
      <c r="D2946" s="1" t="s">
        <v>37</v>
      </c>
      <c r="E2946" s="1" t="s">
        <v>35</v>
      </c>
      <c r="F2946" s="1" t="n">
        <v>1</v>
      </c>
      <c r="G2946" s="15" t="n">
        <v>591.43</v>
      </c>
      <c r="H2946" s="16" t="n">
        <v>0.16</v>
      </c>
      <c r="I2946" s="1" t="s">
        <v>31</v>
      </c>
      <c r="J2946" s="1" t="n">
        <v>7</v>
      </c>
      <c r="K2946" s="1" t="n">
        <v>1.4</v>
      </c>
      <c r="L2946" s="15" t="n">
        <v>496.8</v>
      </c>
      <c r="M2946" s="15" t="n">
        <f aca="false">F2946*G2946</f>
        <v>591.43</v>
      </c>
      <c r="N2946" s="15" t="n">
        <f aca="false">M2946-L2946</f>
        <v>94.6299999999999</v>
      </c>
      <c r="O2946" s="1" t="n">
        <f aca="false">YEAR(B2946)</f>
        <v>2030</v>
      </c>
      <c r="P2946" s="1" t="n">
        <f aca="false">MONTH(B2946)</f>
        <v>1</v>
      </c>
      <c r="Q2946" s="1" t="str">
        <f aca="false">TEXT(B2946,"mmm")</f>
        <v>Jan</v>
      </c>
      <c r="R2946" s="1" t="str">
        <f aca="false">"Q"&amp;ROUNDUP(MONTH(B2946)/3,0)</f>
        <v>Q1</v>
      </c>
    </row>
    <row r="2947" customFormat="false" ht="15" hidden="false" customHeight="true" outlineLevel="0" collapsed="false">
      <c r="A2947" s="1" t="n">
        <v>12946</v>
      </c>
      <c r="B2947" s="14" t="n">
        <v>47507</v>
      </c>
      <c r="C2947" s="1" t="n">
        <v>1426</v>
      </c>
      <c r="D2947" s="1" t="s">
        <v>34</v>
      </c>
      <c r="E2947" s="1" t="s">
        <v>36</v>
      </c>
      <c r="F2947" s="1" t="n">
        <v>1</v>
      </c>
      <c r="G2947" s="15" t="n">
        <v>359.05</v>
      </c>
      <c r="H2947" s="16" t="n">
        <v>0.15</v>
      </c>
      <c r="I2947" s="1" t="s">
        <v>29</v>
      </c>
      <c r="J2947" s="1" t="n">
        <v>3</v>
      </c>
      <c r="K2947" s="1" t="n">
        <v>4.1</v>
      </c>
      <c r="L2947" s="15" t="n">
        <v>305.19</v>
      </c>
      <c r="M2947" s="15" t="n">
        <f aca="false">F2947*G2947</f>
        <v>359.05</v>
      </c>
      <c r="N2947" s="15" t="n">
        <f aca="false">M2947-L2947</f>
        <v>53.86</v>
      </c>
      <c r="O2947" s="1" t="n">
        <f aca="false">YEAR(B2947)</f>
        <v>2030</v>
      </c>
      <c r="P2947" s="1" t="n">
        <f aca="false">MONTH(B2947)</f>
        <v>1</v>
      </c>
      <c r="Q2947" s="1" t="str">
        <f aca="false">TEXT(B2947,"mmm")</f>
        <v>Jan</v>
      </c>
      <c r="R2947" s="1" t="str">
        <f aca="false">"Q"&amp;ROUNDUP(MONTH(B2947)/3,0)</f>
        <v>Q1</v>
      </c>
    </row>
    <row r="2948" customFormat="false" ht="15" hidden="false" customHeight="true" outlineLevel="0" collapsed="false">
      <c r="A2948" s="1" t="n">
        <v>12947</v>
      </c>
      <c r="B2948" s="14" t="n">
        <v>47508</v>
      </c>
      <c r="C2948" s="1" t="n">
        <v>1020</v>
      </c>
      <c r="D2948" s="1" t="s">
        <v>37</v>
      </c>
      <c r="E2948" s="1" t="s">
        <v>28</v>
      </c>
      <c r="F2948" s="1" t="n">
        <v>5</v>
      </c>
      <c r="G2948" s="15" t="n">
        <v>165.07</v>
      </c>
      <c r="H2948" s="16" t="n">
        <v>0.34</v>
      </c>
      <c r="I2948" s="1" t="s">
        <v>31</v>
      </c>
      <c r="J2948" s="1" t="n">
        <v>9</v>
      </c>
      <c r="K2948" s="1" t="n">
        <v>3.6</v>
      </c>
      <c r="L2948" s="15" t="n">
        <v>544.73</v>
      </c>
      <c r="M2948" s="15" t="n">
        <f aca="false">F2948*G2948</f>
        <v>825.35</v>
      </c>
      <c r="N2948" s="15" t="n">
        <f aca="false">M2948-L2948</f>
        <v>280.62</v>
      </c>
      <c r="O2948" s="1" t="n">
        <f aca="false">YEAR(B2948)</f>
        <v>2030</v>
      </c>
      <c r="P2948" s="1" t="n">
        <f aca="false">MONTH(B2948)</f>
        <v>1</v>
      </c>
      <c r="Q2948" s="1" t="str">
        <f aca="false">TEXT(B2948,"mmm")</f>
        <v>Jan</v>
      </c>
      <c r="R2948" s="1" t="str">
        <f aca="false">"Q"&amp;ROUNDUP(MONTH(B2948)/3,0)</f>
        <v>Q1</v>
      </c>
    </row>
    <row r="2949" customFormat="false" ht="15" hidden="false" customHeight="true" outlineLevel="0" collapsed="false">
      <c r="A2949" s="1" t="n">
        <v>12948</v>
      </c>
      <c r="B2949" s="14" t="n">
        <v>47509</v>
      </c>
      <c r="C2949" s="1" t="n">
        <v>1406</v>
      </c>
      <c r="D2949" s="1" t="s">
        <v>37</v>
      </c>
      <c r="E2949" s="1" t="s">
        <v>28</v>
      </c>
      <c r="F2949" s="1" t="n">
        <v>6</v>
      </c>
      <c r="G2949" s="15" t="n">
        <v>344.77</v>
      </c>
      <c r="H2949" s="16" t="n">
        <v>0.06</v>
      </c>
      <c r="I2949" s="1" t="s">
        <v>31</v>
      </c>
      <c r="J2949" s="1" t="n">
        <v>4</v>
      </c>
      <c r="K2949" s="1" t="n">
        <v>3</v>
      </c>
      <c r="L2949" s="15" t="n">
        <v>1944.5</v>
      </c>
      <c r="M2949" s="15" t="n">
        <f aca="false">F2949*G2949</f>
        <v>2068.62</v>
      </c>
      <c r="N2949" s="15" t="n">
        <f aca="false">M2949-L2949</f>
        <v>124.12</v>
      </c>
      <c r="O2949" s="1" t="n">
        <f aca="false">YEAR(B2949)</f>
        <v>2030</v>
      </c>
      <c r="P2949" s="1" t="n">
        <f aca="false">MONTH(B2949)</f>
        <v>1</v>
      </c>
      <c r="Q2949" s="1" t="str">
        <f aca="false">TEXT(B2949,"mmm")</f>
        <v>Jan</v>
      </c>
      <c r="R2949" s="1" t="str">
        <f aca="false">"Q"&amp;ROUNDUP(MONTH(B2949)/3,0)</f>
        <v>Q1</v>
      </c>
    </row>
    <row r="2950" customFormat="false" ht="15" hidden="false" customHeight="true" outlineLevel="0" collapsed="false">
      <c r="A2950" s="1" t="n">
        <v>12949</v>
      </c>
      <c r="B2950" s="14" t="n">
        <v>47510</v>
      </c>
      <c r="C2950" s="1" t="n">
        <v>1618</v>
      </c>
      <c r="D2950" s="1" t="s">
        <v>37</v>
      </c>
      <c r="E2950" s="1" t="s">
        <v>28</v>
      </c>
      <c r="F2950" s="1" t="n">
        <v>7</v>
      </c>
      <c r="G2950" s="15" t="n">
        <v>59.97</v>
      </c>
      <c r="H2950" s="16" t="n">
        <v>0.03</v>
      </c>
      <c r="I2950" s="1" t="s">
        <v>31</v>
      </c>
      <c r="J2950" s="1" t="n">
        <v>2</v>
      </c>
      <c r="K2950" s="1" t="n">
        <v>3.2</v>
      </c>
      <c r="L2950" s="15" t="n">
        <v>407.2</v>
      </c>
      <c r="M2950" s="15" t="n">
        <f aca="false">F2950*G2950</f>
        <v>419.79</v>
      </c>
      <c r="N2950" s="15" t="n">
        <f aca="false">M2950-L2950</f>
        <v>12.59</v>
      </c>
      <c r="O2950" s="1" t="n">
        <f aca="false">YEAR(B2950)</f>
        <v>2030</v>
      </c>
      <c r="P2950" s="1" t="n">
        <f aca="false">MONTH(B2950)</f>
        <v>1</v>
      </c>
      <c r="Q2950" s="1" t="str">
        <f aca="false">TEXT(B2950,"mmm")</f>
        <v>Jan</v>
      </c>
      <c r="R2950" s="1" t="str">
        <f aca="false">"Q"&amp;ROUNDUP(MONTH(B2950)/3,0)</f>
        <v>Q1</v>
      </c>
    </row>
    <row r="2951" customFormat="false" ht="15" hidden="false" customHeight="true" outlineLevel="0" collapsed="false">
      <c r="A2951" s="1" t="n">
        <v>12950</v>
      </c>
      <c r="B2951" s="14" t="n">
        <v>47511</v>
      </c>
      <c r="C2951" s="1" t="n">
        <v>1335</v>
      </c>
      <c r="D2951" s="1" t="s">
        <v>34</v>
      </c>
      <c r="E2951" s="1" t="s">
        <v>35</v>
      </c>
      <c r="F2951" s="1" t="n">
        <v>2</v>
      </c>
      <c r="G2951" s="15" t="n">
        <v>482.94</v>
      </c>
      <c r="H2951" s="16" t="n">
        <v>0.31</v>
      </c>
      <c r="I2951" s="1" t="s">
        <v>31</v>
      </c>
      <c r="J2951" s="1" t="n">
        <v>6</v>
      </c>
      <c r="K2951" s="1" t="n">
        <v>3</v>
      </c>
      <c r="L2951" s="15" t="n">
        <v>666.46</v>
      </c>
      <c r="M2951" s="15" t="n">
        <f aca="false">F2951*G2951</f>
        <v>965.88</v>
      </c>
      <c r="N2951" s="15" t="n">
        <f aca="false">M2951-L2951</f>
        <v>299.42</v>
      </c>
      <c r="O2951" s="1" t="n">
        <f aca="false">YEAR(B2951)</f>
        <v>2030</v>
      </c>
      <c r="P2951" s="1" t="n">
        <f aca="false">MONTH(B2951)</f>
        <v>1</v>
      </c>
      <c r="Q2951" s="1" t="str">
        <f aca="false">TEXT(B2951,"mmm")</f>
        <v>Jan</v>
      </c>
      <c r="R2951" s="1" t="str">
        <f aca="false">"Q"&amp;ROUNDUP(MONTH(B2951)/3,0)</f>
        <v>Q1</v>
      </c>
    </row>
    <row r="2952" customFormat="false" ht="15" hidden="false" customHeight="true" outlineLevel="0" collapsed="false">
      <c r="A2952" s="1" t="n">
        <v>12951</v>
      </c>
      <c r="B2952" s="14" t="n">
        <v>47512</v>
      </c>
      <c r="C2952" s="1" t="n">
        <v>1814</v>
      </c>
      <c r="D2952" s="1" t="s">
        <v>30</v>
      </c>
      <c r="E2952" s="1" t="s">
        <v>35</v>
      </c>
      <c r="F2952" s="1" t="n">
        <v>7</v>
      </c>
      <c r="G2952" s="15" t="n">
        <v>556.32</v>
      </c>
      <c r="H2952" s="16" t="n">
        <v>0.31</v>
      </c>
      <c r="I2952" s="1" t="s">
        <v>29</v>
      </c>
      <c r="J2952" s="1" t="n">
        <v>9</v>
      </c>
      <c r="K2952" s="1" t="n">
        <v>1.2</v>
      </c>
      <c r="L2952" s="15" t="n">
        <v>2687.03</v>
      </c>
      <c r="M2952" s="15" t="n">
        <f aca="false">F2952*G2952</f>
        <v>3894.24</v>
      </c>
      <c r="N2952" s="15" t="n">
        <f aca="false">M2952-L2952</f>
        <v>1207.21</v>
      </c>
      <c r="O2952" s="1" t="n">
        <f aca="false">YEAR(B2952)</f>
        <v>2030</v>
      </c>
      <c r="P2952" s="1" t="n">
        <f aca="false">MONTH(B2952)</f>
        <v>1</v>
      </c>
      <c r="Q2952" s="1" t="str">
        <f aca="false">TEXT(B2952,"mmm")</f>
        <v>Jan</v>
      </c>
      <c r="R2952" s="1" t="str">
        <f aca="false">"Q"&amp;ROUNDUP(MONTH(B2952)/3,0)</f>
        <v>Q1</v>
      </c>
    </row>
    <row r="2953" customFormat="false" ht="15" hidden="false" customHeight="true" outlineLevel="0" collapsed="false">
      <c r="A2953" s="1" t="n">
        <v>12952</v>
      </c>
      <c r="B2953" s="14" t="n">
        <v>47513</v>
      </c>
      <c r="C2953" s="1" t="n">
        <v>1116</v>
      </c>
      <c r="D2953" s="1" t="s">
        <v>37</v>
      </c>
      <c r="E2953" s="1" t="s">
        <v>36</v>
      </c>
      <c r="F2953" s="1" t="n">
        <v>7</v>
      </c>
      <c r="G2953" s="15" t="n">
        <v>526.55</v>
      </c>
      <c r="H2953" s="16" t="n">
        <v>0.31</v>
      </c>
      <c r="I2953" s="1" t="s">
        <v>33</v>
      </c>
      <c r="J2953" s="1" t="n">
        <v>10</v>
      </c>
      <c r="K2953" s="1" t="n">
        <v>3.9</v>
      </c>
      <c r="L2953" s="15" t="n">
        <v>2543.24</v>
      </c>
      <c r="M2953" s="15" t="n">
        <f aca="false">F2953*G2953</f>
        <v>3685.85</v>
      </c>
      <c r="N2953" s="15" t="n">
        <f aca="false">M2953-L2953</f>
        <v>1142.61</v>
      </c>
      <c r="O2953" s="1" t="n">
        <f aca="false">YEAR(B2953)</f>
        <v>2030</v>
      </c>
      <c r="P2953" s="1" t="n">
        <f aca="false">MONTH(B2953)</f>
        <v>1</v>
      </c>
      <c r="Q2953" s="1" t="str">
        <f aca="false">TEXT(B2953,"mmm")</f>
        <v>Jan</v>
      </c>
      <c r="R2953" s="1" t="str">
        <f aca="false">"Q"&amp;ROUNDUP(MONTH(B2953)/3,0)</f>
        <v>Q1</v>
      </c>
    </row>
    <row r="2954" customFormat="false" ht="15" hidden="false" customHeight="true" outlineLevel="0" collapsed="false">
      <c r="A2954" s="1" t="n">
        <v>12953</v>
      </c>
      <c r="B2954" s="14" t="n">
        <v>47514</v>
      </c>
      <c r="C2954" s="1" t="n">
        <v>1123</v>
      </c>
      <c r="D2954" s="1" t="s">
        <v>30</v>
      </c>
      <c r="E2954" s="1" t="s">
        <v>32</v>
      </c>
      <c r="F2954" s="1" t="n">
        <v>1</v>
      </c>
      <c r="G2954" s="15" t="n">
        <v>214.93</v>
      </c>
      <c r="H2954" s="16" t="n">
        <v>0.18</v>
      </c>
      <c r="I2954" s="1" t="s">
        <v>29</v>
      </c>
      <c r="J2954" s="1" t="n">
        <v>10</v>
      </c>
      <c r="K2954" s="1" t="n">
        <v>3</v>
      </c>
      <c r="L2954" s="15" t="n">
        <v>176.24</v>
      </c>
      <c r="M2954" s="15" t="n">
        <f aca="false">F2954*G2954</f>
        <v>214.93</v>
      </c>
      <c r="N2954" s="15" t="n">
        <f aca="false">M2954-L2954</f>
        <v>38.69</v>
      </c>
      <c r="O2954" s="1" t="n">
        <f aca="false">YEAR(B2954)</f>
        <v>2030</v>
      </c>
      <c r="P2954" s="1" t="n">
        <f aca="false">MONTH(B2954)</f>
        <v>1</v>
      </c>
      <c r="Q2954" s="1" t="str">
        <f aca="false">TEXT(B2954,"mmm")</f>
        <v>Jan</v>
      </c>
      <c r="R2954" s="1" t="str">
        <f aca="false">"Q"&amp;ROUNDUP(MONTH(B2954)/3,0)</f>
        <v>Q1</v>
      </c>
    </row>
    <row r="2955" customFormat="false" ht="15" hidden="false" customHeight="true" outlineLevel="0" collapsed="false">
      <c r="A2955" s="1" t="n">
        <v>12954</v>
      </c>
      <c r="B2955" s="14" t="n">
        <v>47515</v>
      </c>
      <c r="C2955" s="1" t="n">
        <v>1398</v>
      </c>
      <c r="D2955" s="1" t="s">
        <v>30</v>
      </c>
      <c r="E2955" s="1" t="s">
        <v>28</v>
      </c>
      <c r="F2955" s="1" t="n">
        <v>4</v>
      </c>
      <c r="G2955" s="15" t="n">
        <v>205.57</v>
      </c>
      <c r="H2955" s="16" t="n">
        <v>0.23</v>
      </c>
      <c r="I2955" s="1" t="s">
        <v>31</v>
      </c>
      <c r="J2955" s="1" t="n">
        <v>2</v>
      </c>
      <c r="K2955" s="1" t="n">
        <v>1.7</v>
      </c>
      <c r="L2955" s="15" t="n">
        <v>633.16</v>
      </c>
      <c r="M2955" s="15" t="n">
        <f aca="false">F2955*G2955</f>
        <v>822.28</v>
      </c>
      <c r="N2955" s="15" t="n">
        <f aca="false">M2955-L2955</f>
        <v>189.12</v>
      </c>
      <c r="O2955" s="1" t="n">
        <f aca="false">YEAR(B2955)</f>
        <v>2030</v>
      </c>
      <c r="P2955" s="1" t="n">
        <f aca="false">MONTH(B2955)</f>
        <v>2</v>
      </c>
      <c r="Q2955" s="1" t="str">
        <f aca="false">TEXT(B2955,"mmm")</f>
        <v>Feb</v>
      </c>
      <c r="R2955" s="1" t="str">
        <f aca="false">"Q"&amp;ROUNDUP(MONTH(B2955)/3,0)</f>
        <v>Q1</v>
      </c>
    </row>
    <row r="2956" customFormat="false" ht="15" hidden="false" customHeight="true" outlineLevel="0" collapsed="false">
      <c r="A2956" s="1" t="n">
        <v>12955</v>
      </c>
      <c r="B2956" s="14" t="n">
        <v>47516</v>
      </c>
      <c r="C2956" s="1" t="n">
        <v>1792</v>
      </c>
      <c r="D2956" s="1" t="s">
        <v>30</v>
      </c>
      <c r="E2956" s="1" t="s">
        <v>28</v>
      </c>
      <c r="F2956" s="1" t="n">
        <v>4</v>
      </c>
      <c r="G2956" s="15" t="n">
        <v>35.53</v>
      </c>
      <c r="H2956" s="16" t="n">
        <v>0.2</v>
      </c>
      <c r="I2956" s="1" t="s">
        <v>33</v>
      </c>
      <c r="J2956" s="1" t="n">
        <v>4</v>
      </c>
      <c r="K2956" s="1" t="n">
        <v>3.7</v>
      </c>
      <c r="L2956" s="15" t="n">
        <v>113.7</v>
      </c>
      <c r="M2956" s="15" t="n">
        <f aca="false">F2956*G2956</f>
        <v>142.12</v>
      </c>
      <c r="N2956" s="15" t="n">
        <f aca="false">M2956-L2956</f>
        <v>28.42</v>
      </c>
      <c r="O2956" s="1" t="n">
        <f aca="false">YEAR(B2956)</f>
        <v>2030</v>
      </c>
      <c r="P2956" s="1" t="n">
        <f aca="false">MONTH(B2956)</f>
        <v>2</v>
      </c>
      <c r="Q2956" s="1" t="str">
        <f aca="false">TEXT(B2956,"mmm")</f>
        <v>Feb</v>
      </c>
      <c r="R2956" s="1" t="str">
        <f aca="false">"Q"&amp;ROUNDUP(MONTH(B2956)/3,0)</f>
        <v>Q1</v>
      </c>
    </row>
    <row r="2957" customFormat="false" ht="15" hidden="false" customHeight="true" outlineLevel="0" collapsed="false">
      <c r="A2957" s="1" t="n">
        <v>12956</v>
      </c>
      <c r="B2957" s="14" t="n">
        <v>47517</v>
      </c>
      <c r="C2957" s="1" t="n">
        <v>1803</v>
      </c>
      <c r="D2957" s="1" t="s">
        <v>30</v>
      </c>
      <c r="E2957" s="1" t="s">
        <v>36</v>
      </c>
      <c r="F2957" s="1" t="n">
        <v>5</v>
      </c>
      <c r="G2957" s="15" t="n">
        <v>396.07</v>
      </c>
      <c r="H2957" s="16" t="n">
        <v>0.02</v>
      </c>
      <c r="I2957" s="1" t="s">
        <v>29</v>
      </c>
      <c r="J2957" s="1" t="n">
        <v>5</v>
      </c>
      <c r="K2957" s="1" t="n">
        <v>3.8</v>
      </c>
      <c r="L2957" s="15" t="n">
        <v>1940.74</v>
      </c>
      <c r="M2957" s="15" t="n">
        <f aca="false">F2957*G2957</f>
        <v>1980.35</v>
      </c>
      <c r="N2957" s="15" t="n">
        <f aca="false">M2957-L2957</f>
        <v>39.6099999999999</v>
      </c>
      <c r="O2957" s="1" t="n">
        <f aca="false">YEAR(B2957)</f>
        <v>2030</v>
      </c>
      <c r="P2957" s="1" t="n">
        <f aca="false">MONTH(B2957)</f>
        <v>2</v>
      </c>
      <c r="Q2957" s="1" t="str">
        <f aca="false">TEXT(B2957,"mmm")</f>
        <v>Feb</v>
      </c>
      <c r="R2957" s="1" t="str">
        <f aca="false">"Q"&amp;ROUNDUP(MONTH(B2957)/3,0)</f>
        <v>Q1</v>
      </c>
    </row>
    <row r="2958" customFormat="false" ht="15" hidden="false" customHeight="true" outlineLevel="0" collapsed="false">
      <c r="A2958" s="1" t="n">
        <v>12957</v>
      </c>
      <c r="B2958" s="14" t="n">
        <v>47518</v>
      </c>
      <c r="C2958" s="1" t="n">
        <v>1714</v>
      </c>
      <c r="D2958" s="1" t="s">
        <v>34</v>
      </c>
      <c r="E2958" s="1" t="s">
        <v>28</v>
      </c>
      <c r="F2958" s="1" t="n">
        <v>4</v>
      </c>
      <c r="G2958" s="15" t="n">
        <v>327.92</v>
      </c>
      <c r="H2958" s="16" t="n">
        <v>0.21</v>
      </c>
      <c r="I2958" s="1" t="s">
        <v>29</v>
      </c>
      <c r="J2958" s="1" t="n">
        <v>9</v>
      </c>
      <c r="K2958" s="1" t="n">
        <v>1.9</v>
      </c>
      <c r="L2958" s="15" t="n">
        <v>1036.23</v>
      </c>
      <c r="M2958" s="15" t="n">
        <f aca="false">F2958*G2958</f>
        <v>1311.68</v>
      </c>
      <c r="N2958" s="15" t="n">
        <f aca="false">M2958-L2958</f>
        <v>275.45</v>
      </c>
      <c r="O2958" s="1" t="n">
        <f aca="false">YEAR(B2958)</f>
        <v>2030</v>
      </c>
      <c r="P2958" s="1" t="n">
        <f aca="false">MONTH(B2958)</f>
        <v>2</v>
      </c>
      <c r="Q2958" s="1" t="str">
        <f aca="false">TEXT(B2958,"mmm")</f>
        <v>Feb</v>
      </c>
      <c r="R2958" s="1" t="str">
        <f aca="false">"Q"&amp;ROUNDUP(MONTH(B2958)/3,0)</f>
        <v>Q1</v>
      </c>
    </row>
    <row r="2959" customFormat="false" ht="15" hidden="false" customHeight="true" outlineLevel="0" collapsed="false">
      <c r="A2959" s="1" t="n">
        <v>12958</v>
      </c>
      <c r="B2959" s="14" t="n">
        <v>47519</v>
      </c>
      <c r="C2959" s="1" t="n">
        <v>1050</v>
      </c>
      <c r="D2959" s="1" t="s">
        <v>30</v>
      </c>
      <c r="E2959" s="1" t="s">
        <v>35</v>
      </c>
      <c r="F2959" s="1" t="n">
        <v>5</v>
      </c>
      <c r="G2959" s="15" t="n">
        <v>283.72</v>
      </c>
      <c r="H2959" s="16" t="n">
        <v>0</v>
      </c>
      <c r="I2959" s="1" t="s">
        <v>33</v>
      </c>
      <c r="J2959" s="1" t="n">
        <v>7</v>
      </c>
      <c r="K2959" s="1" t="n">
        <v>4.2</v>
      </c>
      <c r="L2959" s="15" t="n">
        <v>1418.6</v>
      </c>
      <c r="M2959" s="15" t="n">
        <f aca="false">F2959*G2959</f>
        <v>1418.6</v>
      </c>
      <c r="N2959" s="15" t="n">
        <f aca="false">M2959-L2959</f>
        <v>0</v>
      </c>
      <c r="O2959" s="1" t="n">
        <f aca="false">YEAR(B2959)</f>
        <v>2030</v>
      </c>
      <c r="P2959" s="1" t="n">
        <f aca="false">MONTH(B2959)</f>
        <v>2</v>
      </c>
      <c r="Q2959" s="1" t="str">
        <f aca="false">TEXT(B2959,"mmm")</f>
        <v>Feb</v>
      </c>
      <c r="R2959" s="1" t="str">
        <f aca="false">"Q"&amp;ROUNDUP(MONTH(B2959)/3,0)</f>
        <v>Q1</v>
      </c>
    </row>
    <row r="2960" customFormat="false" ht="15" hidden="false" customHeight="true" outlineLevel="0" collapsed="false">
      <c r="A2960" s="1" t="n">
        <v>12959</v>
      </c>
      <c r="B2960" s="14" t="n">
        <v>47520</v>
      </c>
      <c r="C2960" s="1" t="n">
        <v>1782</v>
      </c>
      <c r="D2960" s="1" t="s">
        <v>34</v>
      </c>
      <c r="E2960" s="1" t="s">
        <v>35</v>
      </c>
      <c r="F2960" s="1" t="n">
        <v>1</v>
      </c>
      <c r="G2960" s="15" t="n">
        <v>545.96</v>
      </c>
      <c r="H2960" s="16" t="n">
        <v>0.11</v>
      </c>
      <c r="I2960" s="1" t="s">
        <v>31</v>
      </c>
      <c r="J2960" s="1" t="n">
        <v>5</v>
      </c>
      <c r="K2960" s="1" t="n">
        <v>2.8</v>
      </c>
      <c r="L2960" s="15" t="n">
        <v>485.9</v>
      </c>
      <c r="M2960" s="15" t="n">
        <f aca="false">F2960*G2960</f>
        <v>545.96</v>
      </c>
      <c r="N2960" s="15" t="n">
        <f aca="false">M2960-L2960</f>
        <v>60.0600000000001</v>
      </c>
      <c r="O2960" s="1" t="n">
        <f aca="false">YEAR(B2960)</f>
        <v>2030</v>
      </c>
      <c r="P2960" s="1" t="n">
        <f aca="false">MONTH(B2960)</f>
        <v>2</v>
      </c>
      <c r="Q2960" s="1" t="str">
        <f aca="false">TEXT(B2960,"mmm")</f>
        <v>Feb</v>
      </c>
      <c r="R2960" s="1" t="str">
        <f aca="false">"Q"&amp;ROUNDUP(MONTH(B2960)/3,0)</f>
        <v>Q1</v>
      </c>
    </row>
    <row r="2961" customFormat="false" ht="15" hidden="false" customHeight="true" outlineLevel="0" collapsed="false">
      <c r="A2961" s="1" t="n">
        <v>12960</v>
      </c>
      <c r="B2961" s="14" t="n">
        <v>47521</v>
      </c>
      <c r="C2961" s="1" t="n">
        <v>1323</v>
      </c>
      <c r="D2961" s="1" t="s">
        <v>30</v>
      </c>
      <c r="E2961" s="1" t="s">
        <v>28</v>
      </c>
      <c r="F2961" s="1" t="n">
        <v>1</v>
      </c>
      <c r="G2961" s="15" t="n">
        <v>113.21</v>
      </c>
      <c r="H2961" s="16" t="n">
        <v>0.33</v>
      </c>
      <c r="I2961" s="1" t="s">
        <v>33</v>
      </c>
      <c r="J2961" s="1" t="n">
        <v>6</v>
      </c>
      <c r="K2961" s="1" t="n">
        <v>1.7</v>
      </c>
      <c r="L2961" s="15" t="n">
        <v>75.85</v>
      </c>
      <c r="M2961" s="15" t="n">
        <f aca="false">F2961*G2961</f>
        <v>113.21</v>
      </c>
      <c r="N2961" s="15" t="n">
        <f aca="false">M2961-L2961</f>
        <v>37.36</v>
      </c>
      <c r="O2961" s="1" t="n">
        <f aca="false">YEAR(B2961)</f>
        <v>2030</v>
      </c>
      <c r="P2961" s="1" t="n">
        <f aca="false">MONTH(B2961)</f>
        <v>2</v>
      </c>
      <c r="Q2961" s="1" t="str">
        <f aca="false">TEXT(B2961,"mmm")</f>
        <v>Feb</v>
      </c>
      <c r="R2961" s="1" t="str">
        <f aca="false">"Q"&amp;ROUNDUP(MONTH(B2961)/3,0)</f>
        <v>Q1</v>
      </c>
    </row>
    <row r="2962" customFormat="false" ht="15" hidden="false" customHeight="true" outlineLevel="0" collapsed="false">
      <c r="A2962" s="1" t="n">
        <v>12961</v>
      </c>
      <c r="B2962" s="14" t="n">
        <v>47522</v>
      </c>
      <c r="C2962" s="1" t="n">
        <v>1788</v>
      </c>
      <c r="D2962" s="1" t="s">
        <v>34</v>
      </c>
      <c r="E2962" s="1" t="s">
        <v>28</v>
      </c>
      <c r="F2962" s="1" t="n">
        <v>7</v>
      </c>
      <c r="G2962" s="15" t="n">
        <v>20.65</v>
      </c>
      <c r="H2962" s="16" t="n">
        <v>0.11</v>
      </c>
      <c r="I2962" s="1" t="s">
        <v>31</v>
      </c>
      <c r="J2962" s="1" t="n">
        <v>9</v>
      </c>
      <c r="K2962" s="1" t="n">
        <v>3.6</v>
      </c>
      <c r="L2962" s="15" t="n">
        <v>128.65</v>
      </c>
      <c r="M2962" s="15" t="n">
        <f aca="false">F2962*G2962</f>
        <v>144.55</v>
      </c>
      <c r="N2962" s="15" t="n">
        <f aca="false">M2962-L2962</f>
        <v>15.9</v>
      </c>
      <c r="O2962" s="1" t="n">
        <f aca="false">YEAR(B2962)</f>
        <v>2030</v>
      </c>
      <c r="P2962" s="1" t="n">
        <f aca="false">MONTH(B2962)</f>
        <v>2</v>
      </c>
      <c r="Q2962" s="1" t="str">
        <f aca="false">TEXT(B2962,"mmm")</f>
        <v>Feb</v>
      </c>
      <c r="R2962" s="1" t="str">
        <f aca="false">"Q"&amp;ROUNDUP(MONTH(B2962)/3,0)</f>
        <v>Q1</v>
      </c>
    </row>
    <row r="2963" customFormat="false" ht="15" hidden="false" customHeight="true" outlineLevel="0" collapsed="false">
      <c r="A2963" s="1" t="n">
        <v>12962</v>
      </c>
      <c r="B2963" s="14" t="n">
        <v>47523</v>
      </c>
      <c r="C2963" s="1" t="n">
        <v>1140</v>
      </c>
      <c r="D2963" s="1" t="s">
        <v>30</v>
      </c>
      <c r="E2963" s="1" t="s">
        <v>35</v>
      </c>
      <c r="F2963" s="1" t="n">
        <v>1</v>
      </c>
      <c r="G2963" s="15" t="n">
        <v>57.89</v>
      </c>
      <c r="H2963" s="16" t="n">
        <v>0.33</v>
      </c>
      <c r="I2963" s="1" t="s">
        <v>33</v>
      </c>
      <c r="J2963" s="1" t="n">
        <v>4</v>
      </c>
      <c r="K2963" s="1" t="n">
        <v>3.4</v>
      </c>
      <c r="L2963" s="15" t="n">
        <v>38.79</v>
      </c>
      <c r="M2963" s="15" t="n">
        <f aca="false">F2963*G2963</f>
        <v>57.89</v>
      </c>
      <c r="N2963" s="15" t="n">
        <f aca="false">M2963-L2963</f>
        <v>19.1</v>
      </c>
      <c r="O2963" s="1" t="n">
        <f aca="false">YEAR(B2963)</f>
        <v>2030</v>
      </c>
      <c r="P2963" s="1" t="n">
        <f aca="false">MONTH(B2963)</f>
        <v>2</v>
      </c>
      <c r="Q2963" s="1" t="str">
        <f aca="false">TEXT(B2963,"mmm")</f>
        <v>Feb</v>
      </c>
      <c r="R2963" s="1" t="str">
        <f aca="false">"Q"&amp;ROUNDUP(MONTH(B2963)/3,0)</f>
        <v>Q1</v>
      </c>
    </row>
    <row r="2964" customFormat="false" ht="15" hidden="false" customHeight="true" outlineLevel="0" collapsed="false">
      <c r="A2964" s="1" t="n">
        <v>12963</v>
      </c>
      <c r="B2964" s="14" t="n">
        <v>47524</v>
      </c>
      <c r="C2964" s="1" t="n">
        <v>1469</v>
      </c>
      <c r="D2964" s="1" t="s">
        <v>34</v>
      </c>
      <c r="E2964" s="1" t="s">
        <v>28</v>
      </c>
      <c r="F2964" s="1" t="n">
        <v>1</v>
      </c>
      <c r="G2964" s="15" t="n">
        <v>145.67</v>
      </c>
      <c r="H2964" s="16" t="n">
        <v>0.09</v>
      </c>
      <c r="I2964" s="1" t="s">
        <v>33</v>
      </c>
      <c r="J2964" s="1" t="n">
        <v>2</v>
      </c>
      <c r="K2964" s="1" t="n">
        <v>1.7</v>
      </c>
      <c r="L2964" s="15" t="n">
        <v>132.56</v>
      </c>
      <c r="M2964" s="15" t="n">
        <f aca="false">F2964*G2964</f>
        <v>145.67</v>
      </c>
      <c r="N2964" s="15" t="n">
        <f aca="false">M2964-L2964</f>
        <v>13.11</v>
      </c>
      <c r="O2964" s="1" t="n">
        <f aca="false">YEAR(B2964)</f>
        <v>2030</v>
      </c>
      <c r="P2964" s="1" t="n">
        <f aca="false">MONTH(B2964)</f>
        <v>2</v>
      </c>
      <c r="Q2964" s="1" t="str">
        <f aca="false">TEXT(B2964,"mmm")</f>
        <v>Feb</v>
      </c>
      <c r="R2964" s="1" t="str">
        <f aca="false">"Q"&amp;ROUNDUP(MONTH(B2964)/3,0)</f>
        <v>Q1</v>
      </c>
    </row>
    <row r="2965" customFormat="false" ht="15" hidden="false" customHeight="true" outlineLevel="0" collapsed="false">
      <c r="A2965" s="1" t="n">
        <v>12964</v>
      </c>
      <c r="B2965" s="14" t="n">
        <v>47525</v>
      </c>
      <c r="C2965" s="1" t="n">
        <v>1786</v>
      </c>
      <c r="D2965" s="1" t="s">
        <v>37</v>
      </c>
      <c r="E2965" s="1" t="s">
        <v>35</v>
      </c>
      <c r="F2965" s="1" t="n">
        <v>2</v>
      </c>
      <c r="G2965" s="15" t="n">
        <v>34.47</v>
      </c>
      <c r="H2965" s="16" t="n">
        <v>0.11</v>
      </c>
      <c r="I2965" s="1" t="s">
        <v>33</v>
      </c>
      <c r="J2965" s="1" t="n">
        <v>5</v>
      </c>
      <c r="K2965" s="1" t="n">
        <v>4.5</v>
      </c>
      <c r="L2965" s="15" t="n">
        <v>61.36</v>
      </c>
      <c r="M2965" s="15" t="n">
        <f aca="false">F2965*G2965</f>
        <v>68.94</v>
      </c>
      <c r="N2965" s="15" t="n">
        <f aca="false">M2965-L2965</f>
        <v>7.58</v>
      </c>
      <c r="O2965" s="1" t="n">
        <f aca="false">YEAR(B2965)</f>
        <v>2030</v>
      </c>
      <c r="P2965" s="1" t="n">
        <f aca="false">MONTH(B2965)</f>
        <v>2</v>
      </c>
      <c r="Q2965" s="1" t="str">
        <f aca="false">TEXT(B2965,"mmm")</f>
        <v>Feb</v>
      </c>
      <c r="R2965" s="1" t="str">
        <f aca="false">"Q"&amp;ROUNDUP(MONTH(B2965)/3,0)</f>
        <v>Q1</v>
      </c>
    </row>
    <row r="2966" customFormat="false" ht="15" hidden="false" customHeight="true" outlineLevel="0" collapsed="false">
      <c r="A2966" s="1" t="n">
        <v>12965</v>
      </c>
      <c r="B2966" s="14" t="n">
        <v>47526</v>
      </c>
      <c r="C2966" s="1" t="n">
        <v>1801</v>
      </c>
      <c r="D2966" s="1" t="s">
        <v>37</v>
      </c>
      <c r="E2966" s="1" t="s">
        <v>32</v>
      </c>
      <c r="F2966" s="1" t="n">
        <v>6</v>
      </c>
      <c r="G2966" s="15" t="n">
        <v>309.16</v>
      </c>
      <c r="H2966" s="16" t="n">
        <v>0.22</v>
      </c>
      <c r="I2966" s="1" t="s">
        <v>33</v>
      </c>
      <c r="J2966" s="1" t="n">
        <v>7</v>
      </c>
      <c r="K2966" s="1" t="n">
        <v>4.4</v>
      </c>
      <c r="L2966" s="15" t="n">
        <v>1446.87</v>
      </c>
      <c r="M2966" s="15" t="n">
        <f aca="false">F2966*G2966</f>
        <v>1854.96</v>
      </c>
      <c r="N2966" s="15" t="n">
        <f aca="false">M2966-L2966</f>
        <v>408.09</v>
      </c>
      <c r="O2966" s="1" t="n">
        <f aca="false">YEAR(B2966)</f>
        <v>2030</v>
      </c>
      <c r="P2966" s="1" t="n">
        <f aca="false">MONTH(B2966)</f>
        <v>2</v>
      </c>
      <c r="Q2966" s="1" t="str">
        <f aca="false">TEXT(B2966,"mmm")</f>
        <v>Feb</v>
      </c>
      <c r="R2966" s="1" t="str">
        <f aca="false">"Q"&amp;ROUNDUP(MONTH(B2966)/3,0)</f>
        <v>Q1</v>
      </c>
    </row>
    <row r="2967" customFormat="false" ht="15" hidden="false" customHeight="true" outlineLevel="0" collapsed="false">
      <c r="A2967" s="1" t="n">
        <v>12966</v>
      </c>
      <c r="B2967" s="14" t="n">
        <v>47527</v>
      </c>
      <c r="C2967" s="1" t="n">
        <v>1333</v>
      </c>
      <c r="D2967" s="1" t="s">
        <v>34</v>
      </c>
      <c r="E2967" s="1" t="s">
        <v>32</v>
      </c>
      <c r="F2967" s="1" t="n">
        <v>7</v>
      </c>
      <c r="G2967" s="15" t="n">
        <v>198.74</v>
      </c>
      <c r="H2967" s="16" t="n">
        <v>0.27</v>
      </c>
      <c r="I2967" s="1" t="s">
        <v>33</v>
      </c>
      <c r="J2967" s="1" t="n">
        <v>4</v>
      </c>
      <c r="K2967" s="1" t="n">
        <v>4.3</v>
      </c>
      <c r="L2967" s="15" t="n">
        <v>1015.56</v>
      </c>
      <c r="M2967" s="15" t="n">
        <f aca="false">F2967*G2967</f>
        <v>1391.18</v>
      </c>
      <c r="N2967" s="15" t="n">
        <f aca="false">M2967-L2967</f>
        <v>375.62</v>
      </c>
      <c r="O2967" s="1" t="n">
        <f aca="false">YEAR(B2967)</f>
        <v>2030</v>
      </c>
      <c r="P2967" s="1" t="n">
        <f aca="false">MONTH(B2967)</f>
        <v>2</v>
      </c>
      <c r="Q2967" s="1" t="str">
        <f aca="false">TEXT(B2967,"mmm")</f>
        <v>Feb</v>
      </c>
      <c r="R2967" s="1" t="str">
        <f aca="false">"Q"&amp;ROUNDUP(MONTH(B2967)/3,0)</f>
        <v>Q1</v>
      </c>
    </row>
    <row r="2968" customFormat="false" ht="15" hidden="false" customHeight="true" outlineLevel="0" collapsed="false">
      <c r="A2968" s="1" t="n">
        <v>12967</v>
      </c>
      <c r="B2968" s="14" t="n">
        <v>47528</v>
      </c>
      <c r="C2968" s="1" t="n">
        <v>1892</v>
      </c>
      <c r="D2968" s="1" t="s">
        <v>34</v>
      </c>
      <c r="E2968" s="1" t="s">
        <v>28</v>
      </c>
      <c r="F2968" s="1" t="n">
        <v>7</v>
      </c>
      <c r="G2968" s="15" t="n">
        <v>120.58</v>
      </c>
      <c r="H2968" s="16" t="n">
        <v>0.18</v>
      </c>
      <c r="I2968" s="1" t="s">
        <v>31</v>
      </c>
      <c r="J2968" s="1" t="n">
        <v>1</v>
      </c>
      <c r="K2968" s="1" t="n">
        <v>2.6</v>
      </c>
      <c r="L2968" s="15" t="n">
        <v>692.13</v>
      </c>
      <c r="M2968" s="15" t="n">
        <f aca="false">F2968*G2968</f>
        <v>844.06</v>
      </c>
      <c r="N2968" s="15" t="n">
        <f aca="false">M2968-L2968</f>
        <v>151.93</v>
      </c>
      <c r="O2968" s="1" t="n">
        <f aca="false">YEAR(B2968)</f>
        <v>2030</v>
      </c>
      <c r="P2968" s="1" t="n">
        <f aca="false">MONTH(B2968)</f>
        <v>2</v>
      </c>
      <c r="Q2968" s="1" t="str">
        <f aca="false">TEXT(B2968,"mmm")</f>
        <v>Feb</v>
      </c>
      <c r="R2968" s="1" t="str">
        <f aca="false">"Q"&amp;ROUNDUP(MONTH(B2968)/3,0)</f>
        <v>Q1</v>
      </c>
    </row>
    <row r="2969" customFormat="false" ht="15" hidden="false" customHeight="true" outlineLevel="0" collapsed="false">
      <c r="A2969" s="1" t="n">
        <v>12968</v>
      </c>
      <c r="B2969" s="14" t="n">
        <v>47529</v>
      </c>
      <c r="C2969" s="1" t="n">
        <v>1963</v>
      </c>
      <c r="D2969" s="1" t="s">
        <v>34</v>
      </c>
      <c r="E2969" s="1" t="s">
        <v>28</v>
      </c>
      <c r="F2969" s="1" t="n">
        <v>6</v>
      </c>
      <c r="G2969" s="15" t="n">
        <v>453.8</v>
      </c>
      <c r="H2969" s="16" t="n">
        <v>0.31</v>
      </c>
      <c r="I2969" s="1" t="s">
        <v>33</v>
      </c>
      <c r="J2969" s="1" t="n">
        <v>8</v>
      </c>
      <c r="K2969" s="1" t="n">
        <v>4.3</v>
      </c>
      <c r="L2969" s="15" t="n">
        <v>1878.73</v>
      </c>
      <c r="M2969" s="15" t="n">
        <f aca="false">F2969*G2969</f>
        <v>2722.8</v>
      </c>
      <c r="N2969" s="15" t="n">
        <f aca="false">M2969-L2969</f>
        <v>844.07</v>
      </c>
      <c r="O2969" s="1" t="n">
        <f aca="false">YEAR(B2969)</f>
        <v>2030</v>
      </c>
      <c r="P2969" s="1" t="n">
        <f aca="false">MONTH(B2969)</f>
        <v>2</v>
      </c>
      <c r="Q2969" s="1" t="str">
        <f aca="false">TEXT(B2969,"mmm")</f>
        <v>Feb</v>
      </c>
      <c r="R2969" s="1" t="str">
        <f aca="false">"Q"&amp;ROUNDUP(MONTH(B2969)/3,0)</f>
        <v>Q1</v>
      </c>
    </row>
    <row r="2970" customFormat="false" ht="15" hidden="false" customHeight="true" outlineLevel="0" collapsed="false">
      <c r="A2970" s="1" t="n">
        <v>12969</v>
      </c>
      <c r="B2970" s="14" t="n">
        <v>47530</v>
      </c>
      <c r="C2970" s="1" t="n">
        <v>1372</v>
      </c>
      <c r="D2970" s="1" t="s">
        <v>27</v>
      </c>
      <c r="E2970" s="1" t="s">
        <v>28</v>
      </c>
      <c r="F2970" s="1" t="n">
        <v>2</v>
      </c>
      <c r="G2970" s="15" t="n">
        <v>134.6</v>
      </c>
      <c r="H2970" s="16" t="n">
        <v>0.01</v>
      </c>
      <c r="I2970" s="1" t="s">
        <v>33</v>
      </c>
      <c r="J2970" s="1" t="n">
        <v>5</v>
      </c>
      <c r="K2970" s="1" t="n">
        <v>4.4</v>
      </c>
      <c r="L2970" s="15" t="n">
        <v>266.51</v>
      </c>
      <c r="M2970" s="15" t="n">
        <f aca="false">F2970*G2970</f>
        <v>269.2</v>
      </c>
      <c r="N2970" s="15" t="n">
        <f aca="false">M2970-L2970</f>
        <v>2.69</v>
      </c>
      <c r="O2970" s="1" t="n">
        <f aca="false">YEAR(B2970)</f>
        <v>2030</v>
      </c>
      <c r="P2970" s="1" t="n">
        <f aca="false">MONTH(B2970)</f>
        <v>2</v>
      </c>
      <c r="Q2970" s="1" t="str">
        <f aca="false">TEXT(B2970,"mmm")</f>
        <v>Feb</v>
      </c>
      <c r="R2970" s="1" t="str">
        <f aca="false">"Q"&amp;ROUNDUP(MONTH(B2970)/3,0)</f>
        <v>Q1</v>
      </c>
    </row>
    <row r="2971" customFormat="false" ht="15" hidden="false" customHeight="true" outlineLevel="0" collapsed="false">
      <c r="A2971" s="1" t="n">
        <v>12970</v>
      </c>
      <c r="B2971" s="14" t="n">
        <v>47531</v>
      </c>
      <c r="C2971" s="1" t="n">
        <v>1563</v>
      </c>
      <c r="D2971" s="1" t="s">
        <v>30</v>
      </c>
      <c r="E2971" s="1" t="s">
        <v>35</v>
      </c>
      <c r="F2971" s="1" t="n">
        <v>1</v>
      </c>
      <c r="G2971" s="15" t="n">
        <v>417.25</v>
      </c>
      <c r="H2971" s="16" t="n">
        <v>0.32</v>
      </c>
      <c r="I2971" s="1" t="s">
        <v>31</v>
      </c>
      <c r="J2971" s="1" t="n">
        <v>10</v>
      </c>
      <c r="K2971" s="1" t="n">
        <v>5</v>
      </c>
      <c r="L2971" s="15" t="n">
        <v>283.73</v>
      </c>
      <c r="M2971" s="15" t="n">
        <f aca="false">F2971*G2971</f>
        <v>417.25</v>
      </c>
      <c r="N2971" s="15" t="n">
        <f aca="false">M2971-L2971</f>
        <v>133.52</v>
      </c>
      <c r="O2971" s="1" t="n">
        <f aca="false">YEAR(B2971)</f>
        <v>2030</v>
      </c>
      <c r="P2971" s="1" t="n">
        <f aca="false">MONTH(B2971)</f>
        <v>2</v>
      </c>
      <c r="Q2971" s="1" t="str">
        <f aca="false">TEXT(B2971,"mmm")</f>
        <v>Feb</v>
      </c>
      <c r="R2971" s="1" t="str">
        <f aca="false">"Q"&amp;ROUNDUP(MONTH(B2971)/3,0)</f>
        <v>Q1</v>
      </c>
    </row>
    <row r="2972" customFormat="false" ht="15" hidden="false" customHeight="true" outlineLevel="0" collapsed="false">
      <c r="A2972" s="1" t="n">
        <v>12971</v>
      </c>
      <c r="B2972" s="14" t="n">
        <v>47532</v>
      </c>
      <c r="C2972" s="1" t="n">
        <v>1493</v>
      </c>
      <c r="D2972" s="1" t="s">
        <v>30</v>
      </c>
      <c r="E2972" s="1" t="s">
        <v>32</v>
      </c>
      <c r="F2972" s="1" t="n">
        <v>4</v>
      </c>
      <c r="G2972" s="15" t="n">
        <v>219.32</v>
      </c>
      <c r="H2972" s="16" t="n">
        <v>0.07</v>
      </c>
      <c r="I2972" s="1" t="s">
        <v>31</v>
      </c>
      <c r="J2972" s="1" t="n">
        <v>2</v>
      </c>
      <c r="K2972" s="1" t="n">
        <v>4.8</v>
      </c>
      <c r="L2972" s="15" t="n">
        <v>815.87</v>
      </c>
      <c r="M2972" s="15" t="n">
        <f aca="false">F2972*G2972</f>
        <v>877.28</v>
      </c>
      <c r="N2972" s="15" t="n">
        <f aca="false">M2972-L2972</f>
        <v>61.41</v>
      </c>
      <c r="O2972" s="1" t="n">
        <f aca="false">YEAR(B2972)</f>
        <v>2030</v>
      </c>
      <c r="P2972" s="1" t="n">
        <f aca="false">MONTH(B2972)</f>
        <v>2</v>
      </c>
      <c r="Q2972" s="1" t="str">
        <f aca="false">TEXT(B2972,"mmm")</f>
        <v>Feb</v>
      </c>
      <c r="R2972" s="1" t="str">
        <f aca="false">"Q"&amp;ROUNDUP(MONTH(B2972)/3,0)</f>
        <v>Q1</v>
      </c>
    </row>
    <row r="2973" customFormat="false" ht="15" hidden="false" customHeight="true" outlineLevel="0" collapsed="false">
      <c r="A2973" s="1" t="n">
        <v>12972</v>
      </c>
      <c r="B2973" s="14" t="n">
        <v>47533</v>
      </c>
      <c r="C2973" s="1" t="n">
        <v>1538</v>
      </c>
      <c r="D2973" s="1" t="s">
        <v>34</v>
      </c>
      <c r="E2973" s="1" t="s">
        <v>32</v>
      </c>
      <c r="F2973" s="1" t="n">
        <v>5</v>
      </c>
      <c r="G2973" s="15" t="n">
        <v>314.42</v>
      </c>
      <c r="H2973" s="16" t="n">
        <v>0.31</v>
      </c>
      <c r="I2973" s="1" t="s">
        <v>31</v>
      </c>
      <c r="J2973" s="1" t="n">
        <v>3</v>
      </c>
      <c r="K2973" s="1" t="n">
        <v>2.5</v>
      </c>
      <c r="L2973" s="15" t="n">
        <v>1084.75</v>
      </c>
      <c r="M2973" s="15" t="n">
        <f aca="false">F2973*G2973</f>
        <v>1572.1</v>
      </c>
      <c r="N2973" s="15" t="n">
        <f aca="false">M2973-L2973</f>
        <v>487.35</v>
      </c>
      <c r="O2973" s="1" t="n">
        <f aca="false">YEAR(B2973)</f>
        <v>2030</v>
      </c>
      <c r="P2973" s="1" t="n">
        <f aca="false">MONTH(B2973)</f>
        <v>2</v>
      </c>
      <c r="Q2973" s="1" t="str">
        <f aca="false">TEXT(B2973,"mmm")</f>
        <v>Feb</v>
      </c>
      <c r="R2973" s="1" t="str">
        <f aca="false">"Q"&amp;ROUNDUP(MONTH(B2973)/3,0)</f>
        <v>Q1</v>
      </c>
    </row>
    <row r="2974" customFormat="false" ht="15" hidden="false" customHeight="true" outlineLevel="0" collapsed="false">
      <c r="A2974" s="1" t="n">
        <v>12973</v>
      </c>
      <c r="B2974" s="14" t="n">
        <v>47534</v>
      </c>
      <c r="C2974" s="1" t="n">
        <v>1668</v>
      </c>
      <c r="D2974" s="1" t="s">
        <v>30</v>
      </c>
      <c r="E2974" s="1" t="s">
        <v>36</v>
      </c>
      <c r="F2974" s="1" t="n">
        <v>7</v>
      </c>
      <c r="G2974" s="15" t="n">
        <v>561.31</v>
      </c>
      <c r="H2974" s="16" t="n">
        <v>0.14</v>
      </c>
      <c r="I2974" s="1" t="s">
        <v>31</v>
      </c>
      <c r="J2974" s="1" t="n">
        <v>10</v>
      </c>
      <c r="K2974" s="1" t="n">
        <v>1.8</v>
      </c>
      <c r="L2974" s="15" t="n">
        <v>3379.09</v>
      </c>
      <c r="M2974" s="15" t="n">
        <f aca="false">F2974*G2974</f>
        <v>3929.17</v>
      </c>
      <c r="N2974" s="15" t="n">
        <f aca="false">M2974-L2974</f>
        <v>550.08</v>
      </c>
      <c r="O2974" s="1" t="n">
        <f aca="false">YEAR(B2974)</f>
        <v>2030</v>
      </c>
      <c r="P2974" s="1" t="n">
        <f aca="false">MONTH(B2974)</f>
        <v>2</v>
      </c>
      <c r="Q2974" s="1" t="str">
        <f aca="false">TEXT(B2974,"mmm")</f>
        <v>Feb</v>
      </c>
      <c r="R2974" s="1" t="str">
        <f aca="false">"Q"&amp;ROUNDUP(MONTH(B2974)/3,0)</f>
        <v>Q1</v>
      </c>
    </row>
    <row r="2975" customFormat="false" ht="15" hidden="false" customHeight="true" outlineLevel="0" collapsed="false">
      <c r="A2975" s="1" t="n">
        <v>12974</v>
      </c>
      <c r="B2975" s="14" t="n">
        <v>47535</v>
      </c>
      <c r="C2975" s="1" t="n">
        <v>1750</v>
      </c>
      <c r="D2975" s="1" t="s">
        <v>27</v>
      </c>
      <c r="E2975" s="1" t="s">
        <v>36</v>
      </c>
      <c r="F2975" s="1" t="n">
        <v>6</v>
      </c>
      <c r="G2975" s="15" t="n">
        <v>36.85</v>
      </c>
      <c r="H2975" s="16" t="n">
        <v>0.29</v>
      </c>
      <c r="I2975" s="1" t="s">
        <v>29</v>
      </c>
      <c r="J2975" s="1" t="n">
        <v>10</v>
      </c>
      <c r="K2975" s="1" t="n">
        <v>2.2</v>
      </c>
      <c r="L2975" s="15" t="n">
        <v>156.98</v>
      </c>
      <c r="M2975" s="15" t="n">
        <f aca="false">F2975*G2975</f>
        <v>221.1</v>
      </c>
      <c r="N2975" s="15" t="n">
        <f aca="false">M2975-L2975</f>
        <v>64.12</v>
      </c>
      <c r="O2975" s="1" t="n">
        <f aca="false">YEAR(B2975)</f>
        <v>2030</v>
      </c>
      <c r="P2975" s="1" t="n">
        <f aca="false">MONTH(B2975)</f>
        <v>2</v>
      </c>
      <c r="Q2975" s="1" t="str">
        <f aca="false">TEXT(B2975,"mmm")</f>
        <v>Feb</v>
      </c>
      <c r="R2975" s="1" t="str">
        <f aca="false">"Q"&amp;ROUNDUP(MONTH(B2975)/3,0)</f>
        <v>Q1</v>
      </c>
    </row>
    <row r="2976" customFormat="false" ht="15" hidden="false" customHeight="true" outlineLevel="0" collapsed="false">
      <c r="A2976" s="1" t="n">
        <v>12975</v>
      </c>
      <c r="B2976" s="14" t="n">
        <v>47536</v>
      </c>
      <c r="C2976" s="1" t="n">
        <v>1155</v>
      </c>
      <c r="D2976" s="1" t="s">
        <v>37</v>
      </c>
      <c r="E2976" s="1" t="s">
        <v>28</v>
      </c>
      <c r="F2976" s="1" t="n">
        <v>3</v>
      </c>
      <c r="G2976" s="15" t="n">
        <v>307.65</v>
      </c>
      <c r="H2976" s="16" t="n">
        <v>0.24</v>
      </c>
      <c r="I2976" s="1" t="s">
        <v>31</v>
      </c>
      <c r="J2976" s="1" t="n">
        <v>5</v>
      </c>
      <c r="K2976" s="1" t="n">
        <v>3</v>
      </c>
      <c r="L2976" s="15" t="n">
        <v>701.44</v>
      </c>
      <c r="M2976" s="15" t="n">
        <f aca="false">F2976*G2976</f>
        <v>922.95</v>
      </c>
      <c r="N2976" s="15" t="n">
        <f aca="false">M2976-L2976</f>
        <v>221.51</v>
      </c>
      <c r="O2976" s="1" t="n">
        <f aca="false">YEAR(B2976)</f>
        <v>2030</v>
      </c>
      <c r="P2976" s="1" t="n">
        <f aca="false">MONTH(B2976)</f>
        <v>2</v>
      </c>
      <c r="Q2976" s="1" t="str">
        <f aca="false">TEXT(B2976,"mmm")</f>
        <v>Feb</v>
      </c>
      <c r="R2976" s="1" t="str">
        <f aca="false">"Q"&amp;ROUNDUP(MONTH(B2976)/3,0)</f>
        <v>Q1</v>
      </c>
    </row>
    <row r="2977" customFormat="false" ht="15" hidden="false" customHeight="true" outlineLevel="0" collapsed="false">
      <c r="A2977" s="1" t="n">
        <v>12976</v>
      </c>
      <c r="B2977" s="14" t="n">
        <v>47537</v>
      </c>
      <c r="C2977" s="1" t="n">
        <v>1290</v>
      </c>
      <c r="D2977" s="1" t="s">
        <v>30</v>
      </c>
      <c r="E2977" s="1" t="s">
        <v>35</v>
      </c>
      <c r="F2977" s="1" t="n">
        <v>5</v>
      </c>
      <c r="G2977" s="15" t="n">
        <v>514.84</v>
      </c>
      <c r="H2977" s="16" t="n">
        <v>0.06</v>
      </c>
      <c r="I2977" s="1" t="s">
        <v>33</v>
      </c>
      <c r="J2977" s="1" t="n">
        <v>11</v>
      </c>
      <c r="K2977" s="1" t="n">
        <v>4.2</v>
      </c>
      <c r="L2977" s="15" t="n">
        <v>2419.75</v>
      </c>
      <c r="M2977" s="15" t="n">
        <f aca="false">F2977*G2977</f>
        <v>2574.2</v>
      </c>
      <c r="N2977" s="15" t="n">
        <f aca="false">M2977-L2977</f>
        <v>154.45</v>
      </c>
      <c r="O2977" s="1" t="n">
        <f aca="false">YEAR(B2977)</f>
        <v>2030</v>
      </c>
      <c r="P2977" s="1" t="n">
        <f aca="false">MONTH(B2977)</f>
        <v>2</v>
      </c>
      <c r="Q2977" s="1" t="str">
        <f aca="false">TEXT(B2977,"mmm")</f>
        <v>Feb</v>
      </c>
      <c r="R2977" s="1" t="str">
        <f aca="false">"Q"&amp;ROUNDUP(MONTH(B2977)/3,0)</f>
        <v>Q1</v>
      </c>
    </row>
    <row r="2978" customFormat="false" ht="15" hidden="false" customHeight="true" outlineLevel="0" collapsed="false">
      <c r="A2978" s="1" t="n">
        <v>12977</v>
      </c>
      <c r="B2978" s="14" t="n">
        <v>47538</v>
      </c>
      <c r="C2978" s="1" t="n">
        <v>1647</v>
      </c>
      <c r="D2978" s="1" t="s">
        <v>34</v>
      </c>
      <c r="E2978" s="1" t="s">
        <v>28</v>
      </c>
      <c r="F2978" s="1" t="n">
        <v>3</v>
      </c>
      <c r="G2978" s="15" t="n">
        <v>358.96</v>
      </c>
      <c r="H2978" s="16" t="n">
        <v>0.32</v>
      </c>
      <c r="I2978" s="1" t="s">
        <v>33</v>
      </c>
      <c r="J2978" s="1" t="n">
        <v>4</v>
      </c>
      <c r="K2978" s="1" t="n">
        <v>3.9</v>
      </c>
      <c r="L2978" s="15" t="n">
        <v>732.28</v>
      </c>
      <c r="M2978" s="15" t="n">
        <f aca="false">F2978*G2978</f>
        <v>1076.88</v>
      </c>
      <c r="N2978" s="15" t="n">
        <f aca="false">M2978-L2978</f>
        <v>344.6</v>
      </c>
      <c r="O2978" s="1" t="n">
        <f aca="false">YEAR(B2978)</f>
        <v>2030</v>
      </c>
      <c r="P2978" s="1" t="n">
        <f aca="false">MONTH(B2978)</f>
        <v>2</v>
      </c>
      <c r="Q2978" s="1" t="str">
        <f aca="false">TEXT(B2978,"mmm")</f>
        <v>Feb</v>
      </c>
      <c r="R2978" s="1" t="str">
        <f aca="false">"Q"&amp;ROUNDUP(MONTH(B2978)/3,0)</f>
        <v>Q1</v>
      </c>
    </row>
    <row r="2979" customFormat="false" ht="15" hidden="false" customHeight="true" outlineLevel="0" collapsed="false">
      <c r="A2979" s="1" t="n">
        <v>12978</v>
      </c>
      <c r="B2979" s="14" t="n">
        <v>47539</v>
      </c>
      <c r="C2979" s="1" t="n">
        <v>1143</v>
      </c>
      <c r="D2979" s="1" t="s">
        <v>34</v>
      </c>
      <c r="E2979" s="1" t="s">
        <v>32</v>
      </c>
      <c r="F2979" s="1" t="n">
        <v>3</v>
      </c>
      <c r="G2979" s="15" t="n">
        <v>176.97</v>
      </c>
      <c r="H2979" s="16" t="n">
        <v>0.09</v>
      </c>
      <c r="I2979" s="1" t="s">
        <v>31</v>
      </c>
      <c r="J2979" s="1" t="n">
        <v>9</v>
      </c>
      <c r="K2979" s="1" t="n">
        <v>4.2</v>
      </c>
      <c r="L2979" s="15" t="n">
        <v>483.13</v>
      </c>
      <c r="M2979" s="15" t="n">
        <f aca="false">F2979*G2979</f>
        <v>530.91</v>
      </c>
      <c r="N2979" s="15" t="n">
        <f aca="false">M2979-L2979</f>
        <v>47.78</v>
      </c>
      <c r="O2979" s="1" t="n">
        <f aca="false">YEAR(B2979)</f>
        <v>2030</v>
      </c>
      <c r="P2979" s="1" t="n">
        <f aca="false">MONTH(B2979)</f>
        <v>2</v>
      </c>
      <c r="Q2979" s="1" t="str">
        <f aca="false">TEXT(B2979,"mmm")</f>
        <v>Feb</v>
      </c>
      <c r="R2979" s="1" t="str">
        <f aca="false">"Q"&amp;ROUNDUP(MONTH(B2979)/3,0)</f>
        <v>Q1</v>
      </c>
    </row>
    <row r="2980" customFormat="false" ht="15" hidden="false" customHeight="true" outlineLevel="0" collapsed="false">
      <c r="A2980" s="1" t="n">
        <v>12979</v>
      </c>
      <c r="B2980" s="14" t="n">
        <v>47540</v>
      </c>
      <c r="C2980" s="1" t="n">
        <v>1105</v>
      </c>
      <c r="D2980" s="1" t="s">
        <v>34</v>
      </c>
      <c r="E2980" s="1" t="s">
        <v>28</v>
      </c>
      <c r="F2980" s="1" t="n">
        <v>7</v>
      </c>
      <c r="G2980" s="15" t="n">
        <v>247.64</v>
      </c>
      <c r="H2980" s="16" t="n">
        <v>0.09</v>
      </c>
      <c r="I2980" s="1" t="s">
        <v>29</v>
      </c>
      <c r="J2980" s="1" t="n">
        <v>9</v>
      </c>
      <c r="K2980" s="1" t="n">
        <v>2.5</v>
      </c>
      <c r="L2980" s="15" t="n">
        <v>1577.47</v>
      </c>
      <c r="M2980" s="15" t="n">
        <f aca="false">F2980*G2980</f>
        <v>1733.48</v>
      </c>
      <c r="N2980" s="15" t="n">
        <f aca="false">M2980-L2980</f>
        <v>156.01</v>
      </c>
      <c r="O2980" s="1" t="n">
        <f aca="false">YEAR(B2980)</f>
        <v>2030</v>
      </c>
      <c r="P2980" s="1" t="n">
        <f aca="false">MONTH(B2980)</f>
        <v>2</v>
      </c>
      <c r="Q2980" s="1" t="str">
        <f aca="false">TEXT(B2980,"mmm")</f>
        <v>Feb</v>
      </c>
      <c r="R2980" s="1" t="str">
        <f aca="false">"Q"&amp;ROUNDUP(MONTH(B2980)/3,0)</f>
        <v>Q1</v>
      </c>
    </row>
    <row r="2981" customFormat="false" ht="15" hidden="false" customHeight="true" outlineLevel="0" collapsed="false">
      <c r="A2981" s="1" t="n">
        <v>12980</v>
      </c>
      <c r="B2981" s="14" t="n">
        <v>47541</v>
      </c>
      <c r="C2981" s="1" t="n">
        <v>1419</v>
      </c>
      <c r="D2981" s="1" t="s">
        <v>34</v>
      </c>
      <c r="E2981" s="1" t="s">
        <v>28</v>
      </c>
      <c r="F2981" s="1" t="n">
        <v>1</v>
      </c>
      <c r="G2981" s="15" t="n">
        <v>412.96</v>
      </c>
      <c r="H2981" s="16" t="n">
        <v>0.28</v>
      </c>
      <c r="I2981" s="1" t="s">
        <v>31</v>
      </c>
      <c r="J2981" s="1" t="n">
        <v>8</v>
      </c>
      <c r="K2981" s="1" t="n">
        <v>2</v>
      </c>
      <c r="L2981" s="15" t="n">
        <v>297.33</v>
      </c>
      <c r="M2981" s="15" t="n">
        <f aca="false">F2981*G2981</f>
        <v>412.96</v>
      </c>
      <c r="N2981" s="15" t="n">
        <f aca="false">M2981-L2981</f>
        <v>115.63</v>
      </c>
      <c r="O2981" s="1" t="n">
        <f aca="false">YEAR(B2981)</f>
        <v>2030</v>
      </c>
      <c r="P2981" s="1" t="n">
        <f aca="false">MONTH(B2981)</f>
        <v>2</v>
      </c>
      <c r="Q2981" s="1" t="str">
        <f aca="false">TEXT(B2981,"mmm")</f>
        <v>Feb</v>
      </c>
      <c r="R2981" s="1" t="str">
        <f aca="false">"Q"&amp;ROUNDUP(MONTH(B2981)/3,0)</f>
        <v>Q1</v>
      </c>
    </row>
    <row r="2982" customFormat="false" ht="15" hidden="false" customHeight="true" outlineLevel="0" collapsed="false">
      <c r="A2982" s="1" t="n">
        <v>12981</v>
      </c>
      <c r="B2982" s="14" t="n">
        <v>47542</v>
      </c>
      <c r="C2982" s="1" t="n">
        <v>1669</v>
      </c>
      <c r="D2982" s="1" t="s">
        <v>34</v>
      </c>
      <c r="E2982" s="1" t="s">
        <v>32</v>
      </c>
      <c r="F2982" s="1" t="n">
        <v>3</v>
      </c>
      <c r="G2982" s="15" t="n">
        <v>536.12</v>
      </c>
      <c r="H2982" s="16" t="n">
        <v>0.04</v>
      </c>
      <c r="I2982" s="1" t="s">
        <v>29</v>
      </c>
      <c r="J2982" s="1" t="n">
        <v>2</v>
      </c>
      <c r="K2982" s="1" t="n">
        <v>1.1</v>
      </c>
      <c r="L2982" s="15" t="n">
        <v>1544.03</v>
      </c>
      <c r="M2982" s="15" t="n">
        <f aca="false">F2982*G2982</f>
        <v>1608.36</v>
      </c>
      <c r="N2982" s="15" t="n">
        <f aca="false">M2982-L2982</f>
        <v>64.3300000000002</v>
      </c>
      <c r="O2982" s="1" t="n">
        <f aca="false">YEAR(B2982)</f>
        <v>2030</v>
      </c>
      <c r="P2982" s="1" t="n">
        <f aca="false">MONTH(B2982)</f>
        <v>2</v>
      </c>
      <c r="Q2982" s="1" t="str">
        <f aca="false">TEXT(B2982,"mmm")</f>
        <v>Feb</v>
      </c>
      <c r="R2982" s="1" t="str">
        <f aca="false">"Q"&amp;ROUNDUP(MONTH(B2982)/3,0)</f>
        <v>Q1</v>
      </c>
    </row>
    <row r="2983" customFormat="false" ht="15" hidden="false" customHeight="true" outlineLevel="0" collapsed="false">
      <c r="A2983" s="1" t="n">
        <v>12982</v>
      </c>
      <c r="B2983" s="14" t="n">
        <v>47543</v>
      </c>
      <c r="C2983" s="1" t="n">
        <v>1657</v>
      </c>
      <c r="D2983" s="1" t="s">
        <v>34</v>
      </c>
      <c r="E2983" s="1" t="s">
        <v>32</v>
      </c>
      <c r="F2983" s="1" t="n">
        <v>1</v>
      </c>
      <c r="G2983" s="15" t="n">
        <v>39.02</v>
      </c>
      <c r="H2983" s="16" t="n">
        <v>0.08</v>
      </c>
      <c r="I2983" s="1" t="s">
        <v>31</v>
      </c>
      <c r="J2983" s="1" t="n">
        <v>5</v>
      </c>
      <c r="K2983" s="1" t="n">
        <v>3.5</v>
      </c>
      <c r="L2983" s="15" t="n">
        <v>35.9</v>
      </c>
      <c r="M2983" s="15" t="n">
        <f aca="false">F2983*G2983</f>
        <v>39.02</v>
      </c>
      <c r="N2983" s="15" t="n">
        <f aca="false">M2983-L2983</f>
        <v>3.12</v>
      </c>
      <c r="O2983" s="1" t="n">
        <f aca="false">YEAR(B2983)</f>
        <v>2030</v>
      </c>
      <c r="P2983" s="1" t="n">
        <f aca="false">MONTH(B2983)</f>
        <v>3</v>
      </c>
      <c r="Q2983" s="1" t="str">
        <f aca="false">TEXT(B2983,"mmm")</f>
        <v>Mar</v>
      </c>
      <c r="R2983" s="1" t="str">
        <f aca="false">"Q"&amp;ROUNDUP(MONTH(B2983)/3,0)</f>
        <v>Q1</v>
      </c>
    </row>
    <row r="2984" customFormat="false" ht="15" hidden="false" customHeight="true" outlineLevel="0" collapsed="false">
      <c r="A2984" s="1" t="n">
        <v>12983</v>
      </c>
      <c r="B2984" s="14" t="n">
        <v>47544</v>
      </c>
      <c r="C2984" s="1" t="n">
        <v>1001</v>
      </c>
      <c r="D2984" s="1" t="s">
        <v>30</v>
      </c>
      <c r="E2984" s="1" t="s">
        <v>32</v>
      </c>
      <c r="F2984" s="1" t="n">
        <v>2</v>
      </c>
      <c r="G2984" s="15" t="n">
        <v>56.85</v>
      </c>
      <c r="H2984" s="16" t="n">
        <v>0.18</v>
      </c>
      <c r="I2984" s="1" t="s">
        <v>31</v>
      </c>
      <c r="J2984" s="1" t="n">
        <v>8</v>
      </c>
      <c r="K2984" s="1" t="n">
        <v>4.2</v>
      </c>
      <c r="L2984" s="15" t="n">
        <v>93.23</v>
      </c>
      <c r="M2984" s="15" t="n">
        <f aca="false">F2984*G2984</f>
        <v>113.7</v>
      </c>
      <c r="N2984" s="15" t="n">
        <f aca="false">M2984-L2984</f>
        <v>20.47</v>
      </c>
      <c r="O2984" s="1" t="n">
        <f aca="false">YEAR(B2984)</f>
        <v>2030</v>
      </c>
      <c r="P2984" s="1" t="n">
        <f aca="false">MONTH(B2984)</f>
        <v>3</v>
      </c>
      <c r="Q2984" s="1" t="str">
        <f aca="false">TEXT(B2984,"mmm")</f>
        <v>Mar</v>
      </c>
      <c r="R2984" s="1" t="str">
        <f aca="false">"Q"&amp;ROUNDUP(MONTH(B2984)/3,0)</f>
        <v>Q1</v>
      </c>
    </row>
    <row r="2985" customFormat="false" ht="15" hidden="false" customHeight="true" outlineLevel="0" collapsed="false">
      <c r="A2985" s="1" t="n">
        <v>12984</v>
      </c>
      <c r="B2985" s="14" t="n">
        <v>47545</v>
      </c>
      <c r="C2985" s="1" t="n">
        <v>1944</v>
      </c>
      <c r="D2985" s="1" t="s">
        <v>27</v>
      </c>
      <c r="E2985" s="1" t="s">
        <v>32</v>
      </c>
      <c r="F2985" s="1" t="n">
        <v>4</v>
      </c>
      <c r="G2985" s="15" t="n">
        <v>205.16</v>
      </c>
      <c r="H2985" s="16" t="n">
        <v>0.29</v>
      </c>
      <c r="I2985" s="1" t="s">
        <v>31</v>
      </c>
      <c r="J2985" s="1" t="n">
        <v>8</v>
      </c>
      <c r="K2985" s="1" t="n">
        <v>4.6</v>
      </c>
      <c r="L2985" s="15" t="n">
        <v>582.65</v>
      </c>
      <c r="M2985" s="15" t="n">
        <f aca="false">F2985*G2985</f>
        <v>820.64</v>
      </c>
      <c r="N2985" s="15" t="n">
        <f aca="false">M2985-L2985</f>
        <v>237.99</v>
      </c>
      <c r="O2985" s="1" t="n">
        <f aca="false">YEAR(B2985)</f>
        <v>2030</v>
      </c>
      <c r="P2985" s="1" t="n">
        <f aca="false">MONTH(B2985)</f>
        <v>3</v>
      </c>
      <c r="Q2985" s="1" t="str">
        <f aca="false">TEXT(B2985,"mmm")</f>
        <v>Mar</v>
      </c>
      <c r="R2985" s="1" t="str">
        <f aca="false">"Q"&amp;ROUNDUP(MONTH(B2985)/3,0)</f>
        <v>Q1</v>
      </c>
    </row>
    <row r="2986" customFormat="false" ht="15" hidden="false" customHeight="true" outlineLevel="0" collapsed="false">
      <c r="A2986" s="1" t="n">
        <v>12985</v>
      </c>
      <c r="B2986" s="14" t="n">
        <v>47546</v>
      </c>
      <c r="C2986" s="1" t="n">
        <v>1588</v>
      </c>
      <c r="D2986" s="1" t="s">
        <v>30</v>
      </c>
      <c r="E2986" s="1" t="s">
        <v>36</v>
      </c>
      <c r="F2986" s="1" t="n">
        <v>3</v>
      </c>
      <c r="G2986" s="15" t="n">
        <v>151.18</v>
      </c>
      <c r="H2986" s="16" t="n">
        <v>0.05</v>
      </c>
      <c r="I2986" s="1" t="s">
        <v>31</v>
      </c>
      <c r="J2986" s="1" t="n">
        <v>7</v>
      </c>
      <c r="K2986" s="1" t="n">
        <v>2.9</v>
      </c>
      <c r="L2986" s="15" t="n">
        <v>430.86</v>
      </c>
      <c r="M2986" s="15" t="n">
        <f aca="false">F2986*G2986</f>
        <v>453.54</v>
      </c>
      <c r="N2986" s="15" t="n">
        <f aca="false">M2986-L2986</f>
        <v>22.68</v>
      </c>
      <c r="O2986" s="1" t="n">
        <f aca="false">YEAR(B2986)</f>
        <v>2030</v>
      </c>
      <c r="P2986" s="1" t="n">
        <f aca="false">MONTH(B2986)</f>
        <v>3</v>
      </c>
      <c r="Q2986" s="1" t="str">
        <f aca="false">TEXT(B2986,"mmm")</f>
        <v>Mar</v>
      </c>
      <c r="R2986" s="1" t="str">
        <f aca="false">"Q"&amp;ROUNDUP(MONTH(B2986)/3,0)</f>
        <v>Q1</v>
      </c>
    </row>
    <row r="2987" customFormat="false" ht="15" hidden="false" customHeight="true" outlineLevel="0" collapsed="false">
      <c r="A2987" s="1" t="n">
        <v>12986</v>
      </c>
      <c r="B2987" s="14" t="n">
        <v>47547</v>
      </c>
      <c r="C2987" s="1" t="n">
        <v>1643</v>
      </c>
      <c r="D2987" s="1" t="s">
        <v>37</v>
      </c>
      <c r="E2987" s="1" t="s">
        <v>35</v>
      </c>
      <c r="F2987" s="1" t="n">
        <v>7</v>
      </c>
      <c r="G2987" s="15" t="n">
        <v>169.98</v>
      </c>
      <c r="H2987" s="16" t="n">
        <v>0.19</v>
      </c>
      <c r="I2987" s="1" t="s">
        <v>29</v>
      </c>
      <c r="J2987" s="1" t="n">
        <v>4</v>
      </c>
      <c r="K2987" s="1" t="n">
        <v>4.7</v>
      </c>
      <c r="L2987" s="15" t="n">
        <v>963.79</v>
      </c>
      <c r="M2987" s="15" t="n">
        <f aca="false">F2987*G2987</f>
        <v>1189.86</v>
      </c>
      <c r="N2987" s="15" t="n">
        <f aca="false">M2987-L2987</f>
        <v>226.07</v>
      </c>
      <c r="O2987" s="1" t="n">
        <f aca="false">YEAR(B2987)</f>
        <v>2030</v>
      </c>
      <c r="P2987" s="1" t="n">
        <f aca="false">MONTH(B2987)</f>
        <v>3</v>
      </c>
      <c r="Q2987" s="1" t="str">
        <f aca="false">TEXT(B2987,"mmm")</f>
        <v>Mar</v>
      </c>
      <c r="R2987" s="1" t="str">
        <f aca="false">"Q"&amp;ROUNDUP(MONTH(B2987)/3,0)</f>
        <v>Q1</v>
      </c>
    </row>
    <row r="2988" customFormat="false" ht="15" hidden="false" customHeight="true" outlineLevel="0" collapsed="false">
      <c r="A2988" s="1" t="n">
        <v>12987</v>
      </c>
      <c r="B2988" s="14" t="n">
        <v>47548</v>
      </c>
      <c r="C2988" s="1" t="n">
        <v>1089</v>
      </c>
      <c r="D2988" s="1" t="s">
        <v>37</v>
      </c>
      <c r="E2988" s="1" t="s">
        <v>35</v>
      </c>
      <c r="F2988" s="1" t="n">
        <v>4</v>
      </c>
      <c r="G2988" s="15" t="n">
        <v>144.44</v>
      </c>
      <c r="H2988" s="16" t="n">
        <v>0.25</v>
      </c>
      <c r="I2988" s="1" t="s">
        <v>31</v>
      </c>
      <c r="J2988" s="1" t="n">
        <v>3</v>
      </c>
      <c r="K2988" s="1" t="n">
        <v>1.8</v>
      </c>
      <c r="L2988" s="15" t="n">
        <v>433.32</v>
      </c>
      <c r="M2988" s="15" t="n">
        <f aca="false">F2988*G2988</f>
        <v>577.76</v>
      </c>
      <c r="N2988" s="15" t="n">
        <f aca="false">M2988-L2988</f>
        <v>144.44</v>
      </c>
      <c r="O2988" s="1" t="n">
        <f aca="false">YEAR(B2988)</f>
        <v>2030</v>
      </c>
      <c r="P2988" s="1" t="n">
        <f aca="false">MONTH(B2988)</f>
        <v>3</v>
      </c>
      <c r="Q2988" s="1" t="str">
        <f aca="false">TEXT(B2988,"mmm")</f>
        <v>Mar</v>
      </c>
      <c r="R2988" s="1" t="str">
        <f aca="false">"Q"&amp;ROUNDUP(MONTH(B2988)/3,0)</f>
        <v>Q1</v>
      </c>
    </row>
    <row r="2989" customFormat="false" ht="15" hidden="false" customHeight="true" outlineLevel="0" collapsed="false">
      <c r="A2989" s="1" t="n">
        <v>12988</v>
      </c>
      <c r="B2989" s="14" t="n">
        <v>47549</v>
      </c>
      <c r="C2989" s="1" t="n">
        <v>1344</v>
      </c>
      <c r="D2989" s="1" t="s">
        <v>34</v>
      </c>
      <c r="E2989" s="1" t="s">
        <v>32</v>
      </c>
      <c r="F2989" s="1" t="n">
        <v>1</v>
      </c>
      <c r="G2989" s="15" t="n">
        <v>129.56</v>
      </c>
      <c r="H2989" s="16" t="n">
        <v>0.3</v>
      </c>
      <c r="I2989" s="1" t="s">
        <v>33</v>
      </c>
      <c r="J2989" s="1" t="n">
        <v>8</v>
      </c>
      <c r="K2989" s="1" t="n">
        <v>3.1</v>
      </c>
      <c r="L2989" s="15" t="n">
        <v>90.69</v>
      </c>
      <c r="M2989" s="15" t="n">
        <f aca="false">F2989*G2989</f>
        <v>129.56</v>
      </c>
      <c r="N2989" s="15" t="n">
        <f aca="false">M2989-L2989</f>
        <v>38.87</v>
      </c>
      <c r="O2989" s="1" t="n">
        <f aca="false">YEAR(B2989)</f>
        <v>2030</v>
      </c>
      <c r="P2989" s="1" t="n">
        <f aca="false">MONTH(B2989)</f>
        <v>3</v>
      </c>
      <c r="Q2989" s="1" t="str">
        <f aca="false">TEXT(B2989,"mmm")</f>
        <v>Mar</v>
      </c>
      <c r="R2989" s="1" t="str">
        <f aca="false">"Q"&amp;ROUNDUP(MONTH(B2989)/3,0)</f>
        <v>Q1</v>
      </c>
    </row>
    <row r="2990" customFormat="false" ht="15" hidden="false" customHeight="true" outlineLevel="0" collapsed="false">
      <c r="A2990" s="1" t="n">
        <v>12989</v>
      </c>
      <c r="B2990" s="14" t="n">
        <v>47550</v>
      </c>
      <c r="C2990" s="1" t="n">
        <v>1349</v>
      </c>
      <c r="D2990" s="1" t="s">
        <v>37</v>
      </c>
      <c r="E2990" s="1" t="s">
        <v>35</v>
      </c>
      <c r="F2990" s="1" t="n">
        <v>3</v>
      </c>
      <c r="G2990" s="15" t="n">
        <v>91.42</v>
      </c>
      <c r="H2990" s="16" t="n">
        <v>0.33</v>
      </c>
      <c r="I2990" s="1" t="s">
        <v>31</v>
      </c>
      <c r="J2990" s="1" t="n">
        <v>8</v>
      </c>
      <c r="K2990" s="1" t="n">
        <v>1.9</v>
      </c>
      <c r="L2990" s="15" t="n">
        <v>183.75</v>
      </c>
      <c r="M2990" s="15" t="n">
        <f aca="false">F2990*G2990</f>
        <v>274.26</v>
      </c>
      <c r="N2990" s="15" t="n">
        <f aca="false">M2990-L2990</f>
        <v>90.51</v>
      </c>
      <c r="O2990" s="1" t="n">
        <f aca="false">YEAR(B2990)</f>
        <v>2030</v>
      </c>
      <c r="P2990" s="1" t="n">
        <f aca="false">MONTH(B2990)</f>
        <v>3</v>
      </c>
      <c r="Q2990" s="1" t="str">
        <f aca="false">TEXT(B2990,"mmm")</f>
        <v>Mar</v>
      </c>
      <c r="R2990" s="1" t="str">
        <f aca="false">"Q"&amp;ROUNDUP(MONTH(B2990)/3,0)</f>
        <v>Q1</v>
      </c>
    </row>
    <row r="2991" customFormat="false" ht="15" hidden="false" customHeight="true" outlineLevel="0" collapsed="false">
      <c r="A2991" s="1" t="n">
        <v>12990</v>
      </c>
      <c r="B2991" s="14" t="n">
        <v>47551</v>
      </c>
      <c r="C2991" s="1" t="n">
        <v>1458</v>
      </c>
      <c r="D2991" s="1" t="s">
        <v>34</v>
      </c>
      <c r="E2991" s="1" t="s">
        <v>35</v>
      </c>
      <c r="F2991" s="1" t="n">
        <v>5</v>
      </c>
      <c r="G2991" s="15" t="n">
        <v>561.36</v>
      </c>
      <c r="H2991" s="16" t="n">
        <v>0.27</v>
      </c>
      <c r="I2991" s="1" t="s">
        <v>29</v>
      </c>
      <c r="J2991" s="1" t="n">
        <v>10</v>
      </c>
      <c r="K2991" s="1" t="n">
        <v>1.8</v>
      </c>
      <c r="L2991" s="15" t="n">
        <v>2048.96</v>
      </c>
      <c r="M2991" s="15" t="n">
        <f aca="false">F2991*G2991</f>
        <v>2806.8</v>
      </c>
      <c r="N2991" s="15" t="n">
        <f aca="false">M2991-L2991</f>
        <v>757.84</v>
      </c>
      <c r="O2991" s="1" t="n">
        <f aca="false">YEAR(B2991)</f>
        <v>2030</v>
      </c>
      <c r="P2991" s="1" t="n">
        <f aca="false">MONTH(B2991)</f>
        <v>3</v>
      </c>
      <c r="Q2991" s="1" t="str">
        <f aca="false">TEXT(B2991,"mmm")</f>
        <v>Mar</v>
      </c>
      <c r="R2991" s="1" t="str">
        <f aca="false">"Q"&amp;ROUNDUP(MONTH(B2991)/3,0)</f>
        <v>Q1</v>
      </c>
    </row>
    <row r="2992" customFormat="false" ht="15" hidden="false" customHeight="true" outlineLevel="0" collapsed="false">
      <c r="A2992" s="1" t="n">
        <v>12991</v>
      </c>
      <c r="B2992" s="14" t="n">
        <v>47552</v>
      </c>
      <c r="C2992" s="1" t="n">
        <v>1262</v>
      </c>
      <c r="D2992" s="1" t="s">
        <v>30</v>
      </c>
      <c r="E2992" s="1" t="s">
        <v>35</v>
      </c>
      <c r="F2992" s="1" t="n">
        <v>7</v>
      </c>
      <c r="G2992" s="15" t="n">
        <v>99.35</v>
      </c>
      <c r="H2992" s="16" t="n">
        <v>0.23</v>
      </c>
      <c r="I2992" s="1" t="s">
        <v>33</v>
      </c>
      <c r="J2992" s="1" t="n">
        <v>5</v>
      </c>
      <c r="K2992" s="1" t="n">
        <v>4.8</v>
      </c>
      <c r="L2992" s="15" t="n">
        <v>535.5</v>
      </c>
      <c r="M2992" s="15" t="n">
        <f aca="false">F2992*G2992</f>
        <v>695.45</v>
      </c>
      <c r="N2992" s="15" t="n">
        <f aca="false">M2992-L2992</f>
        <v>159.95</v>
      </c>
      <c r="O2992" s="1" t="n">
        <f aca="false">YEAR(B2992)</f>
        <v>2030</v>
      </c>
      <c r="P2992" s="1" t="n">
        <f aca="false">MONTH(B2992)</f>
        <v>3</v>
      </c>
      <c r="Q2992" s="1" t="str">
        <f aca="false">TEXT(B2992,"mmm")</f>
        <v>Mar</v>
      </c>
      <c r="R2992" s="1" t="str">
        <f aca="false">"Q"&amp;ROUNDUP(MONTH(B2992)/3,0)</f>
        <v>Q1</v>
      </c>
    </row>
    <row r="2993" customFormat="false" ht="15" hidden="false" customHeight="true" outlineLevel="0" collapsed="false">
      <c r="A2993" s="1" t="n">
        <v>12992</v>
      </c>
      <c r="B2993" s="14" t="n">
        <v>47553</v>
      </c>
      <c r="C2993" s="1" t="n">
        <v>1350</v>
      </c>
      <c r="D2993" s="1" t="s">
        <v>34</v>
      </c>
      <c r="E2993" s="1" t="s">
        <v>35</v>
      </c>
      <c r="F2993" s="1" t="n">
        <v>2</v>
      </c>
      <c r="G2993" s="15" t="n">
        <v>134.58</v>
      </c>
      <c r="H2993" s="16" t="n">
        <v>0.15</v>
      </c>
      <c r="I2993" s="1" t="s">
        <v>33</v>
      </c>
      <c r="J2993" s="1" t="n">
        <v>3</v>
      </c>
      <c r="K2993" s="1" t="n">
        <v>4.3</v>
      </c>
      <c r="L2993" s="15" t="n">
        <v>228.79</v>
      </c>
      <c r="M2993" s="15" t="n">
        <f aca="false">F2993*G2993</f>
        <v>269.16</v>
      </c>
      <c r="N2993" s="15" t="n">
        <f aca="false">M2993-L2993</f>
        <v>40.37</v>
      </c>
      <c r="O2993" s="1" t="n">
        <f aca="false">YEAR(B2993)</f>
        <v>2030</v>
      </c>
      <c r="P2993" s="1" t="n">
        <f aca="false">MONTH(B2993)</f>
        <v>3</v>
      </c>
      <c r="Q2993" s="1" t="str">
        <f aca="false">TEXT(B2993,"mmm")</f>
        <v>Mar</v>
      </c>
      <c r="R2993" s="1" t="str">
        <f aca="false">"Q"&amp;ROUNDUP(MONTH(B2993)/3,0)</f>
        <v>Q1</v>
      </c>
    </row>
    <row r="2994" customFormat="false" ht="15" hidden="false" customHeight="true" outlineLevel="0" collapsed="false">
      <c r="A2994" s="1" t="n">
        <v>12993</v>
      </c>
      <c r="B2994" s="14" t="n">
        <v>47554</v>
      </c>
      <c r="C2994" s="1" t="n">
        <v>1107</v>
      </c>
      <c r="D2994" s="1" t="s">
        <v>27</v>
      </c>
      <c r="E2994" s="1" t="s">
        <v>32</v>
      </c>
      <c r="F2994" s="1" t="n">
        <v>6</v>
      </c>
      <c r="G2994" s="15" t="n">
        <v>159.07</v>
      </c>
      <c r="H2994" s="16" t="n">
        <v>0.04</v>
      </c>
      <c r="I2994" s="1" t="s">
        <v>31</v>
      </c>
      <c r="J2994" s="1" t="n">
        <v>5</v>
      </c>
      <c r="K2994" s="1" t="n">
        <v>1</v>
      </c>
      <c r="L2994" s="15" t="n">
        <v>916.24</v>
      </c>
      <c r="M2994" s="15" t="n">
        <f aca="false">F2994*G2994</f>
        <v>954.42</v>
      </c>
      <c r="N2994" s="15" t="n">
        <f aca="false">M2994-L2994</f>
        <v>38.18</v>
      </c>
      <c r="O2994" s="1" t="n">
        <f aca="false">YEAR(B2994)</f>
        <v>2030</v>
      </c>
      <c r="P2994" s="1" t="n">
        <f aca="false">MONTH(B2994)</f>
        <v>3</v>
      </c>
      <c r="Q2994" s="1" t="str">
        <f aca="false">TEXT(B2994,"mmm")</f>
        <v>Mar</v>
      </c>
      <c r="R2994" s="1" t="str">
        <f aca="false">"Q"&amp;ROUNDUP(MONTH(B2994)/3,0)</f>
        <v>Q1</v>
      </c>
    </row>
    <row r="2995" customFormat="false" ht="15" hidden="false" customHeight="true" outlineLevel="0" collapsed="false">
      <c r="A2995" s="1" t="n">
        <v>12994</v>
      </c>
      <c r="B2995" s="14" t="n">
        <v>47555</v>
      </c>
      <c r="C2995" s="1" t="n">
        <v>1585</v>
      </c>
      <c r="D2995" s="1" t="s">
        <v>34</v>
      </c>
      <c r="E2995" s="1" t="s">
        <v>28</v>
      </c>
      <c r="F2995" s="1" t="n">
        <v>2</v>
      </c>
      <c r="G2995" s="15" t="n">
        <v>560.81</v>
      </c>
      <c r="H2995" s="16" t="n">
        <v>0.25</v>
      </c>
      <c r="I2995" s="1" t="s">
        <v>33</v>
      </c>
      <c r="J2995" s="1" t="n">
        <v>4</v>
      </c>
      <c r="K2995" s="1" t="n">
        <v>2.1</v>
      </c>
      <c r="L2995" s="15" t="n">
        <v>841.21</v>
      </c>
      <c r="M2995" s="15" t="n">
        <f aca="false">F2995*G2995</f>
        <v>1121.62</v>
      </c>
      <c r="N2995" s="15" t="n">
        <f aca="false">M2995-L2995</f>
        <v>280.41</v>
      </c>
      <c r="O2995" s="1" t="n">
        <f aca="false">YEAR(B2995)</f>
        <v>2030</v>
      </c>
      <c r="P2995" s="1" t="n">
        <f aca="false">MONTH(B2995)</f>
        <v>3</v>
      </c>
      <c r="Q2995" s="1" t="str">
        <f aca="false">TEXT(B2995,"mmm")</f>
        <v>Mar</v>
      </c>
      <c r="R2995" s="1" t="str">
        <f aca="false">"Q"&amp;ROUNDUP(MONTH(B2995)/3,0)</f>
        <v>Q1</v>
      </c>
    </row>
    <row r="2996" customFormat="false" ht="15" hidden="false" customHeight="true" outlineLevel="0" collapsed="false">
      <c r="A2996" s="1" t="n">
        <v>12995</v>
      </c>
      <c r="B2996" s="14" t="n">
        <v>47556</v>
      </c>
      <c r="C2996" s="1" t="n">
        <v>1038</v>
      </c>
      <c r="D2996" s="1" t="s">
        <v>34</v>
      </c>
      <c r="E2996" s="1" t="s">
        <v>28</v>
      </c>
      <c r="F2996" s="1" t="n">
        <v>3</v>
      </c>
      <c r="G2996" s="15" t="n">
        <v>457.09</v>
      </c>
      <c r="H2996" s="16" t="n">
        <v>0.35</v>
      </c>
      <c r="I2996" s="1" t="s">
        <v>31</v>
      </c>
      <c r="J2996" s="1" t="n">
        <v>8</v>
      </c>
      <c r="K2996" s="1" t="n">
        <v>1.8</v>
      </c>
      <c r="L2996" s="15" t="n">
        <v>891.33</v>
      </c>
      <c r="M2996" s="15" t="n">
        <f aca="false">F2996*G2996</f>
        <v>1371.27</v>
      </c>
      <c r="N2996" s="15" t="n">
        <f aca="false">M2996-L2996</f>
        <v>479.94</v>
      </c>
      <c r="O2996" s="1" t="n">
        <f aca="false">YEAR(B2996)</f>
        <v>2030</v>
      </c>
      <c r="P2996" s="1" t="n">
        <f aca="false">MONTH(B2996)</f>
        <v>3</v>
      </c>
      <c r="Q2996" s="1" t="str">
        <f aca="false">TEXT(B2996,"mmm")</f>
        <v>Mar</v>
      </c>
      <c r="R2996" s="1" t="str">
        <f aca="false">"Q"&amp;ROUNDUP(MONTH(B2996)/3,0)</f>
        <v>Q1</v>
      </c>
    </row>
    <row r="2997" customFormat="false" ht="15" hidden="false" customHeight="true" outlineLevel="0" collapsed="false">
      <c r="A2997" s="1" t="n">
        <v>12996</v>
      </c>
      <c r="B2997" s="14" t="n">
        <v>47557</v>
      </c>
      <c r="C2997" s="1" t="n">
        <v>1908</v>
      </c>
      <c r="D2997" s="1" t="s">
        <v>27</v>
      </c>
      <c r="E2997" s="1" t="s">
        <v>28</v>
      </c>
      <c r="F2997" s="1" t="n">
        <v>7</v>
      </c>
      <c r="G2997" s="15" t="n">
        <v>476.97</v>
      </c>
      <c r="H2997" s="16" t="n">
        <v>0.26</v>
      </c>
      <c r="I2997" s="1" t="s">
        <v>31</v>
      </c>
      <c r="J2997" s="1" t="n">
        <v>2</v>
      </c>
      <c r="K2997" s="1" t="n">
        <v>1.6</v>
      </c>
      <c r="L2997" s="15" t="n">
        <v>2470.7</v>
      </c>
      <c r="M2997" s="15" t="n">
        <f aca="false">F2997*G2997</f>
        <v>3338.79</v>
      </c>
      <c r="N2997" s="15" t="n">
        <f aca="false">M2997-L2997</f>
        <v>868.09</v>
      </c>
      <c r="O2997" s="1" t="n">
        <f aca="false">YEAR(B2997)</f>
        <v>2030</v>
      </c>
      <c r="P2997" s="1" t="n">
        <f aca="false">MONTH(B2997)</f>
        <v>3</v>
      </c>
      <c r="Q2997" s="1" t="str">
        <f aca="false">TEXT(B2997,"mmm")</f>
        <v>Mar</v>
      </c>
      <c r="R2997" s="1" t="str">
        <f aca="false">"Q"&amp;ROUNDUP(MONTH(B2997)/3,0)</f>
        <v>Q1</v>
      </c>
    </row>
    <row r="2998" customFormat="false" ht="15" hidden="false" customHeight="true" outlineLevel="0" collapsed="false">
      <c r="A2998" s="1" t="n">
        <v>12997</v>
      </c>
      <c r="B2998" s="14" t="n">
        <v>47558</v>
      </c>
      <c r="C2998" s="1" t="n">
        <v>1158</v>
      </c>
      <c r="D2998" s="1" t="s">
        <v>34</v>
      </c>
      <c r="E2998" s="1" t="s">
        <v>36</v>
      </c>
      <c r="F2998" s="1" t="n">
        <v>2</v>
      </c>
      <c r="G2998" s="15" t="n">
        <v>76.28</v>
      </c>
      <c r="H2998" s="16" t="n">
        <v>0.01</v>
      </c>
      <c r="I2998" s="1" t="s">
        <v>33</v>
      </c>
      <c r="J2998" s="1" t="n">
        <v>11</v>
      </c>
      <c r="K2998" s="1" t="n">
        <v>3.8</v>
      </c>
      <c r="L2998" s="15" t="n">
        <v>151.03</v>
      </c>
      <c r="M2998" s="15" t="n">
        <f aca="false">F2998*G2998</f>
        <v>152.56</v>
      </c>
      <c r="N2998" s="15" t="n">
        <f aca="false">M2998-L2998</f>
        <v>1.53</v>
      </c>
      <c r="O2998" s="1" t="n">
        <f aca="false">YEAR(B2998)</f>
        <v>2030</v>
      </c>
      <c r="P2998" s="1" t="n">
        <f aca="false">MONTH(B2998)</f>
        <v>3</v>
      </c>
      <c r="Q2998" s="1" t="str">
        <f aca="false">TEXT(B2998,"mmm")</f>
        <v>Mar</v>
      </c>
      <c r="R2998" s="1" t="str">
        <f aca="false">"Q"&amp;ROUNDUP(MONTH(B2998)/3,0)</f>
        <v>Q1</v>
      </c>
    </row>
    <row r="2999" customFormat="false" ht="15" hidden="false" customHeight="true" outlineLevel="0" collapsed="false">
      <c r="A2999" s="1" t="n">
        <v>12998</v>
      </c>
      <c r="B2999" s="14" t="n">
        <v>47559</v>
      </c>
      <c r="C2999" s="1" t="n">
        <v>1582</v>
      </c>
      <c r="D2999" s="1" t="s">
        <v>37</v>
      </c>
      <c r="E2999" s="1" t="s">
        <v>35</v>
      </c>
      <c r="F2999" s="1" t="n">
        <v>6</v>
      </c>
      <c r="G2999" s="15" t="n">
        <v>504.24</v>
      </c>
      <c r="H2999" s="16" t="n">
        <v>0.17</v>
      </c>
      <c r="I2999" s="1" t="s">
        <v>29</v>
      </c>
      <c r="J2999" s="1" t="n">
        <v>8</v>
      </c>
      <c r="K2999" s="1" t="n">
        <v>3.3</v>
      </c>
      <c r="L2999" s="15" t="n">
        <v>2511.12</v>
      </c>
      <c r="M2999" s="15" t="n">
        <f aca="false">F2999*G2999</f>
        <v>3025.44</v>
      </c>
      <c r="N2999" s="15" t="n">
        <f aca="false">M2999-L2999</f>
        <v>514.32</v>
      </c>
      <c r="O2999" s="1" t="n">
        <f aca="false">YEAR(B2999)</f>
        <v>2030</v>
      </c>
      <c r="P2999" s="1" t="n">
        <f aca="false">MONTH(B2999)</f>
        <v>3</v>
      </c>
      <c r="Q2999" s="1" t="str">
        <f aca="false">TEXT(B2999,"mmm")</f>
        <v>Mar</v>
      </c>
      <c r="R2999" s="1" t="str">
        <f aca="false">"Q"&amp;ROUNDUP(MONTH(B2999)/3,0)</f>
        <v>Q1</v>
      </c>
    </row>
    <row r="3000" customFormat="false" ht="15" hidden="false" customHeight="true" outlineLevel="0" collapsed="false">
      <c r="A3000" s="1" t="n">
        <v>12999</v>
      </c>
      <c r="B3000" s="14" t="n">
        <v>47560</v>
      </c>
      <c r="C3000" s="1" t="n">
        <v>1958</v>
      </c>
      <c r="D3000" s="1" t="s">
        <v>37</v>
      </c>
      <c r="E3000" s="1" t="s">
        <v>32</v>
      </c>
      <c r="F3000" s="1" t="n">
        <v>5</v>
      </c>
      <c r="G3000" s="15" t="n">
        <v>253.79</v>
      </c>
      <c r="H3000" s="16" t="n">
        <v>0.22</v>
      </c>
      <c r="I3000" s="1" t="s">
        <v>29</v>
      </c>
      <c r="J3000" s="1" t="n">
        <v>10</v>
      </c>
      <c r="K3000" s="1" t="n">
        <v>2.8</v>
      </c>
      <c r="L3000" s="15" t="n">
        <v>989.78</v>
      </c>
      <c r="M3000" s="15" t="n">
        <f aca="false">F3000*G3000</f>
        <v>1268.95</v>
      </c>
      <c r="N3000" s="15" t="n">
        <f aca="false">M3000-L3000</f>
        <v>279.17</v>
      </c>
      <c r="O3000" s="1" t="n">
        <f aca="false">YEAR(B3000)</f>
        <v>2030</v>
      </c>
      <c r="P3000" s="1" t="n">
        <f aca="false">MONTH(B3000)</f>
        <v>3</v>
      </c>
      <c r="Q3000" s="1" t="str">
        <f aca="false">TEXT(B3000,"mmm")</f>
        <v>Mar</v>
      </c>
      <c r="R3000" s="1" t="str">
        <f aca="false">"Q"&amp;ROUNDUP(MONTH(B3000)/3,0)</f>
        <v>Q1</v>
      </c>
    </row>
    <row r="3001" customFormat="false" ht="15" hidden="false" customHeight="true" outlineLevel="0" collapsed="false">
      <c r="A3001" s="1" t="n">
        <v>13000</v>
      </c>
      <c r="B3001" s="14" t="n">
        <v>47561</v>
      </c>
      <c r="C3001" s="1" t="n">
        <v>1311</v>
      </c>
      <c r="D3001" s="1" t="s">
        <v>37</v>
      </c>
      <c r="E3001" s="1" t="s">
        <v>32</v>
      </c>
      <c r="F3001" s="1" t="n">
        <v>4</v>
      </c>
      <c r="G3001" s="15" t="n">
        <v>168.75</v>
      </c>
      <c r="H3001" s="16" t="n">
        <v>0.24</v>
      </c>
      <c r="I3001" s="1" t="s">
        <v>33</v>
      </c>
      <c r="J3001" s="1" t="n">
        <v>6</v>
      </c>
      <c r="K3001" s="1" t="n">
        <v>1.8</v>
      </c>
      <c r="L3001" s="15" t="n">
        <v>513</v>
      </c>
      <c r="M3001" s="15" t="n">
        <f aca="false">F3001*G3001</f>
        <v>675</v>
      </c>
      <c r="N3001" s="15" t="n">
        <f aca="false">M3001-L3001</f>
        <v>162</v>
      </c>
      <c r="O3001" s="1" t="n">
        <f aca="false">YEAR(B3001)</f>
        <v>2030</v>
      </c>
      <c r="P3001" s="1" t="n">
        <f aca="false">MONTH(B3001)</f>
        <v>3</v>
      </c>
      <c r="Q3001" s="1" t="str">
        <f aca="false">TEXT(B3001,"mmm")</f>
        <v>Mar</v>
      </c>
      <c r="R3001" s="1" t="str">
        <f aca="false">"Q"&amp;ROUNDUP(MONTH(B3001)/3,0)</f>
        <v>Q1</v>
      </c>
    </row>
    <row r="3002" customFormat="false" ht="15" hidden="false" customHeight="true" outlineLevel="0" collapsed="false">
      <c r="A3002" s="1" t="n">
        <v>13001</v>
      </c>
      <c r="B3002" s="14" t="n">
        <v>47562</v>
      </c>
      <c r="C3002" s="1" t="n">
        <v>1240</v>
      </c>
      <c r="D3002" s="1" t="s">
        <v>27</v>
      </c>
      <c r="E3002" s="1" t="s">
        <v>36</v>
      </c>
      <c r="F3002" s="1" t="n">
        <v>5</v>
      </c>
      <c r="G3002" s="15" t="n">
        <v>351.81</v>
      </c>
      <c r="H3002" s="16" t="n">
        <v>0.25</v>
      </c>
      <c r="I3002" s="1" t="s">
        <v>33</v>
      </c>
      <c r="J3002" s="1" t="n">
        <v>4</v>
      </c>
      <c r="K3002" s="1" t="n">
        <v>2.1</v>
      </c>
      <c r="L3002" s="15" t="n">
        <v>1319.29</v>
      </c>
      <c r="M3002" s="15" t="n">
        <f aca="false">F3002*G3002</f>
        <v>1759.05</v>
      </c>
      <c r="N3002" s="15" t="n">
        <f aca="false">M3002-L3002</f>
        <v>439.76</v>
      </c>
      <c r="O3002" s="1" t="n">
        <f aca="false">YEAR(B3002)</f>
        <v>2030</v>
      </c>
      <c r="P3002" s="1" t="n">
        <f aca="false">MONTH(B3002)</f>
        <v>3</v>
      </c>
      <c r="Q3002" s="1" t="str">
        <f aca="false">TEXT(B3002,"mmm")</f>
        <v>Mar</v>
      </c>
      <c r="R3002" s="1" t="str">
        <f aca="false">"Q"&amp;ROUNDUP(MONTH(B3002)/3,0)</f>
        <v>Q1</v>
      </c>
    </row>
    <row r="3003" customFormat="false" ht="15" hidden="false" customHeight="true" outlineLevel="0" collapsed="false">
      <c r="A3003" s="1" t="n">
        <v>13002</v>
      </c>
      <c r="B3003" s="14" t="n">
        <v>47563</v>
      </c>
      <c r="C3003" s="1" t="n">
        <v>1937</v>
      </c>
      <c r="D3003" s="1" t="s">
        <v>27</v>
      </c>
      <c r="E3003" s="1" t="s">
        <v>32</v>
      </c>
      <c r="F3003" s="1" t="n">
        <v>2</v>
      </c>
      <c r="G3003" s="15" t="n">
        <v>495.98</v>
      </c>
      <c r="H3003" s="16" t="n">
        <v>0.2</v>
      </c>
      <c r="I3003" s="1" t="s">
        <v>29</v>
      </c>
      <c r="J3003" s="1" t="n">
        <v>11</v>
      </c>
      <c r="K3003" s="1" t="n">
        <v>2.4</v>
      </c>
      <c r="L3003" s="15" t="n">
        <v>793.57</v>
      </c>
      <c r="M3003" s="15" t="n">
        <f aca="false">F3003*G3003</f>
        <v>991.96</v>
      </c>
      <c r="N3003" s="15" t="n">
        <f aca="false">M3003-L3003</f>
        <v>198.39</v>
      </c>
      <c r="O3003" s="1" t="n">
        <f aca="false">YEAR(B3003)</f>
        <v>2030</v>
      </c>
      <c r="P3003" s="1" t="n">
        <f aca="false">MONTH(B3003)</f>
        <v>3</v>
      </c>
      <c r="Q3003" s="1" t="str">
        <f aca="false">TEXT(B3003,"mmm")</f>
        <v>Mar</v>
      </c>
      <c r="R3003" s="1" t="str">
        <f aca="false">"Q"&amp;ROUNDUP(MONTH(B3003)/3,0)</f>
        <v>Q1</v>
      </c>
    </row>
    <row r="3004" customFormat="false" ht="15" hidden="false" customHeight="true" outlineLevel="0" collapsed="false">
      <c r="A3004" s="1" t="n">
        <v>13003</v>
      </c>
      <c r="B3004" s="14" t="n">
        <v>47564</v>
      </c>
      <c r="C3004" s="1" t="n">
        <v>1444</v>
      </c>
      <c r="D3004" s="1" t="s">
        <v>34</v>
      </c>
      <c r="E3004" s="1" t="s">
        <v>28</v>
      </c>
      <c r="F3004" s="1" t="n">
        <v>6</v>
      </c>
      <c r="G3004" s="15" t="n">
        <v>470.51</v>
      </c>
      <c r="H3004" s="16" t="n">
        <v>0.08</v>
      </c>
      <c r="I3004" s="1" t="s">
        <v>33</v>
      </c>
      <c r="J3004" s="1" t="n">
        <v>3</v>
      </c>
      <c r="K3004" s="1" t="n">
        <v>4.1</v>
      </c>
      <c r="L3004" s="15" t="n">
        <v>2597.22</v>
      </c>
      <c r="M3004" s="15" t="n">
        <f aca="false">F3004*G3004</f>
        <v>2823.06</v>
      </c>
      <c r="N3004" s="15" t="n">
        <f aca="false">M3004-L3004</f>
        <v>225.84</v>
      </c>
      <c r="O3004" s="1" t="n">
        <f aca="false">YEAR(B3004)</f>
        <v>2030</v>
      </c>
      <c r="P3004" s="1" t="n">
        <f aca="false">MONTH(B3004)</f>
        <v>3</v>
      </c>
      <c r="Q3004" s="1" t="str">
        <f aca="false">TEXT(B3004,"mmm")</f>
        <v>Mar</v>
      </c>
      <c r="R3004" s="1" t="str">
        <f aca="false">"Q"&amp;ROUNDUP(MONTH(B3004)/3,0)</f>
        <v>Q1</v>
      </c>
    </row>
    <row r="3005" customFormat="false" ht="15" hidden="false" customHeight="true" outlineLevel="0" collapsed="false">
      <c r="A3005" s="1" t="n">
        <v>13004</v>
      </c>
      <c r="B3005" s="14" t="n">
        <v>47565</v>
      </c>
      <c r="C3005" s="1" t="n">
        <v>1297</v>
      </c>
      <c r="D3005" s="1" t="s">
        <v>37</v>
      </c>
      <c r="E3005" s="1" t="s">
        <v>36</v>
      </c>
      <c r="F3005" s="1" t="n">
        <v>4</v>
      </c>
      <c r="G3005" s="15" t="n">
        <v>535.65</v>
      </c>
      <c r="H3005" s="16" t="n">
        <v>0.33</v>
      </c>
      <c r="I3005" s="1" t="s">
        <v>31</v>
      </c>
      <c r="J3005" s="1" t="n">
        <v>10</v>
      </c>
      <c r="K3005" s="1" t="n">
        <v>5</v>
      </c>
      <c r="L3005" s="15" t="n">
        <v>1435.54</v>
      </c>
      <c r="M3005" s="15" t="n">
        <f aca="false">F3005*G3005</f>
        <v>2142.6</v>
      </c>
      <c r="N3005" s="15" t="n">
        <f aca="false">M3005-L3005</f>
        <v>707.06</v>
      </c>
      <c r="O3005" s="1" t="n">
        <f aca="false">YEAR(B3005)</f>
        <v>2030</v>
      </c>
      <c r="P3005" s="1" t="n">
        <f aca="false">MONTH(B3005)</f>
        <v>3</v>
      </c>
      <c r="Q3005" s="1" t="str">
        <f aca="false">TEXT(B3005,"mmm")</f>
        <v>Mar</v>
      </c>
      <c r="R3005" s="1" t="str">
        <f aca="false">"Q"&amp;ROUNDUP(MONTH(B3005)/3,0)</f>
        <v>Q1</v>
      </c>
    </row>
    <row r="3006" customFormat="false" ht="15" hidden="false" customHeight="true" outlineLevel="0" collapsed="false">
      <c r="A3006" s="1" t="n">
        <v>13005</v>
      </c>
      <c r="B3006" s="14" t="n">
        <v>47566</v>
      </c>
      <c r="C3006" s="1" t="n">
        <v>1951</v>
      </c>
      <c r="D3006" s="1" t="s">
        <v>30</v>
      </c>
      <c r="E3006" s="1" t="s">
        <v>32</v>
      </c>
      <c r="F3006" s="1" t="n">
        <v>7</v>
      </c>
      <c r="G3006" s="15" t="n">
        <v>557.96</v>
      </c>
      <c r="H3006" s="16" t="n">
        <v>0.24</v>
      </c>
      <c r="I3006" s="1" t="s">
        <v>29</v>
      </c>
      <c r="J3006" s="1" t="n">
        <v>5</v>
      </c>
      <c r="K3006" s="1" t="n">
        <v>1.7</v>
      </c>
      <c r="L3006" s="15" t="n">
        <v>2968.35</v>
      </c>
      <c r="M3006" s="15" t="n">
        <f aca="false">F3006*G3006</f>
        <v>3905.72</v>
      </c>
      <c r="N3006" s="15" t="n">
        <f aca="false">M3006-L3006</f>
        <v>937.37</v>
      </c>
      <c r="O3006" s="1" t="n">
        <f aca="false">YEAR(B3006)</f>
        <v>2030</v>
      </c>
      <c r="P3006" s="1" t="n">
        <f aca="false">MONTH(B3006)</f>
        <v>3</v>
      </c>
      <c r="Q3006" s="1" t="str">
        <f aca="false">TEXT(B3006,"mmm")</f>
        <v>Mar</v>
      </c>
      <c r="R3006" s="1" t="str">
        <f aca="false">"Q"&amp;ROUNDUP(MONTH(B3006)/3,0)</f>
        <v>Q1</v>
      </c>
    </row>
    <row r="3007" customFormat="false" ht="15" hidden="false" customHeight="true" outlineLevel="0" collapsed="false">
      <c r="A3007" s="1" t="n">
        <v>13006</v>
      </c>
      <c r="B3007" s="14" t="n">
        <v>47567</v>
      </c>
      <c r="C3007" s="1" t="n">
        <v>1035</v>
      </c>
      <c r="D3007" s="1" t="s">
        <v>30</v>
      </c>
      <c r="E3007" s="1" t="s">
        <v>36</v>
      </c>
      <c r="F3007" s="1" t="n">
        <v>6</v>
      </c>
      <c r="G3007" s="15" t="n">
        <v>154.3</v>
      </c>
      <c r="H3007" s="16" t="n">
        <v>0.08</v>
      </c>
      <c r="I3007" s="1" t="s">
        <v>31</v>
      </c>
      <c r="J3007" s="1" t="n">
        <v>6</v>
      </c>
      <c r="K3007" s="1" t="n">
        <v>2.4</v>
      </c>
      <c r="L3007" s="15" t="n">
        <v>851.74</v>
      </c>
      <c r="M3007" s="15" t="n">
        <f aca="false">F3007*G3007</f>
        <v>925.8</v>
      </c>
      <c r="N3007" s="15" t="n">
        <f aca="false">M3007-L3007</f>
        <v>74.0600000000001</v>
      </c>
      <c r="O3007" s="1" t="n">
        <f aca="false">YEAR(B3007)</f>
        <v>2030</v>
      </c>
      <c r="P3007" s="1" t="n">
        <f aca="false">MONTH(B3007)</f>
        <v>3</v>
      </c>
      <c r="Q3007" s="1" t="str">
        <f aca="false">TEXT(B3007,"mmm")</f>
        <v>Mar</v>
      </c>
      <c r="R3007" s="1" t="str">
        <f aca="false">"Q"&amp;ROUNDUP(MONTH(B3007)/3,0)</f>
        <v>Q1</v>
      </c>
    </row>
    <row r="3008" customFormat="false" ht="15" hidden="false" customHeight="true" outlineLevel="0" collapsed="false">
      <c r="A3008" s="1" t="n">
        <v>13007</v>
      </c>
      <c r="B3008" s="14" t="n">
        <v>47568</v>
      </c>
      <c r="C3008" s="1" t="n">
        <v>1083</v>
      </c>
      <c r="D3008" s="1" t="s">
        <v>34</v>
      </c>
      <c r="E3008" s="1" t="s">
        <v>36</v>
      </c>
      <c r="F3008" s="1" t="n">
        <v>5</v>
      </c>
      <c r="G3008" s="15" t="n">
        <v>262.96</v>
      </c>
      <c r="H3008" s="16" t="n">
        <v>0.11</v>
      </c>
      <c r="I3008" s="1" t="s">
        <v>31</v>
      </c>
      <c r="J3008" s="1" t="n">
        <v>1</v>
      </c>
      <c r="K3008" s="1" t="n">
        <v>2.1</v>
      </c>
      <c r="L3008" s="15" t="n">
        <v>1170.17</v>
      </c>
      <c r="M3008" s="15" t="n">
        <f aca="false">F3008*G3008</f>
        <v>1314.8</v>
      </c>
      <c r="N3008" s="15" t="n">
        <f aca="false">M3008-L3008</f>
        <v>144.63</v>
      </c>
      <c r="O3008" s="1" t="n">
        <f aca="false">YEAR(B3008)</f>
        <v>2030</v>
      </c>
      <c r="P3008" s="1" t="n">
        <f aca="false">MONTH(B3008)</f>
        <v>3</v>
      </c>
      <c r="Q3008" s="1" t="str">
        <f aca="false">TEXT(B3008,"mmm")</f>
        <v>Mar</v>
      </c>
      <c r="R3008" s="1" t="str">
        <f aca="false">"Q"&amp;ROUNDUP(MONTH(B3008)/3,0)</f>
        <v>Q1</v>
      </c>
    </row>
    <row r="3009" customFormat="false" ht="15" hidden="false" customHeight="true" outlineLevel="0" collapsed="false">
      <c r="A3009" s="1" t="n">
        <v>13008</v>
      </c>
      <c r="B3009" s="14" t="n">
        <v>47569</v>
      </c>
      <c r="C3009" s="1" t="n">
        <v>1451</v>
      </c>
      <c r="D3009" s="1" t="s">
        <v>37</v>
      </c>
      <c r="E3009" s="1" t="s">
        <v>32</v>
      </c>
      <c r="F3009" s="1" t="n">
        <v>1</v>
      </c>
      <c r="G3009" s="15" t="n">
        <v>23.56</v>
      </c>
      <c r="H3009" s="16" t="n">
        <v>0.32</v>
      </c>
      <c r="I3009" s="1" t="s">
        <v>33</v>
      </c>
      <c r="J3009" s="1" t="n">
        <v>1</v>
      </c>
      <c r="K3009" s="1" t="n">
        <v>1.2</v>
      </c>
      <c r="L3009" s="15" t="n">
        <v>16.02</v>
      </c>
      <c r="M3009" s="15" t="n">
        <f aca="false">F3009*G3009</f>
        <v>23.56</v>
      </c>
      <c r="N3009" s="15" t="n">
        <f aca="false">M3009-L3009</f>
        <v>7.54</v>
      </c>
      <c r="O3009" s="1" t="n">
        <f aca="false">YEAR(B3009)</f>
        <v>2030</v>
      </c>
      <c r="P3009" s="1" t="n">
        <f aca="false">MONTH(B3009)</f>
        <v>3</v>
      </c>
      <c r="Q3009" s="1" t="str">
        <f aca="false">TEXT(B3009,"mmm")</f>
        <v>Mar</v>
      </c>
      <c r="R3009" s="1" t="str">
        <f aca="false">"Q"&amp;ROUNDUP(MONTH(B3009)/3,0)</f>
        <v>Q1</v>
      </c>
    </row>
    <row r="3010" customFormat="false" ht="15" hidden="false" customHeight="true" outlineLevel="0" collapsed="false">
      <c r="A3010" s="1" t="n">
        <v>13009</v>
      </c>
      <c r="B3010" s="14" t="n">
        <v>47570</v>
      </c>
      <c r="C3010" s="1" t="n">
        <v>1885</v>
      </c>
      <c r="D3010" s="1" t="s">
        <v>27</v>
      </c>
      <c r="E3010" s="1" t="s">
        <v>28</v>
      </c>
      <c r="F3010" s="1" t="n">
        <v>1</v>
      </c>
      <c r="G3010" s="15" t="n">
        <v>529.4</v>
      </c>
      <c r="H3010" s="16" t="n">
        <v>0.31</v>
      </c>
      <c r="I3010" s="1" t="s">
        <v>31</v>
      </c>
      <c r="J3010" s="1" t="n">
        <v>11</v>
      </c>
      <c r="K3010" s="1" t="n">
        <v>1.9</v>
      </c>
      <c r="L3010" s="15" t="n">
        <v>365.29</v>
      </c>
      <c r="M3010" s="15" t="n">
        <f aca="false">F3010*G3010</f>
        <v>529.4</v>
      </c>
      <c r="N3010" s="15" t="n">
        <f aca="false">M3010-L3010</f>
        <v>164.11</v>
      </c>
      <c r="O3010" s="1" t="n">
        <f aca="false">YEAR(B3010)</f>
        <v>2030</v>
      </c>
      <c r="P3010" s="1" t="n">
        <f aca="false">MONTH(B3010)</f>
        <v>3</v>
      </c>
      <c r="Q3010" s="1" t="str">
        <f aca="false">TEXT(B3010,"mmm")</f>
        <v>Mar</v>
      </c>
      <c r="R3010" s="1" t="str">
        <f aca="false">"Q"&amp;ROUNDUP(MONTH(B3010)/3,0)</f>
        <v>Q1</v>
      </c>
    </row>
    <row r="3011" customFormat="false" ht="15" hidden="false" customHeight="true" outlineLevel="0" collapsed="false">
      <c r="A3011" s="1" t="n">
        <v>13010</v>
      </c>
      <c r="B3011" s="14" t="n">
        <v>47571</v>
      </c>
      <c r="C3011" s="1" t="n">
        <v>1774</v>
      </c>
      <c r="D3011" s="1" t="s">
        <v>27</v>
      </c>
      <c r="E3011" s="1" t="s">
        <v>32</v>
      </c>
      <c r="F3011" s="1" t="n">
        <v>4</v>
      </c>
      <c r="G3011" s="15" t="n">
        <v>105.42</v>
      </c>
      <c r="H3011" s="16" t="n">
        <v>0.14</v>
      </c>
      <c r="I3011" s="1" t="s">
        <v>31</v>
      </c>
      <c r="J3011" s="1" t="n">
        <v>10</v>
      </c>
      <c r="K3011" s="1" t="n">
        <v>4.6</v>
      </c>
      <c r="L3011" s="15" t="n">
        <v>362.64</v>
      </c>
      <c r="M3011" s="15" t="n">
        <f aca="false">F3011*G3011</f>
        <v>421.68</v>
      </c>
      <c r="N3011" s="15" t="n">
        <f aca="false">M3011-L3011</f>
        <v>59.04</v>
      </c>
      <c r="O3011" s="1" t="n">
        <f aca="false">YEAR(B3011)</f>
        <v>2030</v>
      </c>
      <c r="P3011" s="1" t="n">
        <f aca="false">MONTH(B3011)</f>
        <v>3</v>
      </c>
      <c r="Q3011" s="1" t="str">
        <f aca="false">TEXT(B3011,"mmm")</f>
        <v>Mar</v>
      </c>
      <c r="R3011" s="1" t="str">
        <f aca="false">"Q"&amp;ROUNDUP(MONTH(B3011)/3,0)</f>
        <v>Q1</v>
      </c>
    </row>
    <row r="3012" customFormat="false" ht="15" hidden="false" customHeight="true" outlineLevel="0" collapsed="false">
      <c r="A3012" s="1" t="n">
        <v>13011</v>
      </c>
      <c r="B3012" s="14" t="n">
        <v>47572</v>
      </c>
      <c r="C3012" s="1" t="n">
        <v>1821</v>
      </c>
      <c r="D3012" s="1" t="s">
        <v>30</v>
      </c>
      <c r="E3012" s="1" t="s">
        <v>35</v>
      </c>
      <c r="F3012" s="1" t="n">
        <v>4</v>
      </c>
      <c r="G3012" s="15" t="n">
        <v>518.96</v>
      </c>
      <c r="H3012" s="16" t="n">
        <v>0.01</v>
      </c>
      <c r="I3012" s="1" t="s">
        <v>31</v>
      </c>
      <c r="J3012" s="1" t="n">
        <v>3</v>
      </c>
      <c r="K3012" s="1" t="n">
        <v>4.4</v>
      </c>
      <c r="L3012" s="15" t="n">
        <v>2055.08</v>
      </c>
      <c r="M3012" s="15" t="n">
        <f aca="false">F3012*G3012</f>
        <v>2075.84</v>
      </c>
      <c r="N3012" s="15" t="n">
        <f aca="false">M3012-L3012</f>
        <v>20.7600000000002</v>
      </c>
      <c r="O3012" s="1" t="n">
        <f aca="false">YEAR(B3012)</f>
        <v>2030</v>
      </c>
      <c r="P3012" s="1" t="n">
        <f aca="false">MONTH(B3012)</f>
        <v>3</v>
      </c>
      <c r="Q3012" s="1" t="str">
        <f aca="false">TEXT(B3012,"mmm")</f>
        <v>Mar</v>
      </c>
      <c r="R3012" s="1" t="str">
        <f aca="false">"Q"&amp;ROUNDUP(MONTH(B3012)/3,0)</f>
        <v>Q1</v>
      </c>
    </row>
    <row r="3013" customFormat="false" ht="15" hidden="false" customHeight="true" outlineLevel="0" collapsed="false">
      <c r="A3013" s="1" t="n">
        <v>13012</v>
      </c>
      <c r="B3013" s="14" t="n">
        <v>47573</v>
      </c>
      <c r="C3013" s="1" t="n">
        <v>1384</v>
      </c>
      <c r="D3013" s="1" t="s">
        <v>34</v>
      </c>
      <c r="E3013" s="1" t="s">
        <v>35</v>
      </c>
      <c r="F3013" s="1" t="n">
        <v>4</v>
      </c>
      <c r="G3013" s="15" t="n">
        <v>207.69</v>
      </c>
      <c r="H3013" s="16" t="n">
        <v>0.02</v>
      </c>
      <c r="I3013" s="1" t="s">
        <v>33</v>
      </c>
      <c r="J3013" s="1" t="n">
        <v>2</v>
      </c>
      <c r="K3013" s="1" t="n">
        <v>1.7</v>
      </c>
      <c r="L3013" s="15" t="n">
        <v>814.14</v>
      </c>
      <c r="M3013" s="15" t="n">
        <f aca="false">F3013*G3013</f>
        <v>830.76</v>
      </c>
      <c r="N3013" s="15" t="n">
        <f aca="false">M3013-L3013</f>
        <v>16.62</v>
      </c>
      <c r="O3013" s="1" t="n">
        <f aca="false">YEAR(B3013)</f>
        <v>2030</v>
      </c>
      <c r="P3013" s="1" t="n">
        <f aca="false">MONTH(B3013)</f>
        <v>3</v>
      </c>
      <c r="Q3013" s="1" t="str">
        <f aca="false">TEXT(B3013,"mmm")</f>
        <v>Mar</v>
      </c>
      <c r="R3013" s="1" t="str">
        <f aca="false">"Q"&amp;ROUNDUP(MONTH(B3013)/3,0)</f>
        <v>Q1</v>
      </c>
    </row>
    <row r="3014" customFormat="false" ht="15" hidden="false" customHeight="true" outlineLevel="0" collapsed="false">
      <c r="A3014" s="1" t="n">
        <v>13013</v>
      </c>
      <c r="B3014" s="14" t="n">
        <v>47574</v>
      </c>
      <c r="C3014" s="1" t="n">
        <v>1171</v>
      </c>
      <c r="D3014" s="1" t="s">
        <v>30</v>
      </c>
      <c r="E3014" s="1" t="s">
        <v>32</v>
      </c>
      <c r="F3014" s="1" t="n">
        <v>1</v>
      </c>
      <c r="G3014" s="15" t="n">
        <v>230.36</v>
      </c>
      <c r="H3014" s="16" t="n">
        <v>0.1</v>
      </c>
      <c r="I3014" s="1" t="s">
        <v>29</v>
      </c>
      <c r="J3014" s="1" t="n">
        <v>1</v>
      </c>
      <c r="K3014" s="1" t="n">
        <v>2.5</v>
      </c>
      <c r="L3014" s="15" t="n">
        <v>207.32</v>
      </c>
      <c r="M3014" s="15" t="n">
        <f aca="false">F3014*G3014</f>
        <v>230.36</v>
      </c>
      <c r="N3014" s="15" t="n">
        <f aca="false">M3014-L3014</f>
        <v>23.04</v>
      </c>
      <c r="O3014" s="1" t="n">
        <f aca="false">YEAR(B3014)</f>
        <v>2030</v>
      </c>
      <c r="P3014" s="1" t="n">
        <f aca="false">MONTH(B3014)</f>
        <v>4</v>
      </c>
      <c r="Q3014" s="1" t="str">
        <f aca="false">TEXT(B3014,"mmm")</f>
        <v>Apr</v>
      </c>
      <c r="R3014" s="1" t="str">
        <f aca="false">"Q"&amp;ROUNDUP(MONTH(B3014)/3,0)</f>
        <v>Q2</v>
      </c>
    </row>
    <row r="3015" customFormat="false" ht="15" hidden="false" customHeight="true" outlineLevel="0" collapsed="false">
      <c r="A3015" s="1" t="n">
        <v>13014</v>
      </c>
      <c r="B3015" s="14" t="n">
        <v>47575</v>
      </c>
      <c r="C3015" s="1" t="n">
        <v>1375</v>
      </c>
      <c r="D3015" s="1" t="s">
        <v>37</v>
      </c>
      <c r="E3015" s="1" t="s">
        <v>28</v>
      </c>
      <c r="F3015" s="1" t="n">
        <v>5</v>
      </c>
      <c r="G3015" s="15" t="n">
        <v>37.89</v>
      </c>
      <c r="H3015" s="16" t="n">
        <v>0.22</v>
      </c>
      <c r="I3015" s="1" t="s">
        <v>31</v>
      </c>
      <c r="J3015" s="1" t="n">
        <v>11</v>
      </c>
      <c r="K3015" s="1" t="n">
        <v>2.2</v>
      </c>
      <c r="L3015" s="15" t="n">
        <v>147.77</v>
      </c>
      <c r="M3015" s="15" t="n">
        <f aca="false">F3015*G3015</f>
        <v>189.45</v>
      </c>
      <c r="N3015" s="15" t="n">
        <f aca="false">M3015-L3015</f>
        <v>41.68</v>
      </c>
      <c r="O3015" s="1" t="n">
        <f aca="false">YEAR(B3015)</f>
        <v>2030</v>
      </c>
      <c r="P3015" s="1" t="n">
        <f aca="false">MONTH(B3015)</f>
        <v>4</v>
      </c>
      <c r="Q3015" s="1" t="str">
        <f aca="false">TEXT(B3015,"mmm")</f>
        <v>Apr</v>
      </c>
      <c r="R3015" s="1" t="str">
        <f aca="false">"Q"&amp;ROUNDUP(MONTH(B3015)/3,0)</f>
        <v>Q2</v>
      </c>
    </row>
    <row r="3016" customFormat="false" ht="15" hidden="false" customHeight="true" outlineLevel="0" collapsed="false">
      <c r="A3016" s="1" t="n">
        <v>13015</v>
      </c>
      <c r="B3016" s="14" t="n">
        <v>47576</v>
      </c>
      <c r="C3016" s="1" t="n">
        <v>1684</v>
      </c>
      <c r="D3016" s="1" t="s">
        <v>37</v>
      </c>
      <c r="E3016" s="1" t="s">
        <v>35</v>
      </c>
      <c r="F3016" s="1" t="n">
        <v>4</v>
      </c>
      <c r="G3016" s="15" t="n">
        <v>206.22</v>
      </c>
      <c r="H3016" s="16" t="n">
        <v>0.2</v>
      </c>
      <c r="I3016" s="1" t="s">
        <v>31</v>
      </c>
      <c r="J3016" s="1" t="n">
        <v>8</v>
      </c>
      <c r="K3016" s="1" t="n">
        <v>1.6</v>
      </c>
      <c r="L3016" s="15" t="n">
        <v>659.9</v>
      </c>
      <c r="M3016" s="15" t="n">
        <f aca="false">F3016*G3016</f>
        <v>824.88</v>
      </c>
      <c r="N3016" s="15" t="n">
        <f aca="false">M3016-L3016</f>
        <v>164.98</v>
      </c>
      <c r="O3016" s="1" t="n">
        <f aca="false">YEAR(B3016)</f>
        <v>2030</v>
      </c>
      <c r="P3016" s="1" t="n">
        <f aca="false">MONTH(B3016)</f>
        <v>4</v>
      </c>
      <c r="Q3016" s="1" t="str">
        <f aca="false">TEXT(B3016,"mmm")</f>
        <v>Apr</v>
      </c>
      <c r="R3016" s="1" t="str">
        <f aca="false">"Q"&amp;ROUNDUP(MONTH(B3016)/3,0)</f>
        <v>Q2</v>
      </c>
    </row>
    <row r="3017" customFormat="false" ht="15" hidden="false" customHeight="true" outlineLevel="0" collapsed="false">
      <c r="A3017" s="1" t="n">
        <v>13016</v>
      </c>
      <c r="B3017" s="14" t="n">
        <v>47577</v>
      </c>
      <c r="C3017" s="1" t="n">
        <v>1361</v>
      </c>
      <c r="D3017" s="1" t="s">
        <v>30</v>
      </c>
      <c r="E3017" s="1" t="s">
        <v>35</v>
      </c>
      <c r="F3017" s="1" t="n">
        <v>1</v>
      </c>
      <c r="G3017" s="15" t="n">
        <v>534.69</v>
      </c>
      <c r="H3017" s="16" t="n">
        <v>0.22</v>
      </c>
      <c r="I3017" s="1" t="s">
        <v>31</v>
      </c>
      <c r="J3017" s="1" t="n">
        <v>1</v>
      </c>
      <c r="K3017" s="1" t="n">
        <v>3.5</v>
      </c>
      <c r="L3017" s="15" t="n">
        <v>417.06</v>
      </c>
      <c r="M3017" s="15" t="n">
        <f aca="false">F3017*G3017</f>
        <v>534.69</v>
      </c>
      <c r="N3017" s="15" t="n">
        <f aca="false">M3017-L3017</f>
        <v>117.63</v>
      </c>
      <c r="O3017" s="1" t="n">
        <f aca="false">YEAR(B3017)</f>
        <v>2030</v>
      </c>
      <c r="P3017" s="1" t="n">
        <f aca="false">MONTH(B3017)</f>
        <v>4</v>
      </c>
      <c r="Q3017" s="1" t="str">
        <f aca="false">TEXT(B3017,"mmm")</f>
        <v>Apr</v>
      </c>
      <c r="R3017" s="1" t="str">
        <f aca="false">"Q"&amp;ROUNDUP(MONTH(B3017)/3,0)</f>
        <v>Q2</v>
      </c>
    </row>
    <row r="3018" customFormat="false" ht="15" hidden="false" customHeight="true" outlineLevel="0" collapsed="false">
      <c r="A3018" s="1" t="n">
        <v>13017</v>
      </c>
      <c r="B3018" s="14" t="n">
        <v>47578</v>
      </c>
      <c r="C3018" s="1" t="n">
        <v>1558</v>
      </c>
      <c r="D3018" s="1" t="s">
        <v>34</v>
      </c>
      <c r="E3018" s="1" t="s">
        <v>32</v>
      </c>
      <c r="F3018" s="1" t="n">
        <v>4</v>
      </c>
      <c r="G3018" s="15" t="n">
        <v>29.95</v>
      </c>
      <c r="H3018" s="16" t="n">
        <v>0.25</v>
      </c>
      <c r="I3018" s="1" t="s">
        <v>33</v>
      </c>
      <c r="J3018" s="1" t="n">
        <v>10</v>
      </c>
      <c r="K3018" s="1" t="n">
        <v>3.2</v>
      </c>
      <c r="L3018" s="15" t="n">
        <v>89.85</v>
      </c>
      <c r="M3018" s="15" t="n">
        <f aca="false">F3018*G3018</f>
        <v>119.8</v>
      </c>
      <c r="N3018" s="15" t="n">
        <f aca="false">M3018-L3018</f>
        <v>29.95</v>
      </c>
      <c r="O3018" s="1" t="n">
        <f aca="false">YEAR(B3018)</f>
        <v>2030</v>
      </c>
      <c r="P3018" s="1" t="n">
        <f aca="false">MONTH(B3018)</f>
        <v>4</v>
      </c>
      <c r="Q3018" s="1" t="str">
        <f aca="false">TEXT(B3018,"mmm")</f>
        <v>Apr</v>
      </c>
      <c r="R3018" s="1" t="str">
        <f aca="false">"Q"&amp;ROUNDUP(MONTH(B3018)/3,0)</f>
        <v>Q2</v>
      </c>
    </row>
    <row r="3019" customFormat="false" ht="15" hidden="false" customHeight="true" outlineLevel="0" collapsed="false">
      <c r="A3019" s="1" t="n">
        <v>13018</v>
      </c>
      <c r="B3019" s="14" t="n">
        <v>47579</v>
      </c>
      <c r="C3019" s="1" t="n">
        <v>1890</v>
      </c>
      <c r="D3019" s="1" t="s">
        <v>30</v>
      </c>
      <c r="E3019" s="1" t="s">
        <v>32</v>
      </c>
      <c r="F3019" s="1" t="n">
        <v>4</v>
      </c>
      <c r="G3019" s="15" t="n">
        <v>252.7</v>
      </c>
      <c r="H3019" s="16" t="n">
        <v>0.01</v>
      </c>
      <c r="I3019" s="1" t="s">
        <v>33</v>
      </c>
      <c r="J3019" s="1" t="n">
        <v>8</v>
      </c>
      <c r="K3019" s="1" t="n">
        <v>2.7</v>
      </c>
      <c r="L3019" s="15" t="n">
        <v>1000.69</v>
      </c>
      <c r="M3019" s="15" t="n">
        <f aca="false">F3019*G3019</f>
        <v>1010.8</v>
      </c>
      <c r="N3019" s="15" t="n">
        <f aca="false">M3019-L3019</f>
        <v>10.1099999999999</v>
      </c>
      <c r="O3019" s="1" t="n">
        <f aca="false">YEAR(B3019)</f>
        <v>2030</v>
      </c>
      <c r="P3019" s="1" t="n">
        <f aca="false">MONTH(B3019)</f>
        <v>4</v>
      </c>
      <c r="Q3019" s="1" t="str">
        <f aca="false">TEXT(B3019,"mmm")</f>
        <v>Apr</v>
      </c>
      <c r="R3019" s="1" t="str">
        <f aca="false">"Q"&amp;ROUNDUP(MONTH(B3019)/3,0)</f>
        <v>Q2</v>
      </c>
    </row>
    <row r="3020" customFormat="false" ht="15" hidden="false" customHeight="true" outlineLevel="0" collapsed="false">
      <c r="A3020" s="1" t="n">
        <v>13019</v>
      </c>
      <c r="B3020" s="14" t="n">
        <v>47580</v>
      </c>
      <c r="C3020" s="1" t="n">
        <v>1140</v>
      </c>
      <c r="D3020" s="1" t="s">
        <v>30</v>
      </c>
      <c r="E3020" s="1" t="s">
        <v>32</v>
      </c>
      <c r="F3020" s="1" t="n">
        <v>6</v>
      </c>
      <c r="G3020" s="15" t="n">
        <v>33.37</v>
      </c>
      <c r="H3020" s="16" t="n">
        <v>0.04</v>
      </c>
      <c r="I3020" s="1" t="s">
        <v>33</v>
      </c>
      <c r="J3020" s="1" t="n">
        <v>5</v>
      </c>
      <c r="K3020" s="1" t="n">
        <v>4.4</v>
      </c>
      <c r="L3020" s="15" t="n">
        <v>192.21</v>
      </c>
      <c r="M3020" s="15" t="n">
        <f aca="false">F3020*G3020</f>
        <v>200.22</v>
      </c>
      <c r="N3020" s="15" t="n">
        <f aca="false">M3020-L3020</f>
        <v>8.00999999999996</v>
      </c>
      <c r="O3020" s="1" t="n">
        <f aca="false">YEAR(B3020)</f>
        <v>2030</v>
      </c>
      <c r="P3020" s="1" t="n">
        <f aca="false">MONTH(B3020)</f>
        <v>4</v>
      </c>
      <c r="Q3020" s="1" t="str">
        <f aca="false">TEXT(B3020,"mmm")</f>
        <v>Apr</v>
      </c>
      <c r="R3020" s="1" t="str">
        <f aca="false">"Q"&amp;ROUNDUP(MONTH(B3020)/3,0)</f>
        <v>Q2</v>
      </c>
    </row>
    <row r="3021" customFormat="false" ht="15" hidden="false" customHeight="true" outlineLevel="0" collapsed="false">
      <c r="A3021" s="1" t="n">
        <v>13020</v>
      </c>
      <c r="B3021" s="14" t="n">
        <v>47581</v>
      </c>
      <c r="C3021" s="1" t="n">
        <v>1886</v>
      </c>
      <c r="D3021" s="1" t="s">
        <v>27</v>
      </c>
      <c r="E3021" s="1" t="s">
        <v>36</v>
      </c>
      <c r="F3021" s="1" t="n">
        <v>4</v>
      </c>
      <c r="G3021" s="15" t="n">
        <v>231.99</v>
      </c>
      <c r="H3021" s="16" t="n">
        <v>0.13</v>
      </c>
      <c r="I3021" s="1" t="s">
        <v>31</v>
      </c>
      <c r="J3021" s="1" t="n">
        <v>4</v>
      </c>
      <c r="K3021" s="1" t="n">
        <v>3.5</v>
      </c>
      <c r="L3021" s="15" t="n">
        <v>807.33</v>
      </c>
      <c r="M3021" s="15" t="n">
        <f aca="false">F3021*G3021</f>
        <v>927.96</v>
      </c>
      <c r="N3021" s="15" t="n">
        <f aca="false">M3021-L3021</f>
        <v>120.63</v>
      </c>
      <c r="O3021" s="1" t="n">
        <f aca="false">YEAR(B3021)</f>
        <v>2030</v>
      </c>
      <c r="P3021" s="1" t="n">
        <f aca="false">MONTH(B3021)</f>
        <v>4</v>
      </c>
      <c r="Q3021" s="1" t="str">
        <f aca="false">TEXT(B3021,"mmm")</f>
        <v>Apr</v>
      </c>
      <c r="R3021" s="1" t="str">
        <f aca="false">"Q"&amp;ROUNDUP(MONTH(B3021)/3,0)</f>
        <v>Q2</v>
      </c>
    </row>
    <row r="3022" customFormat="false" ht="15" hidden="false" customHeight="true" outlineLevel="0" collapsed="false">
      <c r="A3022" s="1" t="n">
        <v>13021</v>
      </c>
      <c r="B3022" s="14" t="n">
        <v>47582</v>
      </c>
      <c r="C3022" s="1" t="n">
        <v>1917</v>
      </c>
      <c r="D3022" s="1" t="s">
        <v>30</v>
      </c>
      <c r="E3022" s="1" t="s">
        <v>36</v>
      </c>
      <c r="F3022" s="1" t="n">
        <v>1</v>
      </c>
      <c r="G3022" s="15" t="n">
        <v>115.99</v>
      </c>
      <c r="H3022" s="16" t="n">
        <v>0.05</v>
      </c>
      <c r="I3022" s="1" t="s">
        <v>33</v>
      </c>
      <c r="J3022" s="1" t="n">
        <v>8</v>
      </c>
      <c r="K3022" s="1" t="n">
        <v>2</v>
      </c>
      <c r="L3022" s="15" t="n">
        <v>110.19</v>
      </c>
      <c r="M3022" s="15" t="n">
        <f aca="false">F3022*G3022</f>
        <v>115.99</v>
      </c>
      <c r="N3022" s="15" t="n">
        <f aca="false">M3022-L3022</f>
        <v>5.8</v>
      </c>
      <c r="O3022" s="1" t="n">
        <f aca="false">YEAR(B3022)</f>
        <v>2030</v>
      </c>
      <c r="P3022" s="1" t="n">
        <f aca="false">MONTH(B3022)</f>
        <v>4</v>
      </c>
      <c r="Q3022" s="1" t="str">
        <f aca="false">TEXT(B3022,"mmm")</f>
        <v>Apr</v>
      </c>
      <c r="R3022" s="1" t="str">
        <f aca="false">"Q"&amp;ROUNDUP(MONTH(B3022)/3,0)</f>
        <v>Q2</v>
      </c>
    </row>
    <row r="3023" customFormat="false" ht="15" hidden="false" customHeight="true" outlineLevel="0" collapsed="false">
      <c r="A3023" s="1" t="n">
        <v>13022</v>
      </c>
      <c r="B3023" s="14" t="n">
        <v>47583</v>
      </c>
      <c r="C3023" s="1" t="n">
        <v>1117</v>
      </c>
      <c r="D3023" s="1" t="s">
        <v>34</v>
      </c>
      <c r="E3023" s="1" t="s">
        <v>36</v>
      </c>
      <c r="F3023" s="1" t="n">
        <v>5</v>
      </c>
      <c r="G3023" s="15" t="n">
        <v>162.55</v>
      </c>
      <c r="H3023" s="16" t="n">
        <v>0.03</v>
      </c>
      <c r="I3023" s="1" t="s">
        <v>33</v>
      </c>
      <c r="J3023" s="1" t="n">
        <v>8</v>
      </c>
      <c r="K3023" s="1" t="n">
        <v>2.5</v>
      </c>
      <c r="L3023" s="15" t="n">
        <v>788.37</v>
      </c>
      <c r="M3023" s="15" t="n">
        <f aca="false">F3023*G3023</f>
        <v>812.75</v>
      </c>
      <c r="N3023" s="15" t="n">
        <f aca="false">M3023-L3023</f>
        <v>24.38</v>
      </c>
      <c r="O3023" s="1" t="n">
        <f aca="false">YEAR(B3023)</f>
        <v>2030</v>
      </c>
      <c r="P3023" s="1" t="n">
        <f aca="false">MONTH(B3023)</f>
        <v>4</v>
      </c>
      <c r="Q3023" s="1" t="str">
        <f aca="false">TEXT(B3023,"mmm")</f>
        <v>Apr</v>
      </c>
      <c r="R3023" s="1" t="str">
        <f aca="false">"Q"&amp;ROUNDUP(MONTH(B3023)/3,0)</f>
        <v>Q2</v>
      </c>
    </row>
    <row r="3024" customFormat="false" ht="15" hidden="false" customHeight="true" outlineLevel="0" collapsed="false">
      <c r="A3024" s="1" t="n">
        <v>13023</v>
      </c>
      <c r="B3024" s="14" t="n">
        <v>47584</v>
      </c>
      <c r="C3024" s="1" t="n">
        <v>1276</v>
      </c>
      <c r="D3024" s="1" t="s">
        <v>30</v>
      </c>
      <c r="E3024" s="1" t="s">
        <v>32</v>
      </c>
      <c r="F3024" s="1" t="n">
        <v>1</v>
      </c>
      <c r="G3024" s="15" t="n">
        <v>528.4</v>
      </c>
      <c r="H3024" s="16" t="n">
        <v>0.22</v>
      </c>
      <c r="I3024" s="1" t="s">
        <v>31</v>
      </c>
      <c r="J3024" s="1" t="n">
        <v>11</v>
      </c>
      <c r="K3024" s="1" t="n">
        <v>1.6</v>
      </c>
      <c r="L3024" s="15" t="n">
        <v>412.15</v>
      </c>
      <c r="M3024" s="15" t="n">
        <f aca="false">F3024*G3024</f>
        <v>528.4</v>
      </c>
      <c r="N3024" s="15" t="n">
        <f aca="false">M3024-L3024</f>
        <v>116.25</v>
      </c>
      <c r="O3024" s="1" t="n">
        <f aca="false">YEAR(B3024)</f>
        <v>2030</v>
      </c>
      <c r="P3024" s="1" t="n">
        <f aca="false">MONTH(B3024)</f>
        <v>4</v>
      </c>
      <c r="Q3024" s="1" t="str">
        <f aca="false">TEXT(B3024,"mmm")</f>
        <v>Apr</v>
      </c>
      <c r="R3024" s="1" t="str">
        <f aca="false">"Q"&amp;ROUNDUP(MONTH(B3024)/3,0)</f>
        <v>Q2</v>
      </c>
    </row>
    <row r="3025" customFormat="false" ht="15" hidden="false" customHeight="true" outlineLevel="0" collapsed="false">
      <c r="A3025" s="1" t="n">
        <v>13024</v>
      </c>
      <c r="B3025" s="14" t="n">
        <v>47585</v>
      </c>
      <c r="C3025" s="1" t="n">
        <v>1725</v>
      </c>
      <c r="D3025" s="1" t="s">
        <v>34</v>
      </c>
      <c r="E3025" s="1" t="s">
        <v>28</v>
      </c>
      <c r="F3025" s="1" t="n">
        <v>1</v>
      </c>
      <c r="G3025" s="15" t="n">
        <v>270.09</v>
      </c>
      <c r="H3025" s="16" t="n">
        <v>0.29</v>
      </c>
      <c r="I3025" s="1" t="s">
        <v>31</v>
      </c>
      <c r="J3025" s="1" t="n">
        <v>8</v>
      </c>
      <c r="K3025" s="1" t="n">
        <v>3.4</v>
      </c>
      <c r="L3025" s="15" t="n">
        <v>191.76</v>
      </c>
      <c r="M3025" s="15" t="n">
        <f aca="false">F3025*G3025</f>
        <v>270.09</v>
      </c>
      <c r="N3025" s="15" t="n">
        <f aca="false">M3025-L3025</f>
        <v>78.33</v>
      </c>
      <c r="O3025" s="1" t="n">
        <f aca="false">YEAR(B3025)</f>
        <v>2030</v>
      </c>
      <c r="P3025" s="1" t="n">
        <f aca="false">MONTH(B3025)</f>
        <v>4</v>
      </c>
      <c r="Q3025" s="1" t="str">
        <f aca="false">TEXT(B3025,"mmm")</f>
        <v>Apr</v>
      </c>
      <c r="R3025" s="1" t="str">
        <f aca="false">"Q"&amp;ROUNDUP(MONTH(B3025)/3,0)</f>
        <v>Q2</v>
      </c>
    </row>
    <row r="3026" customFormat="false" ht="15" hidden="false" customHeight="true" outlineLevel="0" collapsed="false">
      <c r="A3026" s="1" t="n">
        <v>13025</v>
      </c>
      <c r="B3026" s="14" t="n">
        <v>47586</v>
      </c>
      <c r="C3026" s="1" t="n">
        <v>1219</v>
      </c>
      <c r="D3026" s="1" t="s">
        <v>27</v>
      </c>
      <c r="E3026" s="1" t="s">
        <v>35</v>
      </c>
      <c r="F3026" s="1" t="n">
        <v>4</v>
      </c>
      <c r="G3026" s="15" t="n">
        <v>175.17</v>
      </c>
      <c r="H3026" s="16" t="n">
        <v>0.26</v>
      </c>
      <c r="I3026" s="1" t="s">
        <v>31</v>
      </c>
      <c r="J3026" s="1" t="n">
        <v>3</v>
      </c>
      <c r="K3026" s="1" t="n">
        <v>3.3</v>
      </c>
      <c r="L3026" s="15" t="n">
        <v>518.5</v>
      </c>
      <c r="M3026" s="15" t="n">
        <f aca="false">F3026*G3026</f>
        <v>700.68</v>
      </c>
      <c r="N3026" s="15" t="n">
        <f aca="false">M3026-L3026</f>
        <v>182.18</v>
      </c>
      <c r="O3026" s="1" t="n">
        <f aca="false">YEAR(B3026)</f>
        <v>2030</v>
      </c>
      <c r="P3026" s="1" t="n">
        <f aca="false">MONTH(B3026)</f>
        <v>4</v>
      </c>
      <c r="Q3026" s="1" t="str">
        <f aca="false">TEXT(B3026,"mmm")</f>
        <v>Apr</v>
      </c>
      <c r="R3026" s="1" t="str">
        <f aca="false">"Q"&amp;ROUNDUP(MONTH(B3026)/3,0)</f>
        <v>Q2</v>
      </c>
    </row>
    <row r="3027" customFormat="false" ht="15" hidden="false" customHeight="true" outlineLevel="0" collapsed="false">
      <c r="A3027" s="1" t="n">
        <v>13026</v>
      </c>
      <c r="B3027" s="14" t="n">
        <v>47587</v>
      </c>
      <c r="C3027" s="1" t="n">
        <v>1904</v>
      </c>
      <c r="D3027" s="1" t="s">
        <v>30</v>
      </c>
      <c r="E3027" s="1" t="s">
        <v>36</v>
      </c>
      <c r="F3027" s="1" t="n">
        <v>6</v>
      </c>
      <c r="G3027" s="15" t="n">
        <v>359.76</v>
      </c>
      <c r="H3027" s="16" t="n">
        <v>0.29</v>
      </c>
      <c r="I3027" s="1" t="s">
        <v>29</v>
      </c>
      <c r="J3027" s="1" t="n">
        <v>8</v>
      </c>
      <c r="K3027" s="1" t="n">
        <v>4.5</v>
      </c>
      <c r="L3027" s="15" t="n">
        <v>1532.58</v>
      </c>
      <c r="M3027" s="15" t="n">
        <f aca="false">F3027*G3027</f>
        <v>2158.56</v>
      </c>
      <c r="N3027" s="15" t="n">
        <f aca="false">M3027-L3027</f>
        <v>625.98</v>
      </c>
      <c r="O3027" s="1" t="n">
        <f aca="false">YEAR(B3027)</f>
        <v>2030</v>
      </c>
      <c r="P3027" s="1" t="n">
        <f aca="false">MONTH(B3027)</f>
        <v>4</v>
      </c>
      <c r="Q3027" s="1" t="str">
        <f aca="false">TEXT(B3027,"mmm")</f>
        <v>Apr</v>
      </c>
      <c r="R3027" s="1" t="str">
        <f aca="false">"Q"&amp;ROUNDUP(MONTH(B3027)/3,0)</f>
        <v>Q2</v>
      </c>
    </row>
    <row r="3028" customFormat="false" ht="15" hidden="false" customHeight="true" outlineLevel="0" collapsed="false">
      <c r="A3028" s="1" t="n">
        <v>13027</v>
      </c>
      <c r="B3028" s="14" t="n">
        <v>47588</v>
      </c>
      <c r="C3028" s="1" t="n">
        <v>1025</v>
      </c>
      <c r="D3028" s="1" t="s">
        <v>30</v>
      </c>
      <c r="E3028" s="1" t="s">
        <v>28</v>
      </c>
      <c r="F3028" s="1" t="n">
        <v>3</v>
      </c>
      <c r="G3028" s="15" t="n">
        <v>98.13</v>
      </c>
      <c r="H3028" s="16" t="n">
        <v>0.23</v>
      </c>
      <c r="I3028" s="1" t="s">
        <v>29</v>
      </c>
      <c r="J3028" s="1" t="n">
        <v>1</v>
      </c>
      <c r="K3028" s="1" t="n">
        <v>4.4</v>
      </c>
      <c r="L3028" s="15" t="n">
        <v>226.68</v>
      </c>
      <c r="M3028" s="15" t="n">
        <f aca="false">F3028*G3028</f>
        <v>294.39</v>
      </c>
      <c r="N3028" s="15" t="n">
        <f aca="false">M3028-L3028</f>
        <v>67.71</v>
      </c>
      <c r="O3028" s="1" t="n">
        <f aca="false">YEAR(B3028)</f>
        <v>2030</v>
      </c>
      <c r="P3028" s="1" t="n">
        <f aca="false">MONTH(B3028)</f>
        <v>4</v>
      </c>
      <c r="Q3028" s="1" t="str">
        <f aca="false">TEXT(B3028,"mmm")</f>
        <v>Apr</v>
      </c>
      <c r="R3028" s="1" t="str">
        <f aca="false">"Q"&amp;ROUNDUP(MONTH(B3028)/3,0)</f>
        <v>Q2</v>
      </c>
    </row>
    <row r="3029" customFormat="false" ht="15" hidden="false" customHeight="true" outlineLevel="0" collapsed="false">
      <c r="A3029" s="1" t="n">
        <v>13028</v>
      </c>
      <c r="B3029" s="14" t="n">
        <v>47589</v>
      </c>
      <c r="C3029" s="1" t="n">
        <v>1520</v>
      </c>
      <c r="D3029" s="1" t="s">
        <v>30</v>
      </c>
      <c r="E3029" s="1" t="s">
        <v>32</v>
      </c>
      <c r="F3029" s="1" t="n">
        <v>7</v>
      </c>
      <c r="G3029" s="15" t="n">
        <v>166.74</v>
      </c>
      <c r="H3029" s="16" t="n">
        <v>0.26</v>
      </c>
      <c r="I3029" s="1" t="s">
        <v>33</v>
      </c>
      <c r="J3029" s="1" t="n">
        <v>4</v>
      </c>
      <c r="K3029" s="1" t="n">
        <v>4.3</v>
      </c>
      <c r="L3029" s="15" t="n">
        <v>863.71</v>
      </c>
      <c r="M3029" s="15" t="n">
        <f aca="false">F3029*G3029</f>
        <v>1167.18</v>
      </c>
      <c r="N3029" s="15" t="n">
        <f aca="false">M3029-L3029</f>
        <v>303.47</v>
      </c>
      <c r="O3029" s="1" t="n">
        <f aca="false">YEAR(B3029)</f>
        <v>2030</v>
      </c>
      <c r="P3029" s="1" t="n">
        <f aca="false">MONTH(B3029)</f>
        <v>4</v>
      </c>
      <c r="Q3029" s="1" t="str">
        <f aca="false">TEXT(B3029,"mmm")</f>
        <v>Apr</v>
      </c>
      <c r="R3029" s="1" t="str">
        <f aca="false">"Q"&amp;ROUNDUP(MONTH(B3029)/3,0)</f>
        <v>Q2</v>
      </c>
    </row>
    <row r="3030" customFormat="false" ht="15" hidden="false" customHeight="true" outlineLevel="0" collapsed="false">
      <c r="A3030" s="1" t="n">
        <v>13029</v>
      </c>
      <c r="B3030" s="14" t="n">
        <v>47590</v>
      </c>
      <c r="C3030" s="1" t="n">
        <v>1782</v>
      </c>
      <c r="D3030" s="1" t="s">
        <v>37</v>
      </c>
      <c r="E3030" s="1" t="s">
        <v>36</v>
      </c>
      <c r="F3030" s="1" t="n">
        <v>3</v>
      </c>
      <c r="G3030" s="15" t="n">
        <v>334.56</v>
      </c>
      <c r="H3030" s="16" t="n">
        <v>0.1</v>
      </c>
      <c r="I3030" s="1" t="s">
        <v>29</v>
      </c>
      <c r="J3030" s="1" t="n">
        <v>5</v>
      </c>
      <c r="K3030" s="1" t="n">
        <v>3.2</v>
      </c>
      <c r="L3030" s="15" t="n">
        <v>903.31</v>
      </c>
      <c r="M3030" s="15" t="n">
        <f aca="false">F3030*G3030</f>
        <v>1003.68</v>
      </c>
      <c r="N3030" s="15" t="n">
        <f aca="false">M3030-L3030</f>
        <v>100.37</v>
      </c>
      <c r="O3030" s="1" t="n">
        <f aca="false">YEAR(B3030)</f>
        <v>2030</v>
      </c>
      <c r="P3030" s="1" t="n">
        <f aca="false">MONTH(B3030)</f>
        <v>4</v>
      </c>
      <c r="Q3030" s="1" t="str">
        <f aca="false">TEXT(B3030,"mmm")</f>
        <v>Apr</v>
      </c>
      <c r="R3030" s="1" t="str">
        <f aca="false">"Q"&amp;ROUNDUP(MONTH(B3030)/3,0)</f>
        <v>Q2</v>
      </c>
    </row>
    <row r="3031" customFormat="false" ht="15" hidden="false" customHeight="true" outlineLevel="0" collapsed="false">
      <c r="A3031" s="1" t="n">
        <v>13030</v>
      </c>
      <c r="B3031" s="14" t="n">
        <v>47591</v>
      </c>
      <c r="C3031" s="1" t="n">
        <v>1009</v>
      </c>
      <c r="D3031" s="1" t="s">
        <v>37</v>
      </c>
      <c r="E3031" s="1" t="s">
        <v>32</v>
      </c>
      <c r="F3031" s="1" t="n">
        <v>3</v>
      </c>
      <c r="G3031" s="15" t="n">
        <v>153.95</v>
      </c>
      <c r="H3031" s="16" t="n">
        <v>0.35</v>
      </c>
      <c r="I3031" s="1" t="s">
        <v>33</v>
      </c>
      <c r="J3031" s="1" t="n">
        <v>6</v>
      </c>
      <c r="K3031" s="1" t="n">
        <v>3.6</v>
      </c>
      <c r="L3031" s="15" t="n">
        <v>300.2</v>
      </c>
      <c r="M3031" s="15" t="n">
        <f aca="false">F3031*G3031</f>
        <v>461.85</v>
      </c>
      <c r="N3031" s="15" t="n">
        <f aca="false">M3031-L3031</f>
        <v>161.65</v>
      </c>
      <c r="O3031" s="1" t="n">
        <f aca="false">YEAR(B3031)</f>
        <v>2030</v>
      </c>
      <c r="P3031" s="1" t="n">
        <f aca="false">MONTH(B3031)</f>
        <v>4</v>
      </c>
      <c r="Q3031" s="1" t="str">
        <f aca="false">TEXT(B3031,"mmm")</f>
        <v>Apr</v>
      </c>
      <c r="R3031" s="1" t="str">
        <f aca="false">"Q"&amp;ROUNDUP(MONTH(B3031)/3,0)</f>
        <v>Q2</v>
      </c>
    </row>
    <row r="3032" customFormat="false" ht="15" hidden="false" customHeight="true" outlineLevel="0" collapsed="false">
      <c r="A3032" s="1" t="n">
        <v>13031</v>
      </c>
      <c r="B3032" s="14" t="n">
        <v>47592</v>
      </c>
      <c r="C3032" s="1" t="n">
        <v>1983</v>
      </c>
      <c r="D3032" s="1" t="s">
        <v>37</v>
      </c>
      <c r="E3032" s="1" t="s">
        <v>28</v>
      </c>
      <c r="F3032" s="1" t="n">
        <v>1</v>
      </c>
      <c r="G3032" s="15" t="n">
        <v>412.29</v>
      </c>
      <c r="H3032" s="16" t="n">
        <v>0.06</v>
      </c>
      <c r="I3032" s="1" t="s">
        <v>29</v>
      </c>
      <c r="J3032" s="1" t="n">
        <v>5</v>
      </c>
      <c r="K3032" s="1" t="n">
        <v>4.1</v>
      </c>
      <c r="L3032" s="15" t="n">
        <v>387.55</v>
      </c>
      <c r="M3032" s="15" t="n">
        <f aca="false">F3032*G3032</f>
        <v>412.29</v>
      </c>
      <c r="N3032" s="15" t="n">
        <f aca="false">M3032-L3032</f>
        <v>24.74</v>
      </c>
      <c r="O3032" s="1" t="n">
        <f aca="false">YEAR(B3032)</f>
        <v>2030</v>
      </c>
      <c r="P3032" s="1" t="n">
        <f aca="false">MONTH(B3032)</f>
        <v>4</v>
      </c>
      <c r="Q3032" s="1" t="str">
        <f aca="false">TEXT(B3032,"mmm")</f>
        <v>Apr</v>
      </c>
      <c r="R3032" s="1" t="str">
        <f aca="false">"Q"&amp;ROUNDUP(MONTH(B3032)/3,0)</f>
        <v>Q2</v>
      </c>
    </row>
    <row r="3033" customFormat="false" ht="15" hidden="false" customHeight="true" outlineLevel="0" collapsed="false">
      <c r="A3033" s="1" t="n">
        <v>13032</v>
      </c>
      <c r="B3033" s="14" t="n">
        <v>47593</v>
      </c>
      <c r="C3033" s="1" t="n">
        <v>1377</v>
      </c>
      <c r="D3033" s="1" t="s">
        <v>34</v>
      </c>
      <c r="E3033" s="1" t="s">
        <v>36</v>
      </c>
      <c r="F3033" s="1" t="n">
        <v>4</v>
      </c>
      <c r="G3033" s="15" t="n">
        <v>302.52</v>
      </c>
      <c r="H3033" s="16" t="n">
        <v>0.08</v>
      </c>
      <c r="I3033" s="1" t="s">
        <v>31</v>
      </c>
      <c r="J3033" s="1" t="n">
        <v>5</v>
      </c>
      <c r="K3033" s="1" t="n">
        <v>1.4</v>
      </c>
      <c r="L3033" s="15" t="n">
        <v>1113.27</v>
      </c>
      <c r="M3033" s="15" t="n">
        <f aca="false">F3033*G3033</f>
        <v>1210.08</v>
      </c>
      <c r="N3033" s="15" t="n">
        <f aca="false">M3033-L3033</f>
        <v>96.81</v>
      </c>
      <c r="O3033" s="1" t="n">
        <f aca="false">YEAR(B3033)</f>
        <v>2030</v>
      </c>
      <c r="P3033" s="1" t="n">
        <f aca="false">MONTH(B3033)</f>
        <v>4</v>
      </c>
      <c r="Q3033" s="1" t="str">
        <f aca="false">TEXT(B3033,"mmm")</f>
        <v>Apr</v>
      </c>
      <c r="R3033" s="1" t="str">
        <f aca="false">"Q"&amp;ROUNDUP(MONTH(B3033)/3,0)</f>
        <v>Q2</v>
      </c>
    </row>
    <row r="3034" customFormat="false" ht="15" hidden="false" customHeight="true" outlineLevel="0" collapsed="false">
      <c r="A3034" s="1" t="n">
        <v>13033</v>
      </c>
      <c r="B3034" s="14" t="n">
        <v>47594</v>
      </c>
      <c r="C3034" s="1" t="n">
        <v>1632</v>
      </c>
      <c r="D3034" s="1" t="s">
        <v>34</v>
      </c>
      <c r="E3034" s="1" t="s">
        <v>36</v>
      </c>
      <c r="F3034" s="1" t="n">
        <v>7</v>
      </c>
      <c r="G3034" s="15" t="n">
        <v>466.61</v>
      </c>
      <c r="H3034" s="16" t="n">
        <v>0.1</v>
      </c>
      <c r="I3034" s="1" t="s">
        <v>33</v>
      </c>
      <c r="J3034" s="1" t="n">
        <v>5</v>
      </c>
      <c r="K3034" s="1" t="n">
        <v>2.2</v>
      </c>
      <c r="L3034" s="15" t="n">
        <v>2939.64</v>
      </c>
      <c r="M3034" s="15" t="n">
        <f aca="false">F3034*G3034</f>
        <v>3266.27</v>
      </c>
      <c r="N3034" s="15" t="n">
        <f aca="false">M3034-L3034</f>
        <v>326.63</v>
      </c>
      <c r="O3034" s="1" t="n">
        <f aca="false">YEAR(B3034)</f>
        <v>2030</v>
      </c>
      <c r="P3034" s="1" t="n">
        <f aca="false">MONTH(B3034)</f>
        <v>4</v>
      </c>
      <c r="Q3034" s="1" t="str">
        <f aca="false">TEXT(B3034,"mmm")</f>
        <v>Apr</v>
      </c>
      <c r="R3034" s="1" t="str">
        <f aca="false">"Q"&amp;ROUNDUP(MONTH(B3034)/3,0)</f>
        <v>Q2</v>
      </c>
    </row>
    <row r="3035" customFormat="false" ht="15" hidden="false" customHeight="true" outlineLevel="0" collapsed="false">
      <c r="A3035" s="1" t="n">
        <v>13034</v>
      </c>
      <c r="B3035" s="14" t="n">
        <v>47595</v>
      </c>
      <c r="C3035" s="1" t="n">
        <v>1636</v>
      </c>
      <c r="D3035" s="1" t="s">
        <v>34</v>
      </c>
      <c r="E3035" s="1" t="s">
        <v>36</v>
      </c>
      <c r="F3035" s="1" t="n">
        <v>3</v>
      </c>
      <c r="G3035" s="15" t="n">
        <v>569.72</v>
      </c>
      <c r="H3035" s="16" t="n">
        <v>0.34</v>
      </c>
      <c r="I3035" s="1" t="s">
        <v>33</v>
      </c>
      <c r="J3035" s="1" t="n">
        <v>9</v>
      </c>
      <c r="K3035" s="1" t="n">
        <v>1.7</v>
      </c>
      <c r="L3035" s="15" t="n">
        <v>1128.05</v>
      </c>
      <c r="M3035" s="15" t="n">
        <f aca="false">F3035*G3035</f>
        <v>1709.16</v>
      </c>
      <c r="N3035" s="15" t="n">
        <f aca="false">M3035-L3035</f>
        <v>581.11</v>
      </c>
      <c r="O3035" s="1" t="n">
        <f aca="false">YEAR(B3035)</f>
        <v>2030</v>
      </c>
      <c r="P3035" s="1" t="n">
        <f aca="false">MONTH(B3035)</f>
        <v>4</v>
      </c>
      <c r="Q3035" s="1" t="str">
        <f aca="false">TEXT(B3035,"mmm")</f>
        <v>Apr</v>
      </c>
      <c r="R3035" s="1" t="str">
        <f aca="false">"Q"&amp;ROUNDUP(MONTH(B3035)/3,0)</f>
        <v>Q2</v>
      </c>
    </row>
    <row r="3036" customFormat="false" ht="15" hidden="false" customHeight="true" outlineLevel="0" collapsed="false">
      <c r="A3036" s="1" t="n">
        <v>13035</v>
      </c>
      <c r="B3036" s="14" t="n">
        <v>47596</v>
      </c>
      <c r="C3036" s="1" t="n">
        <v>1681</v>
      </c>
      <c r="D3036" s="1" t="s">
        <v>37</v>
      </c>
      <c r="E3036" s="1" t="s">
        <v>36</v>
      </c>
      <c r="F3036" s="1" t="n">
        <v>2</v>
      </c>
      <c r="G3036" s="15" t="n">
        <v>82.75</v>
      </c>
      <c r="H3036" s="16" t="n">
        <v>0.35</v>
      </c>
      <c r="I3036" s="1" t="s">
        <v>33</v>
      </c>
      <c r="J3036" s="1" t="n">
        <v>10</v>
      </c>
      <c r="K3036" s="1" t="n">
        <v>3</v>
      </c>
      <c r="L3036" s="15" t="n">
        <v>107.58</v>
      </c>
      <c r="M3036" s="15" t="n">
        <f aca="false">F3036*G3036</f>
        <v>165.5</v>
      </c>
      <c r="N3036" s="15" t="n">
        <f aca="false">M3036-L3036</f>
        <v>57.92</v>
      </c>
      <c r="O3036" s="1" t="n">
        <f aca="false">YEAR(B3036)</f>
        <v>2030</v>
      </c>
      <c r="P3036" s="1" t="n">
        <f aca="false">MONTH(B3036)</f>
        <v>4</v>
      </c>
      <c r="Q3036" s="1" t="str">
        <f aca="false">TEXT(B3036,"mmm")</f>
        <v>Apr</v>
      </c>
      <c r="R3036" s="1" t="str">
        <f aca="false">"Q"&amp;ROUNDUP(MONTH(B3036)/3,0)</f>
        <v>Q2</v>
      </c>
    </row>
    <row r="3037" customFormat="false" ht="15" hidden="false" customHeight="true" outlineLevel="0" collapsed="false">
      <c r="A3037" s="1" t="n">
        <v>13036</v>
      </c>
      <c r="B3037" s="14" t="n">
        <v>47597</v>
      </c>
      <c r="C3037" s="1" t="n">
        <v>1583</v>
      </c>
      <c r="D3037" s="1" t="s">
        <v>34</v>
      </c>
      <c r="E3037" s="1" t="s">
        <v>28</v>
      </c>
      <c r="F3037" s="1" t="n">
        <v>2</v>
      </c>
      <c r="G3037" s="15" t="n">
        <v>210.78</v>
      </c>
      <c r="H3037" s="16" t="n">
        <v>0.28</v>
      </c>
      <c r="I3037" s="1" t="s">
        <v>31</v>
      </c>
      <c r="J3037" s="1" t="n">
        <v>10</v>
      </c>
      <c r="K3037" s="1" t="n">
        <v>4.4</v>
      </c>
      <c r="L3037" s="15" t="n">
        <v>303.52</v>
      </c>
      <c r="M3037" s="15" t="n">
        <f aca="false">F3037*G3037</f>
        <v>421.56</v>
      </c>
      <c r="N3037" s="15" t="n">
        <f aca="false">M3037-L3037</f>
        <v>118.04</v>
      </c>
      <c r="O3037" s="1" t="n">
        <f aca="false">YEAR(B3037)</f>
        <v>2030</v>
      </c>
      <c r="P3037" s="1" t="n">
        <f aca="false">MONTH(B3037)</f>
        <v>4</v>
      </c>
      <c r="Q3037" s="1" t="str">
        <f aca="false">TEXT(B3037,"mmm")</f>
        <v>Apr</v>
      </c>
      <c r="R3037" s="1" t="str">
        <f aca="false">"Q"&amp;ROUNDUP(MONTH(B3037)/3,0)</f>
        <v>Q2</v>
      </c>
    </row>
    <row r="3038" customFormat="false" ht="15" hidden="false" customHeight="true" outlineLevel="0" collapsed="false">
      <c r="A3038" s="1" t="n">
        <v>13037</v>
      </c>
      <c r="B3038" s="14" t="n">
        <v>47598</v>
      </c>
      <c r="C3038" s="1" t="n">
        <v>1151</v>
      </c>
      <c r="D3038" s="1" t="s">
        <v>30</v>
      </c>
      <c r="E3038" s="1" t="s">
        <v>36</v>
      </c>
      <c r="F3038" s="1" t="n">
        <v>2</v>
      </c>
      <c r="G3038" s="15" t="n">
        <v>201.94</v>
      </c>
      <c r="H3038" s="16" t="n">
        <v>0.22</v>
      </c>
      <c r="I3038" s="1" t="s">
        <v>31</v>
      </c>
      <c r="J3038" s="1" t="n">
        <v>3</v>
      </c>
      <c r="K3038" s="1" t="n">
        <v>1.9</v>
      </c>
      <c r="L3038" s="15" t="n">
        <v>315.03</v>
      </c>
      <c r="M3038" s="15" t="n">
        <f aca="false">F3038*G3038</f>
        <v>403.88</v>
      </c>
      <c r="N3038" s="15" t="n">
        <f aca="false">M3038-L3038</f>
        <v>88.85</v>
      </c>
      <c r="O3038" s="1" t="n">
        <f aca="false">YEAR(B3038)</f>
        <v>2030</v>
      </c>
      <c r="P3038" s="1" t="n">
        <f aca="false">MONTH(B3038)</f>
        <v>4</v>
      </c>
      <c r="Q3038" s="1" t="str">
        <f aca="false">TEXT(B3038,"mmm")</f>
        <v>Apr</v>
      </c>
      <c r="R3038" s="1" t="str">
        <f aca="false">"Q"&amp;ROUNDUP(MONTH(B3038)/3,0)</f>
        <v>Q2</v>
      </c>
    </row>
    <row r="3039" customFormat="false" ht="15" hidden="false" customHeight="true" outlineLevel="0" collapsed="false">
      <c r="A3039" s="1" t="n">
        <v>13038</v>
      </c>
      <c r="B3039" s="14" t="n">
        <v>47599</v>
      </c>
      <c r="C3039" s="1" t="n">
        <v>1719</v>
      </c>
      <c r="D3039" s="1" t="s">
        <v>27</v>
      </c>
      <c r="E3039" s="1" t="s">
        <v>35</v>
      </c>
      <c r="F3039" s="1" t="n">
        <v>5</v>
      </c>
      <c r="G3039" s="15" t="n">
        <v>103.44</v>
      </c>
      <c r="H3039" s="16" t="n">
        <v>0.18</v>
      </c>
      <c r="I3039" s="1" t="s">
        <v>31</v>
      </c>
      <c r="J3039" s="1" t="n">
        <v>2</v>
      </c>
      <c r="K3039" s="1" t="n">
        <v>3.9</v>
      </c>
      <c r="L3039" s="15" t="n">
        <v>424.1</v>
      </c>
      <c r="M3039" s="15" t="n">
        <f aca="false">F3039*G3039</f>
        <v>517.2</v>
      </c>
      <c r="N3039" s="15" t="n">
        <f aca="false">M3039-L3039</f>
        <v>93.1</v>
      </c>
      <c r="O3039" s="1" t="n">
        <f aca="false">YEAR(B3039)</f>
        <v>2030</v>
      </c>
      <c r="P3039" s="1" t="n">
        <f aca="false">MONTH(B3039)</f>
        <v>4</v>
      </c>
      <c r="Q3039" s="1" t="str">
        <f aca="false">TEXT(B3039,"mmm")</f>
        <v>Apr</v>
      </c>
      <c r="R3039" s="1" t="str">
        <f aca="false">"Q"&amp;ROUNDUP(MONTH(B3039)/3,0)</f>
        <v>Q2</v>
      </c>
    </row>
    <row r="3040" customFormat="false" ht="15" hidden="false" customHeight="true" outlineLevel="0" collapsed="false">
      <c r="A3040" s="1" t="n">
        <v>13039</v>
      </c>
      <c r="B3040" s="14" t="n">
        <v>47600</v>
      </c>
      <c r="C3040" s="1" t="n">
        <v>1048</v>
      </c>
      <c r="D3040" s="1" t="s">
        <v>27</v>
      </c>
      <c r="E3040" s="1" t="s">
        <v>35</v>
      </c>
      <c r="F3040" s="1" t="n">
        <v>4</v>
      </c>
      <c r="G3040" s="15" t="n">
        <v>489.03</v>
      </c>
      <c r="H3040" s="16" t="n">
        <v>0.34</v>
      </c>
      <c r="I3040" s="1" t="s">
        <v>31</v>
      </c>
      <c r="J3040" s="1" t="n">
        <v>10</v>
      </c>
      <c r="K3040" s="1" t="n">
        <v>2.6</v>
      </c>
      <c r="L3040" s="15" t="n">
        <v>1291.04</v>
      </c>
      <c r="M3040" s="15" t="n">
        <f aca="false">F3040*G3040</f>
        <v>1956.12</v>
      </c>
      <c r="N3040" s="15" t="n">
        <f aca="false">M3040-L3040</f>
        <v>665.08</v>
      </c>
      <c r="O3040" s="1" t="n">
        <f aca="false">YEAR(B3040)</f>
        <v>2030</v>
      </c>
      <c r="P3040" s="1" t="n">
        <f aca="false">MONTH(B3040)</f>
        <v>4</v>
      </c>
      <c r="Q3040" s="1" t="str">
        <f aca="false">TEXT(B3040,"mmm")</f>
        <v>Apr</v>
      </c>
      <c r="R3040" s="1" t="str">
        <f aca="false">"Q"&amp;ROUNDUP(MONTH(B3040)/3,0)</f>
        <v>Q2</v>
      </c>
    </row>
    <row r="3041" customFormat="false" ht="15" hidden="false" customHeight="true" outlineLevel="0" collapsed="false">
      <c r="A3041" s="1" t="n">
        <v>13040</v>
      </c>
      <c r="B3041" s="14" t="n">
        <v>47601</v>
      </c>
      <c r="C3041" s="1" t="n">
        <v>1153</v>
      </c>
      <c r="D3041" s="1" t="s">
        <v>30</v>
      </c>
      <c r="E3041" s="1" t="s">
        <v>32</v>
      </c>
      <c r="F3041" s="1" t="n">
        <v>1</v>
      </c>
      <c r="G3041" s="15" t="n">
        <v>459.53</v>
      </c>
      <c r="H3041" s="16" t="n">
        <v>0.24</v>
      </c>
      <c r="I3041" s="1" t="s">
        <v>31</v>
      </c>
      <c r="J3041" s="1" t="n">
        <v>2</v>
      </c>
      <c r="K3041" s="1" t="n">
        <v>4.6</v>
      </c>
      <c r="L3041" s="15" t="n">
        <v>349.24</v>
      </c>
      <c r="M3041" s="15" t="n">
        <f aca="false">F3041*G3041</f>
        <v>459.53</v>
      </c>
      <c r="N3041" s="15" t="n">
        <f aca="false">M3041-L3041</f>
        <v>110.29</v>
      </c>
      <c r="O3041" s="1" t="n">
        <f aca="false">YEAR(B3041)</f>
        <v>2030</v>
      </c>
      <c r="P3041" s="1" t="n">
        <f aca="false">MONTH(B3041)</f>
        <v>4</v>
      </c>
      <c r="Q3041" s="1" t="str">
        <f aca="false">TEXT(B3041,"mmm")</f>
        <v>Apr</v>
      </c>
      <c r="R3041" s="1" t="str">
        <f aca="false">"Q"&amp;ROUNDUP(MONTH(B3041)/3,0)</f>
        <v>Q2</v>
      </c>
    </row>
    <row r="3042" customFormat="false" ht="15" hidden="false" customHeight="true" outlineLevel="0" collapsed="false">
      <c r="A3042" s="1" t="n">
        <v>13041</v>
      </c>
      <c r="B3042" s="14" t="n">
        <v>47602</v>
      </c>
      <c r="C3042" s="1" t="n">
        <v>1858</v>
      </c>
      <c r="D3042" s="1" t="s">
        <v>30</v>
      </c>
      <c r="E3042" s="1" t="s">
        <v>36</v>
      </c>
      <c r="F3042" s="1" t="n">
        <v>1</v>
      </c>
      <c r="G3042" s="15" t="n">
        <v>298.39</v>
      </c>
      <c r="H3042" s="16" t="n">
        <v>0.33</v>
      </c>
      <c r="I3042" s="1" t="s">
        <v>33</v>
      </c>
      <c r="J3042" s="1" t="n">
        <v>8</v>
      </c>
      <c r="K3042" s="1" t="n">
        <v>3.5</v>
      </c>
      <c r="L3042" s="15" t="n">
        <v>199.92</v>
      </c>
      <c r="M3042" s="15" t="n">
        <f aca="false">F3042*G3042</f>
        <v>298.39</v>
      </c>
      <c r="N3042" s="15" t="n">
        <f aca="false">M3042-L3042</f>
        <v>98.47</v>
      </c>
      <c r="O3042" s="1" t="n">
        <f aca="false">YEAR(B3042)</f>
        <v>2030</v>
      </c>
      <c r="P3042" s="1" t="n">
        <f aca="false">MONTH(B3042)</f>
        <v>4</v>
      </c>
      <c r="Q3042" s="1" t="str">
        <f aca="false">TEXT(B3042,"mmm")</f>
        <v>Apr</v>
      </c>
      <c r="R3042" s="1" t="str">
        <f aca="false">"Q"&amp;ROUNDUP(MONTH(B3042)/3,0)</f>
        <v>Q2</v>
      </c>
    </row>
    <row r="3043" customFormat="false" ht="15" hidden="false" customHeight="true" outlineLevel="0" collapsed="false">
      <c r="A3043" s="1" t="n">
        <v>13042</v>
      </c>
      <c r="B3043" s="14" t="n">
        <v>47603</v>
      </c>
      <c r="C3043" s="1" t="n">
        <v>1292</v>
      </c>
      <c r="D3043" s="1" t="s">
        <v>34</v>
      </c>
      <c r="E3043" s="1" t="s">
        <v>35</v>
      </c>
      <c r="F3043" s="1" t="n">
        <v>4</v>
      </c>
      <c r="G3043" s="15" t="n">
        <v>329.6</v>
      </c>
      <c r="H3043" s="16" t="n">
        <v>0.11</v>
      </c>
      <c r="I3043" s="1" t="s">
        <v>29</v>
      </c>
      <c r="J3043" s="1" t="n">
        <v>5</v>
      </c>
      <c r="K3043" s="1" t="n">
        <v>4.9</v>
      </c>
      <c r="L3043" s="15" t="n">
        <v>1173.38</v>
      </c>
      <c r="M3043" s="15" t="n">
        <f aca="false">F3043*G3043</f>
        <v>1318.4</v>
      </c>
      <c r="N3043" s="15" t="n">
        <f aca="false">M3043-L3043</f>
        <v>145.02</v>
      </c>
      <c r="O3043" s="1" t="n">
        <f aca="false">YEAR(B3043)</f>
        <v>2030</v>
      </c>
      <c r="P3043" s="1" t="n">
        <f aca="false">MONTH(B3043)</f>
        <v>4</v>
      </c>
      <c r="Q3043" s="1" t="str">
        <f aca="false">TEXT(B3043,"mmm")</f>
        <v>Apr</v>
      </c>
      <c r="R3043" s="1" t="str">
        <f aca="false">"Q"&amp;ROUNDUP(MONTH(B3043)/3,0)</f>
        <v>Q2</v>
      </c>
    </row>
    <row r="3044" customFormat="false" ht="15" hidden="false" customHeight="true" outlineLevel="0" collapsed="false">
      <c r="A3044" s="1" t="n">
        <v>13043</v>
      </c>
      <c r="B3044" s="14" t="n">
        <v>47604</v>
      </c>
      <c r="C3044" s="1" t="n">
        <v>1579</v>
      </c>
      <c r="D3044" s="1" t="s">
        <v>37</v>
      </c>
      <c r="E3044" s="1" t="s">
        <v>35</v>
      </c>
      <c r="F3044" s="1" t="n">
        <v>6</v>
      </c>
      <c r="G3044" s="15" t="n">
        <v>49.83</v>
      </c>
      <c r="H3044" s="16" t="n">
        <v>0.12</v>
      </c>
      <c r="I3044" s="1" t="s">
        <v>33</v>
      </c>
      <c r="J3044" s="1" t="n">
        <v>5</v>
      </c>
      <c r="K3044" s="1" t="n">
        <v>2</v>
      </c>
      <c r="L3044" s="15" t="n">
        <v>263.1</v>
      </c>
      <c r="M3044" s="15" t="n">
        <f aca="false">F3044*G3044</f>
        <v>298.98</v>
      </c>
      <c r="N3044" s="15" t="n">
        <f aca="false">M3044-L3044</f>
        <v>35.88</v>
      </c>
      <c r="O3044" s="1" t="n">
        <f aca="false">YEAR(B3044)</f>
        <v>2030</v>
      </c>
      <c r="P3044" s="1" t="n">
        <f aca="false">MONTH(B3044)</f>
        <v>5</v>
      </c>
      <c r="Q3044" s="1" t="str">
        <f aca="false">TEXT(B3044,"mmm")</f>
        <v>May</v>
      </c>
      <c r="R3044" s="1" t="str">
        <f aca="false">"Q"&amp;ROUNDUP(MONTH(B3044)/3,0)</f>
        <v>Q2</v>
      </c>
    </row>
    <row r="3045" customFormat="false" ht="15" hidden="false" customHeight="true" outlineLevel="0" collapsed="false">
      <c r="A3045" s="1" t="n">
        <v>13044</v>
      </c>
      <c r="B3045" s="14" t="n">
        <v>47605</v>
      </c>
      <c r="C3045" s="1" t="n">
        <v>1049</v>
      </c>
      <c r="D3045" s="1" t="s">
        <v>37</v>
      </c>
      <c r="E3045" s="1" t="s">
        <v>35</v>
      </c>
      <c r="F3045" s="1" t="n">
        <v>7</v>
      </c>
      <c r="G3045" s="15" t="n">
        <v>339.97</v>
      </c>
      <c r="H3045" s="16" t="n">
        <v>0.3</v>
      </c>
      <c r="I3045" s="1" t="s">
        <v>29</v>
      </c>
      <c r="J3045" s="1" t="n">
        <v>6</v>
      </c>
      <c r="K3045" s="1" t="n">
        <v>4.7</v>
      </c>
      <c r="L3045" s="15" t="n">
        <v>1665.85</v>
      </c>
      <c r="M3045" s="15" t="n">
        <f aca="false">F3045*G3045</f>
        <v>2379.79</v>
      </c>
      <c r="N3045" s="15" t="n">
        <f aca="false">M3045-L3045</f>
        <v>713.94</v>
      </c>
      <c r="O3045" s="1" t="n">
        <f aca="false">YEAR(B3045)</f>
        <v>2030</v>
      </c>
      <c r="P3045" s="1" t="n">
        <f aca="false">MONTH(B3045)</f>
        <v>5</v>
      </c>
      <c r="Q3045" s="1" t="str">
        <f aca="false">TEXT(B3045,"mmm")</f>
        <v>May</v>
      </c>
      <c r="R3045" s="1" t="str">
        <f aca="false">"Q"&amp;ROUNDUP(MONTH(B3045)/3,0)</f>
        <v>Q2</v>
      </c>
    </row>
    <row r="3046" customFormat="false" ht="15" hidden="false" customHeight="true" outlineLevel="0" collapsed="false">
      <c r="A3046" s="1" t="n">
        <v>13045</v>
      </c>
      <c r="B3046" s="14" t="n">
        <v>47606</v>
      </c>
      <c r="C3046" s="1" t="n">
        <v>1663</v>
      </c>
      <c r="D3046" s="1" t="s">
        <v>34</v>
      </c>
      <c r="E3046" s="1" t="s">
        <v>28</v>
      </c>
      <c r="F3046" s="1" t="n">
        <v>6</v>
      </c>
      <c r="G3046" s="15" t="n">
        <v>477.93</v>
      </c>
      <c r="H3046" s="16" t="n">
        <v>0.05</v>
      </c>
      <c r="I3046" s="1" t="s">
        <v>29</v>
      </c>
      <c r="J3046" s="1" t="n">
        <v>9</v>
      </c>
      <c r="K3046" s="1" t="n">
        <v>2.4</v>
      </c>
      <c r="L3046" s="15" t="n">
        <v>2724.2</v>
      </c>
      <c r="M3046" s="15" t="n">
        <f aca="false">F3046*G3046</f>
        <v>2867.58</v>
      </c>
      <c r="N3046" s="15" t="n">
        <f aca="false">M3046-L3046</f>
        <v>143.38</v>
      </c>
      <c r="O3046" s="1" t="n">
        <f aca="false">YEAR(B3046)</f>
        <v>2030</v>
      </c>
      <c r="P3046" s="1" t="n">
        <f aca="false">MONTH(B3046)</f>
        <v>5</v>
      </c>
      <c r="Q3046" s="1" t="str">
        <f aca="false">TEXT(B3046,"mmm")</f>
        <v>May</v>
      </c>
      <c r="R3046" s="1" t="str">
        <f aca="false">"Q"&amp;ROUNDUP(MONTH(B3046)/3,0)</f>
        <v>Q2</v>
      </c>
    </row>
    <row r="3047" customFormat="false" ht="15" hidden="false" customHeight="true" outlineLevel="0" collapsed="false">
      <c r="A3047" s="1" t="n">
        <v>13046</v>
      </c>
      <c r="B3047" s="14" t="n">
        <v>47607</v>
      </c>
      <c r="C3047" s="1" t="n">
        <v>1530</v>
      </c>
      <c r="D3047" s="1" t="s">
        <v>30</v>
      </c>
      <c r="E3047" s="1" t="s">
        <v>36</v>
      </c>
      <c r="F3047" s="1" t="n">
        <v>5</v>
      </c>
      <c r="G3047" s="15" t="n">
        <v>350.69</v>
      </c>
      <c r="H3047" s="16" t="n">
        <v>0.33</v>
      </c>
      <c r="I3047" s="1" t="s">
        <v>31</v>
      </c>
      <c r="J3047" s="1" t="n">
        <v>7</v>
      </c>
      <c r="K3047" s="1" t="n">
        <v>3.5</v>
      </c>
      <c r="L3047" s="15" t="n">
        <v>1174.81</v>
      </c>
      <c r="M3047" s="15" t="n">
        <f aca="false">F3047*G3047</f>
        <v>1753.45</v>
      </c>
      <c r="N3047" s="15" t="n">
        <f aca="false">M3047-L3047</f>
        <v>578.64</v>
      </c>
      <c r="O3047" s="1" t="n">
        <f aca="false">YEAR(B3047)</f>
        <v>2030</v>
      </c>
      <c r="P3047" s="1" t="n">
        <f aca="false">MONTH(B3047)</f>
        <v>5</v>
      </c>
      <c r="Q3047" s="1" t="str">
        <f aca="false">TEXT(B3047,"mmm")</f>
        <v>May</v>
      </c>
      <c r="R3047" s="1" t="str">
        <f aca="false">"Q"&amp;ROUNDUP(MONTH(B3047)/3,0)</f>
        <v>Q2</v>
      </c>
    </row>
    <row r="3048" customFormat="false" ht="15" hidden="false" customHeight="true" outlineLevel="0" collapsed="false">
      <c r="A3048" s="1" t="n">
        <v>13047</v>
      </c>
      <c r="B3048" s="14" t="n">
        <v>47608</v>
      </c>
      <c r="C3048" s="1" t="n">
        <v>1611</v>
      </c>
      <c r="D3048" s="1" t="s">
        <v>37</v>
      </c>
      <c r="E3048" s="1" t="s">
        <v>28</v>
      </c>
      <c r="F3048" s="1" t="n">
        <v>4</v>
      </c>
      <c r="G3048" s="15" t="n">
        <v>170.2</v>
      </c>
      <c r="H3048" s="16" t="n">
        <v>0.18</v>
      </c>
      <c r="I3048" s="1" t="s">
        <v>31</v>
      </c>
      <c r="J3048" s="1" t="n">
        <v>5</v>
      </c>
      <c r="K3048" s="1" t="n">
        <v>1.7</v>
      </c>
      <c r="L3048" s="15" t="n">
        <v>558.26</v>
      </c>
      <c r="M3048" s="15" t="n">
        <f aca="false">F3048*G3048</f>
        <v>680.8</v>
      </c>
      <c r="N3048" s="15" t="n">
        <f aca="false">M3048-L3048</f>
        <v>122.54</v>
      </c>
      <c r="O3048" s="1" t="n">
        <f aca="false">YEAR(B3048)</f>
        <v>2030</v>
      </c>
      <c r="P3048" s="1" t="n">
        <f aca="false">MONTH(B3048)</f>
        <v>5</v>
      </c>
      <c r="Q3048" s="1" t="str">
        <f aca="false">TEXT(B3048,"mmm")</f>
        <v>May</v>
      </c>
      <c r="R3048" s="1" t="str">
        <f aca="false">"Q"&amp;ROUNDUP(MONTH(B3048)/3,0)</f>
        <v>Q2</v>
      </c>
    </row>
    <row r="3049" customFormat="false" ht="15" hidden="false" customHeight="true" outlineLevel="0" collapsed="false">
      <c r="A3049" s="1" t="n">
        <v>13048</v>
      </c>
      <c r="B3049" s="14" t="n">
        <v>47609</v>
      </c>
      <c r="C3049" s="1" t="n">
        <v>1059</v>
      </c>
      <c r="D3049" s="1" t="s">
        <v>27</v>
      </c>
      <c r="E3049" s="1" t="s">
        <v>28</v>
      </c>
      <c r="F3049" s="1" t="n">
        <v>6</v>
      </c>
      <c r="G3049" s="15" t="n">
        <v>405.52</v>
      </c>
      <c r="H3049" s="16" t="n">
        <v>0.32</v>
      </c>
      <c r="I3049" s="1" t="s">
        <v>31</v>
      </c>
      <c r="J3049" s="1" t="n">
        <v>5</v>
      </c>
      <c r="K3049" s="1" t="n">
        <v>4</v>
      </c>
      <c r="L3049" s="15" t="n">
        <v>1654.52</v>
      </c>
      <c r="M3049" s="15" t="n">
        <f aca="false">F3049*G3049</f>
        <v>2433.12</v>
      </c>
      <c r="N3049" s="15" t="n">
        <f aca="false">M3049-L3049</f>
        <v>778.6</v>
      </c>
      <c r="O3049" s="1" t="n">
        <f aca="false">YEAR(B3049)</f>
        <v>2030</v>
      </c>
      <c r="P3049" s="1" t="n">
        <f aca="false">MONTH(B3049)</f>
        <v>5</v>
      </c>
      <c r="Q3049" s="1" t="str">
        <f aca="false">TEXT(B3049,"mmm")</f>
        <v>May</v>
      </c>
      <c r="R3049" s="1" t="str">
        <f aca="false">"Q"&amp;ROUNDUP(MONTH(B3049)/3,0)</f>
        <v>Q2</v>
      </c>
    </row>
    <row r="3050" customFormat="false" ht="15" hidden="false" customHeight="true" outlineLevel="0" collapsed="false">
      <c r="A3050" s="1" t="n">
        <v>13049</v>
      </c>
      <c r="B3050" s="14" t="n">
        <v>47610</v>
      </c>
      <c r="C3050" s="1" t="n">
        <v>1166</v>
      </c>
      <c r="D3050" s="1" t="s">
        <v>34</v>
      </c>
      <c r="E3050" s="1" t="s">
        <v>35</v>
      </c>
      <c r="F3050" s="1" t="n">
        <v>7</v>
      </c>
      <c r="G3050" s="15" t="n">
        <v>226.47</v>
      </c>
      <c r="H3050" s="16" t="n">
        <v>0.12</v>
      </c>
      <c r="I3050" s="1" t="s">
        <v>29</v>
      </c>
      <c r="J3050" s="1" t="n">
        <v>10</v>
      </c>
      <c r="K3050" s="1" t="n">
        <v>4.9</v>
      </c>
      <c r="L3050" s="15" t="n">
        <v>1395.06</v>
      </c>
      <c r="M3050" s="15" t="n">
        <f aca="false">F3050*G3050</f>
        <v>1585.29</v>
      </c>
      <c r="N3050" s="15" t="n">
        <f aca="false">M3050-L3050</f>
        <v>190.23</v>
      </c>
      <c r="O3050" s="1" t="n">
        <f aca="false">YEAR(B3050)</f>
        <v>2030</v>
      </c>
      <c r="P3050" s="1" t="n">
        <f aca="false">MONTH(B3050)</f>
        <v>5</v>
      </c>
      <c r="Q3050" s="1" t="str">
        <f aca="false">TEXT(B3050,"mmm")</f>
        <v>May</v>
      </c>
      <c r="R3050" s="1" t="str">
        <f aca="false">"Q"&amp;ROUNDUP(MONTH(B3050)/3,0)</f>
        <v>Q2</v>
      </c>
    </row>
    <row r="3051" customFormat="false" ht="15" hidden="false" customHeight="true" outlineLevel="0" collapsed="false">
      <c r="A3051" s="1" t="n">
        <v>13050</v>
      </c>
      <c r="B3051" s="14" t="n">
        <v>47611</v>
      </c>
      <c r="C3051" s="1" t="n">
        <v>1201</v>
      </c>
      <c r="D3051" s="1" t="s">
        <v>30</v>
      </c>
      <c r="E3051" s="1" t="s">
        <v>35</v>
      </c>
      <c r="F3051" s="1" t="n">
        <v>5</v>
      </c>
      <c r="G3051" s="15" t="n">
        <v>333.75</v>
      </c>
      <c r="H3051" s="16" t="n">
        <v>0.25</v>
      </c>
      <c r="I3051" s="1" t="s">
        <v>31</v>
      </c>
      <c r="J3051" s="1" t="n">
        <v>9</v>
      </c>
      <c r="K3051" s="1" t="n">
        <v>4.1</v>
      </c>
      <c r="L3051" s="15" t="n">
        <v>1251.56</v>
      </c>
      <c r="M3051" s="15" t="n">
        <f aca="false">F3051*G3051</f>
        <v>1668.75</v>
      </c>
      <c r="N3051" s="15" t="n">
        <f aca="false">M3051-L3051</f>
        <v>417.19</v>
      </c>
      <c r="O3051" s="1" t="n">
        <f aca="false">YEAR(B3051)</f>
        <v>2030</v>
      </c>
      <c r="P3051" s="1" t="n">
        <f aca="false">MONTH(B3051)</f>
        <v>5</v>
      </c>
      <c r="Q3051" s="1" t="str">
        <f aca="false">TEXT(B3051,"mmm")</f>
        <v>May</v>
      </c>
      <c r="R3051" s="1" t="str">
        <f aca="false">"Q"&amp;ROUNDUP(MONTH(B3051)/3,0)</f>
        <v>Q2</v>
      </c>
    </row>
    <row r="3052" customFormat="false" ht="15" hidden="false" customHeight="true" outlineLevel="0" collapsed="false">
      <c r="A3052" s="1" t="n">
        <v>13051</v>
      </c>
      <c r="B3052" s="14" t="n">
        <v>47612</v>
      </c>
      <c r="C3052" s="1" t="n">
        <v>1856</v>
      </c>
      <c r="D3052" s="1" t="s">
        <v>34</v>
      </c>
      <c r="E3052" s="1" t="s">
        <v>32</v>
      </c>
      <c r="F3052" s="1" t="n">
        <v>3</v>
      </c>
      <c r="G3052" s="15" t="n">
        <v>300.23</v>
      </c>
      <c r="H3052" s="16" t="n">
        <v>0.17</v>
      </c>
      <c r="I3052" s="1" t="s">
        <v>33</v>
      </c>
      <c r="J3052" s="1" t="n">
        <v>9</v>
      </c>
      <c r="K3052" s="1" t="n">
        <v>3.5</v>
      </c>
      <c r="L3052" s="15" t="n">
        <v>747.57</v>
      </c>
      <c r="M3052" s="15" t="n">
        <f aca="false">F3052*G3052</f>
        <v>900.69</v>
      </c>
      <c r="N3052" s="15" t="n">
        <f aca="false">M3052-L3052</f>
        <v>153.12</v>
      </c>
      <c r="O3052" s="1" t="n">
        <f aca="false">YEAR(B3052)</f>
        <v>2030</v>
      </c>
      <c r="P3052" s="1" t="n">
        <f aca="false">MONTH(B3052)</f>
        <v>5</v>
      </c>
      <c r="Q3052" s="1" t="str">
        <f aca="false">TEXT(B3052,"mmm")</f>
        <v>May</v>
      </c>
      <c r="R3052" s="1" t="str">
        <f aca="false">"Q"&amp;ROUNDUP(MONTH(B3052)/3,0)</f>
        <v>Q2</v>
      </c>
    </row>
    <row r="3053" customFormat="false" ht="15" hidden="false" customHeight="true" outlineLevel="0" collapsed="false">
      <c r="A3053" s="1" t="n">
        <v>13052</v>
      </c>
      <c r="B3053" s="14" t="n">
        <v>47613</v>
      </c>
      <c r="C3053" s="1" t="n">
        <v>1145</v>
      </c>
      <c r="D3053" s="1" t="s">
        <v>34</v>
      </c>
      <c r="E3053" s="1" t="s">
        <v>36</v>
      </c>
      <c r="F3053" s="1" t="n">
        <v>3</v>
      </c>
      <c r="G3053" s="15" t="n">
        <v>237.99</v>
      </c>
      <c r="H3053" s="16" t="n">
        <v>0.22</v>
      </c>
      <c r="I3053" s="1" t="s">
        <v>31</v>
      </c>
      <c r="J3053" s="1" t="n">
        <v>2</v>
      </c>
      <c r="K3053" s="1" t="n">
        <v>2.8</v>
      </c>
      <c r="L3053" s="15" t="n">
        <v>556.9</v>
      </c>
      <c r="M3053" s="15" t="n">
        <f aca="false">F3053*G3053</f>
        <v>713.97</v>
      </c>
      <c r="N3053" s="15" t="n">
        <f aca="false">M3053-L3053</f>
        <v>157.07</v>
      </c>
      <c r="O3053" s="1" t="n">
        <f aca="false">YEAR(B3053)</f>
        <v>2030</v>
      </c>
      <c r="P3053" s="1" t="n">
        <f aca="false">MONTH(B3053)</f>
        <v>5</v>
      </c>
      <c r="Q3053" s="1" t="str">
        <f aca="false">TEXT(B3053,"mmm")</f>
        <v>May</v>
      </c>
      <c r="R3053" s="1" t="str">
        <f aca="false">"Q"&amp;ROUNDUP(MONTH(B3053)/3,0)</f>
        <v>Q2</v>
      </c>
    </row>
    <row r="3054" customFormat="false" ht="15" hidden="false" customHeight="true" outlineLevel="0" collapsed="false">
      <c r="A3054" s="1" t="n">
        <v>13053</v>
      </c>
      <c r="B3054" s="14" t="n">
        <v>47614</v>
      </c>
      <c r="C3054" s="1" t="n">
        <v>1914</v>
      </c>
      <c r="D3054" s="1" t="s">
        <v>27</v>
      </c>
      <c r="E3054" s="1" t="s">
        <v>36</v>
      </c>
      <c r="F3054" s="1" t="n">
        <v>5</v>
      </c>
      <c r="G3054" s="15" t="n">
        <v>435.54</v>
      </c>
      <c r="H3054" s="16" t="n">
        <v>0.18</v>
      </c>
      <c r="I3054" s="1" t="s">
        <v>29</v>
      </c>
      <c r="J3054" s="1" t="n">
        <v>7</v>
      </c>
      <c r="K3054" s="1" t="n">
        <v>2.4</v>
      </c>
      <c r="L3054" s="15" t="n">
        <v>1785.71</v>
      </c>
      <c r="M3054" s="15" t="n">
        <f aca="false">F3054*G3054</f>
        <v>2177.7</v>
      </c>
      <c r="N3054" s="15" t="n">
        <f aca="false">M3054-L3054</f>
        <v>391.99</v>
      </c>
      <c r="O3054" s="1" t="n">
        <f aca="false">YEAR(B3054)</f>
        <v>2030</v>
      </c>
      <c r="P3054" s="1" t="n">
        <f aca="false">MONTH(B3054)</f>
        <v>5</v>
      </c>
      <c r="Q3054" s="1" t="str">
        <f aca="false">TEXT(B3054,"mmm")</f>
        <v>May</v>
      </c>
      <c r="R3054" s="1" t="str">
        <f aca="false">"Q"&amp;ROUNDUP(MONTH(B3054)/3,0)</f>
        <v>Q2</v>
      </c>
    </row>
    <row r="3055" customFormat="false" ht="15" hidden="false" customHeight="true" outlineLevel="0" collapsed="false">
      <c r="A3055" s="1" t="n">
        <v>13054</v>
      </c>
      <c r="B3055" s="14" t="n">
        <v>47615</v>
      </c>
      <c r="C3055" s="1" t="n">
        <v>1675</v>
      </c>
      <c r="D3055" s="1" t="s">
        <v>37</v>
      </c>
      <c r="E3055" s="1" t="s">
        <v>35</v>
      </c>
      <c r="F3055" s="1" t="n">
        <v>4</v>
      </c>
      <c r="G3055" s="15" t="n">
        <v>532.07</v>
      </c>
      <c r="H3055" s="16" t="n">
        <v>0.34</v>
      </c>
      <c r="I3055" s="1" t="s">
        <v>31</v>
      </c>
      <c r="J3055" s="1" t="n">
        <v>10</v>
      </c>
      <c r="K3055" s="1" t="n">
        <v>2.7</v>
      </c>
      <c r="L3055" s="15" t="n">
        <v>1404.66</v>
      </c>
      <c r="M3055" s="15" t="n">
        <f aca="false">F3055*G3055</f>
        <v>2128.28</v>
      </c>
      <c r="N3055" s="15" t="n">
        <f aca="false">M3055-L3055</f>
        <v>723.62</v>
      </c>
      <c r="O3055" s="1" t="n">
        <f aca="false">YEAR(B3055)</f>
        <v>2030</v>
      </c>
      <c r="P3055" s="1" t="n">
        <f aca="false">MONTH(B3055)</f>
        <v>5</v>
      </c>
      <c r="Q3055" s="1" t="str">
        <f aca="false">TEXT(B3055,"mmm")</f>
        <v>May</v>
      </c>
      <c r="R3055" s="1" t="str">
        <f aca="false">"Q"&amp;ROUNDUP(MONTH(B3055)/3,0)</f>
        <v>Q2</v>
      </c>
    </row>
    <row r="3056" customFormat="false" ht="15" hidden="false" customHeight="true" outlineLevel="0" collapsed="false">
      <c r="A3056" s="1" t="n">
        <v>13055</v>
      </c>
      <c r="B3056" s="14" t="n">
        <v>47616</v>
      </c>
      <c r="C3056" s="1" t="n">
        <v>1969</v>
      </c>
      <c r="D3056" s="1" t="s">
        <v>37</v>
      </c>
      <c r="E3056" s="1" t="s">
        <v>35</v>
      </c>
      <c r="F3056" s="1" t="n">
        <v>3</v>
      </c>
      <c r="G3056" s="15" t="n">
        <v>18.05</v>
      </c>
      <c r="H3056" s="16" t="n">
        <v>0.24</v>
      </c>
      <c r="I3056" s="1" t="s">
        <v>29</v>
      </c>
      <c r="J3056" s="1" t="n">
        <v>1</v>
      </c>
      <c r="K3056" s="1" t="n">
        <v>2.3</v>
      </c>
      <c r="L3056" s="15" t="n">
        <v>41.15</v>
      </c>
      <c r="M3056" s="15" t="n">
        <f aca="false">F3056*G3056</f>
        <v>54.15</v>
      </c>
      <c r="N3056" s="15" t="n">
        <f aca="false">M3056-L3056</f>
        <v>13</v>
      </c>
      <c r="O3056" s="1" t="n">
        <f aca="false">YEAR(B3056)</f>
        <v>2030</v>
      </c>
      <c r="P3056" s="1" t="n">
        <f aca="false">MONTH(B3056)</f>
        <v>5</v>
      </c>
      <c r="Q3056" s="1" t="str">
        <f aca="false">TEXT(B3056,"mmm")</f>
        <v>May</v>
      </c>
      <c r="R3056" s="1" t="str">
        <f aca="false">"Q"&amp;ROUNDUP(MONTH(B3056)/3,0)</f>
        <v>Q2</v>
      </c>
    </row>
    <row r="3057" customFormat="false" ht="15" hidden="false" customHeight="true" outlineLevel="0" collapsed="false">
      <c r="A3057" s="1" t="n">
        <v>13056</v>
      </c>
      <c r="B3057" s="14" t="n">
        <v>47617</v>
      </c>
      <c r="C3057" s="1" t="n">
        <v>1992</v>
      </c>
      <c r="D3057" s="1" t="s">
        <v>34</v>
      </c>
      <c r="E3057" s="1" t="s">
        <v>36</v>
      </c>
      <c r="F3057" s="1" t="n">
        <v>4</v>
      </c>
      <c r="G3057" s="15" t="n">
        <v>561.17</v>
      </c>
      <c r="H3057" s="16" t="n">
        <v>0.09</v>
      </c>
      <c r="I3057" s="1" t="s">
        <v>31</v>
      </c>
      <c r="J3057" s="1" t="n">
        <v>4</v>
      </c>
      <c r="K3057" s="1" t="n">
        <v>4.3</v>
      </c>
      <c r="L3057" s="15" t="n">
        <v>2042.66</v>
      </c>
      <c r="M3057" s="15" t="n">
        <f aca="false">F3057*G3057</f>
        <v>2244.68</v>
      </c>
      <c r="N3057" s="15" t="n">
        <f aca="false">M3057-L3057</f>
        <v>202.02</v>
      </c>
      <c r="O3057" s="1" t="n">
        <f aca="false">YEAR(B3057)</f>
        <v>2030</v>
      </c>
      <c r="P3057" s="1" t="n">
        <f aca="false">MONTH(B3057)</f>
        <v>5</v>
      </c>
      <c r="Q3057" s="1" t="str">
        <f aca="false">TEXT(B3057,"mmm")</f>
        <v>May</v>
      </c>
      <c r="R3057" s="1" t="str">
        <f aca="false">"Q"&amp;ROUNDUP(MONTH(B3057)/3,0)</f>
        <v>Q2</v>
      </c>
    </row>
    <row r="3058" customFormat="false" ht="15" hidden="false" customHeight="true" outlineLevel="0" collapsed="false">
      <c r="A3058" s="1" t="n">
        <v>13057</v>
      </c>
      <c r="B3058" s="14" t="n">
        <v>47618</v>
      </c>
      <c r="C3058" s="1" t="n">
        <v>1438</v>
      </c>
      <c r="D3058" s="1" t="s">
        <v>37</v>
      </c>
      <c r="E3058" s="1" t="s">
        <v>32</v>
      </c>
      <c r="F3058" s="1" t="n">
        <v>6</v>
      </c>
      <c r="G3058" s="15" t="n">
        <v>314.24</v>
      </c>
      <c r="H3058" s="16" t="n">
        <v>0.32</v>
      </c>
      <c r="I3058" s="1" t="s">
        <v>31</v>
      </c>
      <c r="J3058" s="1" t="n">
        <v>2</v>
      </c>
      <c r="K3058" s="1" t="n">
        <v>4.6</v>
      </c>
      <c r="L3058" s="15" t="n">
        <v>1282.1</v>
      </c>
      <c r="M3058" s="15" t="n">
        <f aca="false">F3058*G3058</f>
        <v>1885.44</v>
      </c>
      <c r="N3058" s="15" t="n">
        <f aca="false">M3058-L3058</f>
        <v>603.34</v>
      </c>
      <c r="O3058" s="1" t="n">
        <f aca="false">YEAR(B3058)</f>
        <v>2030</v>
      </c>
      <c r="P3058" s="1" t="n">
        <f aca="false">MONTH(B3058)</f>
        <v>5</v>
      </c>
      <c r="Q3058" s="1" t="str">
        <f aca="false">TEXT(B3058,"mmm")</f>
        <v>May</v>
      </c>
      <c r="R3058" s="1" t="str">
        <f aca="false">"Q"&amp;ROUNDUP(MONTH(B3058)/3,0)</f>
        <v>Q2</v>
      </c>
    </row>
    <row r="3059" customFormat="false" ht="15" hidden="false" customHeight="true" outlineLevel="0" collapsed="false">
      <c r="A3059" s="1" t="n">
        <v>13058</v>
      </c>
      <c r="B3059" s="14" t="n">
        <v>47619</v>
      </c>
      <c r="C3059" s="1" t="n">
        <v>1241</v>
      </c>
      <c r="D3059" s="1" t="s">
        <v>30</v>
      </c>
      <c r="E3059" s="1" t="s">
        <v>35</v>
      </c>
      <c r="F3059" s="1" t="n">
        <v>3</v>
      </c>
      <c r="G3059" s="15" t="n">
        <v>424.93</v>
      </c>
      <c r="H3059" s="16" t="n">
        <v>0.1</v>
      </c>
      <c r="I3059" s="1" t="s">
        <v>33</v>
      </c>
      <c r="J3059" s="1" t="n">
        <v>10</v>
      </c>
      <c r="K3059" s="1" t="n">
        <v>4.8</v>
      </c>
      <c r="L3059" s="15" t="n">
        <v>1147.31</v>
      </c>
      <c r="M3059" s="15" t="n">
        <f aca="false">F3059*G3059</f>
        <v>1274.79</v>
      </c>
      <c r="N3059" s="15" t="n">
        <f aca="false">M3059-L3059</f>
        <v>127.48</v>
      </c>
      <c r="O3059" s="1" t="n">
        <f aca="false">YEAR(B3059)</f>
        <v>2030</v>
      </c>
      <c r="P3059" s="1" t="n">
        <f aca="false">MONTH(B3059)</f>
        <v>5</v>
      </c>
      <c r="Q3059" s="1" t="str">
        <f aca="false">TEXT(B3059,"mmm")</f>
        <v>May</v>
      </c>
      <c r="R3059" s="1" t="str">
        <f aca="false">"Q"&amp;ROUNDUP(MONTH(B3059)/3,0)</f>
        <v>Q2</v>
      </c>
    </row>
    <row r="3060" customFormat="false" ht="15" hidden="false" customHeight="true" outlineLevel="0" collapsed="false">
      <c r="A3060" s="1" t="n">
        <v>13059</v>
      </c>
      <c r="B3060" s="14" t="n">
        <v>47620</v>
      </c>
      <c r="C3060" s="1" t="n">
        <v>1580</v>
      </c>
      <c r="D3060" s="1" t="s">
        <v>34</v>
      </c>
      <c r="E3060" s="1" t="s">
        <v>32</v>
      </c>
      <c r="F3060" s="1" t="n">
        <v>7</v>
      </c>
      <c r="G3060" s="15" t="n">
        <v>515.54</v>
      </c>
      <c r="H3060" s="16" t="n">
        <v>0.13</v>
      </c>
      <c r="I3060" s="1" t="s">
        <v>29</v>
      </c>
      <c r="J3060" s="1" t="n">
        <v>9</v>
      </c>
      <c r="K3060" s="1" t="n">
        <v>2.7</v>
      </c>
      <c r="L3060" s="15" t="n">
        <v>3139.64</v>
      </c>
      <c r="M3060" s="15" t="n">
        <f aca="false">F3060*G3060</f>
        <v>3608.78</v>
      </c>
      <c r="N3060" s="15" t="n">
        <f aca="false">M3060-L3060</f>
        <v>469.14</v>
      </c>
      <c r="O3060" s="1" t="n">
        <f aca="false">YEAR(B3060)</f>
        <v>2030</v>
      </c>
      <c r="P3060" s="1" t="n">
        <f aca="false">MONTH(B3060)</f>
        <v>5</v>
      </c>
      <c r="Q3060" s="1" t="str">
        <f aca="false">TEXT(B3060,"mmm")</f>
        <v>May</v>
      </c>
      <c r="R3060" s="1" t="str">
        <f aca="false">"Q"&amp;ROUNDUP(MONTH(B3060)/3,0)</f>
        <v>Q2</v>
      </c>
    </row>
    <row r="3061" customFormat="false" ht="15" hidden="false" customHeight="true" outlineLevel="0" collapsed="false">
      <c r="A3061" s="1" t="n">
        <v>13060</v>
      </c>
      <c r="B3061" s="14" t="n">
        <v>47621</v>
      </c>
      <c r="C3061" s="1" t="n">
        <v>1686</v>
      </c>
      <c r="D3061" s="1" t="s">
        <v>30</v>
      </c>
      <c r="E3061" s="1" t="s">
        <v>28</v>
      </c>
      <c r="F3061" s="1" t="n">
        <v>7</v>
      </c>
      <c r="G3061" s="15" t="n">
        <v>288.26</v>
      </c>
      <c r="H3061" s="16" t="n">
        <v>0.04</v>
      </c>
      <c r="I3061" s="1" t="s">
        <v>33</v>
      </c>
      <c r="J3061" s="1" t="n">
        <v>6</v>
      </c>
      <c r="K3061" s="1" t="n">
        <v>3.2</v>
      </c>
      <c r="L3061" s="15" t="n">
        <v>1937.11</v>
      </c>
      <c r="M3061" s="15" t="n">
        <f aca="false">F3061*G3061</f>
        <v>2017.82</v>
      </c>
      <c r="N3061" s="15" t="n">
        <f aca="false">M3061-L3061</f>
        <v>80.71</v>
      </c>
      <c r="O3061" s="1" t="n">
        <f aca="false">YEAR(B3061)</f>
        <v>2030</v>
      </c>
      <c r="P3061" s="1" t="n">
        <f aca="false">MONTH(B3061)</f>
        <v>5</v>
      </c>
      <c r="Q3061" s="1" t="str">
        <f aca="false">TEXT(B3061,"mmm")</f>
        <v>May</v>
      </c>
      <c r="R3061" s="1" t="str">
        <f aca="false">"Q"&amp;ROUNDUP(MONTH(B3061)/3,0)</f>
        <v>Q2</v>
      </c>
    </row>
    <row r="3062" customFormat="false" ht="15" hidden="false" customHeight="true" outlineLevel="0" collapsed="false">
      <c r="A3062" s="1" t="n">
        <v>13061</v>
      </c>
      <c r="B3062" s="14" t="n">
        <v>47622</v>
      </c>
      <c r="C3062" s="1" t="n">
        <v>1560</v>
      </c>
      <c r="D3062" s="1" t="s">
        <v>34</v>
      </c>
      <c r="E3062" s="1" t="s">
        <v>35</v>
      </c>
      <c r="F3062" s="1" t="n">
        <v>6</v>
      </c>
      <c r="G3062" s="15" t="n">
        <v>503.46</v>
      </c>
      <c r="H3062" s="16" t="n">
        <v>0.31</v>
      </c>
      <c r="I3062" s="1" t="s">
        <v>29</v>
      </c>
      <c r="J3062" s="1" t="n">
        <v>4</v>
      </c>
      <c r="K3062" s="1" t="n">
        <v>3.3</v>
      </c>
      <c r="L3062" s="15" t="n">
        <v>2084.32</v>
      </c>
      <c r="M3062" s="15" t="n">
        <f aca="false">F3062*G3062</f>
        <v>3020.76</v>
      </c>
      <c r="N3062" s="15" t="n">
        <f aca="false">M3062-L3062</f>
        <v>936.44</v>
      </c>
      <c r="O3062" s="1" t="n">
        <f aca="false">YEAR(B3062)</f>
        <v>2030</v>
      </c>
      <c r="P3062" s="1" t="n">
        <f aca="false">MONTH(B3062)</f>
        <v>5</v>
      </c>
      <c r="Q3062" s="1" t="str">
        <f aca="false">TEXT(B3062,"mmm")</f>
        <v>May</v>
      </c>
      <c r="R3062" s="1" t="str">
        <f aca="false">"Q"&amp;ROUNDUP(MONTH(B3062)/3,0)</f>
        <v>Q2</v>
      </c>
    </row>
    <row r="3063" customFormat="false" ht="15" hidden="false" customHeight="true" outlineLevel="0" collapsed="false">
      <c r="A3063" s="1" t="n">
        <v>13062</v>
      </c>
      <c r="B3063" s="14" t="n">
        <v>47623</v>
      </c>
      <c r="C3063" s="1" t="n">
        <v>1482</v>
      </c>
      <c r="D3063" s="1" t="s">
        <v>37</v>
      </c>
      <c r="E3063" s="1" t="s">
        <v>28</v>
      </c>
      <c r="F3063" s="1" t="n">
        <v>7</v>
      </c>
      <c r="G3063" s="15" t="n">
        <v>118.91</v>
      </c>
      <c r="H3063" s="16" t="n">
        <v>0.1</v>
      </c>
      <c r="I3063" s="1" t="s">
        <v>33</v>
      </c>
      <c r="J3063" s="1" t="n">
        <v>3</v>
      </c>
      <c r="K3063" s="1" t="n">
        <v>3.6</v>
      </c>
      <c r="L3063" s="15" t="n">
        <v>749.13</v>
      </c>
      <c r="M3063" s="15" t="n">
        <f aca="false">F3063*G3063</f>
        <v>832.37</v>
      </c>
      <c r="N3063" s="15" t="n">
        <f aca="false">M3063-L3063</f>
        <v>83.24</v>
      </c>
      <c r="O3063" s="1" t="n">
        <f aca="false">YEAR(B3063)</f>
        <v>2030</v>
      </c>
      <c r="P3063" s="1" t="n">
        <f aca="false">MONTH(B3063)</f>
        <v>5</v>
      </c>
      <c r="Q3063" s="1" t="str">
        <f aca="false">TEXT(B3063,"mmm")</f>
        <v>May</v>
      </c>
      <c r="R3063" s="1" t="str">
        <f aca="false">"Q"&amp;ROUNDUP(MONTH(B3063)/3,0)</f>
        <v>Q2</v>
      </c>
    </row>
    <row r="3064" customFormat="false" ht="15" hidden="false" customHeight="true" outlineLevel="0" collapsed="false">
      <c r="A3064" s="1" t="n">
        <v>13063</v>
      </c>
      <c r="B3064" s="14" t="n">
        <v>47624</v>
      </c>
      <c r="C3064" s="1" t="n">
        <v>1107</v>
      </c>
      <c r="D3064" s="1" t="s">
        <v>30</v>
      </c>
      <c r="E3064" s="1" t="s">
        <v>35</v>
      </c>
      <c r="F3064" s="1" t="n">
        <v>4</v>
      </c>
      <c r="G3064" s="15" t="n">
        <v>108.11</v>
      </c>
      <c r="H3064" s="16" t="n">
        <v>0.09</v>
      </c>
      <c r="I3064" s="1" t="s">
        <v>33</v>
      </c>
      <c r="J3064" s="1" t="n">
        <v>4</v>
      </c>
      <c r="K3064" s="1" t="n">
        <v>1</v>
      </c>
      <c r="L3064" s="15" t="n">
        <v>393.52</v>
      </c>
      <c r="M3064" s="15" t="n">
        <f aca="false">F3064*G3064</f>
        <v>432.44</v>
      </c>
      <c r="N3064" s="15" t="n">
        <f aca="false">M3064-L3064</f>
        <v>38.92</v>
      </c>
      <c r="O3064" s="1" t="n">
        <f aca="false">YEAR(B3064)</f>
        <v>2030</v>
      </c>
      <c r="P3064" s="1" t="n">
        <f aca="false">MONTH(B3064)</f>
        <v>5</v>
      </c>
      <c r="Q3064" s="1" t="str">
        <f aca="false">TEXT(B3064,"mmm")</f>
        <v>May</v>
      </c>
      <c r="R3064" s="1" t="str">
        <f aca="false">"Q"&amp;ROUNDUP(MONTH(B3064)/3,0)</f>
        <v>Q2</v>
      </c>
    </row>
    <row r="3065" customFormat="false" ht="15" hidden="false" customHeight="true" outlineLevel="0" collapsed="false">
      <c r="A3065" s="1" t="n">
        <v>13064</v>
      </c>
      <c r="B3065" s="14" t="n">
        <v>47625</v>
      </c>
      <c r="C3065" s="1" t="n">
        <v>1225</v>
      </c>
      <c r="D3065" s="1" t="s">
        <v>34</v>
      </c>
      <c r="E3065" s="1" t="s">
        <v>28</v>
      </c>
      <c r="F3065" s="1" t="n">
        <v>4</v>
      </c>
      <c r="G3065" s="15" t="n">
        <v>399.62</v>
      </c>
      <c r="H3065" s="16" t="n">
        <v>0.32</v>
      </c>
      <c r="I3065" s="1" t="s">
        <v>31</v>
      </c>
      <c r="J3065" s="1" t="n">
        <v>2</v>
      </c>
      <c r="K3065" s="1" t="n">
        <v>4.4</v>
      </c>
      <c r="L3065" s="15" t="n">
        <v>1086.97</v>
      </c>
      <c r="M3065" s="15" t="n">
        <f aca="false">F3065*G3065</f>
        <v>1598.48</v>
      </c>
      <c r="N3065" s="15" t="n">
        <f aca="false">M3065-L3065</f>
        <v>511.51</v>
      </c>
      <c r="O3065" s="1" t="n">
        <f aca="false">YEAR(B3065)</f>
        <v>2030</v>
      </c>
      <c r="P3065" s="1" t="n">
        <f aca="false">MONTH(B3065)</f>
        <v>5</v>
      </c>
      <c r="Q3065" s="1" t="str">
        <f aca="false">TEXT(B3065,"mmm")</f>
        <v>May</v>
      </c>
      <c r="R3065" s="1" t="str">
        <f aca="false">"Q"&amp;ROUNDUP(MONTH(B3065)/3,0)</f>
        <v>Q2</v>
      </c>
    </row>
    <row r="3066" customFormat="false" ht="15" hidden="false" customHeight="true" outlineLevel="0" collapsed="false">
      <c r="A3066" s="1" t="n">
        <v>13065</v>
      </c>
      <c r="B3066" s="14" t="n">
        <v>47626</v>
      </c>
      <c r="C3066" s="1" t="n">
        <v>1672</v>
      </c>
      <c r="D3066" s="1" t="s">
        <v>34</v>
      </c>
      <c r="E3066" s="1" t="s">
        <v>35</v>
      </c>
      <c r="F3066" s="1" t="n">
        <v>7</v>
      </c>
      <c r="G3066" s="15" t="n">
        <v>524.03</v>
      </c>
      <c r="H3066" s="16" t="n">
        <v>0.28</v>
      </c>
      <c r="I3066" s="1" t="s">
        <v>31</v>
      </c>
      <c r="J3066" s="1" t="n">
        <v>5</v>
      </c>
      <c r="K3066" s="1" t="n">
        <v>2.1</v>
      </c>
      <c r="L3066" s="15" t="n">
        <v>2641.11</v>
      </c>
      <c r="M3066" s="15" t="n">
        <f aca="false">F3066*G3066</f>
        <v>3668.21</v>
      </c>
      <c r="N3066" s="15" t="n">
        <f aca="false">M3066-L3066</f>
        <v>1027.1</v>
      </c>
      <c r="O3066" s="1" t="n">
        <f aca="false">YEAR(B3066)</f>
        <v>2030</v>
      </c>
      <c r="P3066" s="1" t="n">
        <f aca="false">MONTH(B3066)</f>
        <v>5</v>
      </c>
      <c r="Q3066" s="1" t="str">
        <f aca="false">TEXT(B3066,"mmm")</f>
        <v>May</v>
      </c>
      <c r="R3066" s="1" t="str">
        <f aca="false">"Q"&amp;ROUNDUP(MONTH(B3066)/3,0)</f>
        <v>Q2</v>
      </c>
    </row>
    <row r="3067" customFormat="false" ht="15" hidden="false" customHeight="true" outlineLevel="0" collapsed="false">
      <c r="A3067" s="1" t="n">
        <v>13066</v>
      </c>
      <c r="B3067" s="14" t="n">
        <v>47627</v>
      </c>
      <c r="C3067" s="1" t="n">
        <v>1630</v>
      </c>
      <c r="D3067" s="1" t="s">
        <v>34</v>
      </c>
      <c r="E3067" s="1" t="s">
        <v>32</v>
      </c>
      <c r="F3067" s="1" t="n">
        <v>2</v>
      </c>
      <c r="G3067" s="15" t="n">
        <v>537.07</v>
      </c>
      <c r="H3067" s="16" t="n">
        <v>0.05</v>
      </c>
      <c r="I3067" s="1" t="s">
        <v>31</v>
      </c>
      <c r="J3067" s="1" t="n">
        <v>9</v>
      </c>
      <c r="K3067" s="1" t="n">
        <v>2.9</v>
      </c>
      <c r="L3067" s="15" t="n">
        <v>1020.43</v>
      </c>
      <c r="M3067" s="15" t="n">
        <f aca="false">F3067*G3067</f>
        <v>1074.14</v>
      </c>
      <c r="N3067" s="15" t="n">
        <f aca="false">M3067-L3067</f>
        <v>53.7100000000002</v>
      </c>
      <c r="O3067" s="1" t="n">
        <f aca="false">YEAR(B3067)</f>
        <v>2030</v>
      </c>
      <c r="P3067" s="1" t="n">
        <f aca="false">MONTH(B3067)</f>
        <v>5</v>
      </c>
      <c r="Q3067" s="1" t="str">
        <f aca="false">TEXT(B3067,"mmm")</f>
        <v>May</v>
      </c>
      <c r="R3067" s="1" t="str">
        <f aca="false">"Q"&amp;ROUNDUP(MONTH(B3067)/3,0)</f>
        <v>Q2</v>
      </c>
    </row>
    <row r="3068" customFormat="false" ht="15" hidden="false" customHeight="true" outlineLevel="0" collapsed="false">
      <c r="A3068" s="1" t="n">
        <v>13067</v>
      </c>
      <c r="B3068" s="14" t="n">
        <v>47628</v>
      </c>
      <c r="C3068" s="1" t="n">
        <v>1660</v>
      </c>
      <c r="D3068" s="1" t="s">
        <v>34</v>
      </c>
      <c r="E3068" s="1" t="s">
        <v>32</v>
      </c>
      <c r="F3068" s="1" t="n">
        <v>5</v>
      </c>
      <c r="G3068" s="15" t="n">
        <v>391.59</v>
      </c>
      <c r="H3068" s="16" t="n">
        <v>0.27</v>
      </c>
      <c r="I3068" s="1" t="s">
        <v>29</v>
      </c>
      <c r="J3068" s="1" t="n">
        <v>6</v>
      </c>
      <c r="K3068" s="1" t="n">
        <v>4.4</v>
      </c>
      <c r="L3068" s="15" t="n">
        <v>1429.3</v>
      </c>
      <c r="M3068" s="15" t="n">
        <f aca="false">F3068*G3068</f>
        <v>1957.95</v>
      </c>
      <c r="N3068" s="15" t="n">
        <f aca="false">M3068-L3068</f>
        <v>528.65</v>
      </c>
      <c r="O3068" s="1" t="n">
        <f aca="false">YEAR(B3068)</f>
        <v>2030</v>
      </c>
      <c r="P3068" s="1" t="n">
        <f aca="false">MONTH(B3068)</f>
        <v>5</v>
      </c>
      <c r="Q3068" s="1" t="str">
        <f aca="false">TEXT(B3068,"mmm")</f>
        <v>May</v>
      </c>
      <c r="R3068" s="1" t="str">
        <f aca="false">"Q"&amp;ROUNDUP(MONTH(B3068)/3,0)</f>
        <v>Q2</v>
      </c>
    </row>
    <row r="3069" customFormat="false" ht="15" hidden="false" customHeight="true" outlineLevel="0" collapsed="false">
      <c r="A3069" s="1" t="n">
        <v>13068</v>
      </c>
      <c r="B3069" s="14" t="n">
        <v>47629</v>
      </c>
      <c r="C3069" s="1" t="n">
        <v>1976</v>
      </c>
      <c r="D3069" s="1" t="s">
        <v>30</v>
      </c>
      <c r="E3069" s="1" t="s">
        <v>32</v>
      </c>
      <c r="F3069" s="1" t="n">
        <v>1</v>
      </c>
      <c r="G3069" s="15" t="n">
        <v>322.41</v>
      </c>
      <c r="H3069" s="16" t="n">
        <v>0.32</v>
      </c>
      <c r="I3069" s="1" t="s">
        <v>29</v>
      </c>
      <c r="J3069" s="1" t="n">
        <v>2</v>
      </c>
      <c r="K3069" s="1" t="n">
        <v>5</v>
      </c>
      <c r="L3069" s="15" t="n">
        <v>219.24</v>
      </c>
      <c r="M3069" s="15" t="n">
        <f aca="false">F3069*G3069</f>
        <v>322.41</v>
      </c>
      <c r="N3069" s="15" t="n">
        <f aca="false">M3069-L3069</f>
        <v>103.17</v>
      </c>
      <c r="O3069" s="1" t="n">
        <f aca="false">YEAR(B3069)</f>
        <v>2030</v>
      </c>
      <c r="P3069" s="1" t="n">
        <f aca="false">MONTH(B3069)</f>
        <v>5</v>
      </c>
      <c r="Q3069" s="1" t="str">
        <f aca="false">TEXT(B3069,"mmm")</f>
        <v>May</v>
      </c>
      <c r="R3069" s="1" t="str">
        <f aca="false">"Q"&amp;ROUNDUP(MONTH(B3069)/3,0)</f>
        <v>Q2</v>
      </c>
    </row>
    <row r="3070" customFormat="false" ht="15" hidden="false" customHeight="true" outlineLevel="0" collapsed="false">
      <c r="A3070" s="1" t="n">
        <v>13069</v>
      </c>
      <c r="B3070" s="14" t="n">
        <v>47630</v>
      </c>
      <c r="C3070" s="1" t="n">
        <v>1661</v>
      </c>
      <c r="D3070" s="1" t="s">
        <v>37</v>
      </c>
      <c r="E3070" s="1" t="s">
        <v>28</v>
      </c>
      <c r="F3070" s="1" t="n">
        <v>5</v>
      </c>
      <c r="G3070" s="15" t="n">
        <v>208.86</v>
      </c>
      <c r="H3070" s="16" t="n">
        <v>0.03</v>
      </c>
      <c r="I3070" s="1" t="s">
        <v>33</v>
      </c>
      <c r="J3070" s="1" t="n">
        <v>6</v>
      </c>
      <c r="K3070" s="1" t="n">
        <v>4.2</v>
      </c>
      <c r="L3070" s="15" t="n">
        <v>1012.97</v>
      </c>
      <c r="M3070" s="15" t="n">
        <f aca="false">F3070*G3070</f>
        <v>1044.3</v>
      </c>
      <c r="N3070" s="15" t="n">
        <f aca="false">M3070-L3070</f>
        <v>31.3300000000002</v>
      </c>
      <c r="O3070" s="1" t="n">
        <f aca="false">YEAR(B3070)</f>
        <v>2030</v>
      </c>
      <c r="P3070" s="1" t="n">
        <f aca="false">MONTH(B3070)</f>
        <v>5</v>
      </c>
      <c r="Q3070" s="1" t="str">
        <f aca="false">TEXT(B3070,"mmm")</f>
        <v>May</v>
      </c>
      <c r="R3070" s="1" t="str">
        <f aca="false">"Q"&amp;ROUNDUP(MONTH(B3070)/3,0)</f>
        <v>Q2</v>
      </c>
    </row>
    <row r="3071" customFormat="false" ht="15" hidden="false" customHeight="true" outlineLevel="0" collapsed="false">
      <c r="A3071" s="1" t="n">
        <v>13070</v>
      </c>
      <c r="B3071" s="14" t="n">
        <v>47631</v>
      </c>
      <c r="C3071" s="1" t="n">
        <v>1431</v>
      </c>
      <c r="D3071" s="1" t="s">
        <v>34</v>
      </c>
      <c r="E3071" s="1" t="s">
        <v>32</v>
      </c>
      <c r="F3071" s="1" t="n">
        <v>7</v>
      </c>
      <c r="G3071" s="15" t="n">
        <v>588.3</v>
      </c>
      <c r="H3071" s="16" t="n">
        <v>0.29</v>
      </c>
      <c r="I3071" s="1" t="s">
        <v>31</v>
      </c>
      <c r="J3071" s="1" t="n">
        <v>9</v>
      </c>
      <c r="K3071" s="1" t="n">
        <v>1.1</v>
      </c>
      <c r="L3071" s="15" t="n">
        <v>2923.85</v>
      </c>
      <c r="M3071" s="15" t="n">
        <f aca="false">F3071*G3071</f>
        <v>4118.1</v>
      </c>
      <c r="N3071" s="15" t="n">
        <f aca="false">M3071-L3071</f>
        <v>1194.25</v>
      </c>
      <c r="O3071" s="1" t="n">
        <f aca="false">YEAR(B3071)</f>
        <v>2030</v>
      </c>
      <c r="P3071" s="1" t="n">
        <f aca="false">MONTH(B3071)</f>
        <v>5</v>
      </c>
      <c r="Q3071" s="1" t="str">
        <f aca="false">TEXT(B3071,"mmm")</f>
        <v>May</v>
      </c>
      <c r="R3071" s="1" t="str">
        <f aca="false">"Q"&amp;ROUNDUP(MONTH(B3071)/3,0)</f>
        <v>Q2</v>
      </c>
    </row>
    <row r="3072" customFormat="false" ht="15" hidden="false" customHeight="true" outlineLevel="0" collapsed="false">
      <c r="A3072" s="1" t="n">
        <v>13071</v>
      </c>
      <c r="B3072" s="14" t="n">
        <v>47632</v>
      </c>
      <c r="C3072" s="1" t="n">
        <v>1804</v>
      </c>
      <c r="D3072" s="1" t="s">
        <v>34</v>
      </c>
      <c r="E3072" s="1" t="s">
        <v>28</v>
      </c>
      <c r="F3072" s="1" t="n">
        <v>4</v>
      </c>
      <c r="G3072" s="15" t="n">
        <v>202.02</v>
      </c>
      <c r="H3072" s="16" t="n">
        <v>0.19</v>
      </c>
      <c r="I3072" s="1" t="s">
        <v>31</v>
      </c>
      <c r="J3072" s="1" t="n">
        <v>4</v>
      </c>
      <c r="K3072" s="1" t="n">
        <v>2.5</v>
      </c>
      <c r="L3072" s="15" t="n">
        <v>654.54</v>
      </c>
      <c r="M3072" s="15" t="n">
        <f aca="false">F3072*G3072</f>
        <v>808.08</v>
      </c>
      <c r="N3072" s="15" t="n">
        <f aca="false">M3072-L3072</f>
        <v>153.54</v>
      </c>
      <c r="O3072" s="1" t="n">
        <f aca="false">YEAR(B3072)</f>
        <v>2030</v>
      </c>
      <c r="P3072" s="1" t="n">
        <f aca="false">MONTH(B3072)</f>
        <v>5</v>
      </c>
      <c r="Q3072" s="1" t="str">
        <f aca="false">TEXT(B3072,"mmm")</f>
        <v>May</v>
      </c>
      <c r="R3072" s="1" t="str">
        <f aca="false">"Q"&amp;ROUNDUP(MONTH(B3072)/3,0)</f>
        <v>Q2</v>
      </c>
    </row>
    <row r="3073" customFormat="false" ht="15" hidden="false" customHeight="true" outlineLevel="0" collapsed="false">
      <c r="A3073" s="1" t="n">
        <v>13072</v>
      </c>
      <c r="B3073" s="14" t="n">
        <v>47633</v>
      </c>
      <c r="C3073" s="1" t="n">
        <v>1654</v>
      </c>
      <c r="D3073" s="1" t="s">
        <v>30</v>
      </c>
      <c r="E3073" s="1" t="s">
        <v>35</v>
      </c>
      <c r="F3073" s="1" t="n">
        <v>4</v>
      </c>
      <c r="G3073" s="15" t="n">
        <v>450.35</v>
      </c>
      <c r="H3073" s="16" t="n">
        <v>0.23</v>
      </c>
      <c r="I3073" s="1" t="s">
        <v>29</v>
      </c>
      <c r="J3073" s="1" t="n">
        <v>1</v>
      </c>
      <c r="K3073" s="1" t="n">
        <v>2</v>
      </c>
      <c r="L3073" s="15" t="n">
        <v>1387.08</v>
      </c>
      <c r="M3073" s="15" t="n">
        <f aca="false">F3073*G3073</f>
        <v>1801.4</v>
      </c>
      <c r="N3073" s="15" t="n">
        <f aca="false">M3073-L3073</f>
        <v>414.32</v>
      </c>
      <c r="O3073" s="1" t="n">
        <f aca="false">YEAR(B3073)</f>
        <v>2030</v>
      </c>
      <c r="P3073" s="1" t="n">
        <f aca="false">MONTH(B3073)</f>
        <v>5</v>
      </c>
      <c r="Q3073" s="1" t="str">
        <f aca="false">TEXT(B3073,"mmm")</f>
        <v>May</v>
      </c>
      <c r="R3073" s="1" t="str">
        <f aca="false">"Q"&amp;ROUNDUP(MONTH(B3073)/3,0)</f>
        <v>Q2</v>
      </c>
    </row>
    <row r="3074" customFormat="false" ht="15" hidden="false" customHeight="true" outlineLevel="0" collapsed="false">
      <c r="A3074" s="1" t="n">
        <v>13073</v>
      </c>
      <c r="B3074" s="14" t="n">
        <v>47634</v>
      </c>
      <c r="C3074" s="1" t="n">
        <v>1418</v>
      </c>
      <c r="D3074" s="1" t="s">
        <v>37</v>
      </c>
      <c r="E3074" s="1" t="s">
        <v>28</v>
      </c>
      <c r="F3074" s="1" t="n">
        <v>5</v>
      </c>
      <c r="G3074" s="15" t="n">
        <v>326.21</v>
      </c>
      <c r="H3074" s="16" t="n">
        <v>0.17</v>
      </c>
      <c r="I3074" s="1" t="s">
        <v>31</v>
      </c>
      <c r="J3074" s="1" t="n">
        <v>2</v>
      </c>
      <c r="K3074" s="1" t="n">
        <v>4.9</v>
      </c>
      <c r="L3074" s="15" t="n">
        <v>1353.77</v>
      </c>
      <c r="M3074" s="15" t="n">
        <f aca="false">F3074*G3074</f>
        <v>1631.05</v>
      </c>
      <c r="N3074" s="15" t="n">
        <f aca="false">M3074-L3074</f>
        <v>277.28</v>
      </c>
      <c r="O3074" s="1" t="n">
        <f aca="false">YEAR(B3074)</f>
        <v>2030</v>
      </c>
      <c r="P3074" s="1" t="n">
        <f aca="false">MONTH(B3074)</f>
        <v>5</v>
      </c>
      <c r="Q3074" s="1" t="str">
        <f aca="false">TEXT(B3074,"mmm")</f>
        <v>May</v>
      </c>
      <c r="R3074" s="1" t="str">
        <f aca="false">"Q"&amp;ROUNDUP(MONTH(B3074)/3,0)</f>
        <v>Q2</v>
      </c>
    </row>
    <row r="3075" customFormat="false" ht="15" hidden="false" customHeight="true" outlineLevel="0" collapsed="false">
      <c r="A3075" s="1" t="n">
        <v>13074</v>
      </c>
      <c r="B3075" s="14" t="n">
        <v>47635</v>
      </c>
      <c r="C3075" s="1" t="n">
        <v>1987</v>
      </c>
      <c r="D3075" s="1" t="s">
        <v>34</v>
      </c>
      <c r="E3075" s="1" t="s">
        <v>35</v>
      </c>
      <c r="F3075" s="1" t="n">
        <v>4</v>
      </c>
      <c r="G3075" s="15" t="n">
        <v>370.98</v>
      </c>
      <c r="H3075" s="16" t="n">
        <v>0.24</v>
      </c>
      <c r="I3075" s="1" t="s">
        <v>29</v>
      </c>
      <c r="J3075" s="1" t="n">
        <v>5</v>
      </c>
      <c r="K3075" s="1" t="n">
        <v>2.1</v>
      </c>
      <c r="L3075" s="15" t="n">
        <v>1127.78</v>
      </c>
      <c r="M3075" s="15" t="n">
        <f aca="false">F3075*G3075</f>
        <v>1483.92</v>
      </c>
      <c r="N3075" s="15" t="n">
        <f aca="false">M3075-L3075</f>
        <v>356.14</v>
      </c>
      <c r="O3075" s="1" t="n">
        <f aca="false">YEAR(B3075)</f>
        <v>2030</v>
      </c>
      <c r="P3075" s="1" t="n">
        <f aca="false">MONTH(B3075)</f>
        <v>6</v>
      </c>
      <c r="Q3075" s="1" t="str">
        <f aca="false">TEXT(B3075,"mmm")</f>
        <v>Jun</v>
      </c>
      <c r="R3075" s="1" t="str">
        <f aca="false">"Q"&amp;ROUNDUP(MONTH(B3075)/3,0)</f>
        <v>Q2</v>
      </c>
    </row>
    <row r="3076" customFormat="false" ht="15" hidden="false" customHeight="true" outlineLevel="0" collapsed="false">
      <c r="A3076" s="1" t="n">
        <v>13075</v>
      </c>
      <c r="B3076" s="14" t="n">
        <v>47636</v>
      </c>
      <c r="C3076" s="1" t="n">
        <v>1454</v>
      </c>
      <c r="D3076" s="1" t="s">
        <v>34</v>
      </c>
      <c r="E3076" s="1" t="s">
        <v>36</v>
      </c>
      <c r="F3076" s="1" t="n">
        <v>6</v>
      </c>
      <c r="G3076" s="15" t="n">
        <v>245.19</v>
      </c>
      <c r="H3076" s="16" t="n">
        <v>0.01</v>
      </c>
      <c r="I3076" s="1" t="s">
        <v>31</v>
      </c>
      <c r="J3076" s="1" t="n">
        <v>10</v>
      </c>
      <c r="K3076" s="1" t="n">
        <v>4.8</v>
      </c>
      <c r="L3076" s="15" t="n">
        <v>1456.43</v>
      </c>
      <c r="M3076" s="15" t="n">
        <f aca="false">F3076*G3076</f>
        <v>1471.14</v>
      </c>
      <c r="N3076" s="15" t="n">
        <f aca="false">M3076-L3076</f>
        <v>14.7099999999998</v>
      </c>
      <c r="O3076" s="1" t="n">
        <f aca="false">YEAR(B3076)</f>
        <v>2030</v>
      </c>
      <c r="P3076" s="1" t="n">
        <f aca="false">MONTH(B3076)</f>
        <v>6</v>
      </c>
      <c r="Q3076" s="1" t="str">
        <f aca="false">TEXT(B3076,"mmm")</f>
        <v>Jun</v>
      </c>
      <c r="R3076" s="1" t="str">
        <f aca="false">"Q"&amp;ROUNDUP(MONTH(B3076)/3,0)</f>
        <v>Q2</v>
      </c>
    </row>
    <row r="3077" customFormat="false" ht="15" hidden="false" customHeight="true" outlineLevel="0" collapsed="false">
      <c r="A3077" s="1" t="n">
        <v>13076</v>
      </c>
      <c r="B3077" s="14" t="n">
        <v>47637</v>
      </c>
      <c r="C3077" s="1" t="n">
        <v>1159</v>
      </c>
      <c r="D3077" s="1" t="s">
        <v>30</v>
      </c>
      <c r="E3077" s="1" t="s">
        <v>36</v>
      </c>
      <c r="F3077" s="1" t="n">
        <v>3</v>
      </c>
      <c r="G3077" s="15" t="n">
        <v>579.42</v>
      </c>
      <c r="H3077" s="16" t="n">
        <v>0.27</v>
      </c>
      <c r="I3077" s="1" t="s">
        <v>31</v>
      </c>
      <c r="J3077" s="1" t="n">
        <v>7</v>
      </c>
      <c r="K3077" s="1" t="n">
        <v>4.8</v>
      </c>
      <c r="L3077" s="15" t="n">
        <v>1268.93</v>
      </c>
      <c r="M3077" s="15" t="n">
        <f aca="false">F3077*G3077</f>
        <v>1738.26</v>
      </c>
      <c r="N3077" s="15" t="n">
        <f aca="false">M3077-L3077</f>
        <v>469.33</v>
      </c>
      <c r="O3077" s="1" t="n">
        <f aca="false">YEAR(B3077)</f>
        <v>2030</v>
      </c>
      <c r="P3077" s="1" t="n">
        <f aca="false">MONTH(B3077)</f>
        <v>6</v>
      </c>
      <c r="Q3077" s="1" t="str">
        <f aca="false">TEXT(B3077,"mmm")</f>
        <v>Jun</v>
      </c>
      <c r="R3077" s="1" t="str">
        <f aca="false">"Q"&amp;ROUNDUP(MONTH(B3077)/3,0)</f>
        <v>Q2</v>
      </c>
    </row>
    <row r="3078" customFormat="false" ht="15" hidden="false" customHeight="true" outlineLevel="0" collapsed="false">
      <c r="A3078" s="1" t="n">
        <v>13077</v>
      </c>
      <c r="B3078" s="14" t="n">
        <v>47638</v>
      </c>
      <c r="C3078" s="1" t="n">
        <v>1522</v>
      </c>
      <c r="D3078" s="1" t="s">
        <v>34</v>
      </c>
      <c r="E3078" s="1" t="s">
        <v>36</v>
      </c>
      <c r="F3078" s="1" t="n">
        <v>4</v>
      </c>
      <c r="G3078" s="15" t="n">
        <v>349.43</v>
      </c>
      <c r="H3078" s="16" t="n">
        <v>0.01</v>
      </c>
      <c r="I3078" s="1" t="s">
        <v>29</v>
      </c>
      <c r="J3078" s="1" t="n">
        <v>8</v>
      </c>
      <c r="K3078" s="1" t="n">
        <v>4.4</v>
      </c>
      <c r="L3078" s="15" t="n">
        <v>1383.74</v>
      </c>
      <c r="M3078" s="15" t="n">
        <f aca="false">F3078*G3078</f>
        <v>1397.72</v>
      </c>
      <c r="N3078" s="15" t="n">
        <f aca="false">M3078-L3078</f>
        <v>13.98</v>
      </c>
      <c r="O3078" s="1" t="n">
        <f aca="false">YEAR(B3078)</f>
        <v>2030</v>
      </c>
      <c r="P3078" s="1" t="n">
        <f aca="false">MONTH(B3078)</f>
        <v>6</v>
      </c>
      <c r="Q3078" s="1" t="str">
        <f aca="false">TEXT(B3078,"mmm")</f>
        <v>Jun</v>
      </c>
      <c r="R3078" s="1" t="str">
        <f aca="false">"Q"&amp;ROUNDUP(MONTH(B3078)/3,0)</f>
        <v>Q2</v>
      </c>
    </row>
    <row r="3079" customFormat="false" ht="15" hidden="false" customHeight="true" outlineLevel="0" collapsed="false">
      <c r="A3079" s="1" t="n">
        <v>13078</v>
      </c>
      <c r="B3079" s="14" t="n">
        <v>47639</v>
      </c>
      <c r="C3079" s="1" t="n">
        <v>1649</v>
      </c>
      <c r="D3079" s="1" t="s">
        <v>34</v>
      </c>
      <c r="E3079" s="1" t="s">
        <v>28</v>
      </c>
      <c r="F3079" s="1" t="n">
        <v>7</v>
      </c>
      <c r="G3079" s="15" t="n">
        <v>563.61</v>
      </c>
      <c r="H3079" s="16" t="n">
        <v>0.16</v>
      </c>
      <c r="I3079" s="1" t="s">
        <v>31</v>
      </c>
      <c r="J3079" s="1" t="n">
        <v>3</v>
      </c>
      <c r="K3079" s="1" t="n">
        <v>1.4</v>
      </c>
      <c r="L3079" s="15" t="n">
        <v>3314.03</v>
      </c>
      <c r="M3079" s="15" t="n">
        <f aca="false">F3079*G3079</f>
        <v>3945.27</v>
      </c>
      <c r="N3079" s="15" t="n">
        <f aca="false">M3079-L3079</f>
        <v>631.24</v>
      </c>
      <c r="O3079" s="1" t="n">
        <f aca="false">YEAR(B3079)</f>
        <v>2030</v>
      </c>
      <c r="P3079" s="1" t="n">
        <f aca="false">MONTH(B3079)</f>
        <v>6</v>
      </c>
      <c r="Q3079" s="1" t="str">
        <f aca="false">TEXT(B3079,"mmm")</f>
        <v>Jun</v>
      </c>
      <c r="R3079" s="1" t="str">
        <f aca="false">"Q"&amp;ROUNDUP(MONTH(B3079)/3,0)</f>
        <v>Q2</v>
      </c>
    </row>
    <row r="3080" customFormat="false" ht="15" hidden="false" customHeight="true" outlineLevel="0" collapsed="false">
      <c r="A3080" s="1" t="n">
        <v>13079</v>
      </c>
      <c r="B3080" s="14" t="n">
        <v>47640</v>
      </c>
      <c r="C3080" s="1" t="n">
        <v>1968</v>
      </c>
      <c r="D3080" s="1" t="s">
        <v>37</v>
      </c>
      <c r="E3080" s="1" t="s">
        <v>36</v>
      </c>
      <c r="F3080" s="1" t="n">
        <v>7</v>
      </c>
      <c r="G3080" s="15" t="n">
        <v>19.44</v>
      </c>
      <c r="H3080" s="16" t="n">
        <v>0.05</v>
      </c>
      <c r="I3080" s="1" t="s">
        <v>31</v>
      </c>
      <c r="J3080" s="1" t="n">
        <v>9</v>
      </c>
      <c r="K3080" s="1" t="n">
        <v>1</v>
      </c>
      <c r="L3080" s="15" t="n">
        <v>129.28</v>
      </c>
      <c r="M3080" s="15" t="n">
        <f aca="false">F3080*G3080</f>
        <v>136.08</v>
      </c>
      <c r="N3080" s="15" t="n">
        <f aca="false">M3080-L3080</f>
        <v>6.80000000000001</v>
      </c>
      <c r="O3080" s="1" t="n">
        <f aca="false">YEAR(B3080)</f>
        <v>2030</v>
      </c>
      <c r="P3080" s="1" t="n">
        <f aca="false">MONTH(B3080)</f>
        <v>6</v>
      </c>
      <c r="Q3080" s="1" t="str">
        <f aca="false">TEXT(B3080,"mmm")</f>
        <v>Jun</v>
      </c>
      <c r="R3080" s="1" t="str">
        <f aca="false">"Q"&amp;ROUNDUP(MONTH(B3080)/3,0)</f>
        <v>Q2</v>
      </c>
    </row>
    <row r="3081" customFormat="false" ht="15" hidden="false" customHeight="true" outlineLevel="0" collapsed="false">
      <c r="A3081" s="1" t="n">
        <v>13080</v>
      </c>
      <c r="B3081" s="14" t="n">
        <v>47641</v>
      </c>
      <c r="C3081" s="1" t="n">
        <v>1589</v>
      </c>
      <c r="D3081" s="1" t="s">
        <v>30</v>
      </c>
      <c r="E3081" s="1" t="s">
        <v>36</v>
      </c>
      <c r="F3081" s="1" t="n">
        <v>5</v>
      </c>
      <c r="G3081" s="15" t="n">
        <v>350.01</v>
      </c>
      <c r="H3081" s="16" t="n">
        <v>0.29</v>
      </c>
      <c r="I3081" s="1" t="s">
        <v>29</v>
      </c>
      <c r="J3081" s="1" t="n">
        <v>2</v>
      </c>
      <c r="K3081" s="1" t="n">
        <v>4.2</v>
      </c>
      <c r="L3081" s="15" t="n">
        <v>1242.54</v>
      </c>
      <c r="M3081" s="15" t="n">
        <f aca="false">F3081*G3081</f>
        <v>1750.05</v>
      </c>
      <c r="N3081" s="15" t="n">
        <f aca="false">M3081-L3081</f>
        <v>507.51</v>
      </c>
      <c r="O3081" s="1" t="n">
        <f aca="false">YEAR(B3081)</f>
        <v>2030</v>
      </c>
      <c r="P3081" s="1" t="n">
        <f aca="false">MONTH(B3081)</f>
        <v>6</v>
      </c>
      <c r="Q3081" s="1" t="str">
        <f aca="false">TEXT(B3081,"mmm")</f>
        <v>Jun</v>
      </c>
      <c r="R3081" s="1" t="str">
        <f aca="false">"Q"&amp;ROUNDUP(MONTH(B3081)/3,0)</f>
        <v>Q2</v>
      </c>
    </row>
    <row r="3082" customFormat="false" ht="15" hidden="false" customHeight="true" outlineLevel="0" collapsed="false">
      <c r="A3082" s="1" t="n">
        <v>13081</v>
      </c>
      <c r="B3082" s="14" t="n">
        <v>47642</v>
      </c>
      <c r="C3082" s="1" t="n">
        <v>1076</v>
      </c>
      <c r="D3082" s="1" t="s">
        <v>30</v>
      </c>
      <c r="E3082" s="1" t="s">
        <v>36</v>
      </c>
      <c r="F3082" s="1" t="n">
        <v>5</v>
      </c>
      <c r="G3082" s="15" t="n">
        <v>434.55</v>
      </c>
      <c r="H3082" s="16" t="n">
        <v>0.11</v>
      </c>
      <c r="I3082" s="1" t="s">
        <v>33</v>
      </c>
      <c r="J3082" s="1" t="n">
        <v>4</v>
      </c>
      <c r="K3082" s="1" t="n">
        <v>4.4</v>
      </c>
      <c r="L3082" s="15" t="n">
        <v>1933.75</v>
      </c>
      <c r="M3082" s="15" t="n">
        <f aca="false">F3082*G3082</f>
        <v>2172.75</v>
      </c>
      <c r="N3082" s="15" t="n">
        <f aca="false">M3082-L3082</f>
        <v>239</v>
      </c>
      <c r="O3082" s="1" t="n">
        <f aca="false">YEAR(B3082)</f>
        <v>2030</v>
      </c>
      <c r="P3082" s="1" t="n">
        <f aca="false">MONTH(B3082)</f>
        <v>6</v>
      </c>
      <c r="Q3082" s="1" t="str">
        <f aca="false">TEXT(B3082,"mmm")</f>
        <v>Jun</v>
      </c>
      <c r="R3082" s="1" t="str">
        <f aca="false">"Q"&amp;ROUNDUP(MONTH(B3082)/3,0)</f>
        <v>Q2</v>
      </c>
    </row>
    <row r="3083" customFormat="false" ht="15" hidden="false" customHeight="true" outlineLevel="0" collapsed="false">
      <c r="A3083" s="1" t="n">
        <v>13082</v>
      </c>
      <c r="B3083" s="14" t="n">
        <v>47643</v>
      </c>
      <c r="C3083" s="1" t="n">
        <v>1508</v>
      </c>
      <c r="D3083" s="1" t="s">
        <v>37</v>
      </c>
      <c r="E3083" s="1" t="s">
        <v>35</v>
      </c>
      <c r="F3083" s="1" t="n">
        <v>5</v>
      </c>
      <c r="G3083" s="15" t="n">
        <v>450.87</v>
      </c>
      <c r="H3083" s="16" t="n">
        <v>0.16</v>
      </c>
      <c r="I3083" s="1" t="s">
        <v>33</v>
      </c>
      <c r="J3083" s="1" t="n">
        <v>4</v>
      </c>
      <c r="K3083" s="1" t="n">
        <v>4.8</v>
      </c>
      <c r="L3083" s="15" t="n">
        <v>1893.65</v>
      </c>
      <c r="M3083" s="15" t="n">
        <f aca="false">F3083*G3083</f>
        <v>2254.35</v>
      </c>
      <c r="N3083" s="15" t="n">
        <f aca="false">M3083-L3083</f>
        <v>360.7</v>
      </c>
      <c r="O3083" s="1" t="n">
        <f aca="false">YEAR(B3083)</f>
        <v>2030</v>
      </c>
      <c r="P3083" s="1" t="n">
        <f aca="false">MONTH(B3083)</f>
        <v>6</v>
      </c>
      <c r="Q3083" s="1" t="str">
        <f aca="false">TEXT(B3083,"mmm")</f>
        <v>Jun</v>
      </c>
      <c r="R3083" s="1" t="str">
        <f aca="false">"Q"&amp;ROUNDUP(MONTH(B3083)/3,0)</f>
        <v>Q2</v>
      </c>
    </row>
    <row r="3084" customFormat="false" ht="15" hidden="false" customHeight="true" outlineLevel="0" collapsed="false">
      <c r="A3084" s="1" t="n">
        <v>13083</v>
      </c>
      <c r="B3084" s="14" t="n">
        <v>47644</v>
      </c>
      <c r="C3084" s="1" t="n">
        <v>1440</v>
      </c>
      <c r="D3084" s="1" t="s">
        <v>37</v>
      </c>
      <c r="E3084" s="1" t="s">
        <v>32</v>
      </c>
      <c r="F3084" s="1" t="n">
        <v>7</v>
      </c>
      <c r="G3084" s="15" t="n">
        <v>544.41</v>
      </c>
      <c r="H3084" s="16" t="n">
        <v>0.15</v>
      </c>
      <c r="I3084" s="1" t="s">
        <v>33</v>
      </c>
      <c r="J3084" s="1" t="n">
        <v>6</v>
      </c>
      <c r="K3084" s="1" t="n">
        <v>1.9</v>
      </c>
      <c r="L3084" s="15" t="n">
        <v>3239.24</v>
      </c>
      <c r="M3084" s="15" t="n">
        <f aca="false">F3084*G3084</f>
        <v>3810.87</v>
      </c>
      <c r="N3084" s="15" t="n">
        <f aca="false">M3084-L3084</f>
        <v>571.63</v>
      </c>
      <c r="O3084" s="1" t="n">
        <f aca="false">YEAR(B3084)</f>
        <v>2030</v>
      </c>
      <c r="P3084" s="1" t="n">
        <f aca="false">MONTH(B3084)</f>
        <v>6</v>
      </c>
      <c r="Q3084" s="1" t="str">
        <f aca="false">TEXT(B3084,"mmm")</f>
        <v>Jun</v>
      </c>
      <c r="R3084" s="1" t="str">
        <f aca="false">"Q"&amp;ROUNDUP(MONTH(B3084)/3,0)</f>
        <v>Q2</v>
      </c>
    </row>
    <row r="3085" customFormat="false" ht="15" hidden="false" customHeight="true" outlineLevel="0" collapsed="false">
      <c r="A3085" s="1" t="n">
        <v>13084</v>
      </c>
      <c r="B3085" s="14" t="n">
        <v>47645</v>
      </c>
      <c r="C3085" s="1" t="n">
        <v>1253</v>
      </c>
      <c r="D3085" s="1" t="s">
        <v>34</v>
      </c>
      <c r="E3085" s="1" t="s">
        <v>28</v>
      </c>
      <c r="F3085" s="1" t="n">
        <v>2</v>
      </c>
      <c r="G3085" s="15" t="n">
        <v>17.57</v>
      </c>
      <c r="H3085" s="16" t="n">
        <v>0.27</v>
      </c>
      <c r="I3085" s="1" t="s">
        <v>31</v>
      </c>
      <c r="J3085" s="1" t="n">
        <v>10</v>
      </c>
      <c r="K3085" s="1" t="n">
        <v>3.9</v>
      </c>
      <c r="L3085" s="15" t="n">
        <v>25.65</v>
      </c>
      <c r="M3085" s="15" t="n">
        <f aca="false">F3085*G3085</f>
        <v>35.14</v>
      </c>
      <c r="N3085" s="15" t="n">
        <f aca="false">M3085-L3085</f>
        <v>9.49</v>
      </c>
      <c r="O3085" s="1" t="n">
        <f aca="false">YEAR(B3085)</f>
        <v>2030</v>
      </c>
      <c r="P3085" s="1" t="n">
        <f aca="false">MONTH(B3085)</f>
        <v>6</v>
      </c>
      <c r="Q3085" s="1" t="str">
        <f aca="false">TEXT(B3085,"mmm")</f>
        <v>Jun</v>
      </c>
      <c r="R3085" s="1" t="str">
        <f aca="false">"Q"&amp;ROUNDUP(MONTH(B3085)/3,0)</f>
        <v>Q2</v>
      </c>
    </row>
    <row r="3086" customFormat="false" ht="15" hidden="false" customHeight="true" outlineLevel="0" collapsed="false">
      <c r="A3086" s="1" t="n">
        <v>13085</v>
      </c>
      <c r="B3086" s="14" t="n">
        <v>47646</v>
      </c>
      <c r="C3086" s="1" t="n">
        <v>1920</v>
      </c>
      <c r="D3086" s="1" t="s">
        <v>30</v>
      </c>
      <c r="E3086" s="1" t="s">
        <v>36</v>
      </c>
      <c r="F3086" s="1" t="n">
        <v>7</v>
      </c>
      <c r="G3086" s="15" t="n">
        <v>15.19</v>
      </c>
      <c r="H3086" s="16" t="n">
        <v>0.17</v>
      </c>
      <c r="I3086" s="1" t="s">
        <v>31</v>
      </c>
      <c r="J3086" s="1" t="n">
        <v>6</v>
      </c>
      <c r="K3086" s="1" t="n">
        <v>3.1</v>
      </c>
      <c r="L3086" s="15" t="n">
        <v>88.25</v>
      </c>
      <c r="M3086" s="15" t="n">
        <f aca="false">F3086*G3086</f>
        <v>106.33</v>
      </c>
      <c r="N3086" s="15" t="n">
        <f aca="false">M3086-L3086</f>
        <v>18.08</v>
      </c>
      <c r="O3086" s="1" t="n">
        <f aca="false">YEAR(B3086)</f>
        <v>2030</v>
      </c>
      <c r="P3086" s="1" t="n">
        <f aca="false">MONTH(B3086)</f>
        <v>6</v>
      </c>
      <c r="Q3086" s="1" t="str">
        <f aca="false">TEXT(B3086,"mmm")</f>
        <v>Jun</v>
      </c>
      <c r="R3086" s="1" t="str">
        <f aca="false">"Q"&amp;ROUNDUP(MONTH(B3086)/3,0)</f>
        <v>Q2</v>
      </c>
    </row>
    <row r="3087" customFormat="false" ht="15" hidden="false" customHeight="true" outlineLevel="0" collapsed="false">
      <c r="A3087" s="1" t="n">
        <v>13086</v>
      </c>
      <c r="B3087" s="14" t="n">
        <v>47647</v>
      </c>
      <c r="C3087" s="1" t="n">
        <v>1769</v>
      </c>
      <c r="D3087" s="1" t="s">
        <v>34</v>
      </c>
      <c r="E3087" s="1" t="s">
        <v>35</v>
      </c>
      <c r="F3087" s="1" t="n">
        <v>6</v>
      </c>
      <c r="G3087" s="15" t="n">
        <v>291.27</v>
      </c>
      <c r="H3087" s="16" t="n">
        <v>0.28</v>
      </c>
      <c r="I3087" s="1" t="s">
        <v>33</v>
      </c>
      <c r="J3087" s="1" t="n">
        <v>3</v>
      </c>
      <c r="K3087" s="1" t="n">
        <v>2.3</v>
      </c>
      <c r="L3087" s="15" t="n">
        <v>1258.29</v>
      </c>
      <c r="M3087" s="15" t="n">
        <f aca="false">F3087*G3087</f>
        <v>1747.62</v>
      </c>
      <c r="N3087" s="15" t="n">
        <f aca="false">M3087-L3087</f>
        <v>489.33</v>
      </c>
      <c r="O3087" s="1" t="n">
        <f aca="false">YEAR(B3087)</f>
        <v>2030</v>
      </c>
      <c r="P3087" s="1" t="n">
        <f aca="false">MONTH(B3087)</f>
        <v>6</v>
      </c>
      <c r="Q3087" s="1" t="str">
        <f aca="false">TEXT(B3087,"mmm")</f>
        <v>Jun</v>
      </c>
      <c r="R3087" s="1" t="str">
        <f aca="false">"Q"&amp;ROUNDUP(MONTH(B3087)/3,0)</f>
        <v>Q2</v>
      </c>
    </row>
    <row r="3088" customFormat="false" ht="15" hidden="false" customHeight="true" outlineLevel="0" collapsed="false">
      <c r="A3088" s="1" t="n">
        <v>13087</v>
      </c>
      <c r="B3088" s="14" t="n">
        <v>47648</v>
      </c>
      <c r="C3088" s="1" t="n">
        <v>1319</v>
      </c>
      <c r="D3088" s="1" t="s">
        <v>34</v>
      </c>
      <c r="E3088" s="1" t="s">
        <v>32</v>
      </c>
      <c r="F3088" s="1" t="n">
        <v>7</v>
      </c>
      <c r="G3088" s="15" t="n">
        <v>32.14</v>
      </c>
      <c r="H3088" s="16" t="n">
        <v>0.03</v>
      </c>
      <c r="I3088" s="1" t="s">
        <v>31</v>
      </c>
      <c r="J3088" s="1" t="n">
        <v>9</v>
      </c>
      <c r="K3088" s="1" t="n">
        <v>3.4</v>
      </c>
      <c r="L3088" s="15" t="n">
        <v>218.23</v>
      </c>
      <c r="M3088" s="15" t="n">
        <f aca="false">F3088*G3088</f>
        <v>224.98</v>
      </c>
      <c r="N3088" s="15" t="n">
        <f aca="false">M3088-L3088</f>
        <v>6.75000000000003</v>
      </c>
      <c r="O3088" s="1" t="n">
        <f aca="false">YEAR(B3088)</f>
        <v>2030</v>
      </c>
      <c r="P3088" s="1" t="n">
        <f aca="false">MONTH(B3088)</f>
        <v>6</v>
      </c>
      <c r="Q3088" s="1" t="str">
        <f aca="false">TEXT(B3088,"mmm")</f>
        <v>Jun</v>
      </c>
      <c r="R3088" s="1" t="str">
        <f aca="false">"Q"&amp;ROUNDUP(MONTH(B3088)/3,0)</f>
        <v>Q2</v>
      </c>
    </row>
    <row r="3089" customFormat="false" ht="15" hidden="false" customHeight="true" outlineLevel="0" collapsed="false">
      <c r="A3089" s="1" t="n">
        <v>13088</v>
      </c>
      <c r="B3089" s="14" t="n">
        <v>47649</v>
      </c>
      <c r="C3089" s="1" t="n">
        <v>1802</v>
      </c>
      <c r="D3089" s="1" t="s">
        <v>37</v>
      </c>
      <c r="E3089" s="1" t="s">
        <v>32</v>
      </c>
      <c r="F3089" s="1" t="n">
        <v>6</v>
      </c>
      <c r="G3089" s="15" t="n">
        <v>585.1</v>
      </c>
      <c r="H3089" s="16" t="n">
        <v>0.07</v>
      </c>
      <c r="I3089" s="1" t="s">
        <v>31</v>
      </c>
      <c r="J3089" s="1" t="n">
        <v>11</v>
      </c>
      <c r="K3089" s="1" t="n">
        <v>3.2</v>
      </c>
      <c r="L3089" s="15" t="n">
        <v>3264.86</v>
      </c>
      <c r="M3089" s="15" t="n">
        <f aca="false">F3089*G3089</f>
        <v>3510.6</v>
      </c>
      <c r="N3089" s="15" t="n">
        <f aca="false">M3089-L3089</f>
        <v>245.74</v>
      </c>
      <c r="O3089" s="1" t="n">
        <f aca="false">YEAR(B3089)</f>
        <v>2030</v>
      </c>
      <c r="P3089" s="1" t="n">
        <f aca="false">MONTH(B3089)</f>
        <v>6</v>
      </c>
      <c r="Q3089" s="1" t="str">
        <f aca="false">TEXT(B3089,"mmm")</f>
        <v>Jun</v>
      </c>
      <c r="R3089" s="1" t="str">
        <f aca="false">"Q"&amp;ROUNDUP(MONTH(B3089)/3,0)</f>
        <v>Q2</v>
      </c>
    </row>
    <row r="3090" customFormat="false" ht="15" hidden="false" customHeight="true" outlineLevel="0" collapsed="false">
      <c r="A3090" s="1" t="n">
        <v>13089</v>
      </c>
      <c r="B3090" s="14" t="n">
        <v>47650</v>
      </c>
      <c r="C3090" s="1" t="n">
        <v>1262</v>
      </c>
      <c r="D3090" s="1" t="s">
        <v>27</v>
      </c>
      <c r="E3090" s="1" t="s">
        <v>32</v>
      </c>
      <c r="F3090" s="1" t="n">
        <v>7</v>
      </c>
      <c r="G3090" s="15" t="n">
        <v>144.91</v>
      </c>
      <c r="H3090" s="16" t="n">
        <v>0.19</v>
      </c>
      <c r="I3090" s="1" t="s">
        <v>33</v>
      </c>
      <c r="J3090" s="1" t="n">
        <v>5</v>
      </c>
      <c r="K3090" s="1" t="n">
        <v>2.2</v>
      </c>
      <c r="L3090" s="15" t="n">
        <v>821.64</v>
      </c>
      <c r="M3090" s="15" t="n">
        <f aca="false">F3090*G3090</f>
        <v>1014.37</v>
      </c>
      <c r="N3090" s="15" t="n">
        <f aca="false">M3090-L3090</f>
        <v>192.73</v>
      </c>
      <c r="O3090" s="1" t="n">
        <f aca="false">YEAR(B3090)</f>
        <v>2030</v>
      </c>
      <c r="P3090" s="1" t="n">
        <f aca="false">MONTH(B3090)</f>
        <v>6</v>
      </c>
      <c r="Q3090" s="1" t="str">
        <f aca="false">TEXT(B3090,"mmm")</f>
        <v>Jun</v>
      </c>
      <c r="R3090" s="1" t="str">
        <f aca="false">"Q"&amp;ROUNDUP(MONTH(B3090)/3,0)</f>
        <v>Q2</v>
      </c>
    </row>
    <row r="3091" customFormat="false" ht="15" hidden="false" customHeight="true" outlineLevel="0" collapsed="false">
      <c r="A3091" s="1" t="n">
        <v>13090</v>
      </c>
      <c r="B3091" s="14" t="n">
        <v>47651</v>
      </c>
      <c r="C3091" s="1" t="n">
        <v>1596</v>
      </c>
      <c r="D3091" s="1" t="s">
        <v>27</v>
      </c>
      <c r="E3091" s="1" t="s">
        <v>35</v>
      </c>
      <c r="F3091" s="1" t="n">
        <v>7</v>
      </c>
      <c r="G3091" s="15" t="n">
        <v>291.51</v>
      </c>
      <c r="H3091" s="16" t="n">
        <v>0.33</v>
      </c>
      <c r="I3091" s="1" t="s">
        <v>31</v>
      </c>
      <c r="J3091" s="1" t="n">
        <v>2</v>
      </c>
      <c r="K3091" s="1" t="n">
        <v>2.1</v>
      </c>
      <c r="L3091" s="15" t="n">
        <v>1367.18</v>
      </c>
      <c r="M3091" s="15" t="n">
        <f aca="false">F3091*G3091</f>
        <v>2040.57</v>
      </c>
      <c r="N3091" s="15" t="n">
        <f aca="false">M3091-L3091</f>
        <v>673.39</v>
      </c>
      <c r="O3091" s="1" t="n">
        <f aca="false">YEAR(B3091)</f>
        <v>2030</v>
      </c>
      <c r="P3091" s="1" t="n">
        <f aca="false">MONTH(B3091)</f>
        <v>6</v>
      </c>
      <c r="Q3091" s="1" t="str">
        <f aca="false">TEXT(B3091,"mmm")</f>
        <v>Jun</v>
      </c>
      <c r="R3091" s="1" t="str">
        <f aca="false">"Q"&amp;ROUNDUP(MONTH(B3091)/3,0)</f>
        <v>Q2</v>
      </c>
    </row>
    <row r="3092" customFormat="false" ht="15" hidden="false" customHeight="true" outlineLevel="0" collapsed="false">
      <c r="A3092" s="1" t="n">
        <v>13091</v>
      </c>
      <c r="B3092" s="14" t="n">
        <v>47652</v>
      </c>
      <c r="C3092" s="1" t="n">
        <v>1657</v>
      </c>
      <c r="D3092" s="1" t="s">
        <v>30</v>
      </c>
      <c r="E3092" s="1" t="s">
        <v>36</v>
      </c>
      <c r="F3092" s="1" t="n">
        <v>2</v>
      </c>
      <c r="G3092" s="15" t="n">
        <v>50.77</v>
      </c>
      <c r="H3092" s="16" t="n">
        <v>0.03</v>
      </c>
      <c r="I3092" s="1" t="s">
        <v>33</v>
      </c>
      <c r="J3092" s="1" t="n">
        <v>6</v>
      </c>
      <c r="K3092" s="1" t="n">
        <v>2.9</v>
      </c>
      <c r="L3092" s="15" t="n">
        <v>98.49</v>
      </c>
      <c r="M3092" s="15" t="n">
        <f aca="false">F3092*G3092</f>
        <v>101.54</v>
      </c>
      <c r="N3092" s="15" t="n">
        <f aca="false">M3092-L3092</f>
        <v>3.05000000000001</v>
      </c>
      <c r="O3092" s="1" t="n">
        <f aca="false">YEAR(B3092)</f>
        <v>2030</v>
      </c>
      <c r="P3092" s="1" t="n">
        <f aca="false">MONTH(B3092)</f>
        <v>6</v>
      </c>
      <c r="Q3092" s="1" t="str">
        <f aca="false">TEXT(B3092,"mmm")</f>
        <v>Jun</v>
      </c>
      <c r="R3092" s="1" t="str">
        <f aca="false">"Q"&amp;ROUNDUP(MONTH(B3092)/3,0)</f>
        <v>Q2</v>
      </c>
    </row>
    <row r="3093" customFormat="false" ht="15" hidden="false" customHeight="true" outlineLevel="0" collapsed="false">
      <c r="A3093" s="1" t="n">
        <v>13092</v>
      </c>
      <c r="B3093" s="14" t="n">
        <v>47653</v>
      </c>
      <c r="C3093" s="1" t="n">
        <v>1834</v>
      </c>
      <c r="D3093" s="1" t="s">
        <v>34</v>
      </c>
      <c r="E3093" s="1" t="s">
        <v>32</v>
      </c>
      <c r="F3093" s="1" t="n">
        <v>6</v>
      </c>
      <c r="G3093" s="15" t="n">
        <v>320.4</v>
      </c>
      <c r="H3093" s="16" t="n">
        <v>0.02</v>
      </c>
      <c r="I3093" s="1" t="s">
        <v>31</v>
      </c>
      <c r="J3093" s="1" t="n">
        <v>3</v>
      </c>
      <c r="K3093" s="1" t="n">
        <v>2.9</v>
      </c>
      <c r="L3093" s="15" t="n">
        <v>1883.95</v>
      </c>
      <c r="M3093" s="15" t="n">
        <f aca="false">F3093*G3093</f>
        <v>1922.4</v>
      </c>
      <c r="N3093" s="15" t="n">
        <f aca="false">M3093-L3093</f>
        <v>38.4499999999998</v>
      </c>
      <c r="O3093" s="1" t="n">
        <f aca="false">YEAR(B3093)</f>
        <v>2030</v>
      </c>
      <c r="P3093" s="1" t="n">
        <f aca="false">MONTH(B3093)</f>
        <v>6</v>
      </c>
      <c r="Q3093" s="1" t="str">
        <f aca="false">TEXT(B3093,"mmm")</f>
        <v>Jun</v>
      </c>
      <c r="R3093" s="1" t="str">
        <f aca="false">"Q"&amp;ROUNDUP(MONTH(B3093)/3,0)</f>
        <v>Q2</v>
      </c>
    </row>
    <row r="3094" customFormat="false" ht="15" hidden="false" customHeight="true" outlineLevel="0" collapsed="false">
      <c r="A3094" s="1" t="n">
        <v>13093</v>
      </c>
      <c r="B3094" s="14" t="n">
        <v>47654</v>
      </c>
      <c r="C3094" s="1" t="n">
        <v>1553</v>
      </c>
      <c r="D3094" s="1" t="s">
        <v>34</v>
      </c>
      <c r="E3094" s="1" t="s">
        <v>35</v>
      </c>
      <c r="F3094" s="1" t="n">
        <v>2</v>
      </c>
      <c r="G3094" s="15" t="n">
        <v>237.27</v>
      </c>
      <c r="H3094" s="16" t="n">
        <v>0.05</v>
      </c>
      <c r="I3094" s="1" t="s">
        <v>31</v>
      </c>
      <c r="J3094" s="1" t="n">
        <v>8</v>
      </c>
      <c r="K3094" s="1" t="n">
        <v>2.2</v>
      </c>
      <c r="L3094" s="15" t="n">
        <v>450.81</v>
      </c>
      <c r="M3094" s="15" t="n">
        <f aca="false">F3094*G3094</f>
        <v>474.54</v>
      </c>
      <c r="N3094" s="15" t="n">
        <f aca="false">M3094-L3094</f>
        <v>23.73</v>
      </c>
      <c r="O3094" s="1" t="n">
        <f aca="false">YEAR(B3094)</f>
        <v>2030</v>
      </c>
      <c r="P3094" s="1" t="n">
        <f aca="false">MONTH(B3094)</f>
        <v>6</v>
      </c>
      <c r="Q3094" s="1" t="str">
        <f aca="false">TEXT(B3094,"mmm")</f>
        <v>Jun</v>
      </c>
      <c r="R3094" s="1" t="str">
        <f aca="false">"Q"&amp;ROUNDUP(MONTH(B3094)/3,0)</f>
        <v>Q2</v>
      </c>
    </row>
    <row r="3095" customFormat="false" ht="15" hidden="false" customHeight="true" outlineLevel="0" collapsed="false">
      <c r="A3095" s="1" t="n">
        <v>13094</v>
      </c>
      <c r="B3095" s="14" t="n">
        <v>47655</v>
      </c>
      <c r="C3095" s="1" t="n">
        <v>1373</v>
      </c>
      <c r="D3095" s="1" t="s">
        <v>37</v>
      </c>
      <c r="E3095" s="1" t="s">
        <v>35</v>
      </c>
      <c r="F3095" s="1" t="n">
        <v>6</v>
      </c>
      <c r="G3095" s="15" t="n">
        <v>41.13</v>
      </c>
      <c r="H3095" s="16" t="n">
        <v>0.22</v>
      </c>
      <c r="I3095" s="1" t="s">
        <v>31</v>
      </c>
      <c r="J3095" s="1" t="n">
        <v>3</v>
      </c>
      <c r="K3095" s="1" t="n">
        <v>2.1</v>
      </c>
      <c r="L3095" s="15" t="n">
        <v>192.49</v>
      </c>
      <c r="M3095" s="15" t="n">
        <f aca="false">F3095*G3095</f>
        <v>246.78</v>
      </c>
      <c r="N3095" s="15" t="n">
        <f aca="false">M3095-L3095</f>
        <v>54.29</v>
      </c>
      <c r="O3095" s="1" t="n">
        <f aca="false">YEAR(B3095)</f>
        <v>2030</v>
      </c>
      <c r="P3095" s="1" t="n">
        <f aca="false">MONTH(B3095)</f>
        <v>6</v>
      </c>
      <c r="Q3095" s="1" t="str">
        <f aca="false">TEXT(B3095,"mmm")</f>
        <v>Jun</v>
      </c>
      <c r="R3095" s="1" t="str">
        <f aca="false">"Q"&amp;ROUNDUP(MONTH(B3095)/3,0)</f>
        <v>Q2</v>
      </c>
    </row>
    <row r="3096" customFormat="false" ht="15" hidden="false" customHeight="true" outlineLevel="0" collapsed="false">
      <c r="A3096" s="1" t="n">
        <v>13095</v>
      </c>
      <c r="B3096" s="14" t="n">
        <v>47656</v>
      </c>
      <c r="C3096" s="1" t="n">
        <v>1636</v>
      </c>
      <c r="D3096" s="1" t="s">
        <v>30</v>
      </c>
      <c r="E3096" s="1" t="s">
        <v>28</v>
      </c>
      <c r="F3096" s="1" t="n">
        <v>2</v>
      </c>
      <c r="G3096" s="15" t="n">
        <v>211.05</v>
      </c>
      <c r="H3096" s="16" t="n">
        <v>0.14</v>
      </c>
      <c r="I3096" s="1" t="s">
        <v>29</v>
      </c>
      <c r="J3096" s="1" t="n">
        <v>5</v>
      </c>
      <c r="K3096" s="1" t="n">
        <v>4.8</v>
      </c>
      <c r="L3096" s="15" t="n">
        <v>363.01</v>
      </c>
      <c r="M3096" s="15" t="n">
        <f aca="false">F3096*G3096</f>
        <v>422.1</v>
      </c>
      <c r="N3096" s="15" t="n">
        <f aca="false">M3096-L3096</f>
        <v>59.09</v>
      </c>
      <c r="O3096" s="1" t="n">
        <f aca="false">YEAR(B3096)</f>
        <v>2030</v>
      </c>
      <c r="P3096" s="1" t="n">
        <f aca="false">MONTH(B3096)</f>
        <v>6</v>
      </c>
      <c r="Q3096" s="1" t="str">
        <f aca="false">TEXT(B3096,"mmm")</f>
        <v>Jun</v>
      </c>
      <c r="R3096" s="1" t="str">
        <f aca="false">"Q"&amp;ROUNDUP(MONTH(B3096)/3,0)</f>
        <v>Q2</v>
      </c>
    </row>
    <row r="3097" customFormat="false" ht="15" hidden="false" customHeight="true" outlineLevel="0" collapsed="false">
      <c r="A3097" s="1" t="n">
        <v>13096</v>
      </c>
      <c r="B3097" s="14" t="n">
        <v>47657</v>
      </c>
      <c r="C3097" s="1" t="n">
        <v>1166</v>
      </c>
      <c r="D3097" s="1" t="s">
        <v>30</v>
      </c>
      <c r="E3097" s="1" t="s">
        <v>35</v>
      </c>
      <c r="F3097" s="1" t="n">
        <v>2</v>
      </c>
      <c r="G3097" s="15" t="n">
        <v>243.99</v>
      </c>
      <c r="H3097" s="16" t="n">
        <v>0.29</v>
      </c>
      <c r="I3097" s="1" t="s">
        <v>31</v>
      </c>
      <c r="J3097" s="1" t="n">
        <v>4</v>
      </c>
      <c r="K3097" s="1" t="n">
        <v>4.4</v>
      </c>
      <c r="L3097" s="15" t="n">
        <v>346.47</v>
      </c>
      <c r="M3097" s="15" t="n">
        <f aca="false">F3097*G3097</f>
        <v>487.98</v>
      </c>
      <c r="N3097" s="15" t="n">
        <f aca="false">M3097-L3097</f>
        <v>141.51</v>
      </c>
      <c r="O3097" s="1" t="n">
        <f aca="false">YEAR(B3097)</f>
        <v>2030</v>
      </c>
      <c r="P3097" s="1" t="n">
        <f aca="false">MONTH(B3097)</f>
        <v>6</v>
      </c>
      <c r="Q3097" s="1" t="str">
        <f aca="false">TEXT(B3097,"mmm")</f>
        <v>Jun</v>
      </c>
      <c r="R3097" s="1" t="str">
        <f aca="false">"Q"&amp;ROUNDUP(MONTH(B3097)/3,0)</f>
        <v>Q2</v>
      </c>
    </row>
    <row r="3098" customFormat="false" ht="15" hidden="false" customHeight="true" outlineLevel="0" collapsed="false">
      <c r="A3098" s="1" t="n">
        <v>13097</v>
      </c>
      <c r="B3098" s="14" t="n">
        <v>47658</v>
      </c>
      <c r="C3098" s="1" t="n">
        <v>1936</v>
      </c>
      <c r="D3098" s="1" t="s">
        <v>37</v>
      </c>
      <c r="E3098" s="1" t="s">
        <v>32</v>
      </c>
      <c r="F3098" s="1" t="n">
        <v>6</v>
      </c>
      <c r="G3098" s="15" t="n">
        <v>594.1</v>
      </c>
      <c r="H3098" s="16" t="n">
        <v>0.03</v>
      </c>
      <c r="I3098" s="1" t="s">
        <v>33</v>
      </c>
      <c r="J3098" s="1" t="n">
        <v>4</v>
      </c>
      <c r="K3098" s="1" t="n">
        <v>4.3</v>
      </c>
      <c r="L3098" s="15" t="n">
        <v>3457.66</v>
      </c>
      <c r="M3098" s="15" t="n">
        <f aca="false">F3098*G3098</f>
        <v>3564.6</v>
      </c>
      <c r="N3098" s="15" t="n">
        <f aca="false">M3098-L3098</f>
        <v>106.940000000001</v>
      </c>
      <c r="O3098" s="1" t="n">
        <f aca="false">YEAR(B3098)</f>
        <v>2030</v>
      </c>
      <c r="P3098" s="1" t="n">
        <f aca="false">MONTH(B3098)</f>
        <v>6</v>
      </c>
      <c r="Q3098" s="1" t="str">
        <f aca="false">TEXT(B3098,"mmm")</f>
        <v>Jun</v>
      </c>
      <c r="R3098" s="1" t="str">
        <f aca="false">"Q"&amp;ROUNDUP(MONTH(B3098)/3,0)</f>
        <v>Q2</v>
      </c>
    </row>
    <row r="3099" customFormat="false" ht="15" hidden="false" customHeight="true" outlineLevel="0" collapsed="false">
      <c r="A3099" s="1" t="n">
        <v>13098</v>
      </c>
      <c r="B3099" s="14" t="n">
        <v>47659</v>
      </c>
      <c r="C3099" s="1" t="n">
        <v>1752</v>
      </c>
      <c r="D3099" s="1" t="s">
        <v>37</v>
      </c>
      <c r="E3099" s="1" t="s">
        <v>32</v>
      </c>
      <c r="F3099" s="1" t="n">
        <v>2</v>
      </c>
      <c r="G3099" s="15" t="n">
        <v>136.61</v>
      </c>
      <c r="H3099" s="16" t="n">
        <v>0.07</v>
      </c>
      <c r="I3099" s="1" t="s">
        <v>33</v>
      </c>
      <c r="J3099" s="1" t="n">
        <v>2</v>
      </c>
      <c r="K3099" s="1" t="n">
        <v>1.9</v>
      </c>
      <c r="L3099" s="15" t="n">
        <v>254.09</v>
      </c>
      <c r="M3099" s="15" t="n">
        <f aca="false">F3099*G3099</f>
        <v>273.22</v>
      </c>
      <c r="N3099" s="15" t="n">
        <f aca="false">M3099-L3099</f>
        <v>19.13</v>
      </c>
      <c r="O3099" s="1" t="n">
        <f aca="false">YEAR(B3099)</f>
        <v>2030</v>
      </c>
      <c r="P3099" s="1" t="n">
        <f aca="false">MONTH(B3099)</f>
        <v>6</v>
      </c>
      <c r="Q3099" s="1" t="str">
        <f aca="false">TEXT(B3099,"mmm")</f>
        <v>Jun</v>
      </c>
      <c r="R3099" s="1" t="str">
        <f aca="false">"Q"&amp;ROUNDUP(MONTH(B3099)/3,0)</f>
        <v>Q2</v>
      </c>
    </row>
    <row r="3100" customFormat="false" ht="15" hidden="false" customHeight="true" outlineLevel="0" collapsed="false">
      <c r="A3100" s="1" t="n">
        <v>13099</v>
      </c>
      <c r="B3100" s="14" t="n">
        <v>47660</v>
      </c>
      <c r="C3100" s="1" t="n">
        <v>1458</v>
      </c>
      <c r="D3100" s="1" t="s">
        <v>37</v>
      </c>
      <c r="E3100" s="1" t="s">
        <v>35</v>
      </c>
      <c r="F3100" s="1" t="n">
        <v>7</v>
      </c>
      <c r="G3100" s="15" t="n">
        <v>333.7</v>
      </c>
      <c r="H3100" s="16" t="n">
        <v>0.11</v>
      </c>
      <c r="I3100" s="1" t="s">
        <v>31</v>
      </c>
      <c r="J3100" s="1" t="n">
        <v>8</v>
      </c>
      <c r="K3100" s="1" t="n">
        <v>1.8</v>
      </c>
      <c r="L3100" s="15" t="n">
        <v>2078.95</v>
      </c>
      <c r="M3100" s="15" t="n">
        <f aca="false">F3100*G3100</f>
        <v>2335.9</v>
      </c>
      <c r="N3100" s="15" t="n">
        <f aca="false">M3100-L3100</f>
        <v>256.95</v>
      </c>
      <c r="O3100" s="1" t="n">
        <f aca="false">YEAR(B3100)</f>
        <v>2030</v>
      </c>
      <c r="P3100" s="1" t="n">
        <f aca="false">MONTH(B3100)</f>
        <v>6</v>
      </c>
      <c r="Q3100" s="1" t="str">
        <f aca="false">TEXT(B3100,"mmm")</f>
        <v>Jun</v>
      </c>
      <c r="R3100" s="1" t="str">
        <f aca="false">"Q"&amp;ROUNDUP(MONTH(B3100)/3,0)</f>
        <v>Q2</v>
      </c>
    </row>
    <row r="3101" customFormat="false" ht="15" hidden="false" customHeight="true" outlineLevel="0" collapsed="false">
      <c r="A3101" s="1" t="n">
        <v>13100</v>
      </c>
      <c r="B3101" s="14" t="n">
        <v>47661</v>
      </c>
      <c r="C3101" s="1" t="n">
        <v>1998</v>
      </c>
      <c r="D3101" s="1" t="s">
        <v>34</v>
      </c>
      <c r="E3101" s="1" t="s">
        <v>32</v>
      </c>
      <c r="F3101" s="1" t="n">
        <v>6</v>
      </c>
      <c r="G3101" s="15" t="n">
        <v>592.58</v>
      </c>
      <c r="H3101" s="16" t="n">
        <v>0.22</v>
      </c>
      <c r="I3101" s="1" t="s">
        <v>33</v>
      </c>
      <c r="J3101" s="1" t="n">
        <v>3</v>
      </c>
      <c r="K3101" s="1" t="n">
        <v>4.2</v>
      </c>
      <c r="L3101" s="15" t="n">
        <v>2773.27</v>
      </c>
      <c r="M3101" s="15" t="n">
        <f aca="false">F3101*G3101</f>
        <v>3555.48</v>
      </c>
      <c r="N3101" s="15" t="n">
        <f aca="false">M3101-L3101</f>
        <v>782.210000000001</v>
      </c>
      <c r="O3101" s="1" t="n">
        <f aca="false">YEAR(B3101)</f>
        <v>2030</v>
      </c>
      <c r="P3101" s="1" t="n">
        <f aca="false">MONTH(B3101)</f>
        <v>6</v>
      </c>
      <c r="Q3101" s="1" t="str">
        <f aca="false">TEXT(B3101,"mmm")</f>
        <v>Jun</v>
      </c>
      <c r="R3101" s="1" t="str">
        <f aca="false">"Q"&amp;ROUNDUP(MONTH(B3101)/3,0)</f>
        <v>Q2</v>
      </c>
    </row>
    <row r="3102" customFormat="false" ht="15" hidden="false" customHeight="true" outlineLevel="0" collapsed="false">
      <c r="A3102" s="1" t="n">
        <v>13101</v>
      </c>
      <c r="B3102" s="14" t="n">
        <v>47662</v>
      </c>
      <c r="C3102" s="1" t="n">
        <v>1279</v>
      </c>
      <c r="D3102" s="1" t="s">
        <v>37</v>
      </c>
      <c r="E3102" s="1" t="s">
        <v>35</v>
      </c>
      <c r="F3102" s="1" t="n">
        <v>2</v>
      </c>
      <c r="G3102" s="15" t="n">
        <v>478.33</v>
      </c>
      <c r="H3102" s="16" t="n">
        <v>0.24</v>
      </c>
      <c r="I3102" s="1" t="s">
        <v>29</v>
      </c>
      <c r="J3102" s="1" t="n">
        <v>4</v>
      </c>
      <c r="K3102" s="1" t="n">
        <v>1.7</v>
      </c>
      <c r="L3102" s="15" t="n">
        <v>727.06</v>
      </c>
      <c r="M3102" s="15" t="n">
        <f aca="false">F3102*G3102</f>
        <v>956.66</v>
      </c>
      <c r="N3102" s="15" t="n">
        <f aca="false">M3102-L3102</f>
        <v>229.6</v>
      </c>
      <c r="O3102" s="1" t="n">
        <f aca="false">YEAR(B3102)</f>
        <v>2030</v>
      </c>
      <c r="P3102" s="1" t="n">
        <f aca="false">MONTH(B3102)</f>
        <v>6</v>
      </c>
      <c r="Q3102" s="1" t="str">
        <f aca="false">TEXT(B3102,"mmm")</f>
        <v>Jun</v>
      </c>
      <c r="R3102" s="1" t="str">
        <f aca="false">"Q"&amp;ROUNDUP(MONTH(B3102)/3,0)</f>
        <v>Q2</v>
      </c>
    </row>
    <row r="3103" customFormat="false" ht="15" hidden="false" customHeight="true" outlineLevel="0" collapsed="false">
      <c r="A3103" s="1" t="n">
        <v>13102</v>
      </c>
      <c r="B3103" s="14" t="n">
        <v>47663</v>
      </c>
      <c r="C3103" s="1" t="n">
        <v>1699</v>
      </c>
      <c r="D3103" s="1" t="s">
        <v>27</v>
      </c>
      <c r="E3103" s="1" t="s">
        <v>32</v>
      </c>
      <c r="F3103" s="1" t="n">
        <v>7</v>
      </c>
      <c r="G3103" s="15" t="n">
        <v>596.12</v>
      </c>
      <c r="H3103" s="16" t="n">
        <v>0.04</v>
      </c>
      <c r="I3103" s="1" t="s">
        <v>33</v>
      </c>
      <c r="J3103" s="1" t="n">
        <v>6</v>
      </c>
      <c r="K3103" s="1" t="n">
        <v>3</v>
      </c>
      <c r="L3103" s="15" t="n">
        <v>4005.93</v>
      </c>
      <c r="M3103" s="15" t="n">
        <f aca="false">F3103*G3103</f>
        <v>4172.84</v>
      </c>
      <c r="N3103" s="15" t="n">
        <f aca="false">M3103-L3103</f>
        <v>166.91</v>
      </c>
      <c r="O3103" s="1" t="n">
        <f aca="false">YEAR(B3103)</f>
        <v>2030</v>
      </c>
      <c r="P3103" s="1" t="n">
        <f aca="false">MONTH(B3103)</f>
        <v>6</v>
      </c>
      <c r="Q3103" s="1" t="str">
        <f aca="false">TEXT(B3103,"mmm")</f>
        <v>Jun</v>
      </c>
      <c r="R3103" s="1" t="str">
        <f aca="false">"Q"&amp;ROUNDUP(MONTH(B3103)/3,0)</f>
        <v>Q2</v>
      </c>
    </row>
    <row r="3104" customFormat="false" ht="15" hidden="false" customHeight="true" outlineLevel="0" collapsed="false">
      <c r="A3104" s="1" t="n">
        <v>13103</v>
      </c>
      <c r="B3104" s="14" t="n">
        <v>47664</v>
      </c>
      <c r="C3104" s="1" t="n">
        <v>1301</v>
      </c>
      <c r="D3104" s="1" t="s">
        <v>34</v>
      </c>
      <c r="E3104" s="1" t="s">
        <v>28</v>
      </c>
      <c r="F3104" s="1" t="n">
        <v>7</v>
      </c>
      <c r="G3104" s="15" t="n">
        <v>581.45</v>
      </c>
      <c r="H3104" s="16" t="n">
        <v>0.33</v>
      </c>
      <c r="I3104" s="1" t="s">
        <v>31</v>
      </c>
      <c r="J3104" s="1" t="n">
        <v>9</v>
      </c>
      <c r="K3104" s="1" t="n">
        <v>1.9</v>
      </c>
      <c r="L3104" s="15" t="n">
        <v>2727</v>
      </c>
      <c r="M3104" s="15" t="n">
        <f aca="false">F3104*G3104</f>
        <v>4070.15</v>
      </c>
      <c r="N3104" s="15" t="n">
        <f aca="false">M3104-L3104</f>
        <v>1343.15</v>
      </c>
      <c r="O3104" s="1" t="n">
        <f aca="false">YEAR(B3104)</f>
        <v>2030</v>
      </c>
      <c r="P3104" s="1" t="n">
        <f aca="false">MONTH(B3104)</f>
        <v>6</v>
      </c>
      <c r="Q3104" s="1" t="str">
        <f aca="false">TEXT(B3104,"mmm")</f>
        <v>Jun</v>
      </c>
      <c r="R3104" s="1" t="str">
        <f aca="false">"Q"&amp;ROUNDUP(MONTH(B3104)/3,0)</f>
        <v>Q2</v>
      </c>
    </row>
    <row r="3105" customFormat="false" ht="15" hidden="false" customHeight="true" outlineLevel="0" collapsed="false">
      <c r="A3105" s="1" t="n">
        <v>13104</v>
      </c>
      <c r="B3105" s="14" t="n">
        <v>47665</v>
      </c>
      <c r="C3105" s="1" t="n">
        <v>1530</v>
      </c>
      <c r="D3105" s="1" t="s">
        <v>30</v>
      </c>
      <c r="E3105" s="1" t="s">
        <v>36</v>
      </c>
      <c r="F3105" s="1" t="n">
        <v>5</v>
      </c>
      <c r="G3105" s="15" t="n">
        <v>301.38</v>
      </c>
      <c r="H3105" s="16" t="n">
        <v>0.12</v>
      </c>
      <c r="I3105" s="1" t="s">
        <v>33</v>
      </c>
      <c r="J3105" s="1" t="n">
        <v>4</v>
      </c>
      <c r="K3105" s="1" t="n">
        <v>2.5</v>
      </c>
      <c r="L3105" s="15" t="n">
        <v>1326.07</v>
      </c>
      <c r="M3105" s="15" t="n">
        <f aca="false">F3105*G3105</f>
        <v>1506.9</v>
      </c>
      <c r="N3105" s="15" t="n">
        <f aca="false">M3105-L3105</f>
        <v>180.83</v>
      </c>
      <c r="O3105" s="1" t="n">
        <f aca="false">YEAR(B3105)</f>
        <v>2030</v>
      </c>
      <c r="P3105" s="1" t="n">
        <f aca="false">MONTH(B3105)</f>
        <v>7</v>
      </c>
      <c r="Q3105" s="1" t="str">
        <f aca="false">TEXT(B3105,"mmm")</f>
        <v>Jul</v>
      </c>
      <c r="R3105" s="1" t="str">
        <f aca="false">"Q"&amp;ROUNDUP(MONTH(B3105)/3,0)</f>
        <v>Q3</v>
      </c>
    </row>
    <row r="3106" customFormat="false" ht="15" hidden="false" customHeight="true" outlineLevel="0" collapsed="false">
      <c r="A3106" s="1" t="n">
        <v>13105</v>
      </c>
      <c r="B3106" s="14" t="n">
        <v>47666</v>
      </c>
      <c r="C3106" s="1" t="n">
        <v>1579</v>
      </c>
      <c r="D3106" s="1" t="s">
        <v>34</v>
      </c>
      <c r="E3106" s="1" t="s">
        <v>28</v>
      </c>
      <c r="F3106" s="1" t="n">
        <v>1</v>
      </c>
      <c r="G3106" s="15" t="n">
        <v>422.38</v>
      </c>
      <c r="H3106" s="16" t="n">
        <v>0.25</v>
      </c>
      <c r="I3106" s="1" t="s">
        <v>33</v>
      </c>
      <c r="J3106" s="1" t="n">
        <v>3</v>
      </c>
      <c r="K3106" s="1" t="n">
        <v>4.4</v>
      </c>
      <c r="L3106" s="15" t="n">
        <v>316.78</v>
      </c>
      <c r="M3106" s="15" t="n">
        <f aca="false">F3106*G3106</f>
        <v>422.38</v>
      </c>
      <c r="N3106" s="15" t="n">
        <f aca="false">M3106-L3106</f>
        <v>105.6</v>
      </c>
      <c r="O3106" s="1" t="n">
        <f aca="false">YEAR(B3106)</f>
        <v>2030</v>
      </c>
      <c r="P3106" s="1" t="n">
        <f aca="false">MONTH(B3106)</f>
        <v>7</v>
      </c>
      <c r="Q3106" s="1" t="str">
        <f aca="false">TEXT(B3106,"mmm")</f>
        <v>Jul</v>
      </c>
      <c r="R3106" s="1" t="str">
        <f aca="false">"Q"&amp;ROUNDUP(MONTH(B3106)/3,0)</f>
        <v>Q3</v>
      </c>
    </row>
    <row r="3107" customFormat="false" ht="15" hidden="false" customHeight="true" outlineLevel="0" collapsed="false">
      <c r="A3107" s="1" t="n">
        <v>13106</v>
      </c>
      <c r="B3107" s="14" t="n">
        <v>47667</v>
      </c>
      <c r="C3107" s="1" t="n">
        <v>1217</v>
      </c>
      <c r="D3107" s="1" t="s">
        <v>27</v>
      </c>
      <c r="E3107" s="1" t="s">
        <v>28</v>
      </c>
      <c r="F3107" s="1" t="n">
        <v>6</v>
      </c>
      <c r="G3107" s="15" t="n">
        <v>79.61</v>
      </c>
      <c r="H3107" s="16" t="n">
        <v>0.18</v>
      </c>
      <c r="I3107" s="1" t="s">
        <v>31</v>
      </c>
      <c r="J3107" s="1" t="n">
        <v>5</v>
      </c>
      <c r="K3107" s="1" t="n">
        <v>4.6</v>
      </c>
      <c r="L3107" s="15" t="n">
        <v>391.68</v>
      </c>
      <c r="M3107" s="15" t="n">
        <f aca="false">F3107*G3107</f>
        <v>477.66</v>
      </c>
      <c r="N3107" s="15" t="n">
        <f aca="false">M3107-L3107</f>
        <v>85.98</v>
      </c>
      <c r="O3107" s="1" t="n">
        <f aca="false">YEAR(B3107)</f>
        <v>2030</v>
      </c>
      <c r="P3107" s="1" t="n">
        <f aca="false">MONTH(B3107)</f>
        <v>7</v>
      </c>
      <c r="Q3107" s="1" t="str">
        <f aca="false">TEXT(B3107,"mmm")</f>
        <v>Jul</v>
      </c>
      <c r="R3107" s="1" t="str">
        <f aca="false">"Q"&amp;ROUNDUP(MONTH(B3107)/3,0)</f>
        <v>Q3</v>
      </c>
    </row>
    <row r="3108" customFormat="false" ht="15" hidden="false" customHeight="true" outlineLevel="0" collapsed="false">
      <c r="A3108" s="1" t="n">
        <v>13107</v>
      </c>
      <c r="B3108" s="14" t="n">
        <v>47668</v>
      </c>
      <c r="C3108" s="1" t="n">
        <v>1101</v>
      </c>
      <c r="D3108" s="1" t="s">
        <v>34</v>
      </c>
      <c r="E3108" s="1" t="s">
        <v>36</v>
      </c>
      <c r="F3108" s="1" t="n">
        <v>2</v>
      </c>
      <c r="G3108" s="15" t="n">
        <v>273.07</v>
      </c>
      <c r="H3108" s="16" t="n">
        <v>0.08</v>
      </c>
      <c r="I3108" s="1" t="s">
        <v>31</v>
      </c>
      <c r="J3108" s="1" t="n">
        <v>9</v>
      </c>
      <c r="K3108" s="1" t="n">
        <v>5</v>
      </c>
      <c r="L3108" s="15" t="n">
        <v>502.45</v>
      </c>
      <c r="M3108" s="15" t="n">
        <f aca="false">F3108*G3108</f>
        <v>546.14</v>
      </c>
      <c r="N3108" s="15" t="n">
        <f aca="false">M3108-L3108</f>
        <v>43.69</v>
      </c>
      <c r="O3108" s="1" t="n">
        <f aca="false">YEAR(B3108)</f>
        <v>2030</v>
      </c>
      <c r="P3108" s="1" t="n">
        <f aca="false">MONTH(B3108)</f>
        <v>7</v>
      </c>
      <c r="Q3108" s="1" t="str">
        <f aca="false">TEXT(B3108,"mmm")</f>
        <v>Jul</v>
      </c>
      <c r="R3108" s="1" t="str">
        <f aca="false">"Q"&amp;ROUNDUP(MONTH(B3108)/3,0)</f>
        <v>Q3</v>
      </c>
    </row>
    <row r="3109" customFormat="false" ht="15" hidden="false" customHeight="true" outlineLevel="0" collapsed="false">
      <c r="A3109" s="1" t="n">
        <v>13108</v>
      </c>
      <c r="B3109" s="14" t="n">
        <v>47669</v>
      </c>
      <c r="C3109" s="1" t="n">
        <v>1553</v>
      </c>
      <c r="D3109" s="1" t="s">
        <v>30</v>
      </c>
      <c r="E3109" s="1" t="s">
        <v>32</v>
      </c>
      <c r="F3109" s="1" t="n">
        <v>5</v>
      </c>
      <c r="G3109" s="15" t="n">
        <v>488.28</v>
      </c>
      <c r="H3109" s="16" t="n">
        <v>0.3</v>
      </c>
      <c r="I3109" s="1" t="s">
        <v>31</v>
      </c>
      <c r="J3109" s="1" t="n">
        <v>1</v>
      </c>
      <c r="K3109" s="1" t="n">
        <v>4.8</v>
      </c>
      <c r="L3109" s="15" t="n">
        <v>1708.98</v>
      </c>
      <c r="M3109" s="15" t="n">
        <f aca="false">F3109*G3109</f>
        <v>2441.4</v>
      </c>
      <c r="N3109" s="15" t="n">
        <f aca="false">M3109-L3109</f>
        <v>732.42</v>
      </c>
      <c r="O3109" s="1" t="n">
        <f aca="false">YEAR(B3109)</f>
        <v>2030</v>
      </c>
      <c r="P3109" s="1" t="n">
        <f aca="false">MONTH(B3109)</f>
        <v>7</v>
      </c>
      <c r="Q3109" s="1" t="str">
        <f aca="false">TEXT(B3109,"mmm")</f>
        <v>Jul</v>
      </c>
      <c r="R3109" s="1" t="str">
        <f aca="false">"Q"&amp;ROUNDUP(MONTH(B3109)/3,0)</f>
        <v>Q3</v>
      </c>
    </row>
    <row r="3110" customFormat="false" ht="15" hidden="false" customHeight="true" outlineLevel="0" collapsed="false">
      <c r="A3110" s="1" t="n">
        <v>13109</v>
      </c>
      <c r="B3110" s="14" t="n">
        <v>47670</v>
      </c>
      <c r="C3110" s="1" t="n">
        <v>1287</v>
      </c>
      <c r="D3110" s="1" t="s">
        <v>34</v>
      </c>
      <c r="E3110" s="1" t="s">
        <v>36</v>
      </c>
      <c r="F3110" s="1" t="n">
        <v>1</v>
      </c>
      <c r="G3110" s="15" t="n">
        <v>310.62</v>
      </c>
      <c r="H3110" s="16" t="n">
        <v>0.29</v>
      </c>
      <c r="I3110" s="1" t="s">
        <v>31</v>
      </c>
      <c r="J3110" s="1" t="n">
        <v>5</v>
      </c>
      <c r="K3110" s="1" t="n">
        <v>3.7</v>
      </c>
      <c r="L3110" s="15" t="n">
        <v>220.54</v>
      </c>
      <c r="M3110" s="15" t="n">
        <f aca="false">F3110*G3110</f>
        <v>310.62</v>
      </c>
      <c r="N3110" s="15" t="n">
        <f aca="false">M3110-L3110</f>
        <v>90.08</v>
      </c>
      <c r="O3110" s="1" t="n">
        <f aca="false">YEAR(B3110)</f>
        <v>2030</v>
      </c>
      <c r="P3110" s="1" t="n">
        <f aca="false">MONTH(B3110)</f>
        <v>7</v>
      </c>
      <c r="Q3110" s="1" t="str">
        <f aca="false">TEXT(B3110,"mmm")</f>
        <v>Jul</v>
      </c>
      <c r="R3110" s="1" t="str">
        <f aca="false">"Q"&amp;ROUNDUP(MONTH(B3110)/3,0)</f>
        <v>Q3</v>
      </c>
    </row>
    <row r="3111" customFormat="false" ht="15" hidden="false" customHeight="true" outlineLevel="0" collapsed="false">
      <c r="A3111" s="1" t="n">
        <v>13110</v>
      </c>
      <c r="B3111" s="14" t="n">
        <v>47671</v>
      </c>
      <c r="C3111" s="1" t="n">
        <v>1166</v>
      </c>
      <c r="D3111" s="1" t="s">
        <v>37</v>
      </c>
      <c r="E3111" s="1" t="s">
        <v>35</v>
      </c>
      <c r="F3111" s="1" t="n">
        <v>2</v>
      </c>
      <c r="G3111" s="15" t="n">
        <v>426.08</v>
      </c>
      <c r="H3111" s="16" t="n">
        <v>0.14</v>
      </c>
      <c r="I3111" s="1" t="s">
        <v>31</v>
      </c>
      <c r="J3111" s="1" t="n">
        <v>11</v>
      </c>
      <c r="K3111" s="1" t="n">
        <v>2.7</v>
      </c>
      <c r="L3111" s="15" t="n">
        <v>732.86</v>
      </c>
      <c r="M3111" s="15" t="n">
        <f aca="false">F3111*G3111</f>
        <v>852.16</v>
      </c>
      <c r="N3111" s="15" t="n">
        <f aca="false">M3111-L3111</f>
        <v>119.3</v>
      </c>
      <c r="O3111" s="1" t="n">
        <f aca="false">YEAR(B3111)</f>
        <v>2030</v>
      </c>
      <c r="P3111" s="1" t="n">
        <f aca="false">MONTH(B3111)</f>
        <v>7</v>
      </c>
      <c r="Q3111" s="1" t="str">
        <f aca="false">TEXT(B3111,"mmm")</f>
        <v>Jul</v>
      </c>
      <c r="R3111" s="1" t="str">
        <f aca="false">"Q"&amp;ROUNDUP(MONTH(B3111)/3,0)</f>
        <v>Q3</v>
      </c>
    </row>
    <row r="3112" customFormat="false" ht="15" hidden="false" customHeight="true" outlineLevel="0" collapsed="false">
      <c r="A3112" s="1" t="n">
        <v>13111</v>
      </c>
      <c r="B3112" s="14" t="n">
        <v>47672</v>
      </c>
      <c r="C3112" s="1" t="n">
        <v>1620</v>
      </c>
      <c r="D3112" s="1" t="s">
        <v>34</v>
      </c>
      <c r="E3112" s="1" t="s">
        <v>36</v>
      </c>
      <c r="F3112" s="1" t="n">
        <v>1</v>
      </c>
      <c r="G3112" s="15" t="n">
        <v>451.26</v>
      </c>
      <c r="H3112" s="16" t="n">
        <v>0.21</v>
      </c>
      <c r="I3112" s="1" t="s">
        <v>33</v>
      </c>
      <c r="J3112" s="1" t="n">
        <v>4</v>
      </c>
      <c r="K3112" s="1" t="n">
        <v>1.2</v>
      </c>
      <c r="L3112" s="15" t="n">
        <v>356.5</v>
      </c>
      <c r="M3112" s="15" t="n">
        <f aca="false">F3112*G3112</f>
        <v>451.26</v>
      </c>
      <c r="N3112" s="15" t="n">
        <f aca="false">M3112-L3112</f>
        <v>94.76</v>
      </c>
      <c r="O3112" s="1" t="n">
        <f aca="false">YEAR(B3112)</f>
        <v>2030</v>
      </c>
      <c r="P3112" s="1" t="n">
        <f aca="false">MONTH(B3112)</f>
        <v>7</v>
      </c>
      <c r="Q3112" s="1" t="str">
        <f aca="false">TEXT(B3112,"mmm")</f>
        <v>Jul</v>
      </c>
      <c r="R3112" s="1" t="str">
        <f aca="false">"Q"&amp;ROUNDUP(MONTH(B3112)/3,0)</f>
        <v>Q3</v>
      </c>
    </row>
    <row r="3113" customFormat="false" ht="15" hidden="false" customHeight="true" outlineLevel="0" collapsed="false">
      <c r="A3113" s="1" t="n">
        <v>13112</v>
      </c>
      <c r="B3113" s="14" t="n">
        <v>47673</v>
      </c>
      <c r="C3113" s="1" t="n">
        <v>1035</v>
      </c>
      <c r="D3113" s="1" t="s">
        <v>34</v>
      </c>
      <c r="E3113" s="1" t="s">
        <v>28</v>
      </c>
      <c r="F3113" s="1" t="n">
        <v>6</v>
      </c>
      <c r="G3113" s="15" t="n">
        <v>163.28</v>
      </c>
      <c r="H3113" s="16" t="n">
        <v>0.09</v>
      </c>
      <c r="I3113" s="1" t="s">
        <v>31</v>
      </c>
      <c r="J3113" s="1" t="n">
        <v>5</v>
      </c>
      <c r="K3113" s="1" t="n">
        <v>3.4</v>
      </c>
      <c r="L3113" s="15" t="n">
        <v>891.51</v>
      </c>
      <c r="M3113" s="15" t="n">
        <f aca="false">F3113*G3113</f>
        <v>979.68</v>
      </c>
      <c r="N3113" s="15" t="n">
        <f aca="false">M3113-L3113</f>
        <v>88.1700000000001</v>
      </c>
      <c r="O3113" s="1" t="n">
        <f aca="false">YEAR(B3113)</f>
        <v>2030</v>
      </c>
      <c r="P3113" s="1" t="n">
        <f aca="false">MONTH(B3113)</f>
        <v>7</v>
      </c>
      <c r="Q3113" s="1" t="str">
        <f aca="false">TEXT(B3113,"mmm")</f>
        <v>Jul</v>
      </c>
      <c r="R3113" s="1" t="str">
        <f aca="false">"Q"&amp;ROUNDUP(MONTH(B3113)/3,0)</f>
        <v>Q3</v>
      </c>
    </row>
    <row r="3114" customFormat="false" ht="15" hidden="false" customHeight="true" outlineLevel="0" collapsed="false">
      <c r="A3114" s="1" t="n">
        <v>13113</v>
      </c>
      <c r="B3114" s="14" t="n">
        <v>47674</v>
      </c>
      <c r="C3114" s="1" t="n">
        <v>1743</v>
      </c>
      <c r="D3114" s="1" t="s">
        <v>30</v>
      </c>
      <c r="E3114" s="1" t="s">
        <v>36</v>
      </c>
      <c r="F3114" s="1" t="n">
        <v>7</v>
      </c>
      <c r="G3114" s="15" t="n">
        <v>527.28</v>
      </c>
      <c r="H3114" s="16" t="n">
        <v>0.24</v>
      </c>
      <c r="I3114" s="1" t="s">
        <v>29</v>
      </c>
      <c r="J3114" s="1" t="n">
        <v>7</v>
      </c>
      <c r="K3114" s="1" t="n">
        <v>1.8</v>
      </c>
      <c r="L3114" s="15" t="n">
        <v>2805.13</v>
      </c>
      <c r="M3114" s="15" t="n">
        <f aca="false">F3114*G3114</f>
        <v>3690.96</v>
      </c>
      <c r="N3114" s="15" t="n">
        <f aca="false">M3114-L3114</f>
        <v>885.83</v>
      </c>
      <c r="O3114" s="1" t="n">
        <f aca="false">YEAR(B3114)</f>
        <v>2030</v>
      </c>
      <c r="P3114" s="1" t="n">
        <f aca="false">MONTH(B3114)</f>
        <v>7</v>
      </c>
      <c r="Q3114" s="1" t="str">
        <f aca="false">TEXT(B3114,"mmm")</f>
        <v>Jul</v>
      </c>
      <c r="R3114" s="1" t="str">
        <f aca="false">"Q"&amp;ROUNDUP(MONTH(B3114)/3,0)</f>
        <v>Q3</v>
      </c>
    </row>
    <row r="3115" customFormat="false" ht="15" hidden="false" customHeight="true" outlineLevel="0" collapsed="false">
      <c r="A3115" s="1" t="n">
        <v>13114</v>
      </c>
      <c r="B3115" s="14" t="n">
        <v>47675</v>
      </c>
      <c r="C3115" s="1" t="n">
        <v>1740</v>
      </c>
      <c r="D3115" s="1" t="s">
        <v>27</v>
      </c>
      <c r="E3115" s="1" t="s">
        <v>32</v>
      </c>
      <c r="F3115" s="1" t="n">
        <v>7</v>
      </c>
      <c r="G3115" s="15" t="n">
        <v>284</v>
      </c>
      <c r="H3115" s="16" t="n">
        <v>0.11</v>
      </c>
      <c r="I3115" s="1" t="s">
        <v>33</v>
      </c>
      <c r="J3115" s="1" t="n">
        <v>7</v>
      </c>
      <c r="K3115" s="1" t="n">
        <v>4.4</v>
      </c>
      <c r="L3115" s="15" t="n">
        <v>1769.32</v>
      </c>
      <c r="M3115" s="15" t="n">
        <f aca="false">F3115*G3115</f>
        <v>1988</v>
      </c>
      <c r="N3115" s="15" t="n">
        <f aca="false">M3115-L3115</f>
        <v>218.68</v>
      </c>
      <c r="O3115" s="1" t="n">
        <f aca="false">YEAR(B3115)</f>
        <v>2030</v>
      </c>
      <c r="P3115" s="1" t="n">
        <f aca="false">MONTH(B3115)</f>
        <v>7</v>
      </c>
      <c r="Q3115" s="1" t="str">
        <f aca="false">TEXT(B3115,"mmm")</f>
        <v>Jul</v>
      </c>
      <c r="R3115" s="1" t="str">
        <f aca="false">"Q"&amp;ROUNDUP(MONTH(B3115)/3,0)</f>
        <v>Q3</v>
      </c>
    </row>
    <row r="3116" customFormat="false" ht="15" hidden="false" customHeight="true" outlineLevel="0" collapsed="false">
      <c r="A3116" s="1" t="n">
        <v>13115</v>
      </c>
      <c r="B3116" s="14" t="n">
        <v>47676</v>
      </c>
      <c r="C3116" s="1" t="n">
        <v>1352</v>
      </c>
      <c r="D3116" s="1" t="s">
        <v>34</v>
      </c>
      <c r="E3116" s="1" t="s">
        <v>28</v>
      </c>
      <c r="F3116" s="1" t="n">
        <v>1</v>
      </c>
      <c r="G3116" s="15" t="n">
        <v>137.96</v>
      </c>
      <c r="H3116" s="16" t="n">
        <v>0.3</v>
      </c>
      <c r="I3116" s="1" t="s">
        <v>29</v>
      </c>
      <c r="J3116" s="1" t="n">
        <v>7</v>
      </c>
      <c r="K3116" s="1" t="n">
        <v>3.2</v>
      </c>
      <c r="L3116" s="15" t="n">
        <v>96.57</v>
      </c>
      <c r="M3116" s="15" t="n">
        <f aca="false">F3116*G3116</f>
        <v>137.96</v>
      </c>
      <c r="N3116" s="15" t="n">
        <f aca="false">M3116-L3116</f>
        <v>41.39</v>
      </c>
      <c r="O3116" s="1" t="n">
        <f aca="false">YEAR(B3116)</f>
        <v>2030</v>
      </c>
      <c r="P3116" s="1" t="n">
        <f aca="false">MONTH(B3116)</f>
        <v>7</v>
      </c>
      <c r="Q3116" s="1" t="str">
        <f aca="false">TEXT(B3116,"mmm")</f>
        <v>Jul</v>
      </c>
      <c r="R3116" s="1" t="str">
        <f aca="false">"Q"&amp;ROUNDUP(MONTH(B3116)/3,0)</f>
        <v>Q3</v>
      </c>
    </row>
    <row r="3117" customFormat="false" ht="15" hidden="false" customHeight="true" outlineLevel="0" collapsed="false">
      <c r="A3117" s="1" t="n">
        <v>13116</v>
      </c>
      <c r="B3117" s="14" t="n">
        <v>47677</v>
      </c>
      <c r="C3117" s="1" t="n">
        <v>1675</v>
      </c>
      <c r="D3117" s="1" t="s">
        <v>34</v>
      </c>
      <c r="E3117" s="1" t="s">
        <v>35</v>
      </c>
      <c r="F3117" s="1" t="n">
        <v>7</v>
      </c>
      <c r="G3117" s="15" t="n">
        <v>521.27</v>
      </c>
      <c r="H3117" s="16" t="n">
        <v>0.08</v>
      </c>
      <c r="I3117" s="1" t="s">
        <v>33</v>
      </c>
      <c r="J3117" s="1" t="n">
        <v>1</v>
      </c>
      <c r="K3117" s="1" t="n">
        <v>3.9</v>
      </c>
      <c r="L3117" s="15" t="n">
        <v>3356.98</v>
      </c>
      <c r="M3117" s="15" t="n">
        <f aca="false">F3117*G3117</f>
        <v>3648.89</v>
      </c>
      <c r="N3117" s="15" t="n">
        <f aca="false">M3117-L3117</f>
        <v>291.91</v>
      </c>
      <c r="O3117" s="1" t="n">
        <f aca="false">YEAR(B3117)</f>
        <v>2030</v>
      </c>
      <c r="P3117" s="1" t="n">
        <f aca="false">MONTH(B3117)</f>
        <v>7</v>
      </c>
      <c r="Q3117" s="1" t="str">
        <f aca="false">TEXT(B3117,"mmm")</f>
        <v>Jul</v>
      </c>
      <c r="R3117" s="1" t="str">
        <f aca="false">"Q"&amp;ROUNDUP(MONTH(B3117)/3,0)</f>
        <v>Q3</v>
      </c>
    </row>
    <row r="3118" customFormat="false" ht="15" hidden="false" customHeight="true" outlineLevel="0" collapsed="false">
      <c r="A3118" s="1" t="n">
        <v>13117</v>
      </c>
      <c r="B3118" s="14" t="n">
        <v>47678</v>
      </c>
      <c r="C3118" s="1" t="n">
        <v>1898</v>
      </c>
      <c r="D3118" s="1" t="s">
        <v>37</v>
      </c>
      <c r="E3118" s="1" t="s">
        <v>32</v>
      </c>
      <c r="F3118" s="1" t="n">
        <v>3</v>
      </c>
      <c r="G3118" s="15" t="n">
        <v>259.42</v>
      </c>
      <c r="H3118" s="16" t="n">
        <v>0.01</v>
      </c>
      <c r="I3118" s="1" t="s">
        <v>31</v>
      </c>
      <c r="J3118" s="1" t="n">
        <v>9</v>
      </c>
      <c r="K3118" s="1" t="n">
        <v>3.7</v>
      </c>
      <c r="L3118" s="15" t="n">
        <v>770.48</v>
      </c>
      <c r="M3118" s="15" t="n">
        <f aca="false">F3118*G3118</f>
        <v>778.26</v>
      </c>
      <c r="N3118" s="15" t="n">
        <f aca="false">M3118-L3118</f>
        <v>7.77999999999997</v>
      </c>
      <c r="O3118" s="1" t="n">
        <f aca="false">YEAR(B3118)</f>
        <v>2030</v>
      </c>
      <c r="P3118" s="1" t="n">
        <f aca="false">MONTH(B3118)</f>
        <v>7</v>
      </c>
      <c r="Q3118" s="1" t="str">
        <f aca="false">TEXT(B3118,"mmm")</f>
        <v>Jul</v>
      </c>
      <c r="R3118" s="1" t="str">
        <f aca="false">"Q"&amp;ROUNDUP(MONTH(B3118)/3,0)</f>
        <v>Q3</v>
      </c>
    </row>
    <row r="3119" customFormat="false" ht="15" hidden="false" customHeight="true" outlineLevel="0" collapsed="false">
      <c r="A3119" s="1" t="n">
        <v>13118</v>
      </c>
      <c r="B3119" s="14" t="n">
        <v>47679</v>
      </c>
      <c r="C3119" s="1" t="n">
        <v>1072</v>
      </c>
      <c r="D3119" s="1" t="s">
        <v>30</v>
      </c>
      <c r="E3119" s="1" t="s">
        <v>28</v>
      </c>
      <c r="F3119" s="1" t="n">
        <v>4</v>
      </c>
      <c r="G3119" s="15" t="n">
        <v>453.93</v>
      </c>
      <c r="H3119" s="16" t="n">
        <v>0.09</v>
      </c>
      <c r="I3119" s="1" t="s">
        <v>33</v>
      </c>
      <c r="J3119" s="1" t="n">
        <v>7</v>
      </c>
      <c r="K3119" s="1" t="n">
        <v>2.4</v>
      </c>
      <c r="L3119" s="15" t="n">
        <v>1652.31</v>
      </c>
      <c r="M3119" s="15" t="n">
        <f aca="false">F3119*G3119</f>
        <v>1815.72</v>
      </c>
      <c r="N3119" s="15" t="n">
        <f aca="false">M3119-L3119</f>
        <v>163.41</v>
      </c>
      <c r="O3119" s="1" t="n">
        <f aca="false">YEAR(B3119)</f>
        <v>2030</v>
      </c>
      <c r="P3119" s="1" t="n">
        <f aca="false">MONTH(B3119)</f>
        <v>7</v>
      </c>
      <c r="Q3119" s="1" t="str">
        <f aca="false">TEXT(B3119,"mmm")</f>
        <v>Jul</v>
      </c>
      <c r="R3119" s="1" t="str">
        <f aca="false">"Q"&amp;ROUNDUP(MONTH(B3119)/3,0)</f>
        <v>Q3</v>
      </c>
    </row>
    <row r="3120" customFormat="false" ht="15" hidden="false" customHeight="true" outlineLevel="0" collapsed="false">
      <c r="A3120" s="1" t="n">
        <v>13119</v>
      </c>
      <c r="B3120" s="14" t="n">
        <v>47680</v>
      </c>
      <c r="C3120" s="1" t="n">
        <v>1647</v>
      </c>
      <c r="D3120" s="1" t="s">
        <v>27</v>
      </c>
      <c r="E3120" s="1" t="s">
        <v>35</v>
      </c>
      <c r="F3120" s="1" t="n">
        <v>7</v>
      </c>
      <c r="G3120" s="15" t="n">
        <v>335.6</v>
      </c>
      <c r="H3120" s="16" t="n">
        <v>0.07</v>
      </c>
      <c r="I3120" s="1" t="s">
        <v>29</v>
      </c>
      <c r="J3120" s="1" t="n">
        <v>4</v>
      </c>
      <c r="K3120" s="1" t="n">
        <v>4</v>
      </c>
      <c r="L3120" s="15" t="n">
        <v>2184.76</v>
      </c>
      <c r="M3120" s="15" t="n">
        <f aca="false">F3120*G3120</f>
        <v>2349.2</v>
      </c>
      <c r="N3120" s="15" t="n">
        <f aca="false">M3120-L3120</f>
        <v>164.44</v>
      </c>
      <c r="O3120" s="1" t="n">
        <f aca="false">YEAR(B3120)</f>
        <v>2030</v>
      </c>
      <c r="P3120" s="1" t="n">
        <f aca="false">MONTH(B3120)</f>
        <v>7</v>
      </c>
      <c r="Q3120" s="1" t="str">
        <f aca="false">TEXT(B3120,"mmm")</f>
        <v>Jul</v>
      </c>
      <c r="R3120" s="1" t="str">
        <f aca="false">"Q"&amp;ROUNDUP(MONTH(B3120)/3,0)</f>
        <v>Q3</v>
      </c>
    </row>
    <row r="3121" customFormat="false" ht="15" hidden="false" customHeight="true" outlineLevel="0" collapsed="false">
      <c r="A3121" s="1" t="n">
        <v>13120</v>
      </c>
      <c r="B3121" s="14" t="n">
        <v>47681</v>
      </c>
      <c r="C3121" s="1" t="n">
        <v>1352</v>
      </c>
      <c r="D3121" s="1" t="s">
        <v>34</v>
      </c>
      <c r="E3121" s="1" t="s">
        <v>32</v>
      </c>
      <c r="F3121" s="1" t="n">
        <v>3</v>
      </c>
      <c r="G3121" s="15" t="n">
        <v>238.39</v>
      </c>
      <c r="H3121" s="16" t="n">
        <v>0.18</v>
      </c>
      <c r="I3121" s="1" t="s">
        <v>31</v>
      </c>
      <c r="J3121" s="1" t="n">
        <v>4</v>
      </c>
      <c r="K3121" s="1" t="n">
        <v>4.4</v>
      </c>
      <c r="L3121" s="15" t="n">
        <v>586.44</v>
      </c>
      <c r="M3121" s="15" t="n">
        <f aca="false">F3121*G3121</f>
        <v>715.17</v>
      </c>
      <c r="N3121" s="15" t="n">
        <f aca="false">M3121-L3121</f>
        <v>128.73</v>
      </c>
      <c r="O3121" s="1" t="n">
        <f aca="false">YEAR(B3121)</f>
        <v>2030</v>
      </c>
      <c r="P3121" s="1" t="n">
        <f aca="false">MONTH(B3121)</f>
        <v>7</v>
      </c>
      <c r="Q3121" s="1" t="str">
        <f aca="false">TEXT(B3121,"mmm")</f>
        <v>Jul</v>
      </c>
      <c r="R3121" s="1" t="str">
        <f aca="false">"Q"&amp;ROUNDUP(MONTH(B3121)/3,0)</f>
        <v>Q3</v>
      </c>
    </row>
    <row r="3122" customFormat="false" ht="15" hidden="false" customHeight="true" outlineLevel="0" collapsed="false">
      <c r="A3122" s="1" t="n">
        <v>13121</v>
      </c>
      <c r="B3122" s="14" t="n">
        <v>47682</v>
      </c>
      <c r="C3122" s="1" t="n">
        <v>1890</v>
      </c>
      <c r="D3122" s="1" t="s">
        <v>30</v>
      </c>
      <c r="E3122" s="1" t="s">
        <v>35</v>
      </c>
      <c r="F3122" s="1" t="n">
        <v>6</v>
      </c>
      <c r="G3122" s="15" t="n">
        <v>488.78</v>
      </c>
      <c r="H3122" s="16" t="n">
        <v>0.07</v>
      </c>
      <c r="I3122" s="1" t="s">
        <v>31</v>
      </c>
      <c r="J3122" s="1" t="n">
        <v>2</v>
      </c>
      <c r="K3122" s="1" t="n">
        <v>4</v>
      </c>
      <c r="L3122" s="15" t="n">
        <v>2727.39</v>
      </c>
      <c r="M3122" s="15" t="n">
        <f aca="false">F3122*G3122</f>
        <v>2932.68</v>
      </c>
      <c r="N3122" s="15" t="n">
        <f aca="false">M3122-L3122</f>
        <v>205.29</v>
      </c>
      <c r="O3122" s="1" t="n">
        <f aca="false">YEAR(B3122)</f>
        <v>2030</v>
      </c>
      <c r="P3122" s="1" t="n">
        <f aca="false">MONTH(B3122)</f>
        <v>7</v>
      </c>
      <c r="Q3122" s="1" t="str">
        <f aca="false">TEXT(B3122,"mmm")</f>
        <v>Jul</v>
      </c>
      <c r="R3122" s="1" t="str">
        <f aca="false">"Q"&amp;ROUNDUP(MONTH(B3122)/3,0)</f>
        <v>Q3</v>
      </c>
    </row>
    <row r="3123" customFormat="false" ht="15" hidden="false" customHeight="true" outlineLevel="0" collapsed="false">
      <c r="A3123" s="1" t="n">
        <v>13122</v>
      </c>
      <c r="B3123" s="14" t="n">
        <v>47683</v>
      </c>
      <c r="C3123" s="1" t="n">
        <v>1069</v>
      </c>
      <c r="D3123" s="1" t="s">
        <v>34</v>
      </c>
      <c r="E3123" s="1" t="s">
        <v>36</v>
      </c>
      <c r="F3123" s="1" t="n">
        <v>6</v>
      </c>
      <c r="G3123" s="15" t="n">
        <v>356.91</v>
      </c>
      <c r="H3123" s="16" t="n">
        <v>0.27</v>
      </c>
      <c r="I3123" s="1" t="s">
        <v>31</v>
      </c>
      <c r="J3123" s="1" t="n">
        <v>6</v>
      </c>
      <c r="K3123" s="1" t="n">
        <v>4.1</v>
      </c>
      <c r="L3123" s="15" t="n">
        <v>1563.27</v>
      </c>
      <c r="M3123" s="15" t="n">
        <f aca="false">F3123*G3123</f>
        <v>2141.46</v>
      </c>
      <c r="N3123" s="15" t="n">
        <f aca="false">M3123-L3123</f>
        <v>578.19</v>
      </c>
      <c r="O3123" s="1" t="n">
        <f aca="false">YEAR(B3123)</f>
        <v>2030</v>
      </c>
      <c r="P3123" s="1" t="n">
        <f aca="false">MONTH(B3123)</f>
        <v>7</v>
      </c>
      <c r="Q3123" s="1" t="str">
        <f aca="false">TEXT(B3123,"mmm")</f>
        <v>Jul</v>
      </c>
      <c r="R3123" s="1" t="str">
        <f aca="false">"Q"&amp;ROUNDUP(MONTH(B3123)/3,0)</f>
        <v>Q3</v>
      </c>
    </row>
    <row r="3124" customFormat="false" ht="15" hidden="false" customHeight="true" outlineLevel="0" collapsed="false">
      <c r="A3124" s="1" t="n">
        <v>13123</v>
      </c>
      <c r="B3124" s="14" t="n">
        <v>47684</v>
      </c>
      <c r="C3124" s="1" t="n">
        <v>1424</v>
      </c>
      <c r="D3124" s="1" t="s">
        <v>34</v>
      </c>
      <c r="E3124" s="1" t="s">
        <v>36</v>
      </c>
      <c r="F3124" s="1" t="n">
        <v>1</v>
      </c>
      <c r="G3124" s="15" t="n">
        <v>243.48</v>
      </c>
      <c r="H3124" s="16" t="n">
        <v>0.08</v>
      </c>
      <c r="I3124" s="1" t="s">
        <v>31</v>
      </c>
      <c r="J3124" s="1" t="n">
        <v>10</v>
      </c>
      <c r="K3124" s="1" t="n">
        <v>2.4</v>
      </c>
      <c r="L3124" s="15" t="n">
        <v>224</v>
      </c>
      <c r="M3124" s="15" t="n">
        <f aca="false">F3124*G3124</f>
        <v>243.48</v>
      </c>
      <c r="N3124" s="15" t="n">
        <f aca="false">M3124-L3124</f>
        <v>19.48</v>
      </c>
      <c r="O3124" s="1" t="n">
        <f aca="false">YEAR(B3124)</f>
        <v>2030</v>
      </c>
      <c r="P3124" s="1" t="n">
        <f aca="false">MONTH(B3124)</f>
        <v>7</v>
      </c>
      <c r="Q3124" s="1" t="str">
        <f aca="false">TEXT(B3124,"mmm")</f>
        <v>Jul</v>
      </c>
      <c r="R3124" s="1" t="str">
        <f aca="false">"Q"&amp;ROUNDUP(MONTH(B3124)/3,0)</f>
        <v>Q3</v>
      </c>
    </row>
    <row r="3125" customFormat="false" ht="15" hidden="false" customHeight="true" outlineLevel="0" collapsed="false">
      <c r="A3125" s="1" t="n">
        <v>13124</v>
      </c>
      <c r="B3125" s="14" t="n">
        <v>47685</v>
      </c>
      <c r="C3125" s="1" t="n">
        <v>1998</v>
      </c>
      <c r="D3125" s="1" t="s">
        <v>37</v>
      </c>
      <c r="E3125" s="1" t="s">
        <v>35</v>
      </c>
      <c r="F3125" s="1" t="n">
        <v>7</v>
      </c>
      <c r="G3125" s="15" t="n">
        <v>79.11</v>
      </c>
      <c r="H3125" s="16" t="n">
        <v>0.25</v>
      </c>
      <c r="I3125" s="1" t="s">
        <v>31</v>
      </c>
      <c r="J3125" s="1" t="n">
        <v>3</v>
      </c>
      <c r="K3125" s="1" t="n">
        <v>4.8</v>
      </c>
      <c r="L3125" s="15" t="n">
        <v>415.33</v>
      </c>
      <c r="M3125" s="15" t="n">
        <f aca="false">F3125*G3125</f>
        <v>553.77</v>
      </c>
      <c r="N3125" s="15" t="n">
        <f aca="false">M3125-L3125</f>
        <v>138.44</v>
      </c>
      <c r="O3125" s="1" t="n">
        <f aca="false">YEAR(B3125)</f>
        <v>2030</v>
      </c>
      <c r="P3125" s="1" t="n">
        <f aca="false">MONTH(B3125)</f>
        <v>7</v>
      </c>
      <c r="Q3125" s="1" t="str">
        <f aca="false">TEXT(B3125,"mmm")</f>
        <v>Jul</v>
      </c>
      <c r="R3125" s="1" t="str">
        <f aca="false">"Q"&amp;ROUNDUP(MONTH(B3125)/3,0)</f>
        <v>Q3</v>
      </c>
    </row>
    <row r="3126" customFormat="false" ht="15" hidden="false" customHeight="true" outlineLevel="0" collapsed="false">
      <c r="A3126" s="1" t="n">
        <v>13125</v>
      </c>
      <c r="B3126" s="14" t="n">
        <v>47686</v>
      </c>
      <c r="C3126" s="1" t="n">
        <v>1707</v>
      </c>
      <c r="D3126" s="1" t="s">
        <v>30</v>
      </c>
      <c r="E3126" s="1" t="s">
        <v>36</v>
      </c>
      <c r="F3126" s="1" t="n">
        <v>7</v>
      </c>
      <c r="G3126" s="15" t="n">
        <v>538.84</v>
      </c>
      <c r="H3126" s="16" t="n">
        <v>0.2</v>
      </c>
      <c r="I3126" s="1" t="s">
        <v>31</v>
      </c>
      <c r="J3126" s="1" t="n">
        <v>1</v>
      </c>
      <c r="K3126" s="1" t="n">
        <v>2.7</v>
      </c>
      <c r="L3126" s="15" t="n">
        <v>3017.5</v>
      </c>
      <c r="M3126" s="15" t="n">
        <f aca="false">F3126*G3126</f>
        <v>3771.88</v>
      </c>
      <c r="N3126" s="15" t="n">
        <f aca="false">M3126-L3126</f>
        <v>754.38</v>
      </c>
      <c r="O3126" s="1" t="n">
        <f aca="false">YEAR(B3126)</f>
        <v>2030</v>
      </c>
      <c r="P3126" s="1" t="n">
        <f aca="false">MONTH(B3126)</f>
        <v>7</v>
      </c>
      <c r="Q3126" s="1" t="str">
        <f aca="false">TEXT(B3126,"mmm")</f>
        <v>Jul</v>
      </c>
      <c r="R3126" s="1" t="str">
        <f aca="false">"Q"&amp;ROUNDUP(MONTH(B3126)/3,0)</f>
        <v>Q3</v>
      </c>
    </row>
    <row r="3127" customFormat="false" ht="15" hidden="false" customHeight="true" outlineLevel="0" collapsed="false">
      <c r="A3127" s="1" t="n">
        <v>13126</v>
      </c>
      <c r="B3127" s="14" t="n">
        <v>47687</v>
      </c>
      <c r="C3127" s="1" t="n">
        <v>1780</v>
      </c>
      <c r="D3127" s="1" t="s">
        <v>37</v>
      </c>
      <c r="E3127" s="1" t="s">
        <v>35</v>
      </c>
      <c r="F3127" s="1" t="n">
        <v>7</v>
      </c>
      <c r="G3127" s="15" t="n">
        <v>35.75</v>
      </c>
      <c r="H3127" s="16" t="n">
        <v>0.35</v>
      </c>
      <c r="I3127" s="1" t="s">
        <v>31</v>
      </c>
      <c r="J3127" s="1" t="n">
        <v>5</v>
      </c>
      <c r="K3127" s="1" t="n">
        <v>4.6</v>
      </c>
      <c r="L3127" s="15" t="n">
        <v>162.66</v>
      </c>
      <c r="M3127" s="15" t="n">
        <f aca="false">F3127*G3127</f>
        <v>250.25</v>
      </c>
      <c r="N3127" s="15" t="n">
        <f aca="false">M3127-L3127</f>
        <v>87.59</v>
      </c>
      <c r="O3127" s="1" t="n">
        <f aca="false">YEAR(B3127)</f>
        <v>2030</v>
      </c>
      <c r="P3127" s="1" t="n">
        <f aca="false">MONTH(B3127)</f>
        <v>7</v>
      </c>
      <c r="Q3127" s="1" t="str">
        <f aca="false">TEXT(B3127,"mmm")</f>
        <v>Jul</v>
      </c>
      <c r="R3127" s="1" t="str">
        <f aca="false">"Q"&amp;ROUNDUP(MONTH(B3127)/3,0)</f>
        <v>Q3</v>
      </c>
    </row>
    <row r="3128" customFormat="false" ht="15" hidden="false" customHeight="true" outlineLevel="0" collapsed="false">
      <c r="A3128" s="1" t="n">
        <v>13127</v>
      </c>
      <c r="B3128" s="14" t="n">
        <v>47688</v>
      </c>
      <c r="C3128" s="1" t="n">
        <v>1560</v>
      </c>
      <c r="D3128" s="1" t="s">
        <v>34</v>
      </c>
      <c r="E3128" s="1" t="s">
        <v>32</v>
      </c>
      <c r="F3128" s="1" t="n">
        <v>5</v>
      </c>
      <c r="G3128" s="15" t="n">
        <v>519.96</v>
      </c>
      <c r="H3128" s="16" t="n">
        <v>0.35</v>
      </c>
      <c r="I3128" s="1" t="s">
        <v>33</v>
      </c>
      <c r="J3128" s="1" t="n">
        <v>6</v>
      </c>
      <c r="K3128" s="1" t="n">
        <v>4.4</v>
      </c>
      <c r="L3128" s="15" t="n">
        <v>1689.87</v>
      </c>
      <c r="M3128" s="15" t="n">
        <f aca="false">F3128*G3128</f>
        <v>2599.8</v>
      </c>
      <c r="N3128" s="15" t="n">
        <f aca="false">M3128-L3128</f>
        <v>909.93</v>
      </c>
      <c r="O3128" s="1" t="n">
        <f aca="false">YEAR(B3128)</f>
        <v>2030</v>
      </c>
      <c r="P3128" s="1" t="n">
        <f aca="false">MONTH(B3128)</f>
        <v>7</v>
      </c>
      <c r="Q3128" s="1" t="str">
        <f aca="false">TEXT(B3128,"mmm")</f>
        <v>Jul</v>
      </c>
      <c r="R3128" s="1" t="str">
        <f aca="false">"Q"&amp;ROUNDUP(MONTH(B3128)/3,0)</f>
        <v>Q3</v>
      </c>
    </row>
    <row r="3129" customFormat="false" ht="15" hidden="false" customHeight="true" outlineLevel="0" collapsed="false">
      <c r="A3129" s="1" t="n">
        <v>13128</v>
      </c>
      <c r="B3129" s="14" t="n">
        <v>47689</v>
      </c>
      <c r="C3129" s="1" t="n">
        <v>1827</v>
      </c>
      <c r="D3129" s="1" t="s">
        <v>30</v>
      </c>
      <c r="E3129" s="1" t="s">
        <v>28</v>
      </c>
      <c r="F3129" s="1" t="n">
        <v>2</v>
      </c>
      <c r="G3129" s="15" t="n">
        <v>225.58</v>
      </c>
      <c r="H3129" s="16" t="n">
        <v>0.3</v>
      </c>
      <c r="I3129" s="1" t="s">
        <v>31</v>
      </c>
      <c r="J3129" s="1" t="n">
        <v>11</v>
      </c>
      <c r="K3129" s="1" t="n">
        <v>1.5</v>
      </c>
      <c r="L3129" s="15" t="n">
        <v>315.81</v>
      </c>
      <c r="M3129" s="15" t="n">
        <f aca="false">F3129*G3129</f>
        <v>451.16</v>
      </c>
      <c r="N3129" s="15" t="n">
        <f aca="false">M3129-L3129</f>
        <v>135.35</v>
      </c>
      <c r="O3129" s="1" t="n">
        <f aca="false">YEAR(B3129)</f>
        <v>2030</v>
      </c>
      <c r="P3129" s="1" t="n">
        <f aca="false">MONTH(B3129)</f>
        <v>7</v>
      </c>
      <c r="Q3129" s="1" t="str">
        <f aca="false">TEXT(B3129,"mmm")</f>
        <v>Jul</v>
      </c>
      <c r="R3129" s="1" t="str">
        <f aca="false">"Q"&amp;ROUNDUP(MONTH(B3129)/3,0)</f>
        <v>Q3</v>
      </c>
    </row>
    <row r="3130" customFormat="false" ht="15" hidden="false" customHeight="true" outlineLevel="0" collapsed="false">
      <c r="A3130" s="1" t="n">
        <v>13129</v>
      </c>
      <c r="B3130" s="14" t="n">
        <v>47690</v>
      </c>
      <c r="C3130" s="1" t="n">
        <v>1641</v>
      </c>
      <c r="D3130" s="1" t="s">
        <v>30</v>
      </c>
      <c r="E3130" s="1" t="s">
        <v>35</v>
      </c>
      <c r="F3130" s="1" t="n">
        <v>4</v>
      </c>
      <c r="G3130" s="15" t="n">
        <v>389.01</v>
      </c>
      <c r="H3130" s="16" t="n">
        <v>0.27</v>
      </c>
      <c r="I3130" s="1" t="s">
        <v>33</v>
      </c>
      <c r="J3130" s="1" t="n">
        <v>5</v>
      </c>
      <c r="K3130" s="1" t="n">
        <v>4.9</v>
      </c>
      <c r="L3130" s="15" t="n">
        <v>1135.91</v>
      </c>
      <c r="M3130" s="15" t="n">
        <f aca="false">F3130*G3130</f>
        <v>1556.04</v>
      </c>
      <c r="N3130" s="15" t="n">
        <f aca="false">M3130-L3130</f>
        <v>420.13</v>
      </c>
      <c r="O3130" s="1" t="n">
        <f aca="false">YEAR(B3130)</f>
        <v>2030</v>
      </c>
      <c r="P3130" s="1" t="n">
        <f aca="false">MONTH(B3130)</f>
        <v>7</v>
      </c>
      <c r="Q3130" s="1" t="str">
        <f aca="false">TEXT(B3130,"mmm")</f>
        <v>Jul</v>
      </c>
      <c r="R3130" s="1" t="str">
        <f aca="false">"Q"&amp;ROUNDUP(MONTH(B3130)/3,0)</f>
        <v>Q3</v>
      </c>
    </row>
    <row r="3131" customFormat="false" ht="15" hidden="false" customHeight="true" outlineLevel="0" collapsed="false">
      <c r="A3131" s="1" t="n">
        <v>13130</v>
      </c>
      <c r="B3131" s="14" t="n">
        <v>47691</v>
      </c>
      <c r="C3131" s="1" t="n">
        <v>1955</v>
      </c>
      <c r="D3131" s="1" t="s">
        <v>27</v>
      </c>
      <c r="E3131" s="1" t="s">
        <v>28</v>
      </c>
      <c r="F3131" s="1" t="n">
        <v>7</v>
      </c>
      <c r="G3131" s="15" t="n">
        <v>554.49</v>
      </c>
      <c r="H3131" s="16" t="n">
        <v>0.14</v>
      </c>
      <c r="I3131" s="1" t="s">
        <v>33</v>
      </c>
      <c r="J3131" s="1" t="n">
        <v>5</v>
      </c>
      <c r="K3131" s="1" t="n">
        <v>5</v>
      </c>
      <c r="L3131" s="15" t="n">
        <v>3338.03</v>
      </c>
      <c r="M3131" s="15" t="n">
        <f aca="false">F3131*G3131</f>
        <v>3881.43</v>
      </c>
      <c r="N3131" s="15" t="n">
        <f aca="false">M3131-L3131</f>
        <v>543.4</v>
      </c>
      <c r="O3131" s="1" t="n">
        <f aca="false">YEAR(B3131)</f>
        <v>2030</v>
      </c>
      <c r="P3131" s="1" t="n">
        <f aca="false">MONTH(B3131)</f>
        <v>7</v>
      </c>
      <c r="Q3131" s="1" t="str">
        <f aca="false">TEXT(B3131,"mmm")</f>
        <v>Jul</v>
      </c>
      <c r="R3131" s="1" t="str">
        <f aca="false">"Q"&amp;ROUNDUP(MONTH(B3131)/3,0)</f>
        <v>Q3</v>
      </c>
    </row>
    <row r="3132" customFormat="false" ht="15" hidden="false" customHeight="true" outlineLevel="0" collapsed="false">
      <c r="A3132" s="1" t="n">
        <v>13131</v>
      </c>
      <c r="B3132" s="14" t="n">
        <v>47692</v>
      </c>
      <c r="C3132" s="1" t="n">
        <v>1516</v>
      </c>
      <c r="D3132" s="1" t="s">
        <v>34</v>
      </c>
      <c r="E3132" s="1" t="s">
        <v>28</v>
      </c>
      <c r="F3132" s="1" t="n">
        <v>2</v>
      </c>
      <c r="G3132" s="15" t="n">
        <v>103.75</v>
      </c>
      <c r="H3132" s="16" t="n">
        <v>0.26</v>
      </c>
      <c r="I3132" s="1" t="s">
        <v>33</v>
      </c>
      <c r="J3132" s="1" t="n">
        <v>10</v>
      </c>
      <c r="K3132" s="1" t="n">
        <v>3.4</v>
      </c>
      <c r="L3132" s="15" t="n">
        <v>153.55</v>
      </c>
      <c r="M3132" s="15" t="n">
        <f aca="false">F3132*G3132</f>
        <v>207.5</v>
      </c>
      <c r="N3132" s="15" t="n">
        <f aca="false">M3132-L3132</f>
        <v>53.95</v>
      </c>
      <c r="O3132" s="1" t="n">
        <f aca="false">YEAR(B3132)</f>
        <v>2030</v>
      </c>
      <c r="P3132" s="1" t="n">
        <f aca="false">MONTH(B3132)</f>
        <v>7</v>
      </c>
      <c r="Q3132" s="1" t="str">
        <f aca="false">TEXT(B3132,"mmm")</f>
        <v>Jul</v>
      </c>
      <c r="R3132" s="1" t="str">
        <f aca="false">"Q"&amp;ROUNDUP(MONTH(B3132)/3,0)</f>
        <v>Q3</v>
      </c>
    </row>
    <row r="3133" customFormat="false" ht="15" hidden="false" customHeight="true" outlineLevel="0" collapsed="false">
      <c r="A3133" s="1" t="n">
        <v>13132</v>
      </c>
      <c r="B3133" s="14" t="n">
        <v>47693</v>
      </c>
      <c r="C3133" s="1" t="n">
        <v>1427</v>
      </c>
      <c r="D3133" s="1" t="s">
        <v>34</v>
      </c>
      <c r="E3133" s="1" t="s">
        <v>35</v>
      </c>
      <c r="F3133" s="1" t="n">
        <v>5</v>
      </c>
      <c r="G3133" s="15" t="n">
        <v>346.67</v>
      </c>
      <c r="H3133" s="16" t="n">
        <v>0.33</v>
      </c>
      <c r="I3133" s="1" t="s">
        <v>31</v>
      </c>
      <c r="J3133" s="1" t="n">
        <v>11</v>
      </c>
      <c r="K3133" s="1" t="n">
        <v>4.1</v>
      </c>
      <c r="L3133" s="15" t="n">
        <v>1161.34</v>
      </c>
      <c r="M3133" s="15" t="n">
        <f aca="false">F3133*G3133</f>
        <v>1733.35</v>
      </c>
      <c r="N3133" s="15" t="n">
        <f aca="false">M3133-L3133</f>
        <v>572.01</v>
      </c>
      <c r="O3133" s="1" t="n">
        <f aca="false">YEAR(B3133)</f>
        <v>2030</v>
      </c>
      <c r="P3133" s="1" t="n">
        <f aca="false">MONTH(B3133)</f>
        <v>7</v>
      </c>
      <c r="Q3133" s="1" t="str">
        <f aca="false">TEXT(B3133,"mmm")</f>
        <v>Jul</v>
      </c>
      <c r="R3133" s="1" t="str">
        <f aca="false">"Q"&amp;ROUNDUP(MONTH(B3133)/3,0)</f>
        <v>Q3</v>
      </c>
    </row>
    <row r="3134" customFormat="false" ht="15" hidden="false" customHeight="true" outlineLevel="0" collapsed="false">
      <c r="A3134" s="1" t="n">
        <v>13133</v>
      </c>
      <c r="B3134" s="14" t="n">
        <v>47694</v>
      </c>
      <c r="C3134" s="1" t="n">
        <v>1538</v>
      </c>
      <c r="D3134" s="1" t="s">
        <v>30</v>
      </c>
      <c r="E3134" s="1" t="s">
        <v>36</v>
      </c>
      <c r="F3134" s="1" t="n">
        <v>6</v>
      </c>
      <c r="G3134" s="15" t="n">
        <v>462.19</v>
      </c>
      <c r="H3134" s="16" t="n">
        <v>0.01</v>
      </c>
      <c r="I3134" s="1" t="s">
        <v>33</v>
      </c>
      <c r="J3134" s="1" t="n">
        <v>8</v>
      </c>
      <c r="K3134" s="1" t="n">
        <v>4.7</v>
      </c>
      <c r="L3134" s="15" t="n">
        <v>2745.41</v>
      </c>
      <c r="M3134" s="15" t="n">
        <f aca="false">F3134*G3134</f>
        <v>2773.14</v>
      </c>
      <c r="N3134" s="15" t="n">
        <f aca="false">M3134-L3134</f>
        <v>27.73</v>
      </c>
      <c r="O3134" s="1" t="n">
        <f aca="false">YEAR(B3134)</f>
        <v>2030</v>
      </c>
      <c r="P3134" s="1" t="n">
        <f aca="false">MONTH(B3134)</f>
        <v>7</v>
      </c>
      <c r="Q3134" s="1" t="str">
        <f aca="false">TEXT(B3134,"mmm")</f>
        <v>Jul</v>
      </c>
      <c r="R3134" s="1" t="str">
        <f aca="false">"Q"&amp;ROUNDUP(MONTH(B3134)/3,0)</f>
        <v>Q3</v>
      </c>
    </row>
    <row r="3135" customFormat="false" ht="15" hidden="false" customHeight="true" outlineLevel="0" collapsed="false">
      <c r="A3135" s="1" t="n">
        <v>13134</v>
      </c>
      <c r="B3135" s="14" t="n">
        <v>47695</v>
      </c>
      <c r="C3135" s="1" t="n">
        <v>1159</v>
      </c>
      <c r="D3135" s="1" t="s">
        <v>30</v>
      </c>
      <c r="E3135" s="1" t="s">
        <v>32</v>
      </c>
      <c r="F3135" s="1" t="n">
        <v>4</v>
      </c>
      <c r="G3135" s="15" t="n">
        <v>458.19</v>
      </c>
      <c r="H3135" s="16" t="n">
        <v>0.19</v>
      </c>
      <c r="I3135" s="1" t="s">
        <v>31</v>
      </c>
      <c r="J3135" s="1" t="n">
        <v>10</v>
      </c>
      <c r="K3135" s="1" t="n">
        <v>1.1</v>
      </c>
      <c r="L3135" s="15" t="n">
        <v>1484.54</v>
      </c>
      <c r="M3135" s="15" t="n">
        <f aca="false">F3135*G3135</f>
        <v>1832.76</v>
      </c>
      <c r="N3135" s="15" t="n">
        <f aca="false">M3135-L3135</f>
        <v>348.22</v>
      </c>
      <c r="O3135" s="1" t="n">
        <f aca="false">YEAR(B3135)</f>
        <v>2030</v>
      </c>
      <c r="P3135" s="1" t="n">
        <f aca="false">MONTH(B3135)</f>
        <v>7</v>
      </c>
      <c r="Q3135" s="1" t="str">
        <f aca="false">TEXT(B3135,"mmm")</f>
        <v>Jul</v>
      </c>
      <c r="R3135" s="1" t="str">
        <f aca="false">"Q"&amp;ROUNDUP(MONTH(B3135)/3,0)</f>
        <v>Q3</v>
      </c>
    </row>
    <row r="3136" customFormat="false" ht="15" hidden="false" customHeight="true" outlineLevel="0" collapsed="false">
      <c r="A3136" s="1" t="n">
        <v>13135</v>
      </c>
      <c r="B3136" s="14" t="n">
        <v>47696</v>
      </c>
      <c r="C3136" s="1" t="n">
        <v>1148</v>
      </c>
      <c r="D3136" s="1" t="s">
        <v>34</v>
      </c>
      <c r="E3136" s="1" t="s">
        <v>28</v>
      </c>
      <c r="F3136" s="1" t="n">
        <v>3</v>
      </c>
      <c r="G3136" s="15" t="n">
        <v>322.49</v>
      </c>
      <c r="H3136" s="16" t="n">
        <v>0.08</v>
      </c>
      <c r="I3136" s="1" t="s">
        <v>31</v>
      </c>
      <c r="J3136" s="1" t="n">
        <v>1</v>
      </c>
      <c r="K3136" s="1" t="n">
        <v>4.7</v>
      </c>
      <c r="L3136" s="15" t="n">
        <v>890.07</v>
      </c>
      <c r="M3136" s="15" t="n">
        <f aca="false">F3136*G3136</f>
        <v>967.47</v>
      </c>
      <c r="N3136" s="15" t="n">
        <f aca="false">M3136-L3136</f>
        <v>77.4</v>
      </c>
      <c r="O3136" s="1" t="n">
        <f aca="false">YEAR(B3136)</f>
        <v>2030</v>
      </c>
      <c r="P3136" s="1" t="n">
        <f aca="false">MONTH(B3136)</f>
        <v>8</v>
      </c>
      <c r="Q3136" s="1" t="str">
        <f aca="false">TEXT(B3136,"mmm")</f>
        <v>Aug</v>
      </c>
      <c r="R3136" s="1" t="str">
        <f aca="false">"Q"&amp;ROUNDUP(MONTH(B3136)/3,0)</f>
        <v>Q3</v>
      </c>
    </row>
    <row r="3137" customFormat="false" ht="15" hidden="false" customHeight="true" outlineLevel="0" collapsed="false">
      <c r="A3137" s="1" t="n">
        <v>13136</v>
      </c>
      <c r="B3137" s="14" t="n">
        <v>47697</v>
      </c>
      <c r="C3137" s="1" t="n">
        <v>1775</v>
      </c>
      <c r="D3137" s="1" t="s">
        <v>27</v>
      </c>
      <c r="E3137" s="1" t="s">
        <v>32</v>
      </c>
      <c r="F3137" s="1" t="n">
        <v>6</v>
      </c>
      <c r="G3137" s="15" t="n">
        <v>380.47</v>
      </c>
      <c r="H3137" s="16" t="n">
        <v>0.2</v>
      </c>
      <c r="I3137" s="1" t="s">
        <v>33</v>
      </c>
      <c r="J3137" s="1" t="n">
        <v>8</v>
      </c>
      <c r="K3137" s="1" t="n">
        <v>3.5</v>
      </c>
      <c r="L3137" s="15" t="n">
        <v>1826.26</v>
      </c>
      <c r="M3137" s="15" t="n">
        <f aca="false">F3137*G3137</f>
        <v>2282.82</v>
      </c>
      <c r="N3137" s="15" t="n">
        <f aca="false">M3137-L3137</f>
        <v>456.56</v>
      </c>
      <c r="O3137" s="1" t="n">
        <f aca="false">YEAR(B3137)</f>
        <v>2030</v>
      </c>
      <c r="P3137" s="1" t="n">
        <f aca="false">MONTH(B3137)</f>
        <v>8</v>
      </c>
      <c r="Q3137" s="1" t="str">
        <f aca="false">TEXT(B3137,"mmm")</f>
        <v>Aug</v>
      </c>
      <c r="R3137" s="1" t="str">
        <f aca="false">"Q"&amp;ROUNDUP(MONTH(B3137)/3,0)</f>
        <v>Q3</v>
      </c>
    </row>
    <row r="3138" customFormat="false" ht="15" hidden="false" customHeight="true" outlineLevel="0" collapsed="false">
      <c r="A3138" s="1" t="n">
        <v>13137</v>
      </c>
      <c r="B3138" s="14" t="n">
        <v>47698</v>
      </c>
      <c r="C3138" s="1" t="n">
        <v>1229</v>
      </c>
      <c r="D3138" s="1" t="s">
        <v>34</v>
      </c>
      <c r="E3138" s="1" t="s">
        <v>28</v>
      </c>
      <c r="F3138" s="1" t="n">
        <v>6</v>
      </c>
      <c r="G3138" s="15" t="n">
        <v>458.15</v>
      </c>
      <c r="H3138" s="16" t="n">
        <v>0.16</v>
      </c>
      <c r="I3138" s="1" t="s">
        <v>31</v>
      </c>
      <c r="J3138" s="1" t="n">
        <v>11</v>
      </c>
      <c r="K3138" s="1" t="n">
        <v>4.3</v>
      </c>
      <c r="L3138" s="15" t="n">
        <v>2309.08</v>
      </c>
      <c r="M3138" s="15" t="n">
        <f aca="false">F3138*G3138</f>
        <v>2748.9</v>
      </c>
      <c r="N3138" s="15" t="n">
        <f aca="false">M3138-L3138</f>
        <v>439.82</v>
      </c>
      <c r="O3138" s="1" t="n">
        <f aca="false">YEAR(B3138)</f>
        <v>2030</v>
      </c>
      <c r="P3138" s="1" t="n">
        <f aca="false">MONTH(B3138)</f>
        <v>8</v>
      </c>
      <c r="Q3138" s="1" t="str">
        <f aca="false">TEXT(B3138,"mmm")</f>
        <v>Aug</v>
      </c>
      <c r="R3138" s="1" t="str">
        <f aca="false">"Q"&amp;ROUNDUP(MONTH(B3138)/3,0)</f>
        <v>Q3</v>
      </c>
    </row>
    <row r="3139" customFormat="false" ht="15" hidden="false" customHeight="true" outlineLevel="0" collapsed="false">
      <c r="A3139" s="1" t="n">
        <v>13138</v>
      </c>
      <c r="B3139" s="14" t="n">
        <v>47699</v>
      </c>
      <c r="C3139" s="1" t="n">
        <v>1711</v>
      </c>
      <c r="D3139" s="1" t="s">
        <v>27</v>
      </c>
      <c r="E3139" s="1" t="s">
        <v>35</v>
      </c>
      <c r="F3139" s="1" t="n">
        <v>1</v>
      </c>
      <c r="G3139" s="15" t="n">
        <v>507</v>
      </c>
      <c r="H3139" s="16" t="n">
        <v>0.2</v>
      </c>
      <c r="I3139" s="1" t="s">
        <v>31</v>
      </c>
      <c r="J3139" s="1" t="n">
        <v>7</v>
      </c>
      <c r="K3139" s="1" t="n">
        <v>3.2</v>
      </c>
      <c r="L3139" s="15" t="n">
        <v>405.6</v>
      </c>
      <c r="M3139" s="15" t="n">
        <f aca="false">F3139*G3139</f>
        <v>507</v>
      </c>
      <c r="N3139" s="15" t="n">
        <f aca="false">M3139-L3139</f>
        <v>101.4</v>
      </c>
      <c r="O3139" s="1" t="n">
        <f aca="false">YEAR(B3139)</f>
        <v>2030</v>
      </c>
      <c r="P3139" s="1" t="n">
        <f aca="false">MONTH(B3139)</f>
        <v>8</v>
      </c>
      <c r="Q3139" s="1" t="str">
        <f aca="false">TEXT(B3139,"mmm")</f>
        <v>Aug</v>
      </c>
      <c r="R3139" s="1" t="str">
        <f aca="false">"Q"&amp;ROUNDUP(MONTH(B3139)/3,0)</f>
        <v>Q3</v>
      </c>
    </row>
    <row r="3140" customFormat="false" ht="15" hidden="false" customHeight="true" outlineLevel="0" collapsed="false">
      <c r="A3140" s="1" t="n">
        <v>13139</v>
      </c>
      <c r="B3140" s="14" t="n">
        <v>47700</v>
      </c>
      <c r="C3140" s="1" t="n">
        <v>1561</v>
      </c>
      <c r="D3140" s="1" t="s">
        <v>34</v>
      </c>
      <c r="E3140" s="1" t="s">
        <v>36</v>
      </c>
      <c r="F3140" s="1" t="n">
        <v>5</v>
      </c>
      <c r="G3140" s="15" t="n">
        <v>460.66</v>
      </c>
      <c r="H3140" s="16" t="n">
        <v>0.19</v>
      </c>
      <c r="I3140" s="1" t="s">
        <v>31</v>
      </c>
      <c r="J3140" s="1" t="n">
        <v>1</v>
      </c>
      <c r="K3140" s="1" t="n">
        <v>3.1</v>
      </c>
      <c r="L3140" s="15" t="n">
        <v>1865.67</v>
      </c>
      <c r="M3140" s="15" t="n">
        <f aca="false">F3140*G3140</f>
        <v>2303.3</v>
      </c>
      <c r="N3140" s="15" t="n">
        <f aca="false">M3140-L3140</f>
        <v>437.63</v>
      </c>
      <c r="O3140" s="1" t="n">
        <f aca="false">YEAR(B3140)</f>
        <v>2030</v>
      </c>
      <c r="P3140" s="1" t="n">
        <f aca="false">MONTH(B3140)</f>
        <v>8</v>
      </c>
      <c r="Q3140" s="1" t="str">
        <f aca="false">TEXT(B3140,"mmm")</f>
        <v>Aug</v>
      </c>
      <c r="R3140" s="1" t="str">
        <f aca="false">"Q"&amp;ROUNDUP(MONTH(B3140)/3,0)</f>
        <v>Q3</v>
      </c>
    </row>
    <row r="3141" customFormat="false" ht="15" hidden="false" customHeight="true" outlineLevel="0" collapsed="false">
      <c r="A3141" s="1" t="n">
        <v>13140</v>
      </c>
      <c r="B3141" s="14" t="n">
        <v>47701</v>
      </c>
      <c r="C3141" s="1" t="n">
        <v>1066</v>
      </c>
      <c r="D3141" s="1" t="s">
        <v>37</v>
      </c>
      <c r="E3141" s="1" t="s">
        <v>32</v>
      </c>
      <c r="F3141" s="1" t="n">
        <v>1</v>
      </c>
      <c r="G3141" s="15" t="n">
        <v>222.09</v>
      </c>
      <c r="H3141" s="16" t="n">
        <v>0.34</v>
      </c>
      <c r="I3141" s="1" t="s">
        <v>31</v>
      </c>
      <c r="J3141" s="1" t="n">
        <v>9</v>
      </c>
      <c r="K3141" s="1" t="n">
        <v>4.6</v>
      </c>
      <c r="L3141" s="15" t="n">
        <v>146.58</v>
      </c>
      <c r="M3141" s="15" t="n">
        <f aca="false">F3141*G3141</f>
        <v>222.09</v>
      </c>
      <c r="N3141" s="15" t="n">
        <f aca="false">M3141-L3141</f>
        <v>75.51</v>
      </c>
      <c r="O3141" s="1" t="n">
        <f aca="false">YEAR(B3141)</f>
        <v>2030</v>
      </c>
      <c r="P3141" s="1" t="n">
        <f aca="false">MONTH(B3141)</f>
        <v>8</v>
      </c>
      <c r="Q3141" s="1" t="str">
        <f aca="false">TEXT(B3141,"mmm")</f>
        <v>Aug</v>
      </c>
      <c r="R3141" s="1" t="str">
        <f aca="false">"Q"&amp;ROUNDUP(MONTH(B3141)/3,0)</f>
        <v>Q3</v>
      </c>
    </row>
    <row r="3142" customFormat="false" ht="15" hidden="false" customHeight="true" outlineLevel="0" collapsed="false">
      <c r="A3142" s="1" t="n">
        <v>13141</v>
      </c>
      <c r="B3142" s="14" t="n">
        <v>47702</v>
      </c>
      <c r="C3142" s="1" t="n">
        <v>1811</v>
      </c>
      <c r="D3142" s="1" t="s">
        <v>27</v>
      </c>
      <c r="E3142" s="1" t="s">
        <v>28</v>
      </c>
      <c r="F3142" s="1" t="n">
        <v>1</v>
      </c>
      <c r="G3142" s="15" t="n">
        <v>598.08</v>
      </c>
      <c r="H3142" s="16" t="n">
        <v>0.19</v>
      </c>
      <c r="I3142" s="1" t="s">
        <v>31</v>
      </c>
      <c r="J3142" s="1" t="n">
        <v>4</v>
      </c>
      <c r="K3142" s="1" t="n">
        <v>3</v>
      </c>
      <c r="L3142" s="15" t="n">
        <v>484.44</v>
      </c>
      <c r="M3142" s="15" t="n">
        <f aca="false">F3142*G3142</f>
        <v>598.08</v>
      </c>
      <c r="N3142" s="15" t="n">
        <f aca="false">M3142-L3142</f>
        <v>113.64</v>
      </c>
      <c r="O3142" s="1" t="n">
        <f aca="false">YEAR(B3142)</f>
        <v>2030</v>
      </c>
      <c r="P3142" s="1" t="n">
        <f aca="false">MONTH(B3142)</f>
        <v>8</v>
      </c>
      <c r="Q3142" s="1" t="str">
        <f aca="false">TEXT(B3142,"mmm")</f>
        <v>Aug</v>
      </c>
      <c r="R3142" s="1" t="str">
        <f aca="false">"Q"&amp;ROUNDUP(MONTH(B3142)/3,0)</f>
        <v>Q3</v>
      </c>
    </row>
    <row r="3143" customFormat="false" ht="15" hidden="false" customHeight="true" outlineLevel="0" collapsed="false">
      <c r="A3143" s="1" t="n">
        <v>13142</v>
      </c>
      <c r="B3143" s="14" t="n">
        <v>47703</v>
      </c>
      <c r="C3143" s="1" t="n">
        <v>1380</v>
      </c>
      <c r="D3143" s="1" t="s">
        <v>34</v>
      </c>
      <c r="E3143" s="1" t="s">
        <v>35</v>
      </c>
      <c r="F3143" s="1" t="n">
        <v>2</v>
      </c>
      <c r="G3143" s="15" t="n">
        <v>269.18</v>
      </c>
      <c r="H3143" s="16" t="n">
        <v>0.3</v>
      </c>
      <c r="I3143" s="1" t="s">
        <v>29</v>
      </c>
      <c r="J3143" s="1" t="n">
        <v>7</v>
      </c>
      <c r="K3143" s="1" t="n">
        <v>2.9</v>
      </c>
      <c r="L3143" s="15" t="n">
        <v>376.85</v>
      </c>
      <c r="M3143" s="15" t="n">
        <f aca="false">F3143*G3143</f>
        <v>538.36</v>
      </c>
      <c r="N3143" s="15" t="n">
        <f aca="false">M3143-L3143</f>
        <v>161.51</v>
      </c>
      <c r="O3143" s="1" t="n">
        <f aca="false">YEAR(B3143)</f>
        <v>2030</v>
      </c>
      <c r="P3143" s="1" t="n">
        <f aca="false">MONTH(B3143)</f>
        <v>8</v>
      </c>
      <c r="Q3143" s="1" t="str">
        <f aca="false">TEXT(B3143,"mmm")</f>
        <v>Aug</v>
      </c>
      <c r="R3143" s="1" t="str">
        <f aca="false">"Q"&amp;ROUNDUP(MONTH(B3143)/3,0)</f>
        <v>Q3</v>
      </c>
    </row>
    <row r="3144" customFormat="false" ht="15" hidden="false" customHeight="true" outlineLevel="0" collapsed="false">
      <c r="A3144" s="1" t="n">
        <v>13143</v>
      </c>
      <c r="B3144" s="14" t="n">
        <v>47704</v>
      </c>
      <c r="C3144" s="1" t="n">
        <v>1057</v>
      </c>
      <c r="D3144" s="1" t="s">
        <v>27</v>
      </c>
      <c r="E3144" s="1" t="s">
        <v>35</v>
      </c>
      <c r="F3144" s="1" t="n">
        <v>6</v>
      </c>
      <c r="G3144" s="15" t="n">
        <v>29.31</v>
      </c>
      <c r="H3144" s="16" t="n">
        <v>0.11</v>
      </c>
      <c r="I3144" s="1" t="s">
        <v>31</v>
      </c>
      <c r="J3144" s="1" t="n">
        <v>3</v>
      </c>
      <c r="K3144" s="1" t="n">
        <v>3.4</v>
      </c>
      <c r="L3144" s="15" t="n">
        <v>156.52</v>
      </c>
      <c r="M3144" s="15" t="n">
        <f aca="false">F3144*G3144</f>
        <v>175.86</v>
      </c>
      <c r="N3144" s="15" t="n">
        <f aca="false">M3144-L3144</f>
        <v>19.34</v>
      </c>
      <c r="O3144" s="1" t="n">
        <f aca="false">YEAR(B3144)</f>
        <v>2030</v>
      </c>
      <c r="P3144" s="1" t="n">
        <f aca="false">MONTH(B3144)</f>
        <v>8</v>
      </c>
      <c r="Q3144" s="1" t="str">
        <f aca="false">TEXT(B3144,"mmm")</f>
        <v>Aug</v>
      </c>
      <c r="R3144" s="1" t="str">
        <f aca="false">"Q"&amp;ROUNDUP(MONTH(B3144)/3,0)</f>
        <v>Q3</v>
      </c>
    </row>
    <row r="3145" customFormat="false" ht="15" hidden="false" customHeight="true" outlineLevel="0" collapsed="false">
      <c r="A3145" s="1" t="n">
        <v>13144</v>
      </c>
      <c r="B3145" s="14" t="n">
        <v>47705</v>
      </c>
      <c r="C3145" s="1" t="n">
        <v>1258</v>
      </c>
      <c r="D3145" s="1" t="s">
        <v>30</v>
      </c>
      <c r="E3145" s="1" t="s">
        <v>28</v>
      </c>
      <c r="F3145" s="1" t="n">
        <v>5</v>
      </c>
      <c r="G3145" s="15" t="n">
        <v>227.13</v>
      </c>
      <c r="H3145" s="16" t="n">
        <v>0.15</v>
      </c>
      <c r="I3145" s="1" t="s">
        <v>33</v>
      </c>
      <c r="J3145" s="1" t="n">
        <v>8</v>
      </c>
      <c r="K3145" s="1" t="n">
        <v>3.1</v>
      </c>
      <c r="L3145" s="15" t="n">
        <v>965.3</v>
      </c>
      <c r="M3145" s="15" t="n">
        <f aca="false">F3145*G3145</f>
        <v>1135.65</v>
      </c>
      <c r="N3145" s="15" t="n">
        <f aca="false">M3145-L3145</f>
        <v>170.35</v>
      </c>
      <c r="O3145" s="1" t="n">
        <f aca="false">YEAR(B3145)</f>
        <v>2030</v>
      </c>
      <c r="P3145" s="1" t="n">
        <f aca="false">MONTH(B3145)</f>
        <v>8</v>
      </c>
      <c r="Q3145" s="1" t="str">
        <f aca="false">TEXT(B3145,"mmm")</f>
        <v>Aug</v>
      </c>
      <c r="R3145" s="1" t="str">
        <f aca="false">"Q"&amp;ROUNDUP(MONTH(B3145)/3,0)</f>
        <v>Q3</v>
      </c>
    </row>
    <row r="3146" customFormat="false" ht="15" hidden="false" customHeight="true" outlineLevel="0" collapsed="false">
      <c r="A3146" s="1" t="n">
        <v>13145</v>
      </c>
      <c r="B3146" s="14" t="n">
        <v>47706</v>
      </c>
      <c r="C3146" s="1" t="n">
        <v>1341</v>
      </c>
      <c r="D3146" s="1" t="s">
        <v>27</v>
      </c>
      <c r="E3146" s="1" t="s">
        <v>28</v>
      </c>
      <c r="F3146" s="1" t="n">
        <v>1</v>
      </c>
      <c r="G3146" s="15" t="n">
        <v>89.75</v>
      </c>
      <c r="H3146" s="16" t="n">
        <v>0.16</v>
      </c>
      <c r="I3146" s="1" t="s">
        <v>33</v>
      </c>
      <c r="J3146" s="1" t="n">
        <v>4</v>
      </c>
      <c r="K3146" s="1" t="n">
        <v>2.8</v>
      </c>
      <c r="L3146" s="15" t="n">
        <v>75.39</v>
      </c>
      <c r="M3146" s="15" t="n">
        <f aca="false">F3146*G3146</f>
        <v>89.75</v>
      </c>
      <c r="N3146" s="15" t="n">
        <f aca="false">M3146-L3146</f>
        <v>14.36</v>
      </c>
      <c r="O3146" s="1" t="n">
        <f aca="false">YEAR(B3146)</f>
        <v>2030</v>
      </c>
      <c r="P3146" s="1" t="n">
        <f aca="false">MONTH(B3146)</f>
        <v>8</v>
      </c>
      <c r="Q3146" s="1" t="str">
        <f aca="false">TEXT(B3146,"mmm")</f>
        <v>Aug</v>
      </c>
      <c r="R3146" s="1" t="str">
        <f aca="false">"Q"&amp;ROUNDUP(MONTH(B3146)/3,0)</f>
        <v>Q3</v>
      </c>
    </row>
    <row r="3147" customFormat="false" ht="15" hidden="false" customHeight="true" outlineLevel="0" collapsed="false">
      <c r="A3147" s="1" t="n">
        <v>13146</v>
      </c>
      <c r="B3147" s="14" t="n">
        <v>47707</v>
      </c>
      <c r="C3147" s="1" t="n">
        <v>1837</v>
      </c>
      <c r="D3147" s="1" t="s">
        <v>37</v>
      </c>
      <c r="E3147" s="1" t="s">
        <v>28</v>
      </c>
      <c r="F3147" s="1" t="n">
        <v>3</v>
      </c>
      <c r="G3147" s="15" t="n">
        <v>86.04</v>
      </c>
      <c r="H3147" s="16" t="n">
        <v>0.1</v>
      </c>
      <c r="I3147" s="1" t="s">
        <v>33</v>
      </c>
      <c r="J3147" s="1" t="n">
        <v>2</v>
      </c>
      <c r="K3147" s="1" t="n">
        <v>1.7</v>
      </c>
      <c r="L3147" s="15" t="n">
        <v>232.31</v>
      </c>
      <c r="M3147" s="15" t="n">
        <f aca="false">F3147*G3147</f>
        <v>258.12</v>
      </c>
      <c r="N3147" s="15" t="n">
        <f aca="false">M3147-L3147</f>
        <v>25.81</v>
      </c>
      <c r="O3147" s="1" t="n">
        <f aca="false">YEAR(B3147)</f>
        <v>2030</v>
      </c>
      <c r="P3147" s="1" t="n">
        <f aca="false">MONTH(B3147)</f>
        <v>8</v>
      </c>
      <c r="Q3147" s="1" t="str">
        <f aca="false">TEXT(B3147,"mmm")</f>
        <v>Aug</v>
      </c>
      <c r="R3147" s="1" t="str">
        <f aca="false">"Q"&amp;ROUNDUP(MONTH(B3147)/3,0)</f>
        <v>Q3</v>
      </c>
    </row>
    <row r="3148" customFormat="false" ht="15" hidden="false" customHeight="true" outlineLevel="0" collapsed="false">
      <c r="A3148" s="1" t="n">
        <v>13147</v>
      </c>
      <c r="B3148" s="14" t="n">
        <v>47708</v>
      </c>
      <c r="C3148" s="1" t="n">
        <v>1129</v>
      </c>
      <c r="D3148" s="1" t="s">
        <v>34</v>
      </c>
      <c r="E3148" s="1" t="s">
        <v>36</v>
      </c>
      <c r="F3148" s="1" t="n">
        <v>4</v>
      </c>
      <c r="G3148" s="15" t="n">
        <v>179.7</v>
      </c>
      <c r="H3148" s="16" t="n">
        <v>0.13</v>
      </c>
      <c r="I3148" s="1" t="s">
        <v>29</v>
      </c>
      <c r="J3148" s="1" t="n">
        <v>2</v>
      </c>
      <c r="K3148" s="1" t="n">
        <v>2.6</v>
      </c>
      <c r="L3148" s="15" t="n">
        <v>625.36</v>
      </c>
      <c r="M3148" s="15" t="n">
        <f aca="false">F3148*G3148</f>
        <v>718.8</v>
      </c>
      <c r="N3148" s="15" t="n">
        <f aca="false">M3148-L3148</f>
        <v>93.4399999999999</v>
      </c>
      <c r="O3148" s="1" t="n">
        <f aca="false">YEAR(B3148)</f>
        <v>2030</v>
      </c>
      <c r="P3148" s="1" t="n">
        <f aca="false">MONTH(B3148)</f>
        <v>8</v>
      </c>
      <c r="Q3148" s="1" t="str">
        <f aca="false">TEXT(B3148,"mmm")</f>
        <v>Aug</v>
      </c>
      <c r="R3148" s="1" t="str">
        <f aca="false">"Q"&amp;ROUNDUP(MONTH(B3148)/3,0)</f>
        <v>Q3</v>
      </c>
    </row>
    <row r="3149" customFormat="false" ht="15" hidden="false" customHeight="true" outlineLevel="0" collapsed="false">
      <c r="A3149" s="1" t="n">
        <v>13148</v>
      </c>
      <c r="B3149" s="14" t="n">
        <v>47709</v>
      </c>
      <c r="C3149" s="1" t="n">
        <v>1726</v>
      </c>
      <c r="D3149" s="1" t="s">
        <v>34</v>
      </c>
      <c r="E3149" s="1" t="s">
        <v>28</v>
      </c>
      <c r="F3149" s="1" t="n">
        <v>7</v>
      </c>
      <c r="G3149" s="15" t="n">
        <v>46.22</v>
      </c>
      <c r="H3149" s="16" t="n">
        <v>0.21</v>
      </c>
      <c r="I3149" s="1" t="s">
        <v>29</v>
      </c>
      <c r="J3149" s="1" t="n">
        <v>8</v>
      </c>
      <c r="K3149" s="1" t="n">
        <v>2.1</v>
      </c>
      <c r="L3149" s="15" t="n">
        <v>255.6</v>
      </c>
      <c r="M3149" s="15" t="n">
        <f aca="false">F3149*G3149</f>
        <v>323.54</v>
      </c>
      <c r="N3149" s="15" t="n">
        <f aca="false">M3149-L3149</f>
        <v>67.94</v>
      </c>
      <c r="O3149" s="1" t="n">
        <f aca="false">YEAR(B3149)</f>
        <v>2030</v>
      </c>
      <c r="P3149" s="1" t="n">
        <f aca="false">MONTH(B3149)</f>
        <v>8</v>
      </c>
      <c r="Q3149" s="1" t="str">
        <f aca="false">TEXT(B3149,"mmm")</f>
        <v>Aug</v>
      </c>
      <c r="R3149" s="1" t="str">
        <f aca="false">"Q"&amp;ROUNDUP(MONTH(B3149)/3,0)</f>
        <v>Q3</v>
      </c>
    </row>
    <row r="3150" customFormat="false" ht="15" hidden="false" customHeight="true" outlineLevel="0" collapsed="false">
      <c r="A3150" s="1" t="n">
        <v>13149</v>
      </c>
      <c r="B3150" s="14" t="n">
        <v>47710</v>
      </c>
      <c r="C3150" s="1" t="n">
        <v>1171</v>
      </c>
      <c r="D3150" s="1" t="s">
        <v>34</v>
      </c>
      <c r="E3150" s="1" t="s">
        <v>28</v>
      </c>
      <c r="F3150" s="1" t="n">
        <v>5</v>
      </c>
      <c r="G3150" s="15" t="n">
        <v>417.78</v>
      </c>
      <c r="H3150" s="16" t="n">
        <v>0.2</v>
      </c>
      <c r="I3150" s="1" t="s">
        <v>33</v>
      </c>
      <c r="J3150" s="1" t="n">
        <v>8</v>
      </c>
      <c r="K3150" s="1" t="n">
        <v>2.6</v>
      </c>
      <c r="L3150" s="15" t="n">
        <v>1671.12</v>
      </c>
      <c r="M3150" s="15" t="n">
        <f aca="false">F3150*G3150</f>
        <v>2088.9</v>
      </c>
      <c r="N3150" s="15" t="n">
        <f aca="false">M3150-L3150</f>
        <v>417.78</v>
      </c>
      <c r="O3150" s="1" t="n">
        <f aca="false">YEAR(B3150)</f>
        <v>2030</v>
      </c>
      <c r="P3150" s="1" t="n">
        <f aca="false">MONTH(B3150)</f>
        <v>8</v>
      </c>
      <c r="Q3150" s="1" t="str">
        <f aca="false">TEXT(B3150,"mmm")</f>
        <v>Aug</v>
      </c>
      <c r="R3150" s="1" t="str">
        <f aca="false">"Q"&amp;ROUNDUP(MONTH(B3150)/3,0)</f>
        <v>Q3</v>
      </c>
    </row>
    <row r="3151" customFormat="false" ht="15" hidden="false" customHeight="true" outlineLevel="0" collapsed="false">
      <c r="A3151" s="1" t="n">
        <v>13150</v>
      </c>
      <c r="B3151" s="14" t="n">
        <v>47711</v>
      </c>
      <c r="C3151" s="1" t="n">
        <v>1769</v>
      </c>
      <c r="D3151" s="1" t="s">
        <v>34</v>
      </c>
      <c r="E3151" s="1" t="s">
        <v>36</v>
      </c>
      <c r="F3151" s="1" t="n">
        <v>2</v>
      </c>
      <c r="G3151" s="15" t="n">
        <v>58.28</v>
      </c>
      <c r="H3151" s="16" t="n">
        <v>0.22</v>
      </c>
      <c r="I3151" s="1" t="s">
        <v>29</v>
      </c>
      <c r="J3151" s="1" t="n">
        <v>1</v>
      </c>
      <c r="K3151" s="1" t="n">
        <v>3.4</v>
      </c>
      <c r="L3151" s="15" t="n">
        <v>90.92</v>
      </c>
      <c r="M3151" s="15" t="n">
        <f aca="false">F3151*G3151</f>
        <v>116.56</v>
      </c>
      <c r="N3151" s="15" t="n">
        <f aca="false">M3151-L3151</f>
        <v>25.64</v>
      </c>
      <c r="O3151" s="1" t="n">
        <f aca="false">YEAR(B3151)</f>
        <v>2030</v>
      </c>
      <c r="P3151" s="1" t="n">
        <f aca="false">MONTH(B3151)</f>
        <v>8</v>
      </c>
      <c r="Q3151" s="1" t="str">
        <f aca="false">TEXT(B3151,"mmm")</f>
        <v>Aug</v>
      </c>
      <c r="R3151" s="1" t="str">
        <f aca="false">"Q"&amp;ROUNDUP(MONTH(B3151)/3,0)</f>
        <v>Q3</v>
      </c>
    </row>
    <row r="3152" customFormat="false" ht="15" hidden="false" customHeight="true" outlineLevel="0" collapsed="false">
      <c r="A3152" s="1" t="n">
        <v>13151</v>
      </c>
      <c r="B3152" s="14" t="n">
        <v>47712</v>
      </c>
      <c r="C3152" s="1" t="n">
        <v>1613</v>
      </c>
      <c r="D3152" s="1" t="s">
        <v>34</v>
      </c>
      <c r="E3152" s="1" t="s">
        <v>35</v>
      </c>
      <c r="F3152" s="1" t="n">
        <v>5</v>
      </c>
      <c r="G3152" s="15" t="n">
        <v>133.92</v>
      </c>
      <c r="H3152" s="16" t="n">
        <v>0.12</v>
      </c>
      <c r="I3152" s="1" t="s">
        <v>31</v>
      </c>
      <c r="J3152" s="1" t="n">
        <v>6</v>
      </c>
      <c r="K3152" s="1" t="n">
        <v>3.4</v>
      </c>
      <c r="L3152" s="15" t="n">
        <v>589.25</v>
      </c>
      <c r="M3152" s="15" t="n">
        <f aca="false">F3152*G3152</f>
        <v>669.6</v>
      </c>
      <c r="N3152" s="15" t="n">
        <f aca="false">M3152-L3152</f>
        <v>80.3499999999999</v>
      </c>
      <c r="O3152" s="1" t="n">
        <f aca="false">YEAR(B3152)</f>
        <v>2030</v>
      </c>
      <c r="P3152" s="1" t="n">
        <f aca="false">MONTH(B3152)</f>
        <v>8</v>
      </c>
      <c r="Q3152" s="1" t="str">
        <f aca="false">TEXT(B3152,"mmm")</f>
        <v>Aug</v>
      </c>
      <c r="R3152" s="1" t="str">
        <f aca="false">"Q"&amp;ROUNDUP(MONTH(B3152)/3,0)</f>
        <v>Q3</v>
      </c>
    </row>
    <row r="3153" customFormat="false" ht="15" hidden="false" customHeight="true" outlineLevel="0" collapsed="false">
      <c r="A3153" s="1" t="n">
        <v>13152</v>
      </c>
      <c r="B3153" s="14" t="n">
        <v>47713</v>
      </c>
      <c r="C3153" s="1" t="n">
        <v>1208</v>
      </c>
      <c r="D3153" s="1" t="s">
        <v>34</v>
      </c>
      <c r="E3153" s="1" t="s">
        <v>28</v>
      </c>
      <c r="F3153" s="1" t="n">
        <v>6</v>
      </c>
      <c r="G3153" s="15" t="n">
        <v>69.35</v>
      </c>
      <c r="H3153" s="16" t="n">
        <v>0.11</v>
      </c>
      <c r="I3153" s="1" t="s">
        <v>33</v>
      </c>
      <c r="J3153" s="1" t="n">
        <v>9</v>
      </c>
      <c r="K3153" s="1" t="n">
        <v>2</v>
      </c>
      <c r="L3153" s="15" t="n">
        <v>370.33</v>
      </c>
      <c r="M3153" s="15" t="n">
        <f aca="false">F3153*G3153</f>
        <v>416.1</v>
      </c>
      <c r="N3153" s="15" t="n">
        <f aca="false">M3153-L3153</f>
        <v>45.77</v>
      </c>
      <c r="O3153" s="1" t="n">
        <f aca="false">YEAR(B3153)</f>
        <v>2030</v>
      </c>
      <c r="P3153" s="1" t="n">
        <f aca="false">MONTH(B3153)</f>
        <v>8</v>
      </c>
      <c r="Q3153" s="1" t="str">
        <f aca="false">TEXT(B3153,"mmm")</f>
        <v>Aug</v>
      </c>
      <c r="R3153" s="1" t="str">
        <f aca="false">"Q"&amp;ROUNDUP(MONTH(B3153)/3,0)</f>
        <v>Q3</v>
      </c>
    </row>
    <row r="3154" customFormat="false" ht="15" hidden="false" customHeight="true" outlineLevel="0" collapsed="false">
      <c r="A3154" s="1" t="n">
        <v>13153</v>
      </c>
      <c r="B3154" s="14" t="n">
        <v>47714</v>
      </c>
      <c r="C3154" s="1" t="n">
        <v>1802</v>
      </c>
      <c r="D3154" s="1" t="s">
        <v>30</v>
      </c>
      <c r="E3154" s="1" t="s">
        <v>32</v>
      </c>
      <c r="F3154" s="1" t="n">
        <v>2</v>
      </c>
      <c r="G3154" s="15" t="n">
        <v>51.95</v>
      </c>
      <c r="H3154" s="16" t="n">
        <v>0.21</v>
      </c>
      <c r="I3154" s="1" t="s">
        <v>29</v>
      </c>
      <c r="J3154" s="1" t="n">
        <v>9</v>
      </c>
      <c r="K3154" s="1" t="n">
        <v>1.3</v>
      </c>
      <c r="L3154" s="15" t="n">
        <v>82.08</v>
      </c>
      <c r="M3154" s="15" t="n">
        <f aca="false">F3154*G3154</f>
        <v>103.9</v>
      </c>
      <c r="N3154" s="15" t="n">
        <f aca="false">M3154-L3154</f>
        <v>21.82</v>
      </c>
      <c r="O3154" s="1" t="n">
        <f aca="false">YEAR(B3154)</f>
        <v>2030</v>
      </c>
      <c r="P3154" s="1" t="n">
        <f aca="false">MONTH(B3154)</f>
        <v>8</v>
      </c>
      <c r="Q3154" s="1" t="str">
        <f aca="false">TEXT(B3154,"mmm")</f>
        <v>Aug</v>
      </c>
      <c r="R3154" s="1" t="str">
        <f aca="false">"Q"&amp;ROUNDUP(MONTH(B3154)/3,0)</f>
        <v>Q3</v>
      </c>
    </row>
    <row r="3155" customFormat="false" ht="15" hidden="false" customHeight="true" outlineLevel="0" collapsed="false">
      <c r="A3155" s="1" t="n">
        <v>13154</v>
      </c>
      <c r="B3155" s="14" t="n">
        <v>47715</v>
      </c>
      <c r="C3155" s="1" t="n">
        <v>1353</v>
      </c>
      <c r="D3155" s="1" t="s">
        <v>37</v>
      </c>
      <c r="E3155" s="1" t="s">
        <v>35</v>
      </c>
      <c r="F3155" s="1" t="n">
        <v>4</v>
      </c>
      <c r="G3155" s="15" t="n">
        <v>171.63</v>
      </c>
      <c r="H3155" s="16" t="n">
        <v>0.05</v>
      </c>
      <c r="I3155" s="1" t="s">
        <v>33</v>
      </c>
      <c r="J3155" s="1" t="n">
        <v>2</v>
      </c>
      <c r="K3155" s="1" t="n">
        <v>4</v>
      </c>
      <c r="L3155" s="15" t="n">
        <v>652.19</v>
      </c>
      <c r="M3155" s="15" t="n">
        <f aca="false">F3155*G3155</f>
        <v>686.52</v>
      </c>
      <c r="N3155" s="15" t="n">
        <f aca="false">M3155-L3155</f>
        <v>34.3299999999999</v>
      </c>
      <c r="O3155" s="1" t="n">
        <f aca="false">YEAR(B3155)</f>
        <v>2030</v>
      </c>
      <c r="P3155" s="1" t="n">
        <f aca="false">MONTH(B3155)</f>
        <v>8</v>
      </c>
      <c r="Q3155" s="1" t="str">
        <f aca="false">TEXT(B3155,"mmm")</f>
        <v>Aug</v>
      </c>
      <c r="R3155" s="1" t="str">
        <f aca="false">"Q"&amp;ROUNDUP(MONTH(B3155)/3,0)</f>
        <v>Q3</v>
      </c>
    </row>
    <row r="3156" customFormat="false" ht="15" hidden="false" customHeight="true" outlineLevel="0" collapsed="false">
      <c r="A3156" s="1" t="n">
        <v>13155</v>
      </c>
      <c r="B3156" s="14" t="n">
        <v>47716</v>
      </c>
      <c r="C3156" s="1" t="n">
        <v>1470</v>
      </c>
      <c r="D3156" s="1" t="s">
        <v>34</v>
      </c>
      <c r="E3156" s="1" t="s">
        <v>32</v>
      </c>
      <c r="F3156" s="1" t="n">
        <v>3</v>
      </c>
      <c r="G3156" s="15" t="n">
        <v>349.56</v>
      </c>
      <c r="H3156" s="16" t="n">
        <v>0.09</v>
      </c>
      <c r="I3156" s="1" t="s">
        <v>29</v>
      </c>
      <c r="J3156" s="1" t="n">
        <v>8</v>
      </c>
      <c r="K3156" s="1" t="n">
        <v>3.1</v>
      </c>
      <c r="L3156" s="15" t="n">
        <v>954.3</v>
      </c>
      <c r="M3156" s="15" t="n">
        <f aca="false">F3156*G3156</f>
        <v>1048.68</v>
      </c>
      <c r="N3156" s="15" t="n">
        <f aca="false">M3156-L3156</f>
        <v>94.3800000000001</v>
      </c>
      <c r="O3156" s="1" t="n">
        <f aca="false">YEAR(B3156)</f>
        <v>2030</v>
      </c>
      <c r="P3156" s="1" t="n">
        <f aca="false">MONTH(B3156)</f>
        <v>8</v>
      </c>
      <c r="Q3156" s="1" t="str">
        <f aca="false">TEXT(B3156,"mmm")</f>
        <v>Aug</v>
      </c>
      <c r="R3156" s="1" t="str">
        <f aca="false">"Q"&amp;ROUNDUP(MONTH(B3156)/3,0)</f>
        <v>Q3</v>
      </c>
    </row>
    <row r="3157" customFormat="false" ht="15" hidden="false" customHeight="true" outlineLevel="0" collapsed="false">
      <c r="A3157" s="1" t="n">
        <v>13156</v>
      </c>
      <c r="B3157" s="14" t="n">
        <v>47717</v>
      </c>
      <c r="C3157" s="1" t="n">
        <v>1797</v>
      </c>
      <c r="D3157" s="1" t="s">
        <v>34</v>
      </c>
      <c r="E3157" s="1" t="s">
        <v>28</v>
      </c>
      <c r="F3157" s="1" t="n">
        <v>1</v>
      </c>
      <c r="G3157" s="15" t="n">
        <v>579.34</v>
      </c>
      <c r="H3157" s="16" t="n">
        <v>0.01</v>
      </c>
      <c r="I3157" s="1" t="s">
        <v>31</v>
      </c>
      <c r="J3157" s="1" t="n">
        <v>8</v>
      </c>
      <c r="K3157" s="1" t="n">
        <v>2.8</v>
      </c>
      <c r="L3157" s="15" t="n">
        <v>573.55</v>
      </c>
      <c r="M3157" s="15" t="n">
        <f aca="false">F3157*G3157</f>
        <v>579.34</v>
      </c>
      <c r="N3157" s="15" t="n">
        <f aca="false">M3157-L3157</f>
        <v>5.79000000000008</v>
      </c>
      <c r="O3157" s="1" t="n">
        <f aca="false">YEAR(B3157)</f>
        <v>2030</v>
      </c>
      <c r="P3157" s="1" t="n">
        <f aca="false">MONTH(B3157)</f>
        <v>8</v>
      </c>
      <c r="Q3157" s="1" t="str">
        <f aca="false">TEXT(B3157,"mmm")</f>
        <v>Aug</v>
      </c>
      <c r="R3157" s="1" t="str">
        <f aca="false">"Q"&amp;ROUNDUP(MONTH(B3157)/3,0)</f>
        <v>Q3</v>
      </c>
    </row>
    <row r="3158" customFormat="false" ht="15" hidden="false" customHeight="true" outlineLevel="0" collapsed="false">
      <c r="A3158" s="1" t="n">
        <v>13157</v>
      </c>
      <c r="B3158" s="14" t="n">
        <v>47718</v>
      </c>
      <c r="C3158" s="1" t="n">
        <v>1115</v>
      </c>
      <c r="D3158" s="1" t="s">
        <v>30</v>
      </c>
      <c r="E3158" s="1" t="s">
        <v>36</v>
      </c>
      <c r="F3158" s="1" t="n">
        <v>5</v>
      </c>
      <c r="G3158" s="15" t="n">
        <v>527.2</v>
      </c>
      <c r="H3158" s="16" t="n">
        <v>0.03</v>
      </c>
      <c r="I3158" s="1" t="s">
        <v>31</v>
      </c>
      <c r="J3158" s="1" t="n">
        <v>4</v>
      </c>
      <c r="K3158" s="1" t="n">
        <v>1.5</v>
      </c>
      <c r="L3158" s="15" t="n">
        <v>2556.92</v>
      </c>
      <c r="M3158" s="15" t="n">
        <f aca="false">F3158*G3158</f>
        <v>2636</v>
      </c>
      <c r="N3158" s="15" t="n">
        <f aca="false">M3158-L3158</f>
        <v>79.0799999999999</v>
      </c>
      <c r="O3158" s="1" t="n">
        <f aca="false">YEAR(B3158)</f>
        <v>2030</v>
      </c>
      <c r="P3158" s="1" t="n">
        <f aca="false">MONTH(B3158)</f>
        <v>8</v>
      </c>
      <c r="Q3158" s="1" t="str">
        <f aca="false">TEXT(B3158,"mmm")</f>
        <v>Aug</v>
      </c>
      <c r="R3158" s="1" t="str">
        <f aca="false">"Q"&amp;ROUNDUP(MONTH(B3158)/3,0)</f>
        <v>Q3</v>
      </c>
    </row>
    <row r="3159" customFormat="false" ht="15" hidden="false" customHeight="true" outlineLevel="0" collapsed="false">
      <c r="A3159" s="1" t="n">
        <v>13158</v>
      </c>
      <c r="B3159" s="14" t="n">
        <v>47719</v>
      </c>
      <c r="C3159" s="1" t="n">
        <v>1263</v>
      </c>
      <c r="D3159" s="1" t="s">
        <v>34</v>
      </c>
      <c r="E3159" s="1" t="s">
        <v>36</v>
      </c>
      <c r="F3159" s="1" t="n">
        <v>2</v>
      </c>
      <c r="G3159" s="15" t="n">
        <v>527.42</v>
      </c>
      <c r="H3159" s="16" t="n">
        <v>0.09</v>
      </c>
      <c r="I3159" s="1" t="s">
        <v>29</v>
      </c>
      <c r="J3159" s="1" t="n">
        <v>4</v>
      </c>
      <c r="K3159" s="1" t="n">
        <v>2.7</v>
      </c>
      <c r="L3159" s="15" t="n">
        <v>959.9</v>
      </c>
      <c r="M3159" s="15" t="n">
        <f aca="false">F3159*G3159</f>
        <v>1054.84</v>
      </c>
      <c r="N3159" s="15" t="n">
        <f aca="false">M3159-L3159</f>
        <v>94.9399999999999</v>
      </c>
      <c r="O3159" s="1" t="n">
        <f aca="false">YEAR(B3159)</f>
        <v>2030</v>
      </c>
      <c r="P3159" s="1" t="n">
        <f aca="false">MONTH(B3159)</f>
        <v>8</v>
      </c>
      <c r="Q3159" s="1" t="str">
        <f aca="false">TEXT(B3159,"mmm")</f>
        <v>Aug</v>
      </c>
      <c r="R3159" s="1" t="str">
        <f aca="false">"Q"&amp;ROUNDUP(MONTH(B3159)/3,0)</f>
        <v>Q3</v>
      </c>
    </row>
    <row r="3160" customFormat="false" ht="15" hidden="false" customHeight="true" outlineLevel="0" collapsed="false">
      <c r="A3160" s="1" t="n">
        <v>13159</v>
      </c>
      <c r="B3160" s="14" t="n">
        <v>47720</v>
      </c>
      <c r="C3160" s="1" t="n">
        <v>1661</v>
      </c>
      <c r="D3160" s="1" t="s">
        <v>34</v>
      </c>
      <c r="E3160" s="1" t="s">
        <v>36</v>
      </c>
      <c r="F3160" s="1" t="n">
        <v>4</v>
      </c>
      <c r="G3160" s="15" t="n">
        <v>118</v>
      </c>
      <c r="H3160" s="16" t="n">
        <v>0.01</v>
      </c>
      <c r="I3160" s="1" t="s">
        <v>31</v>
      </c>
      <c r="J3160" s="1" t="n">
        <v>5</v>
      </c>
      <c r="K3160" s="1" t="n">
        <v>4.3</v>
      </c>
      <c r="L3160" s="15" t="n">
        <v>467.28</v>
      </c>
      <c r="M3160" s="15" t="n">
        <f aca="false">F3160*G3160</f>
        <v>472</v>
      </c>
      <c r="N3160" s="15" t="n">
        <f aca="false">M3160-L3160</f>
        <v>4.72000000000003</v>
      </c>
      <c r="O3160" s="1" t="n">
        <f aca="false">YEAR(B3160)</f>
        <v>2030</v>
      </c>
      <c r="P3160" s="1" t="n">
        <f aca="false">MONTH(B3160)</f>
        <v>8</v>
      </c>
      <c r="Q3160" s="1" t="str">
        <f aca="false">TEXT(B3160,"mmm")</f>
        <v>Aug</v>
      </c>
      <c r="R3160" s="1" t="str">
        <f aca="false">"Q"&amp;ROUNDUP(MONTH(B3160)/3,0)</f>
        <v>Q3</v>
      </c>
    </row>
    <row r="3161" customFormat="false" ht="15" hidden="false" customHeight="true" outlineLevel="0" collapsed="false">
      <c r="A3161" s="1" t="n">
        <v>13160</v>
      </c>
      <c r="B3161" s="14" t="n">
        <v>47721</v>
      </c>
      <c r="C3161" s="1" t="n">
        <v>1811</v>
      </c>
      <c r="D3161" s="1" t="s">
        <v>34</v>
      </c>
      <c r="E3161" s="1" t="s">
        <v>28</v>
      </c>
      <c r="F3161" s="1" t="n">
        <v>1</v>
      </c>
      <c r="G3161" s="15" t="n">
        <v>169.97</v>
      </c>
      <c r="H3161" s="16" t="n">
        <v>0.09</v>
      </c>
      <c r="I3161" s="1" t="s">
        <v>33</v>
      </c>
      <c r="J3161" s="1" t="n">
        <v>11</v>
      </c>
      <c r="K3161" s="1" t="n">
        <v>3.3</v>
      </c>
      <c r="L3161" s="15" t="n">
        <v>154.67</v>
      </c>
      <c r="M3161" s="15" t="n">
        <f aca="false">F3161*G3161</f>
        <v>169.97</v>
      </c>
      <c r="N3161" s="15" t="n">
        <f aca="false">M3161-L3161</f>
        <v>15.3</v>
      </c>
      <c r="O3161" s="1" t="n">
        <f aca="false">YEAR(B3161)</f>
        <v>2030</v>
      </c>
      <c r="P3161" s="1" t="n">
        <f aca="false">MONTH(B3161)</f>
        <v>8</v>
      </c>
      <c r="Q3161" s="1" t="str">
        <f aca="false">TEXT(B3161,"mmm")</f>
        <v>Aug</v>
      </c>
      <c r="R3161" s="1" t="str">
        <f aca="false">"Q"&amp;ROUNDUP(MONTH(B3161)/3,0)</f>
        <v>Q3</v>
      </c>
    </row>
    <row r="3162" customFormat="false" ht="15" hidden="false" customHeight="true" outlineLevel="0" collapsed="false">
      <c r="A3162" s="1" t="n">
        <v>13161</v>
      </c>
      <c r="B3162" s="14" t="n">
        <v>47722</v>
      </c>
      <c r="C3162" s="1" t="n">
        <v>1441</v>
      </c>
      <c r="D3162" s="1" t="s">
        <v>27</v>
      </c>
      <c r="E3162" s="1" t="s">
        <v>28</v>
      </c>
      <c r="F3162" s="1" t="n">
        <v>7</v>
      </c>
      <c r="G3162" s="15" t="n">
        <v>59.69</v>
      </c>
      <c r="H3162" s="16" t="n">
        <v>0.23</v>
      </c>
      <c r="I3162" s="1" t="s">
        <v>31</v>
      </c>
      <c r="J3162" s="1" t="n">
        <v>10</v>
      </c>
      <c r="K3162" s="1" t="n">
        <v>1.4</v>
      </c>
      <c r="L3162" s="15" t="n">
        <v>321.73</v>
      </c>
      <c r="M3162" s="15" t="n">
        <f aca="false">F3162*G3162</f>
        <v>417.83</v>
      </c>
      <c r="N3162" s="15" t="n">
        <f aca="false">M3162-L3162</f>
        <v>96.1</v>
      </c>
      <c r="O3162" s="1" t="n">
        <f aca="false">YEAR(B3162)</f>
        <v>2030</v>
      </c>
      <c r="P3162" s="1" t="n">
        <f aca="false">MONTH(B3162)</f>
        <v>8</v>
      </c>
      <c r="Q3162" s="1" t="str">
        <f aca="false">TEXT(B3162,"mmm")</f>
        <v>Aug</v>
      </c>
      <c r="R3162" s="1" t="str">
        <f aca="false">"Q"&amp;ROUNDUP(MONTH(B3162)/3,0)</f>
        <v>Q3</v>
      </c>
    </row>
    <row r="3163" customFormat="false" ht="15" hidden="false" customHeight="true" outlineLevel="0" collapsed="false">
      <c r="A3163" s="1" t="n">
        <v>13162</v>
      </c>
      <c r="B3163" s="14" t="n">
        <v>47723</v>
      </c>
      <c r="C3163" s="1" t="n">
        <v>1547</v>
      </c>
      <c r="D3163" s="1" t="s">
        <v>37</v>
      </c>
      <c r="E3163" s="1" t="s">
        <v>32</v>
      </c>
      <c r="F3163" s="1" t="n">
        <v>4</v>
      </c>
      <c r="G3163" s="15" t="n">
        <v>470.4</v>
      </c>
      <c r="H3163" s="16" t="n">
        <v>0.02</v>
      </c>
      <c r="I3163" s="1" t="s">
        <v>33</v>
      </c>
      <c r="J3163" s="1" t="n">
        <v>7</v>
      </c>
      <c r="K3163" s="1" t="n">
        <v>2.3</v>
      </c>
      <c r="L3163" s="15" t="n">
        <v>1843.97</v>
      </c>
      <c r="M3163" s="15" t="n">
        <f aca="false">F3163*G3163</f>
        <v>1881.6</v>
      </c>
      <c r="N3163" s="15" t="n">
        <f aca="false">M3163-L3163</f>
        <v>37.6299999999999</v>
      </c>
      <c r="O3163" s="1" t="n">
        <f aca="false">YEAR(B3163)</f>
        <v>2030</v>
      </c>
      <c r="P3163" s="1" t="n">
        <f aca="false">MONTH(B3163)</f>
        <v>8</v>
      </c>
      <c r="Q3163" s="1" t="str">
        <f aca="false">TEXT(B3163,"mmm")</f>
        <v>Aug</v>
      </c>
      <c r="R3163" s="1" t="str">
        <f aca="false">"Q"&amp;ROUNDUP(MONTH(B3163)/3,0)</f>
        <v>Q3</v>
      </c>
    </row>
    <row r="3164" customFormat="false" ht="15" hidden="false" customHeight="true" outlineLevel="0" collapsed="false">
      <c r="A3164" s="1" t="n">
        <v>13163</v>
      </c>
      <c r="B3164" s="14" t="n">
        <v>47724</v>
      </c>
      <c r="C3164" s="1" t="n">
        <v>1452</v>
      </c>
      <c r="D3164" s="1" t="s">
        <v>30</v>
      </c>
      <c r="E3164" s="1" t="s">
        <v>36</v>
      </c>
      <c r="F3164" s="1" t="n">
        <v>3</v>
      </c>
      <c r="G3164" s="15" t="n">
        <v>55.84</v>
      </c>
      <c r="H3164" s="16" t="n">
        <v>0.15</v>
      </c>
      <c r="I3164" s="1" t="s">
        <v>29</v>
      </c>
      <c r="J3164" s="1" t="n">
        <v>1</v>
      </c>
      <c r="K3164" s="1" t="n">
        <v>4.9</v>
      </c>
      <c r="L3164" s="15" t="n">
        <v>142.39</v>
      </c>
      <c r="M3164" s="15" t="n">
        <f aca="false">F3164*G3164</f>
        <v>167.52</v>
      </c>
      <c r="N3164" s="15" t="n">
        <f aca="false">M3164-L3164</f>
        <v>25.13</v>
      </c>
      <c r="O3164" s="1" t="n">
        <f aca="false">YEAR(B3164)</f>
        <v>2030</v>
      </c>
      <c r="P3164" s="1" t="n">
        <f aca="false">MONTH(B3164)</f>
        <v>8</v>
      </c>
      <c r="Q3164" s="1" t="str">
        <f aca="false">TEXT(B3164,"mmm")</f>
        <v>Aug</v>
      </c>
      <c r="R3164" s="1" t="str">
        <f aca="false">"Q"&amp;ROUNDUP(MONTH(B3164)/3,0)</f>
        <v>Q3</v>
      </c>
    </row>
    <row r="3165" customFormat="false" ht="15" hidden="false" customHeight="true" outlineLevel="0" collapsed="false">
      <c r="A3165" s="1" t="n">
        <v>13164</v>
      </c>
      <c r="B3165" s="14" t="n">
        <v>47725</v>
      </c>
      <c r="C3165" s="1" t="n">
        <v>1844</v>
      </c>
      <c r="D3165" s="1" t="s">
        <v>37</v>
      </c>
      <c r="E3165" s="1" t="s">
        <v>28</v>
      </c>
      <c r="F3165" s="1" t="n">
        <v>1</v>
      </c>
      <c r="G3165" s="15" t="n">
        <v>340.67</v>
      </c>
      <c r="H3165" s="16" t="n">
        <v>0.32</v>
      </c>
      <c r="I3165" s="1" t="s">
        <v>31</v>
      </c>
      <c r="J3165" s="1" t="n">
        <v>11</v>
      </c>
      <c r="K3165" s="1" t="n">
        <v>3.2</v>
      </c>
      <c r="L3165" s="15" t="n">
        <v>231.66</v>
      </c>
      <c r="M3165" s="15" t="n">
        <f aca="false">F3165*G3165</f>
        <v>340.67</v>
      </c>
      <c r="N3165" s="15" t="n">
        <f aca="false">M3165-L3165</f>
        <v>109.01</v>
      </c>
      <c r="O3165" s="1" t="n">
        <f aca="false">YEAR(B3165)</f>
        <v>2030</v>
      </c>
      <c r="P3165" s="1" t="n">
        <f aca="false">MONTH(B3165)</f>
        <v>8</v>
      </c>
      <c r="Q3165" s="1" t="str">
        <f aca="false">TEXT(B3165,"mmm")</f>
        <v>Aug</v>
      </c>
      <c r="R3165" s="1" t="str">
        <f aca="false">"Q"&amp;ROUNDUP(MONTH(B3165)/3,0)</f>
        <v>Q3</v>
      </c>
    </row>
    <row r="3166" customFormat="false" ht="15" hidden="false" customHeight="true" outlineLevel="0" collapsed="false">
      <c r="A3166" s="1" t="n">
        <v>13165</v>
      </c>
      <c r="B3166" s="14" t="n">
        <v>47726</v>
      </c>
      <c r="C3166" s="1" t="n">
        <v>1476</v>
      </c>
      <c r="D3166" s="1" t="s">
        <v>30</v>
      </c>
      <c r="E3166" s="1" t="s">
        <v>35</v>
      </c>
      <c r="F3166" s="1" t="n">
        <v>1</v>
      </c>
      <c r="G3166" s="15" t="n">
        <v>160.01</v>
      </c>
      <c r="H3166" s="16" t="n">
        <v>0.28</v>
      </c>
      <c r="I3166" s="1" t="s">
        <v>31</v>
      </c>
      <c r="J3166" s="1" t="n">
        <v>9</v>
      </c>
      <c r="K3166" s="1" t="n">
        <v>2.1</v>
      </c>
      <c r="L3166" s="15" t="n">
        <v>115.21</v>
      </c>
      <c r="M3166" s="15" t="n">
        <f aca="false">F3166*G3166</f>
        <v>160.01</v>
      </c>
      <c r="N3166" s="15" t="n">
        <f aca="false">M3166-L3166</f>
        <v>44.8</v>
      </c>
      <c r="O3166" s="1" t="n">
        <f aca="false">YEAR(B3166)</f>
        <v>2030</v>
      </c>
      <c r="P3166" s="1" t="n">
        <f aca="false">MONTH(B3166)</f>
        <v>8</v>
      </c>
      <c r="Q3166" s="1" t="str">
        <f aca="false">TEXT(B3166,"mmm")</f>
        <v>Aug</v>
      </c>
      <c r="R3166" s="1" t="str">
        <f aca="false">"Q"&amp;ROUNDUP(MONTH(B3166)/3,0)</f>
        <v>Q3</v>
      </c>
    </row>
    <row r="3167" customFormat="false" ht="15" hidden="false" customHeight="true" outlineLevel="0" collapsed="false">
      <c r="A3167" s="1" t="n">
        <v>13166</v>
      </c>
      <c r="B3167" s="14" t="n">
        <v>47727</v>
      </c>
      <c r="C3167" s="1" t="n">
        <v>1286</v>
      </c>
      <c r="D3167" s="1" t="s">
        <v>37</v>
      </c>
      <c r="E3167" s="1" t="s">
        <v>28</v>
      </c>
      <c r="F3167" s="1" t="n">
        <v>7</v>
      </c>
      <c r="G3167" s="15" t="n">
        <v>157.42</v>
      </c>
      <c r="H3167" s="16" t="n">
        <v>0.11</v>
      </c>
      <c r="I3167" s="1" t="s">
        <v>31</v>
      </c>
      <c r="J3167" s="1" t="n">
        <v>3</v>
      </c>
      <c r="K3167" s="1" t="n">
        <v>4.7</v>
      </c>
      <c r="L3167" s="15" t="n">
        <v>980.73</v>
      </c>
      <c r="M3167" s="15" t="n">
        <f aca="false">F3167*G3167</f>
        <v>1101.94</v>
      </c>
      <c r="N3167" s="15" t="n">
        <f aca="false">M3167-L3167</f>
        <v>121.21</v>
      </c>
      <c r="O3167" s="1" t="n">
        <f aca="false">YEAR(B3167)</f>
        <v>2030</v>
      </c>
      <c r="P3167" s="1" t="n">
        <f aca="false">MONTH(B3167)</f>
        <v>9</v>
      </c>
      <c r="Q3167" s="1" t="str">
        <f aca="false">TEXT(B3167,"mmm")</f>
        <v>Sep</v>
      </c>
      <c r="R3167" s="1" t="str">
        <f aca="false">"Q"&amp;ROUNDUP(MONTH(B3167)/3,0)</f>
        <v>Q3</v>
      </c>
    </row>
    <row r="3168" customFormat="false" ht="15" hidden="false" customHeight="true" outlineLevel="0" collapsed="false">
      <c r="A3168" s="1" t="n">
        <v>13167</v>
      </c>
      <c r="B3168" s="14" t="n">
        <v>47728</v>
      </c>
      <c r="C3168" s="1" t="n">
        <v>1302</v>
      </c>
      <c r="D3168" s="1" t="s">
        <v>37</v>
      </c>
      <c r="E3168" s="1" t="s">
        <v>28</v>
      </c>
      <c r="F3168" s="1" t="n">
        <v>1</v>
      </c>
      <c r="G3168" s="15" t="n">
        <v>594.57</v>
      </c>
      <c r="H3168" s="16" t="n">
        <v>0.32</v>
      </c>
      <c r="I3168" s="1" t="s">
        <v>29</v>
      </c>
      <c r="J3168" s="1" t="n">
        <v>11</v>
      </c>
      <c r="K3168" s="1" t="n">
        <v>2.3</v>
      </c>
      <c r="L3168" s="15" t="n">
        <v>404.31</v>
      </c>
      <c r="M3168" s="15" t="n">
        <f aca="false">F3168*G3168</f>
        <v>594.57</v>
      </c>
      <c r="N3168" s="15" t="n">
        <f aca="false">M3168-L3168</f>
        <v>190.26</v>
      </c>
      <c r="O3168" s="1" t="n">
        <f aca="false">YEAR(B3168)</f>
        <v>2030</v>
      </c>
      <c r="P3168" s="1" t="n">
        <f aca="false">MONTH(B3168)</f>
        <v>9</v>
      </c>
      <c r="Q3168" s="1" t="str">
        <f aca="false">TEXT(B3168,"mmm")</f>
        <v>Sep</v>
      </c>
      <c r="R3168" s="1" t="str">
        <f aca="false">"Q"&amp;ROUNDUP(MONTH(B3168)/3,0)</f>
        <v>Q3</v>
      </c>
    </row>
    <row r="3169" customFormat="false" ht="15" hidden="false" customHeight="true" outlineLevel="0" collapsed="false">
      <c r="A3169" s="1" t="n">
        <v>13168</v>
      </c>
      <c r="B3169" s="14" t="n">
        <v>47729</v>
      </c>
      <c r="C3169" s="1" t="n">
        <v>1310</v>
      </c>
      <c r="D3169" s="1" t="s">
        <v>30</v>
      </c>
      <c r="E3169" s="1" t="s">
        <v>35</v>
      </c>
      <c r="F3169" s="1" t="n">
        <v>2</v>
      </c>
      <c r="G3169" s="15" t="n">
        <v>457.72</v>
      </c>
      <c r="H3169" s="16" t="n">
        <v>0.12</v>
      </c>
      <c r="I3169" s="1" t="s">
        <v>33</v>
      </c>
      <c r="J3169" s="1" t="n">
        <v>4</v>
      </c>
      <c r="K3169" s="1" t="n">
        <v>3.9</v>
      </c>
      <c r="L3169" s="15" t="n">
        <v>805.59</v>
      </c>
      <c r="M3169" s="15" t="n">
        <f aca="false">F3169*G3169</f>
        <v>915.44</v>
      </c>
      <c r="N3169" s="15" t="n">
        <f aca="false">M3169-L3169</f>
        <v>109.85</v>
      </c>
      <c r="O3169" s="1" t="n">
        <f aca="false">YEAR(B3169)</f>
        <v>2030</v>
      </c>
      <c r="P3169" s="1" t="n">
        <f aca="false">MONTH(B3169)</f>
        <v>9</v>
      </c>
      <c r="Q3169" s="1" t="str">
        <f aca="false">TEXT(B3169,"mmm")</f>
        <v>Sep</v>
      </c>
      <c r="R3169" s="1" t="str">
        <f aca="false">"Q"&amp;ROUNDUP(MONTH(B3169)/3,0)</f>
        <v>Q3</v>
      </c>
    </row>
    <row r="3170" customFormat="false" ht="15" hidden="false" customHeight="true" outlineLevel="0" collapsed="false">
      <c r="A3170" s="1" t="n">
        <v>13169</v>
      </c>
      <c r="B3170" s="14" t="n">
        <v>47730</v>
      </c>
      <c r="C3170" s="1" t="n">
        <v>1207</v>
      </c>
      <c r="D3170" s="1" t="s">
        <v>34</v>
      </c>
      <c r="E3170" s="1" t="s">
        <v>36</v>
      </c>
      <c r="F3170" s="1" t="n">
        <v>1</v>
      </c>
      <c r="G3170" s="15" t="n">
        <v>504.61</v>
      </c>
      <c r="H3170" s="16" t="n">
        <v>0.03</v>
      </c>
      <c r="I3170" s="1" t="s">
        <v>31</v>
      </c>
      <c r="J3170" s="1" t="n">
        <v>7</v>
      </c>
      <c r="K3170" s="1" t="n">
        <v>1.6</v>
      </c>
      <c r="L3170" s="15" t="n">
        <v>489.47</v>
      </c>
      <c r="M3170" s="15" t="n">
        <f aca="false">F3170*G3170</f>
        <v>504.61</v>
      </c>
      <c r="N3170" s="15" t="n">
        <f aca="false">M3170-L3170</f>
        <v>15.14</v>
      </c>
      <c r="O3170" s="1" t="n">
        <f aca="false">YEAR(B3170)</f>
        <v>2030</v>
      </c>
      <c r="P3170" s="1" t="n">
        <f aca="false">MONTH(B3170)</f>
        <v>9</v>
      </c>
      <c r="Q3170" s="1" t="str">
        <f aca="false">TEXT(B3170,"mmm")</f>
        <v>Sep</v>
      </c>
      <c r="R3170" s="1" t="str">
        <f aca="false">"Q"&amp;ROUNDUP(MONTH(B3170)/3,0)</f>
        <v>Q3</v>
      </c>
    </row>
    <row r="3171" customFormat="false" ht="15" hidden="false" customHeight="true" outlineLevel="0" collapsed="false">
      <c r="A3171" s="1" t="n">
        <v>13170</v>
      </c>
      <c r="B3171" s="14" t="n">
        <v>47731</v>
      </c>
      <c r="C3171" s="1" t="n">
        <v>1617</v>
      </c>
      <c r="D3171" s="1" t="s">
        <v>34</v>
      </c>
      <c r="E3171" s="1" t="s">
        <v>35</v>
      </c>
      <c r="F3171" s="1" t="n">
        <v>4</v>
      </c>
      <c r="G3171" s="15" t="n">
        <v>349.61</v>
      </c>
      <c r="H3171" s="16" t="n">
        <v>0.35</v>
      </c>
      <c r="I3171" s="1" t="s">
        <v>31</v>
      </c>
      <c r="J3171" s="1" t="n">
        <v>5</v>
      </c>
      <c r="K3171" s="1" t="n">
        <v>1.6</v>
      </c>
      <c r="L3171" s="15" t="n">
        <v>908.99</v>
      </c>
      <c r="M3171" s="15" t="n">
        <f aca="false">F3171*G3171</f>
        <v>1398.44</v>
      </c>
      <c r="N3171" s="15" t="n">
        <f aca="false">M3171-L3171</f>
        <v>489.45</v>
      </c>
      <c r="O3171" s="1" t="n">
        <f aca="false">YEAR(B3171)</f>
        <v>2030</v>
      </c>
      <c r="P3171" s="1" t="n">
        <f aca="false">MONTH(B3171)</f>
        <v>9</v>
      </c>
      <c r="Q3171" s="1" t="str">
        <f aca="false">TEXT(B3171,"mmm")</f>
        <v>Sep</v>
      </c>
      <c r="R3171" s="1" t="str">
        <f aca="false">"Q"&amp;ROUNDUP(MONTH(B3171)/3,0)</f>
        <v>Q3</v>
      </c>
    </row>
    <row r="3172" customFormat="false" ht="15" hidden="false" customHeight="true" outlineLevel="0" collapsed="false">
      <c r="A3172" s="1" t="n">
        <v>13171</v>
      </c>
      <c r="B3172" s="14" t="n">
        <v>47732</v>
      </c>
      <c r="C3172" s="1" t="n">
        <v>1445</v>
      </c>
      <c r="D3172" s="1" t="s">
        <v>30</v>
      </c>
      <c r="E3172" s="1" t="s">
        <v>36</v>
      </c>
      <c r="F3172" s="1" t="n">
        <v>2</v>
      </c>
      <c r="G3172" s="15" t="n">
        <v>524.54</v>
      </c>
      <c r="H3172" s="16" t="n">
        <v>0.3</v>
      </c>
      <c r="I3172" s="1" t="s">
        <v>29</v>
      </c>
      <c r="J3172" s="1" t="n">
        <v>5</v>
      </c>
      <c r="K3172" s="1" t="n">
        <v>3.2</v>
      </c>
      <c r="L3172" s="15" t="n">
        <v>734.36</v>
      </c>
      <c r="M3172" s="15" t="n">
        <f aca="false">F3172*G3172</f>
        <v>1049.08</v>
      </c>
      <c r="N3172" s="15" t="n">
        <f aca="false">M3172-L3172</f>
        <v>314.72</v>
      </c>
      <c r="O3172" s="1" t="n">
        <f aca="false">YEAR(B3172)</f>
        <v>2030</v>
      </c>
      <c r="P3172" s="1" t="n">
        <f aca="false">MONTH(B3172)</f>
        <v>9</v>
      </c>
      <c r="Q3172" s="1" t="str">
        <f aca="false">TEXT(B3172,"mmm")</f>
        <v>Sep</v>
      </c>
      <c r="R3172" s="1" t="str">
        <f aca="false">"Q"&amp;ROUNDUP(MONTH(B3172)/3,0)</f>
        <v>Q3</v>
      </c>
    </row>
    <row r="3173" customFormat="false" ht="15" hidden="false" customHeight="true" outlineLevel="0" collapsed="false">
      <c r="A3173" s="1" t="n">
        <v>13172</v>
      </c>
      <c r="B3173" s="14" t="n">
        <v>47733</v>
      </c>
      <c r="C3173" s="1" t="n">
        <v>1669</v>
      </c>
      <c r="D3173" s="1" t="s">
        <v>27</v>
      </c>
      <c r="E3173" s="1" t="s">
        <v>35</v>
      </c>
      <c r="F3173" s="1" t="n">
        <v>1</v>
      </c>
      <c r="G3173" s="15" t="n">
        <v>392.61</v>
      </c>
      <c r="H3173" s="16" t="n">
        <v>0.16</v>
      </c>
      <c r="I3173" s="1" t="s">
        <v>29</v>
      </c>
      <c r="J3173" s="1" t="n">
        <v>1</v>
      </c>
      <c r="K3173" s="1" t="n">
        <v>2</v>
      </c>
      <c r="L3173" s="15" t="n">
        <v>329.79</v>
      </c>
      <c r="M3173" s="15" t="n">
        <f aca="false">F3173*G3173</f>
        <v>392.61</v>
      </c>
      <c r="N3173" s="15" t="n">
        <f aca="false">M3173-L3173</f>
        <v>62.82</v>
      </c>
      <c r="O3173" s="1" t="n">
        <f aca="false">YEAR(B3173)</f>
        <v>2030</v>
      </c>
      <c r="P3173" s="1" t="n">
        <f aca="false">MONTH(B3173)</f>
        <v>9</v>
      </c>
      <c r="Q3173" s="1" t="str">
        <f aca="false">TEXT(B3173,"mmm")</f>
        <v>Sep</v>
      </c>
      <c r="R3173" s="1" t="str">
        <f aca="false">"Q"&amp;ROUNDUP(MONTH(B3173)/3,0)</f>
        <v>Q3</v>
      </c>
    </row>
    <row r="3174" customFormat="false" ht="15" hidden="false" customHeight="true" outlineLevel="0" collapsed="false">
      <c r="A3174" s="1" t="n">
        <v>13173</v>
      </c>
      <c r="B3174" s="14" t="n">
        <v>47734</v>
      </c>
      <c r="C3174" s="1" t="n">
        <v>1632</v>
      </c>
      <c r="D3174" s="1" t="s">
        <v>30</v>
      </c>
      <c r="E3174" s="1" t="s">
        <v>32</v>
      </c>
      <c r="F3174" s="1" t="n">
        <v>4</v>
      </c>
      <c r="G3174" s="15" t="n">
        <v>568.51</v>
      </c>
      <c r="H3174" s="16" t="n">
        <v>0.23</v>
      </c>
      <c r="I3174" s="1" t="s">
        <v>31</v>
      </c>
      <c r="J3174" s="1" t="n">
        <v>2</v>
      </c>
      <c r="K3174" s="1" t="n">
        <v>1.2</v>
      </c>
      <c r="L3174" s="15" t="n">
        <v>1751.01</v>
      </c>
      <c r="M3174" s="15" t="n">
        <f aca="false">F3174*G3174</f>
        <v>2274.04</v>
      </c>
      <c r="N3174" s="15" t="n">
        <f aca="false">M3174-L3174</f>
        <v>523.03</v>
      </c>
      <c r="O3174" s="1" t="n">
        <f aca="false">YEAR(B3174)</f>
        <v>2030</v>
      </c>
      <c r="P3174" s="1" t="n">
        <f aca="false">MONTH(B3174)</f>
        <v>9</v>
      </c>
      <c r="Q3174" s="1" t="str">
        <f aca="false">TEXT(B3174,"mmm")</f>
        <v>Sep</v>
      </c>
      <c r="R3174" s="1" t="str">
        <f aca="false">"Q"&amp;ROUNDUP(MONTH(B3174)/3,0)</f>
        <v>Q3</v>
      </c>
    </row>
    <row r="3175" customFormat="false" ht="15" hidden="false" customHeight="true" outlineLevel="0" collapsed="false">
      <c r="A3175" s="1" t="n">
        <v>13174</v>
      </c>
      <c r="B3175" s="14" t="n">
        <v>47735</v>
      </c>
      <c r="C3175" s="1" t="n">
        <v>1054</v>
      </c>
      <c r="D3175" s="1" t="s">
        <v>37</v>
      </c>
      <c r="E3175" s="1" t="s">
        <v>36</v>
      </c>
      <c r="F3175" s="1" t="n">
        <v>4</v>
      </c>
      <c r="G3175" s="15" t="n">
        <v>179.58</v>
      </c>
      <c r="H3175" s="16" t="n">
        <v>0.23</v>
      </c>
      <c r="I3175" s="1" t="s">
        <v>31</v>
      </c>
      <c r="J3175" s="1" t="n">
        <v>5</v>
      </c>
      <c r="K3175" s="1" t="n">
        <v>4.7</v>
      </c>
      <c r="L3175" s="15" t="n">
        <v>553.11</v>
      </c>
      <c r="M3175" s="15" t="n">
        <f aca="false">F3175*G3175</f>
        <v>718.32</v>
      </c>
      <c r="N3175" s="15" t="n">
        <f aca="false">M3175-L3175</f>
        <v>165.21</v>
      </c>
      <c r="O3175" s="1" t="n">
        <f aca="false">YEAR(B3175)</f>
        <v>2030</v>
      </c>
      <c r="P3175" s="1" t="n">
        <f aca="false">MONTH(B3175)</f>
        <v>9</v>
      </c>
      <c r="Q3175" s="1" t="str">
        <f aca="false">TEXT(B3175,"mmm")</f>
        <v>Sep</v>
      </c>
      <c r="R3175" s="1" t="str">
        <f aca="false">"Q"&amp;ROUNDUP(MONTH(B3175)/3,0)</f>
        <v>Q3</v>
      </c>
    </row>
    <row r="3176" customFormat="false" ht="15" hidden="false" customHeight="true" outlineLevel="0" collapsed="false">
      <c r="A3176" s="1" t="n">
        <v>13175</v>
      </c>
      <c r="B3176" s="14" t="n">
        <v>47736</v>
      </c>
      <c r="C3176" s="1" t="n">
        <v>1911</v>
      </c>
      <c r="D3176" s="1" t="s">
        <v>27</v>
      </c>
      <c r="E3176" s="1" t="s">
        <v>28</v>
      </c>
      <c r="F3176" s="1" t="n">
        <v>5</v>
      </c>
      <c r="G3176" s="15" t="n">
        <v>363.26</v>
      </c>
      <c r="H3176" s="16" t="n">
        <v>0.07</v>
      </c>
      <c r="I3176" s="1" t="s">
        <v>33</v>
      </c>
      <c r="J3176" s="1" t="n">
        <v>2</v>
      </c>
      <c r="K3176" s="1" t="n">
        <v>1.2</v>
      </c>
      <c r="L3176" s="15" t="n">
        <v>1689.16</v>
      </c>
      <c r="M3176" s="15" t="n">
        <f aca="false">F3176*G3176</f>
        <v>1816.3</v>
      </c>
      <c r="N3176" s="15" t="n">
        <f aca="false">M3176-L3176</f>
        <v>127.14</v>
      </c>
      <c r="O3176" s="1" t="n">
        <f aca="false">YEAR(B3176)</f>
        <v>2030</v>
      </c>
      <c r="P3176" s="1" t="n">
        <f aca="false">MONTH(B3176)</f>
        <v>9</v>
      </c>
      <c r="Q3176" s="1" t="str">
        <f aca="false">TEXT(B3176,"mmm")</f>
        <v>Sep</v>
      </c>
      <c r="R3176" s="1" t="str">
        <f aca="false">"Q"&amp;ROUNDUP(MONTH(B3176)/3,0)</f>
        <v>Q3</v>
      </c>
    </row>
    <row r="3177" customFormat="false" ht="15" hidden="false" customHeight="true" outlineLevel="0" collapsed="false">
      <c r="A3177" s="1" t="n">
        <v>13176</v>
      </c>
      <c r="B3177" s="14" t="n">
        <v>47737</v>
      </c>
      <c r="C3177" s="1" t="n">
        <v>1011</v>
      </c>
      <c r="D3177" s="1" t="s">
        <v>34</v>
      </c>
      <c r="E3177" s="1" t="s">
        <v>32</v>
      </c>
      <c r="F3177" s="1" t="n">
        <v>4</v>
      </c>
      <c r="G3177" s="15" t="n">
        <v>418.73</v>
      </c>
      <c r="H3177" s="16" t="n">
        <v>0.07</v>
      </c>
      <c r="I3177" s="1" t="s">
        <v>33</v>
      </c>
      <c r="J3177" s="1" t="n">
        <v>1</v>
      </c>
      <c r="K3177" s="1" t="n">
        <v>3.9</v>
      </c>
      <c r="L3177" s="15" t="n">
        <v>1557.68</v>
      </c>
      <c r="M3177" s="15" t="n">
        <f aca="false">F3177*G3177</f>
        <v>1674.92</v>
      </c>
      <c r="N3177" s="15" t="n">
        <f aca="false">M3177-L3177</f>
        <v>117.24</v>
      </c>
      <c r="O3177" s="1" t="n">
        <f aca="false">YEAR(B3177)</f>
        <v>2030</v>
      </c>
      <c r="P3177" s="1" t="n">
        <f aca="false">MONTH(B3177)</f>
        <v>9</v>
      </c>
      <c r="Q3177" s="1" t="str">
        <f aca="false">TEXT(B3177,"mmm")</f>
        <v>Sep</v>
      </c>
      <c r="R3177" s="1" t="str">
        <f aca="false">"Q"&amp;ROUNDUP(MONTH(B3177)/3,0)</f>
        <v>Q3</v>
      </c>
    </row>
    <row r="3178" customFormat="false" ht="15" hidden="false" customHeight="true" outlineLevel="0" collapsed="false">
      <c r="A3178" s="1" t="n">
        <v>13177</v>
      </c>
      <c r="B3178" s="14" t="n">
        <v>47738</v>
      </c>
      <c r="C3178" s="1" t="n">
        <v>1656</v>
      </c>
      <c r="D3178" s="1" t="s">
        <v>37</v>
      </c>
      <c r="E3178" s="1" t="s">
        <v>36</v>
      </c>
      <c r="F3178" s="1" t="n">
        <v>7</v>
      </c>
      <c r="G3178" s="15" t="n">
        <v>244.87</v>
      </c>
      <c r="H3178" s="16" t="n">
        <v>0.16</v>
      </c>
      <c r="I3178" s="1" t="s">
        <v>29</v>
      </c>
      <c r="J3178" s="1" t="n">
        <v>10</v>
      </c>
      <c r="K3178" s="1" t="n">
        <v>2.3</v>
      </c>
      <c r="L3178" s="15" t="n">
        <v>1439.84</v>
      </c>
      <c r="M3178" s="15" t="n">
        <f aca="false">F3178*G3178</f>
        <v>1714.09</v>
      </c>
      <c r="N3178" s="15" t="n">
        <f aca="false">M3178-L3178</f>
        <v>274.25</v>
      </c>
      <c r="O3178" s="1" t="n">
        <f aca="false">YEAR(B3178)</f>
        <v>2030</v>
      </c>
      <c r="P3178" s="1" t="n">
        <f aca="false">MONTH(B3178)</f>
        <v>9</v>
      </c>
      <c r="Q3178" s="1" t="str">
        <f aca="false">TEXT(B3178,"mmm")</f>
        <v>Sep</v>
      </c>
      <c r="R3178" s="1" t="str">
        <f aca="false">"Q"&amp;ROUNDUP(MONTH(B3178)/3,0)</f>
        <v>Q3</v>
      </c>
    </row>
    <row r="3179" customFormat="false" ht="15" hidden="false" customHeight="true" outlineLevel="0" collapsed="false">
      <c r="A3179" s="1" t="n">
        <v>13178</v>
      </c>
      <c r="B3179" s="14" t="n">
        <v>47739</v>
      </c>
      <c r="C3179" s="1" t="n">
        <v>1399</v>
      </c>
      <c r="D3179" s="1" t="s">
        <v>37</v>
      </c>
      <c r="E3179" s="1" t="s">
        <v>36</v>
      </c>
      <c r="F3179" s="1" t="n">
        <v>6</v>
      </c>
      <c r="G3179" s="15" t="n">
        <v>529.63</v>
      </c>
      <c r="H3179" s="16" t="n">
        <v>0.32</v>
      </c>
      <c r="I3179" s="1" t="s">
        <v>33</v>
      </c>
      <c r="J3179" s="1" t="n">
        <v>3</v>
      </c>
      <c r="K3179" s="1" t="n">
        <v>4.7</v>
      </c>
      <c r="L3179" s="15" t="n">
        <v>2160.89</v>
      </c>
      <c r="M3179" s="15" t="n">
        <f aca="false">F3179*G3179</f>
        <v>3177.78</v>
      </c>
      <c r="N3179" s="15" t="n">
        <f aca="false">M3179-L3179</f>
        <v>1016.89</v>
      </c>
      <c r="O3179" s="1" t="n">
        <f aca="false">YEAR(B3179)</f>
        <v>2030</v>
      </c>
      <c r="P3179" s="1" t="n">
        <f aca="false">MONTH(B3179)</f>
        <v>9</v>
      </c>
      <c r="Q3179" s="1" t="str">
        <f aca="false">TEXT(B3179,"mmm")</f>
        <v>Sep</v>
      </c>
      <c r="R3179" s="1" t="str">
        <f aca="false">"Q"&amp;ROUNDUP(MONTH(B3179)/3,0)</f>
        <v>Q3</v>
      </c>
    </row>
    <row r="3180" customFormat="false" ht="15" hidden="false" customHeight="true" outlineLevel="0" collapsed="false">
      <c r="A3180" s="1" t="n">
        <v>13179</v>
      </c>
      <c r="B3180" s="14" t="n">
        <v>47740</v>
      </c>
      <c r="C3180" s="1" t="n">
        <v>1907</v>
      </c>
      <c r="D3180" s="1" t="s">
        <v>27</v>
      </c>
      <c r="E3180" s="1" t="s">
        <v>36</v>
      </c>
      <c r="F3180" s="1" t="n">
        <v>3</v>
      </c>
      <c r="G3180" s="15" t="n">
        <v>588.18</v>
      </c>
      <c r="H3180" s="16" t="n">
        <v>0</v>
      </c>
      <c r="I3180" s="1" t="s">
        <v>33</v>
      </c>
      <c r="J3180" s="1" t="n">
        <v>11</v>
      </c>
      <c r="K3180" s="1" t="n">
        <v>4.9</v>
      </c>
      <c r="L3180" s="15" t="n">
        <v>1764.54</v>
      </c>
      <c r="M3180" s="15" t="n">
        <f aca="false">F3180*G3180</f>
        <v>1764.54</v>
      </c>
      <c r="N3180" s="15" t="n">
        <f aca="false">M3180-L3180</f>
        <v>0</v>
      </c>
      <c r="O3180" s="1" t="n">
        <f aca="false">YEAR(B3180)</f>
        <v>2030</v>
      </c>
      <c r="P3180" s="1" t="n">
        <f aca="false">MONTH(B3180)</f>
        <v>9</v>
      </c>
      <c r="Q3180" s="1" t="str">
        <f aca="false">TEXT(B3180,"mmm")</f>
        <v>Sep</v>
      </c>
      <c r="R3180" s="1" t="str">
        <f aca="false">"Q"&amp;ROUNDUP(MONTH(B3180)/3,0)</f>
        <v>Q3</v>
      </c>
    </row>
    <row r="3181" customFormat="false" ht="15" hidden="false" customHeight="true" outlineLevel="0" collapsed="false">
      <c r="A3181" s="1" t="n">
        <v>13180</v>
      </c>
      <c r="B3181" s="14" t="n">
        <v>47741</v>
      </c>
      <c r="C3181" s="1" t="n">
        <v>1647</v>
      </c>
      <c r="D3181" s="1" t="s">
        <v>27</v>
      </c>
      <c r="E3181" s="1" t="s">
        <v>35</v>
      </c>
      <c r="F3181" s="1" t="n">
        <v>1</v>
      </c>
      <c r="G3181" s="15" t="n">
        <v>303.86</v>
      </c>
      <c r="H3181" s="16" t="n">
        <v>0.27</v>
      </c>
      <c r="I3181" s="1" t="s">
        <v>33</v>
      </c>
      <c r="J3181" s="1" t="n">
        <v>1</v>
      </c>
      <c r="K3181" s="1" t="n">
        <v>2.3</v>
      </c>
      <c r="L3181" s="15" t="n">
        <v>221.82</v>
      </c>
      <c r="M3181" s="15" t="n">
        <f aca="false">F3181*G3181</f>
        <v>303.86</v>
      </c>
      <c r="N3181" s="15" t="n">
        <f aca="false">M3181-L3181</f>
        <v>82.04</v>
      </c>
      <c r="O3181" s="1" t="n">
        <f aca="false">YEAR(B3181)</f>
        <v>2030</v>
      </c>
      <c r="P3181" s="1" t="n">
        <f aca="false">MONTH(B3181)</f>
        <v>9</v>
      </c>
      <c r="Q3181" s="1" t="str">
        <f aca="false">TEXT(B3181,"mmm")</f>
        <v>Sep</v>
      </c>
      <c r="R3181" s="1" t="str">
        <f aca="false">"Q"&amp;ROUNDUP(MONTH(B3181)/3,0)</f>
        <v>Q3</v>
      </c>
    </row>
    <row r="3182" customFormat="false" ht="15" hidden="false" customHeight="true" outlineLevel="0" collapsed="false">
      <c r="A3182" s="1" t="n">
        <v>13181</v>
      </c>
      <c r="B3182" s="14" t="n">
        <v>47742</v>
      </c>
      <c r="C3182" s="1" t="n">
        <v>1979</v>
      </c>
      <c r="D3182" s="1" t="s">
        <v>37</v>
      </c>
      <c r="E3182" s="1" t="s">
        <v>36</v>
      </c>
      <c r="F3182" s="1" t="n">
        <v>7</v>
      </c>
      <c r="G3182" s="15" t="n">
        <v>243.52</v>
      </c>
      <c r="H3182" s="16" t="n">
        <v>0.02</v>
      </c>
      <c r="I3182" s="1" t="s">
        <v>29</v>
      </c>
      <c r="J3182" s="1" t="n">
        <v>10</v>
      </c>
      <c r="K3182" s="1" t="n">
        <v>3.4</v>
      </c>
      <c r="L3182" s="15" t="n">
        <v>1670.55</v>
      </c>
      <c r="M3182" s="15" t="n">
        <f aca="false">F3182*G3182</f>
        <v>1704.64</v>
      </c>
      <c r="N3182" s="15" t="n">
        <f aca="false">M3182-L3182</f>
        <v>34.0900000000001</v>
      </c>
      <c r="O3182" s="1" t="n">
        <f aca="false">YEAR(B3182)</f>
        <v>2030</v>
      </c>
      <c r="P3182" s="1" t="n">
        <f aca="false">MONTH(B3182)</f>
        <v>9</v>
      </c>
      <c r="Q3182" s="1" t="str">
        <f aca="false">TEXT(B3182,"mmm")</f>
        <v>Sep</v>
      </c>
      <c r="R3182" s="1" t="str">
        <f aca="false">"Q"&amp;ROUNDUP(MONTH(B3182)/3,0)</f>
        <v>Q3</v>
      </c>
    </row>
    <row r="3183" customFormat="false" ht="15" hidden="false" customHeight="true" outlineLevel="0" collapsed="false">
      <c r="A3183" s="1" t="n">
        <v>13182</v>
      </c>
      <c r="B3183" s="14" t="n">
        <v>47743</v>
      </c>
      <c r="C3183" s="1" t="n">
        <v>1514</v>
      </c>
      <c r="D3183" s="1" t="s">
        <v>34</v>
      </c>
      <c r="E3183" s="1" t="s">
        <v>28</v>
      </c>
      <c r="F3183" s="1" t="n">
        <v>1</v>
      </c>
      <c r="G3183" s="15" t="n">
        <v>291.08</v>
      </c>
      <c r="H3183" s="16" t="n">
        <v>0.17</v>
      </c>
      <c r="I3183" s="1" t="s">
        <v>31</v>
      </c>
      <c r="J3183" s="1" t="n">
        <v>8</v>
      </c>
      <c r="K3183" s="1" t="n">
        <v>4.1</v>
      </c>
      <c r="L3183" s="15" t="n">
        <v>241.6</v>
      </c>
      <c r="M3183" s="15" t="n">
        <f aca="false">F3183*G3183</f>
        <v>291.08</v>
      </c>
      <c r="N3183" s="15" t="n">
        <f aca="false">M3183-L3183</f>
        <v>49.48</v>
      </c>
      <c r="O3183" s="1" t="n">
        <f aca="false">YEAR(B3183)</f>
        <v>2030</v>
      </c>
      <c r="P3183" s="1" t="n">
        <f aca="false">MONTH(B3183)</f>
        <v>9</v>
      </c>
      <c r="Q3183" s="1" t="str">
        <f aca="false">TEXT(B3183,"mmm")</f>
        <v>Sep</v>
      </c>
      <c r="R3183" s="1" t="str">
        <f aca="false">"Q"&amp;ROUNDUP(MONTH(B3183)/3,0)</f>
        <v>Q3</v>
      </c>
    </row>
    <row r="3184" customFormat="false" ht="15" hidden="false" customHeight="true" outlineLevel="0" collapsed="false">
      <c r="A3184" s="1" t="n">
        <v>13183</v>
      </c>
      <c r="B3184" s="14" t="n">
        <v>47744</v>
      </c>
      <c r="C3184" s="1" t="n">
        <v>1655</v>
      </c>
      <c r="D3184" s="1" t="s">
        <v>37</v>
      </c>
      <c r="E3184" s="1" t="s">
        <v>36</v>
      </c>
      <c r="F3184" s="1" t="n">
        <v>1</v>
      </c>
      <c r="G3184" s="15" t="n">
        <v>513.85</v>
      </c>
      <c r="H3184" s="16" t="n">
        <v>0.22</v>
      </c>
      <c r="I3184" s="1" t="s">
        <v>31</v>
      </c>
      <c r="J3184" s="1" t="n">
        <v>8</v>
      </c>
      <c r="K3184" s="1" t="n">
        <v>1.5</v>
      </c>
      <c r="L3184" s="15" t="n">
        <v>400.8</v>
      </c>
      <c r="M3184" s="15" t="n">
        <f aca="false">F3184*G3184</f>
        <v>513.85</v>
      </c>
      <c r="N3184" s="15" t="n">
        <f aca="false">M3184-L3184</f>
        <v>113.05</v>
      </c>
      <c r="O3184" s="1" t="n">
        <f aca="false">YEAR(B3184)</f>
        <v>2030</v>
      </c>
      <c r="P3184" s="1" t="n">
        <f aca="false">MONTH(B3184)</f>
        <v>9</v>
      </c>
      <c r="Q3184" s="1" t="str">
        <f aca="false">TEXT(B3184,"mmm")</f>
        <v>Sep</v>
      </c>
      <c r="R3184" s="1" t="str">
        <f aca="false">"Q"&amp;ROUNDUP(MONTH(B3184)/3,0)</f>
        <v>Q3</v>
      </c>
    </row>
    <row r="3185" customFormat="false" ht="15" hidden="false" customHeight="true" outlineLevel="0" collapsed="false">
      <c r="A3185" s="1" t="n">
        <v>13184</v>
      </c>
      <c r="B3185" s="14" t="n">
        <v>47745</v>
      </c>
      <c r="C3185" s="1" t="n">
        <v>1541</v>
      </c>
      <c r="D3185" s="1" t="s">
        <v>34</v>
      </c>
      <c r="E3185" s="1" t="s">
        <v>28</v>
      </c>
      <c r="F3185" s="1" t="n">
        <v>4</v>
      </c>
      <c r="G3185" s="15" t="n">
        <v>392.6</v>
      </c>
      <c r="H3185" s="16" t="n">
        <v>0.24</v>
      </c>
      <c r="I3185" s="1" t="s">
        <v>31</v>
      </c>
      <c r="J3185" s="1" t="n">
        <v>8</v>
      </c>
      <c r="K3185" s="1" t="n">
        <v>3.8</v>
      </c>
      <c r="L3185" s="15" t="n">
        <v>1193.5</v>
      </c>
      <c r="M3185" s="15" t="n">
        <f aca="false">F3185*G3185</f>
        <v>1570.4</v>
      </c>
      <c r="N3185" s="15" t="n">
        <f aca="false">M3185-L3185</f>
        <v>376.9</v>
      </c>
      <c r="O3185" s="1" t="n">
        <f aca="false">YEAR(B3185)</f>
        <v>2030</v>
      </c>
      <c r="P3185" s="1" t="n">
        <f aca="false">MONTH(B3185)</f>
        <v>9</v>
      </c>
      <c r="Q3185" s="1" t="str">
        <f aca="false">TEXT(B3185,"mmm")</f>
        <v>Sep</v>
      </c>
      <c r="R3185" s="1" t="str">
        <f aca="false">"Q"&amp;ROUNDUP(MONTH(B3185)/3,0)</f>
        <v>Q3</v>
      </c>
    </row>
    <row r="3186" customFormat="false" ht="15" hidden="false" customHeight="true" outlineLevel="0" collapsed="false">
      <c r="A3186" s="1" t="n">
        <v>13185</v>
      </c>
      <c r="B3186" s="14" t="n">
        <v>47746</v>
      </c>
      <c r="C3186" s="1" t="n">
        <v>1236</v>
      </c>
      <c r="D3186" s="1" t="s">
        <v>37</v>
      </c>
      <c r="E3186" s="1" t="s">
        <v>28</v>
      </c>
      <c r="F3186" s="1" t="n">
        <v>4</v>
      </c>
      <c r="G3186" s="15" t="n">
        <v>41.19</v>
      </c>
      <c r="H3186" s="16" t="n">
        <v>0.02</v>
      </c>
      <c r="I3186" s="1" t="s">
        <v>29</v>
      </c>
      <c r="J3186" s="1" t="n">
        <v>7</v>
      </c>
      <c r="K3186" s="1" t="n">
        <v>4.6</v>
      </c>
      <c r="L3186" s="15" t="n">
        <v>161.46</v>
      </c>
      <c r="M3186" s="15" t="n">
        <f aca="false">F3186*G3186</f>
        <v>164.76</v>
      </c>
      <c r="N3186" s="15" t="n">
        <f aca="false">M3186-L3186</f>
        <v>3.29999999999998</v>
      </c>
      <c r="O3186" s="1" t="n">
        <f aca="false">YEAR(B3186)</f>
        <v>2030</v>
      </c>
      <c r="P3186" s="1" t="n">
        <f aca="false">MONTH(B3186)</f>
        <v>9</v>
      </c>
      <c r="Q3186" s="1" t="str">
        <f aca="false">TEXT(B3186,"mmm")</f>
        <v>Sep</v>
      </c>
      <c r="R3186" s="1" t="str">
        <f aca="false">"Q"&amp;ROUNDUP(MONTH(B3186)/3,0)</f>
        <v>Q3</v>
      </c>
    </row>
    <row r="3187" customFormat="false" ht="15" hidden="false" customHeight="true" outlineLevel="0" collapsed="false">
      <c r="A3187" s="1" t="n">
        <v>13186</v>
      </c>
      <c r="B3187" s="14" t="n">
        <v>47747</v>
      </c>
      <c r="C3187" s="1" t="n">
        <v>1278</v>
      </c>
      <c r="D3187" s="1" t="s">
        <v>27</v>
      </c>
      <c r="E3187" s="1" t="s">
        <v>28</v>
      </c>
      <c r="F3187" s="1" t="n">
        <v>1</v>
      </c>
      <c r="G3187" s="15" t="n">
        <v>332.17</v>
      </c>
      <c r="H3187" s="16" t="n">
        <v>0.15</v>
      </c>
      <c r="I3187" s="1" t="s">
        <v>33</v>
      </c>
      <c r="J3187" s="1" t="n">
        <v>7</v>
      </c>
      <c r="K3187" s="1" t="n">
        <v>1.7</v>
      </c>
      <c r="L3187" s="15" t="n">
        <v>282.34</v>
      </c>
      <c r="M3187" s="15" t="n">
        <f aca="false">F3187*G3187</f>
        <v>332.17</v>
      </c>
      <c r="N3187" s="15" t="n">
        <f aca="false">M3187-L3187</f>
        <v>49.83</v>
      </c>
      <c r="O3187" s="1" t="n">
        <f aca="false">YEAR(B3187)</f>
        <v>2030</v>
      </c>
      <c r="P3187" s="1" t="n">
        <f aca="false">MONTH(B3187)</f>
        <v>9</v>
      </c>
      <c r="Q3187" s="1" t="str">
        <f aca="false">TEXT(B3187,"mmm")</f>
        <v>Sep</v>
      </c>
      <c r="R3187" s="1" t="str">
        <f aca="false">"Q"&amp;ROUNDUP(MONTH(B3187)/3,0)</f>
        <v>Q3</v>
      </c>
    </row>
    <row r="3188" customFormat="false" ht="15" hidden="false" customHeight="true" outlineLevel="0" collapsed="false">
      <c r="A3188" s="1" t="n">
        <v>13187</v>
      </c>
      <c r="B3188" s="14" t="n">
        <v>47748</v>
      </c>
      <c r="C3188" s="1" t="n">
        <v>1347</v>
      </c>
      <c r="D3188" s="1" t="s">
        <v>30</v>
      </c>
      <c r="E3188" s="1" t="s">
        <v>32</v>
      </c>
      <c r="F3188" s="1" t="n">
        <v>6</v>
      </c>
      <c r="G3188" s="15" t="n">
        <v>25.12</v>
      </c>
      <c r="H3188" s="16" t="n">
        <v>0.2</v>
      </c>
      <c r="I3188" s="1" t="s">
        <v>31</v>
      </c>
      <c r="J3188" s="1" t="n">
        <v>2</v>
      </c>
      <c r="K3188" s="1" t="n">
        <v>4.4</v>
      </c>
      <c r="L3188" s="15" t="n">
        <v>120.58</v>
      </c>
      <c r="M3188" s="15" t="n">
        <f aca="false">F3188*G3188</f>
        <v>150.72</v>
      </c>
      <c r="N3188" s="15" t="n">
        <f aca="false">M3188-L3188</f>
        <v>30.14</v>
      </c>
      <c r="O3188" s="1" t="n">
        <f aca="false">YEAR(B3188)</f>
        <v>2030</v>
      </c>
      <c r="P3188" s="1" t="n">
        <f aca="false">MONTH(B3188)</f>
        <v>9</v>
      </c>
      <c r="Q3188" s="1" t="str">
        <f aca="false">TEXT(B3188,"mmm")</f>
        <v>Sep</v>
      </c>
      <c r="R3188" s="1" t="str">
        <f aca="false">"Q"&amp;ROUNDUP(MONTH(B3188)/3,0)</f>
        <v>Q3</v>
      </c>
    </row>
    <row r="3189" customFormat="false" ht="15" hidden="false" customHeight="true" outlineLevel="0" collapsed="false">
      <c r="A3189" s="1" t="n">
        <v>13188</v>
      </c>
      <c r="B3189" s="14" t="n">
        <v>47749</v>
      </c>
      <c r="C3189" s="1" t="n">
        <v>1626</v>
      </c>
      <c r="D3189" s="1" t="s">
        <v>30</v>
      </c>
      <c r="E3189" s="1" t="s">
        <v>28</v>
      </c>
      <c r="F3189" s="1" t="n">
        <v>2</v>
      </c>
      <c r="G3189" s="15" t="n">
        <v>470.44</v>
      </c>
      <c r="H3189" s="16" t="n">
        <v>0.02</v>
      </c>
      <c r="I3189" s="1" t="s">
        <v>33</v>
      </c>
      <c r="J3189" s="1" t="n">
        <v>9</v>
      </c>
      <c r="K3189" s="1" t="n">
        <v>1.5</v>
      </c>
      <c r="L3189" s="15" t="n">
        <v>922.06</v>
      </c>
      <c r="M3189" s="15" t="n">
        <f aca="false">F3189*G3189</f>
        <v>940.88</v>
      </c>
      <c r="N3189" s="15" t="n">
        <f aca="false">M3189-L3189</f>
        <v>18.8200000000001</v>
      </c>
      <c r="O3189" s="1" t="n">
        <f aca="false">YEAR(B3189)</f>
        <v>2030</v>
      </c>
      <c r="P3189" s="1" t="n">
        <f aca="false">MONTH(B3189)</f>
        <v>9</v>
      </c>
      <c r="Q3189" s="1" t="str">
        <f aca="false">TEXT(B3189,"mmm")</f>
        <v>Sep</v>
      </c>
      <c r="R3189" s="1" t="str">
        <f aca="false">"Q"&amp;ROUNDUP(MONTH(B3189)/3,0)</f>
        <v>Q3</v>
      </c>
    </row>
    <row r="3190" customFormat="false" ht="15" hidden="false" customHeight="true" outlineLevel="0" collapsed="false">
      <c r="A3190" s="1" t="n">
        <v>13189</v>
      </c>
      <c r="B3190" s="14" t="n">
        <v>47750</v>
      </c>
      <c r="C3190" s="1" t="n">
        <v>1103</v>
      </c>
      <c r="D3190" s="1" t="s">
        <v>30</v>
      </c>
      <c r="E3190" s="1" t="s">
        <v>35</v>
      </c>
      <c r="F3190" s="1" t="n">
        <v>2</v>
      </c>
      <c r="G3190" s="15" t="n">
        <v>207.06</v>
      </c>
      <c r="H3190" s="16" t="n">
        <v>0.05</v>
      </c>
      <c r="I3190" s="1" t="s">
        <v>31</v>
      </c>
      <c r="J3190" s="1" t="n">
        <v>7</v>
      </c>
      <c r="K3190" s="1" t="n">
        <v>3.3</v>
      </c>
      <c r="L3190" s="15" t="n">
        <v>393.41</v>
      </c>
      <c r="M3190" s="15" t="n">
        <f aca="false">F3190*G3190</f>
        <v>414.12</v>
      </c>
      <c r="N3190" s="15" t="n">
        <f aca="false">M3190-L3190</f>
        <v>20.71</v>
      </c>
      <c r="O3190" s="1" t="n">
        <f aca="false">YEAR(B3190)</f>
        <v>2030</v>
      </c>
      <c r="P3190" s="1" t="n">
        <f aca="false">MONTH(B3190)</f>
        <v>9</v>
      </c>
      <c r="Q3190" s="1" t="str">
        <f aca="false">TEXT(B3190,"mmm")</f>
        <v>Sep</v>
      </c>
      <c r="R3190" s="1" t="str">
        <f aca="false">"Q"&amp;ROUNDUP(MONTH(B3190)/3,0)</f>
        <v>Q3</v>
      </c>
    </row>
    <row r="3191" customFormat="false" ht="15" hidden="false" customHeight="true" outlineLevel="0" collapsed="false">
      <c r="A3191" s="1" t="n">
        <v>13190</v>
      </c>
      <c r="B3191" s="14" t="n">
        <v>47751</v>
      </c>
      <c r="C3191" s="1" t="n">
        <v>1629</v>
      </c>
      <c r="D3191" s="1" t="s">
        <v>30</v>
      </c>
      <c r="E3191" s="1" t="s">
        <v>36</v>
      </c>
      <c r="F3191" s="1" t="n">
        <v>3</v>
      </c>
      <c r="G3191" s="15" t="n">
        <v>291.12</v>
      </c>
      <c r="H3191" s="16" t="n">
        <v>0.23</v>
      </c>
      <c r="I3191" s="1" t="s">
        <v>31</v>
      </c>
      <c r="J3191" s="1" t="n">
        <v>5</v>
      </c>
      <c r="K3191" s="1" t="n">
        <v>2.4</v>
      </c>
      <c r="L3191" s="15" t="n">
        <v>672.49</v>
      </c>
      <c r="M3191" s="15" t="n">
        <f aca="false">F3191*G3191</f>
        <v>873.36</v>
      </c>
      <c r="N3191" s="15" t="n">
        <f aca="false">M3191-L3191</f>
        <v>200.87</v>
      </c>
      <c r="O3191" s="1" t="n">
        <f aca="false">YEAR(B3191)</f>
        <v>2030</v>
      </c>
      <c r="P3191" s="1" t="n">
        <f aca="false">MONTH(B3191)</f>
        <v>9</v>
      </c>
      <c r="Q3191" s="1" t="str">
        <f aca="false">TEXT(B3191,"mmm")</f>
        <v>Sep</v>
      </c>
      <c r="R3191" s="1" t="str">
        <f aca="false">"Q"&amp;ROUNDUP(MONTH(B3191)/3,0)</f>
        <v>Q3</v>
      </c>
    </row>
    <row r="3192" customFormat="false" ht="15" hidden="false" customHeight="true" outlineLevel="0" collapsed="false">
      <c r="A3192" s="1" t="n">
        <v>13191</v>
      </c>
      <c r="B3192" s="14" t="n">
        <v>47752</v>
      </c>
      <c r="C3192" s="1" t="n">
        <v>1516</v>
      </c>
      <c r="D3192" s="1" t="s">
        <v>34</v>
      </c>
      <c r="E3192" s="1" t="s">
        <v>35</v>
      </c>
      <c r="F3192" s="1" t="n">
        <v>5</v>
      </c>
      <c r="G3192" s="15" t="n">
        <v>482.23</v>
      </c>
      <c r="H3192" s="16" t="n">
        <v>0.18</v>
      </c>
      <c r="I3192" s="1" t="s">
        <v>31</v>
      </c>
      <c r="J3192" s="1" t="n">
        <v>4</v>
      </c>
      <c r="K3192" s="1" t="n">
        <v>2.9</v>
      </c>
      <c r="L3192" s="15" t="n">
        <v>1977.14</v>
      </c>
      <c r="M3192" s="15" t="n">
        <f aca="false">F3192*G3192</f>
        <v>2411.15</v>
      </c>
      <c r="N3192" s="15" t="n">
        <f aca="false">M3192-L3192</f>
        <v>434.01</v>
      </c>
      <c r="O3192" s="1" t="n">
        <f aca="false">YEAR(B3192)</f>
        <v>2030</v>
      </c>
      <c r="P3192" s="1" t="n">
        <f aca="false">MONTH(B3192)</f>
        <v>9</v>
      </c>
      <c r="Q3192" s="1" t="str">
        <f aca="false">TEXT(B3192,"mmm")</f>
        <v>Sep</v>
      </c>
      <c r="R3192" s="1" t="str">
        <f aca="false">"Q"&amp;ROUNDUP(MONTH(B3192)/3,0)</f>
        <v>Q3</v>
      </c>
    </row>
    <row r="3193" customFormat="false" ht="15" hidden="false" customHeight="true" outlineLevel="0" collapsed="false">
      <c r="A3193" s="1" t="n">
        <v>13192</v>
      </c>
      <c r="B3193" s="14" t="n">
        <v>47753</v>
      </c>
      <c r="C3193" s="1" t="n">
        <v>1979</v>
      </c>
      <c r="D3193" s="1" t="s">
        <v>37</v>
      </c>
      <c r="E3193" s="1" t="s">
        <v>32</v>
      </c>
      <c r="F3193" s="1" t="n">
        <v>7</v>
      </c>
      <c r="G3193" s="15" t="n">
        <v>42.17</v>
      </c>
      <c r="H3193" s="16" t="n">
        <v>0.06</v>
      </c>
      <c r="I3193" s="1" t="s">
        <v>33</v>
      </c>
      <c r="J3193" s="1" t="n">
        <v>8</v>
      </c>
      <c r="K3193" s="1" t="n">
        <v>2.2</v>
      </c>
      <c r="L3193" s="15" t="n">
        <v>277.48</v>
      </c>
      <c r="M3193" s="15" t="n">
        <f aca="false">F3193*G3193</f>
        <v>295.19</v>
      </c>
      <c r="N3193" s="15" t="n">
        <f aca="false">M3193-L3193</f>
        <v>17.71</v>
      </c>
      <c r="O3193" s="1" t="n">
        <f aca="false">YEAR(B3193)</f>
        <v>2030</v>
      </c>
      <c r="P3193" s="1" t="n">
        <f aca="false">MONTH(B3193)</f>
        <v>9</v>
      </c>
      <c r="Q3193" s="1" t="str">
        <f aca="false">TEXT(B3193,"mmm")</f>
        <v>Sep</v>
      </c>
      <c r="R3193" s="1" t="str">
        <f aca="false">"Q"&amp;ROUNDUP(MONTH(B3193)/3,0)</f>
        <v>Q3</v>
      </c>
    </row>
    <row r="3194" customFormat="false" ht="15" hidden="false" customHeight="true" outlineLevel="0" collapsed="false">
      <c r="A3194" s="1" t="n">
        <v>13193</v>
      </c>
      <c r="B3194" s="14" t="n">
        <v>47754</v>
      </c>
      <c r="C3194" s="1" t="n">
        <v>1871</v>
      </c>
      <c r="D3194" s="1" t="s">
        <v>27</v>
      </c>
      <c r="E3194" s="1" t="s">
        <v>36</v>
      </c>
      <c r="F3194" s="1" t="n">
        <v>3</v>
      </c>
      <c r="G3194" s="15" t="n">
        <v>107.75</v>
      </c>
      <c r="H3194" s="16" t="n">
        <v>0.19</v>
      </c>
      <c r="I3194" s="1" t="s">
        <v>33</v>
      </c>
      <c r="J3194" s="1" t="n">
        <v>5</v>
      </c>
      <c r="K3194" s="1" t="n">
        <v>2</v>
      </c>
      <c r="L3194" s="15" t="n">
        <v>261.83</v>
      </c>
      <c r="M3194" s="15" t="n">
        <f aca="false">F3194*G3194</f>
        <v>323.25</v>
      </c>
      <c r="N3194" s="15" t="n">
        <f aca="false">M3194-L3194</f>
        <v>61.42</v>
      </c>
      <c r="O3194" s="1" t="n">
        <f aca="false">YEAR(B3194)</f>
        <v>2030</v>
      </c>
      <c r="P3194" s="1" t="n">
        <f aca="false">MONTH(B3194)</f>
        <v>9</v>
      </c>
      <c r="Q3194" s="1" t="str">
        <f aca="false">TEXT(B3194,"mmm")</f>
        <v>Sep</v>
      </c>
      <c r="R3194" s="1" t="str">
        <f aca="false">"Q"&amp;ROUNDUP(MONTH(B3194)/3,0)</f>
        <v>Q3</v>
      </c>
    </row>
    <row r="3195" customFormat="false" ht="15" hidden="false" customHeight="true" outlineLevel="0" collapsed="false">
      <c r="A3195" s="1" t="n">
        <v>13194</v>
      </c>
      <c r="B3195" s="14" t="n">
        <v>47755</v>
      </c>
      <c r="C3195" s="1" t="n">
        <v>1247</v>
      </c>
      <c r="D3195" s="1" t="s">
        <v>27</v>
      </c>
      <c r="E3195" s="1" t="s">
        <v>28</v>
      </c>
      <c r="F3195" s="1" t="n">
        <v>1</v>
      </c>
      <c r="G3195" s="15" t="n">
        <v>247.81</v>
      </c>
      <c r="H3195" s="16" t="n">
        <v>0.32</v>
      </c>
      <c r="I3195" s="1" t="s">
        <v>29</v>
      </c>
      <c r="J3195" s="1" t="n">
        <v>6</v>
      </c>
      <c r="K3195" s="1" t="n">
        <v>4</v>
      </c>
      <c r="L3195" s="15" t="n">
        <v>168.51</v>
      </c>
      <c r="M3195" s="15" t="n">
        <f aca="false">F3195*G3195</f>
        <v>247.81</v>
      </c>
      <c r="N3195" s="15" t="n">
        <f aca="false">M3195-L3195</f>
        <v>79.3</v>
      </c>
      <c r="O3195" s="1" t="n">
        <f aca="false">YEAR(B3195)</f>
        <v>2030</v>
      </c>
      <c r="P3195" s="1" t="n">
        <f aca="false">MONTH(B3195)</f>
        <v>9</v>
      </c>
      <c r="Q3195" s="1" t="str">
        <f aca="false">TEXT(B3195,"mmm")</f>
        <v>Sep</v>
      </c>
      <c r="R3195" s="1" t="str">
        <f aca="false">"Q"&amp;ROUNDUP(MONTH(B3195)/3,0)</f>
        <v>Q3</v>
      </c>
    </row>
    <row r="3196" customFormat="false" ht="15" hidden="false" customHeight="true" outlineLevel="0" collapsed="false">
      <c r="A3196" s="1" t="n">
        <v>13195</v>
      </c>
      <c r="B3196" s="14" t="n">
        <v>47756</v>
      </c>
      <c r="C3196" s="1" t="n">
        <v>1363</v>
      </c>
      <c r="D3196" s="1" t="s">
        <v>34</v>
      </c>
      <c r="E3196" s="1" t="s">
        <v>36</v>
      </c>
      <c r="F3196" s="1" t="n">
        <v>7</v>
      </c>
      <c r="G3196" s="15" t="n">
        <v>149.51</v>
      </c>
      <c r="H3196" s="16" t="n">
        <v>0.01</v>
      </c>
      <c r="I3196" s="1" t="s">
        <v>29</v>
      </c>
      <c r="J3196" s="1" t="n">
        <v>4</v>
      </c>
      <c r="K3196" s="1" t="n">
        <v>1.9</v>
      </c>
      <c r="L3196" s="15" t="n">
        <v>1036.1</v>
      </c>
      <c r="M3196" s="15" t="n">
        <f aca="false">F3196*G3196</f>
        <v>1046.57</v>
      </c>
      <c r="N3196" s="15" t="n">
        <f aca="false">M3196-L3196</f>
        <v>10.47</v>
      </c>
      <c r="O3196" s="1" t="n">
        <f aca="false">YEAR(B3196)</f>
        <v>2030</v>
      </c>
      <c r="P3196" s="1" t="n">
        <f aca="false">MONTH(B3196)</f>
        <v>9</v>
      </c>
      <c r="Q3196" s="1" t="str">
        <f aca="false">TEXT(B3196,"mmm")</f>
        <v>Sep</v>
      </c>
      <c r="R3196" s="1" t="str">
        <f aca="false">"Q"&amp;ROUNDUP(MONTH(B3196)/3,0)</f>
        <v>Q3</v>
      </c>
    </row>
    <row r="3197" customFormat="false" ht="15" hidden="false" customHeight="true" outlineLevel="0" collapsed="false">
      <c r="A3197" s="1" t="n">
        <v>13196</v>
      </c>
      <c r="B3197" s="14" t="n">
        <v>47757</v>
      </c>
      <c r="C3197" s="1" t="n">
        <v>1320</v>
      </c>
      <c r="D3197" s="1" t="s">
        <v>27</v>
      </c>
      <c r="E3197" s="1" t="s">
        <v>32</v>
      </c>
      <c r="F3197" s="1" t="n">
        <v>1</v>
      </c>
      <c r="G3197" s="15" t="n">
        <v>212.67</v>
      </c>
      <c r="H3197" s="16" t="n">
        <v>0.22</v>
      </c>
      <c r="I3197" s="1" t="s">
        <v>31</v>
      </c>
      <c r="J3197" s="1" t="n">
        <v>2</v>
      </c>
      <c r="K3197" s="1" t="n">
        <v>2.6</v>
      </c>
      <c r="L3197" s="15" t="n">
        <v>165.88</v>
      </c>
      <c r="M3197" s="15" t="n">
        <f aca="false">F3197*G3197</f>
        <v>212.67</v>
      </c>
      <c r="N3197" s="15" t="n">
        <f aca="false">M3197-L3197</f>
        <v>46.79</v>
      </c>
      <c r="O3197" s="1" t="n">
        <f aca="false">YEAR(B3197)</f>
        <v>2030</v>
      </c>
      <c r="P3197" s="1" t="n">
        <f aca="false">MONTH(B3197)</f>
        <v>10</v>
      </c>
      <c r="Q3197" s="1" t="str">
        <f aca="false">TEXT(B3197,"mmm")</f>
        <v>Oct</v>
      </c>
      <c r="R3197" s="1" t="str">
        <f aca="false">"Q"&amp;ROUNDUP(MONTH(B3197)/3,0)</f>
        <v>Q4</v>
      </c>
    </row>
    <row r="3198" customFormat="false" ht="15" hidden="false" customHeight="true" outlineLevel="0" collapsed="false">
      <c r="A3198" s="1" t="n">
        <v>13197</v>
      </c>
      <c r="B3198" s="14" t="n">
        <v>47758</v>
      </c>
      <c r="C3198" s="1" t="n">
        <v>1632</v>
      </c>
      <c r="D3198" s="1" t="s">
        <v>37</v>
      </c>
      <c r="E3198" s="1" t="s">
        <v>32</v>
      </c>
      <c r="F3198" s="1" t="n">
        <v>1</v>
      </c>
      <c r="G3198" s="15" t="n">
        <v>598.93</v>
      </c>
      <c r="H3198" s="16" t="n">
        <v>0.03</v>
      </c>
      <c r="I3198" s="1" t="s">
        <v>33</v>
      </c>
      <c r="J3198" s="1" t="n">
        <v>7</v>
      </c>
      <c r="K3198" s="1" t="n">
        <v>2.1</v>
      </c>
      <c r="L3198" s="15" t="n">
        <v>580.96</v>
      </c>
      <c r="M3198" s="15" t="n">
        <f aca="false">F3198*G3198</f>
        <v>598.93</v>
      </c>
      <c r="N3198" s="15" t="n">
        <f aca="false">M3198-L3198</f>
        <v>17.9699999999999</v>
      </c>
      <c r="O3198" s="1" t="n">
        <f aca="false">YEAR(B3198)</f>
        <v>2030</v>
      </c>
      <c r="P3198" s="1" t="n">
        <f aca="false">MONTH(B3198)</f>
        <v>10</v>
      </c>
      <c r="Q3198" s="1" t="str">
        <f aca="false">TEXT(B3198,"mmm")</f>
        <v>Oct</v>
      </c>
      <c r="R3198" s="1" t="str">
        <f aca="false">"Q"&amp;ROUNDUP(MONTH(B3198)/3,0)</f>
        <v>Q4</v>
      </c>
    </row>
    <row r="3199" customFormat="false" ht="15" hidden="false" customHeight="true" outlineLevel="0" collapsed="false">
      <c r="A3199" s="1" t="n">
        <v>13198</v>
      </c>
      <c r="B3199" s="14" t="n">
        <v>47759</v>
      </c>
      <c r="C3199" s="1" t="n">
        <v>1285</v>
      </c>
      <c r="D3199" s="1" t="s">
        <v>34</v>
      </c>
      <c r="E3199" s="1" t="s">
        <v>35</v>
      </c>
      <c r="F3199" s="1" t="n">
        <v>5</v>
      </c>
      <c r="G3199" s="15" t="n">
        <v>497.87</v>
      </c>
      <c r="H3199" s="16" t="n">
        <v>0</v>
      </c>
      <c r="I3199" s="1" t="s">
        <v>31</v>
      </c>
      <c r="J3199" s="1" t="n">
        <v>2</v>
      </c>
      <c r="K3199" s="1" t="n">
        <v>2</v>
      </c>
      <c r="L3199" s="15" t="n">
        <v>2489.35</v>
      </c>
      <c r="M3199" s="15" t="n">
        <f aca="false">F3199*G3199</f>
        <v>2489.35</v>
      </c>
      <c r="N3199" s="15" t="n">
        <f aca="false">M3199-L3199</f>
        <v>0</v>
      </c>
      <c r="O3199" s="1" t="n">
        <f aca="false">YEAR(B3199)</f>
        <v>2030</v>
      </c>
      <c r="P3199" s="1" t="n">
        <f aca="false">MONTH(B3199)</f>
        <v>10</v>
      </c>
      <c r="Q3199" s="1" t="str">
        <f aca="false">TEXT(B3199,"mmm")</f>
        <v>Oct</v>
      </c>
      <c r="R3199" s="1" t="str">
        <f aca="false">"Q"&amp;ROUNDUP(MONTH(B3199)/3,0)</f>
        <v>Q4</v>
      </c>
    </row>
    <row r="3200" customFormat="false" ht="15" hidden="false" customHeight="true" outlineLevel="0" collapsed="false">
      <c r="A3200" s="1" t="n">
        <v>13199</v>
      </c>
      <c r="B3200" s="14" t="n">
        <v>47760</v>
      </c>
      <c r="C3200" s="1" t="n">
        <v>1148</v>
      </c>
      <c r="D3200" s="1" t="s">
        <v>34</v>
      </c>
      <c r="E3200" s="1" t="s">
        <v>36</v>
      </c>
      <c r="F3200" s="1" t="n">
        <v>4</v>
      </c>
      <c r="G3200" s="15" t="n">
        <v>532.08</v>
      </c>
      <c r="H3200" s="16" t="n">
        <v>0.05</v>
      </c>
      <c r="I3200" s="1" t="s">
        <v>31</v>
      </c>
      <c r="J3200" s="1" t="n">
        <v>11</v>
      </c>
      <c r="K3200" s="1" t="n">
        <v>3.5</v>
      </c>
      <c r="L3200" s="15" t="n">
        <v>2021.9</v>
      </c>
      <c r="M3200" s="15" t="n">
        <f aca="false">F3200*G3200</f>
        <v>2128.32</v>
      </c>
      <c r="N3200" s="15" t="n">
        <f aca="false">M3200-L3200</f>
        <v>106.42</v>
      </c>
      <c r="O3200" s="1" t="n">
        <f aca="false">YEAR(B3200)</f>
        <v>2030</v>
      </c>
      <c r="P3200" s="1" t="n">
        <f aca="false">MONTH(B3200)</f>
        <v>10</v>
      </c>
      <c r="Q3200" s="1" t="str">
        <f aca="false">TEXT(B3200,"mmm")</f>
        <v>Oct</v>
      </c>
      <c r="R3200" s="1" t="str">
        <f aca="false">"Q"&amp;ROUNDUP(MONTH(B3200)/3,0)</f>
        <v>Q4</v>
      </c>
    </row>
    <row r="3201" customFormat="false" ht="15" hidden="false" customHeight="true" outlineLevel="0" collapsed="false">
      <c r="A3201" s="1" t="n">
        <v>13200</v>
      </c>
      <c r="B3201" s="14" t="n">
        <v>47761</v>
      </c>
      <c r="C3201" s="1" t="n">
        <v>1083</v>
      </c>
      <c r="D3201" s="1" t="s">
        <v>34</v>
      </c>
      <c r="E3201" s="1" t="s">
        <v>36</v>
      </c>
      <c r="F3201" s="1" t="n">
        <v>5</v>
      </c>
      <c r="G3201" s="15" t="n">
        <v>563.18</v>
      </c>
      <c r="H3201" s="16" t="n">
        <v>0.15</v>
      </c>
      <c r="I3201" s="1" t="s">
        <v>31</v>
      </c>
      <c r="J3201" s="1" t="n">
        <v>7</v>
      </c>
      <c r="K3201" s="1" t="n">
        <v>1.2</v>
      </c>
      <c r="L3201" s="15" t="n">
        <v>2393.51</v>
      </c>
      <c r="M3201" s="15" t="n">
        <f aca="false">F3201*G3201</f>
        <v>2815.9</v>
      </c>
      <c r="N3201" s="15" t="n">
        <f aca="false">M3201-L3201</f>
        <v>422.389999999999</v>
      </c>
      <c r="O3201" s="1" t="n">
        <f aca="false">YEAR(B3201)</f>
        <v>2030</v>
      </c>
      <c r="P3201" s="1" t="n">
        <f aca="false">MONTH(B3201)</f>
        <v>10</v>
      </c>
      <c r="Q3201" s="1" t="str">
        <f aca="false">TEXT(B3201,"mmm")</f>
        <v>Oct</v>
      </c>
      <c r="R3201" s="1" t="str">
        <f aca="false">"Q"&amp;ROUNDUP(MONTH(B3201)/3,0)</f>
        <v>Q4</v>
      </c>
    </row>
    <row r="3202" customFormat="false" ht="15" hidden="false" customHeight="true" outlineLevel="0" collapsed="false">
      <c r="A3202" s="1" t="n">
        <v>13201</v>
      </c>
      <c r="B3202" s="14" t="n">
        <v>47762</v>
      </c>
      <c r="C3202" s="1" t="n">
        <v>1965</v>
      </c>
      <c r="D3202" s="1" t="s">
        <v>27</v>
      </c>
      <c r="E3202" s="1" t="s">
        <v>36</v>
      </c>
      <c r="F3202" s="1" t="n">
        <v>3</v>
      </c>
      <c r="G3202" s="15" t="n">
        <v>214.45</v>
      </c>
      <c r="H3202" s="16" t="n">
        <v>0.28</v>
      </c>
      <c r="I3202" s="1" t="s">
        <v>31</v>
      </c>
      <c r="J3202" s="1" t="n">
        <v>7</v>
      </c>
      <c r="K3202" s="1" t="n">
        <v>4.2</v>
      </c>
      <c r="L3202" s="15" t="n">
        <v>463.21</v>
      </c>
      <c r="M3202" s="15" t="n">
        <f aca="false">F3202*G3202</f>
        <v>643.35</v>
      </c>
      <c r="N3202" s="15" t="n">
        <f aca="false">M3202-L3202</f>
        <v>180.14</v>
      </c>
      <c r="O3202" s="1" t="n">
        <f aca="false">YEAR(B3202)</f>
        <v>2030</v>
      </c>
      <c r="P3202" s="1" t="n">
        <f aca="false">MONTH(B3202)</f>
        <v>10</v>
      </c>
      <c r="Q3202" s="1" t="str">
        <f aca="false">TEXT(B3202,"mmm")</f>
        <v>Oct</v>
      </c>
      <c r="R3202" s="1" t="str">
        <f aca="false">"Q"&amp;ROUNDUP(MONTH(B3202)/3,0)</f>
        <v>Q4</v>
      </c>
    </row>
    <row r="3203" customFormat="false" ht="15" hidden="false" customHeight="true" outlineLevel="0" collapsed="false">
      <c r="A3203" s="1" t="n">
        <v>13202</v>
      </c>
      <c r="B3203" s="14" t="n">
        <v>47763</v>
      </c>
      <c r="C3203" s="1" t="n">
        <v>1405</v>
      </c>
      <c r="D3203" s="1" t="s">
        <v>30</v>
      </c>
      <c r="E3203" s="1" t="s">
        <v>35</v>
      </c>
      <c r="F3203" s="1" t="n">
        <v>4</v>
      </c>
      <c r="G3203" s="15" t="n">
        <v>188.79</v>
      </c>
      <c r="H3203" s="16" t="n">
        <v>0.1</v>
      </c>
      <c r="I3203" s="1" t="s">
        <v>31</v>
      </c>
      <c r="J3203" s="1" t="n">
        <v>1</v>
      </c>
      <c r="K3203" s="1" t="n">
        <v>3.2</v>
      </c>
      <c r="L3203" s="15" t="n">
        <v>679.64</v>
      </c>
      <c r="M3203" s="15" t="n">
        <f aca="false">F3203*G3203</f>
        <v>755.16</v>
      </c>
      <c r="N3203" s="15" t="n">
        <f aca="false">M3203-L3203</f>
        <v>75.52</v>
      </c>
      <c r="O3203" s="1" t="n">
        <f aca="false">YEAR(B3203)</f>
        <v>2030</v>
      </c>
      <c r="P3203" s="1" t="n">
        <f aca="false">MONTH(B3203)</f>
        <v>10</v>
      </c>
      <c r="Q3203" s="1" t="str">
        <f aca="false">TEXT(B3203,"mmm")</f>
        <v>Oct</v>
      </c>
      <c r="R3203" s="1" t="str">
        <f aca="false">"Q"&amp;ROUNDUP(MONTH(B3203)/3,0)</f>
        <v>Q4</v>
      </c>
    </row>
    <row r="3204" customFormat="false" ht="15" hidden="false" customHeight="true" outlineLevel="0" collapsed="false">
      <c r="A3204" s="1" t="n">
        <v>13203</v>
      </c>
      <c r="B3204" s="14" t="n">
        <v>47764</v>
      </c>
      <c r="C3204" s="1" t="n">
        <v>1977</v>
      </c>
      <c r="D3204" s="1" t="s">
        <v>37</v>
      </c>
      <c r="E3204" s="1" t="s">
        <v>32</v>
      </c>
      <c r="F3204" s="1" t="n">
        <v>4</v>
      </c>
      <c r="G3204" s="15" t="n">
        <v>151.93</v>
      </c>
      <c r="H3204" s="16" t="n">
        <v>0.22</v>
      </c>
      <c r="I3204" s="1" t="s">
        <v>31</v>
      </c>
      <c r="J3204" s="1" t="n">
        <v>10</v>
      </c>
      <c r="K3204" s="1" t="n">
        <v>4.3</v>
      </c>
      <c r="L3204" s="15" t="n">
        <v>474.02</v>
      </c>
      <c r="M3204" s="15" t="n">
        <f aca="false">F3204*G3204</f>
        <v>607.72</v>
      </c>
      <c r="N3204" s="15" t="n">
        <f aca="false">M3204-L3204</f>
        <v>133.7</v>
      </c>
      <c r="O3204" s="1" t="n">
        <f aca="false">YEAR(B3204)</f>
        <v>2030</v>
      </c>
      <c r="P3204" s="1" t="n">
        <f aca="false">MONTH(B3204)</f>
        <v>10</v>
      </c>
      <c r="Q3204" s="1" t="str">
        <f aca="false">TEXT(B3204,"mmm")</f>
        <v>Oct</v>
      </c>
      <c r="R3204" s="1" t="str">
        <f aca="false">"Q"&amp;ROUNDUP(MONTH(B3204)/3,0)</f>
        <v>Q4</v>
      </c>
    </row>
    <row r="3205" customFormat="false" ht="15" hidden="false" customHeight="true" outlineLevel="0" collapsed="false">
      <c r="A3205" s="1" t="n">
        <v>13204</v>
      </c>
      <c r="B3205" s="14" t="n">
        <v>47765</v>
      </c>
      <c r="C3205" s="1" t="n">
        <v>1455</v>
      </c>
      <c r="D3205" s="1" t="s">
        <v>34</v>
      </c>
      <c r="E3205" s="1" t="s">
        <v>28</v>
      </c>
      <c r="F3205" s="1" t="n">
        <v>3</v>
      </c>
      <c r="G3205" s="15" t="n">
        <v>500.62</v>
      </c>
      <c r="H3205" s="16" t="n">
        <v>0.14</v>
      </c>
      <c r="I3205" s="1" t="s">
        <v>33</v>
      </c>
      <c r="J3205" s="1" t="n">
        <v>10</v>
      </c>
      <c r="K3205" s="1" t="n">
        <v>1.9</v>
      </c>
      <c r="L3205" s="15" t="n">
        <v>1291.6</v>
      </c>
      <c r="M3205" s="15" t="n">
        <f aca="false">F3205*G3205</f>
        <v>1501.86</v>
      </c>
      <c r="N3205" s="15" t="n">
        <f aca="false">M3205-L3205</f>
        <v>210.26</v>
      </c>
      <c r="O3205" s="1" t="n">
        <f aca="false">YEAR(B3205)</f>
        <v>2030</v>
      </c>
      <c r="P3205" s="1" t="n">
        <f aca="false">MONTH(B3205)</f>
        <v>10</v>
      </c>
      <c r="Q3205" s="1" t="str">
        <f aca="false">TEXT(B3205,"mmm")</f>
        <v>Oct</v>
      </c>
      <c r="R3205" s="1" t="str">
        <f aca="false">"Q"&amp;ROUNDUP(MONTH(B3205)/3,0)</f>
        <v>Q4</v>
      </c>
    </row>
    <row r="3206" customFormat="false" ht="15" hidden="false" customHeight="true" outlineLevel="0" collapsed="false">
      <c r="A3206" s="1" t="n">
        <v>13205</v>
      </c>
      <c r="B3206" s="14" t="n">
        <v>47766</v>
      </c>
      <c r="C3206" s="1" t="n">
        <v>1742</v>
      </c>
      <c r="D3206" s="1" t="s">
        <v>37</v>
      </c>
      <c r="E3206" s="1" t="s">
        <v>36</v>
      </c>
      <c r="F3206" s="1" t="n">
        <v>4</v>
      </c>
      <c r="G3206" s="15" t="n">
        <v>412.54</v>
      </c>
      <c r="H3206" s="16" t="n">
        <v>0.08</v>
      </c>
      <c r="I3206" s="1" t="s">
        <v>31</v>
      </c>
      <c r="J3206" s="1" t="n">
        <v>3</v>
      </c>
      <c r="K3206" s="1" t="n">
        <v>3.8</v>
      </c>
      <c r="L3206" s="15" t="n">
        <v>1518.15</v>
      </c>
      <c r="M3206" s="15" t="n">
        <f aca="false">F3206*G3206</f>
        <v>1650.16</v>
      </c>
      <c r="N3206" s="15" t="n">
        <f aca="false">M3206-L3206</f>
        <v>132.01</v>
      </c>
      <c r="O3206" s="1" t="n">
        <f aca="false">YEAR(B3206)</f>
        <v>2030</v>
      </c>
      <c r="P3206" s="1" t="n">
        <f aca="false">MONTH(B3206)</f>
        <v>10</v>
      </c>
      <c r="Q3206" s="1" t="str">
        <f aca="false">TEXT(B3206,"mmm")</f>
        <v>Oct</v>
      </c>
      <c r="R3206" s="1" t="str">
        <f aca="false">"Q"&amp;ROUNDUP(MONTH(B3206)/3,0)</f>
        <v>Q4</v>
      </c>
    </row>
    <row r="3207" customFormat="false" ht="15" hidden="false" customHeight="true" outlineLevel="0" collapsed="false">
      <c r="A3207" s="1" t="n">
        <v>13206</v>
      </c>
      <c r="B3207" s="14" t="n">
        <v>47767</v>
      </c>
      <c r="C3207" s="1" t="n">
        <v>1799</v>
      </c>
      <c r="D3207" s="1" t="s">
        <v>34</v>
      </c>
      <c r="E3207" s="1" t="s">
        <v>35</v>
      </c>
      <c r="F3207" s="1" t="n">
        <v>7</v>
      </c>
      <c r="G3207" s="15" t="n">
        <v>153.16</v>
      </c>
      <c r="H3207" s="16" t="n">
        <v>0.18</v>
      </c>
      <c r="I3207" s="1" t="s">
        <v>33</v>
      </c>
      <c r="J3207" s="1" t="n">
        <v>3</v>
      </c>
      <c r="K3207" s="1" t="n">
        <v>2.7</v>
      </c>
      <c r="L3207" s="15" t="n">
        <v>879.14</v>
      </c>
      <c r="M3207" s="15" t="n">
        <f aca="false">F3207*G3207</f>
        <v>1072.12</v>
      </c>
      <c r="N3207" s="15" t="n">
        <f aca="false">M3207-L3207</f>
        <v>192.98</v>
      </c>
      <c r="O3207" s="1" t="n">
        <f aca="false">YEAR(B3207)</f>
        <v>2030</v>
      </c>
      <c r="P3207" s="1" t="n">
        <f aca="false">MONTH(B3207)</f>
        <v>10</v>
      </c>
      <c r="Q3207" s="1" t="str">
        <f aca="false">TEXT(B3207,"mmm")</f>
        <v>Oct</v>
      </c>
      <c r="R3207" s="1" t="str">
        <f aca="false">"Q"&amp;ROUNDUP(MONTH(B3207)/3,0)</f>
        <v>Q4</v>
      </c>
    </row>
    <row r="3208" customFormat="false" ht="15" hidden="false" customHeight="true" outlineLevel="0" collapsed="false">
      <c r="A3208" s="1" t="n">
        <v>13207</v>
      </c>
      <c r="B3208" s="14" t="n">
        <v>47768</v>
      </c>
      <c r="C3208" s="1" t="n">
        <v>1160</v>
      </c>
      <c r="D3208" s="1" t="s">
        <v>30</v>
      </c>
      <c r="E3208" s="1" t="s">
        <v>35</v>
      </c>
      <c r="F3208" s="1" t="n">
        <v>2</v>
      </c>
      <c r="G3208" s="15" t="n">
        <v>235.54</v>
      </c>
      <c r="H3208" s="16" t="n">
        <v>0.28</v>
      </c>
      <c r="I3208" s="1" t="s">
        <v>31</v>
      </c>
      <c r="J3208" s="1" t="n">
        <v>11</v>
      </c>
      <c r="K3208" s="1" t="n">
        <v>1.3</v>
      </c>
      <c r="L3208" s="15" t="n">
        <v>339.18</v>
      </c>
      <c r="M3208" s="15" t="n">
        <f aca="false">F3208*G3208</f>
        <v>471.08</v>
      </c>
      <c r="N3208" s="15" t="n">
        <f aca="false">M3208-L3208</f>
        <v>131.9</v>
      </c>
      <c r="O3208" s="1" t="n">
        <f aca="false">YEAR(B3208)</f>
        <v>2030</v>
      </c>
      <c r="P3208" s="1" t="n">
        <f aca="false">MONTH(B3208)</f>
        <v>10</v>
      </c>
      <c r="Q3208" s="1" t="str">
        <f aca="false">TEXT(B3208,"mmm")</f>
        <v>Oct</v>
      </c>
      <c r="R3208" s="1" t="str">
        <f aca="false">"Q"&amp;ROUNDUP(MONTH(B3208)/3,0)</f>
        <v>Q4</v>
      </c>
    </row>
    <row r="3209" customFormat="false" ht="15" hidden="false" customHeight="true" outlineLevel="0" collapsed="false">
      <c r="A3209" s="1" t="n">
        <v>13208</v>
      </c>
      <c r="B3209" s="14" t="n">
        <v>47769</v>
      </c>
      <c r="C3209" s="1" t="n">
        <v>1783</v>
      </c>
      <c r="D3209" s="1" t="s">
        <v>30</v>
      </c>
      <c r="E3209" s="1" t="s">
        <v>28</v>
      </c>
      <c r="F3209" s="1" t="n">
        <v>3</v>
      </c>
      <c r="G3209" s="15" t="n">
        <v>311.43</v>
      </c>
      <c r="H3209" s="16" t="n">
        <v>0.29</v>
      </c>
      <c r="I3209" s="1" t="s">
        <v>31</v>
      </c>
      <c r="J3209" s="1" t="n">
        <v>6</v>
      </c>
      <c r="K3209" s="1" t="n">
        <v>4</v>
      </c>
      <c r="L3209" s="15" t="n">
        <v>663.35</v>
      </c>
      <c r="M3209" s="15" t="n">
        <f aca="false">F3209*G3209</f>
        <v>934.29</v>
      </c>
      <c r="N3209" s="15" t="n">
        <f aca="false">M3209-L3209</f>
        <v>270.94</v>
      </c>
      <c r="O3209" s="1" t="n">
        <f aca="false">YEAR(B3209)</f>
        <v>2030</v>
      </c>
      <c r="P3209" s="1" t="n">
        <f aca="false">MONTH(B3209)</f>
        <v>10</v>
      </c>
      <c r="Q3209" s="1" t="str">
        <f aca="false">TEXT(B3209,"mmm")</f>
        <v>Oct</v>
      </c>
      <c r="R3209" s="1" t="str">
        <f aca="false">"Q"&amp;ROUNDUP(MONTH(B3209)/3,0)</f>
        <v>Q4</v>
      </c>
    </row>
    <row r="3210" customFormat="false" ht="15" hidden="false" customHeight="true" outlineLevel="0" collapsed="false">
      <c r="A3210" s="1" t="n">
        <v>13209</v>
      </c>
      <c r="B3210" s="14" t="n">
        <v>47770</v>
      </c>
      <c r="C3210" s="1" t="n">
        <v>1459</v>
      </c>
      <c r="D3210" s="1" t="s">
        <v>34</v>
      </c>
      <c r="E3210" s="1" t="s">
        <v>32</v>
      </c>
      <c r="F3210" s="1" t="n">
        <v>3</v>
      </c>
      <c r="G3210" s="15" t="n">
        <v>323.96</v>
      </c>
      <c r="H3210" s="16" t="n">
        <v>0.3</v>
      </c>
      <c r="I3210" s="1" t="s">
        <v>31</v>
      </c>
      <c r="J3210" s="1" t="n">
        <v>11</v>
      </c>
      <c r="K3210" s="1" t="n">
        <v>4</v>
      </c>
      <c r="L3210" s="15" t="n">
        <v>680.32</v>
      </c>
      <c r="M3210" s="15" t="n">
        <f aca="false">F3210*G3210</f>
        <v>971.88</v>
      </c>
      <c r="N3210" s="15" t="n">
        <f aca="false">M3210-L3210</f>
        <v>291.56</v>
      </c>
      <c r="O3210" s="1" t="n">
        <f aca="false">YEAR(B3210)</f>
        <v>2030</v>
      </c>
      <c r="P3210" s="1" t="n">
        <f aca="false">MONTH(B3210)</f>
        <v>10</v>
      </c>
      <c r="Q3210" s="1" t="str">
        <f aca="false">TEXT(B3210,"mmm")</f>
        <v>Oct</v>
      </c>
      <c r="R3210" s="1" t="str">
        <f aca="false">"Q"&amp;ROUNDUP(MONTH(B3210)/3,0)</f>
        <v>Q4</v>
      </c>
    </row>
    <row r="3211" customFormat="false" ht="15" hidden="false" customHeight="true" outlineLevel="0" collapsed="false">
      <c r="A3211" s="1" t="n">
        <v>13210</v>
      </c>
      <c r="B3211" s="14" t="n">
        <v>47771</v>
      </c>
      <c r="C3211" s="1" t="n">
        <v>1549</v>
      </c>
      <c r="D3211" s="1" t="s">
        <v>37</v>
      </c>
      <c r="E3211" s="1" t="s">
        <v>36</v>
      </c>
      <c r="F3211" s="1" t="n">
        <v>2</v>
      </c>
      <c r="G3211" s="15" t="n">
        <v>534.91</v>
      </c>
      <c r="H3211" s="16" t="n">
        <v>0.12</v>
      </c>
      <c r="I3211" s="1" t="s">
        <v>31</v>
      </c>
      <c r="J3211" s="1" t="n">
        <v>3</v>
      </c>
      <c r="K3211" s="1" t="n">
        <v>2.1</v>
      </c>
      <c r="L3211" s="15" t="n">
        <v>941.44</v>
      </c>
      <c r="M3211" s="15" t="n">
        <f aca="false">F3211*G3211</f>
        <v>1069.82</v>
      </c>
      <c r="N3211" s="15" t="n">
        <f aca="false">M3211-L3211</f>
        <v>128.38</v>
      </c>
      <c r="O3211" s="1" t="n">
        <f aca="false">YEAR(B3211)</f>
        <v>2030</v>
      </c>
      <c r="P3211" s="1" t="n">
        <f aca="false">MONTH(B3211)</f>
        <v>10</v>
      </c>
      <c r="Q3211" s="1" t="str">
        <f aca="false">TEXT(B3211,"mmm")</f>
        <v>Oct</v>
      </c>
      <c r="R3211" s="1" t="str">
        <f aca="false">"Q"&amp;ROUNDUP(MONTH(B3211)/3,0)</f>
        <v>Q4</v>
      </c>
    </row>
    <row r="3212" customFormat="false" ht="15" hidden="false" customHeight="true" outlineLevel="0" collapsed="false">
      <c r="A3212" s="1" t="n">
        <v>13211</v>
      </c>
      <c r="B3212" s="14" t="n">
        <v>47772</v>
      </c>
      <c r="C3212" s="1" t="n">
        <v>1499</v>
      </c>
      <c r="D3212" s="1" t="s">
        <v>34</v>
      </c>
      <c r="E3212" s="1" t="s">
        <v>36</v>
      </c>
      <c r="F3212" s="1" t="n">
        <v>5</v>
      </c>
      <c r="G3212" s="15" t="n">
        <v>237.63</v>
      </c>
      <c r="H3212" s="16" t="n">
        <v>0.28</v>
      </c>
      <c r="I3212" s="1" t="s">
        <v>31</v>
      </c>
      <c r="J3212" s="1" t="n">
        <v>9</v>
      </c>
      <c r="K3212" s="1" t="n">
        <v>4.7</v>
      </c>
      <c r="L3212" s="15" t="n">
        <v>855.47</v>
      </c>
      <c r="M3212" s="15" t="n">
        <f aca="false">F3212*G3212</f>
        <v>1188.15</v>
      </c>
      <c r="N3212" s="15" t="n">
        <f aca="false">M3212-L3212</f>
        <v>332.68</v>
      </c>
      <c r="O3212" s="1" t="n">
        <f aca="false">YEAR(B3212)</f>
        <v>2030</v>
      </c>
      <c r="P3212" s="1" t="n">
        <f aca="false">MONTH(B3212)</f>
        <v>10</v>
      </c>
      <c r="Q3212" s="1" t="str">
        <f aca="false">TEXT(B3212,"mmm")</f>
        <v>Oct</v>
      </c>
      <c r="R3212" s="1" t="str">
        <f aca="false">"Q"&amp;ROUNDUP(MONTH(B3212)/3,0)</f>
        <v>Q4</v>
      </c>
    </row>
    <row r="3213" customFormat="false" ht="15" hidden="false" customHeight="true" outlineLevel="0" collapsed="false">
      <c r="A3213" s="1" t="n">
        <v>13212</v>
      </c>
      <c r="B3213" s="14" t="n">
        <v>47773</v>
      </c>
      <c r="C3213" s="1" t="n">
        <v>1737</v>
      </c>
      <c r="D3213" s="1" t="s">
        <v>37</v>
      </c>
      <c r="E3213" s="1" t="s">
        <v>35</v>
      </c>
      <c r="F3213" s="1" t="n">
        <v>5</v>
      </c>
      <c r="G3213" s="15" t="n">
        <v>546.49</v>
      </c>
      <c r="H3213" s="16" t="n">
        <v>0.07</v>
      </c>
      <c r="I3213" s="1" t="s">
        <v>33</v>
      </c>
      <c r="J3213" s="1" t="n">
        <v>5</v>
      </c>
      <c r="K3213" s="1" t="n">
        <v>4.1</v>
      </c>
      <c r="L3213" s="15" t="n">
        <v>2541.18</v>
      </c>
      <c r="M3213" s="15" t="n">
        <f aca="false">F3213*G3213</f>
        <v>2732.45</v>
      </c>
      <c r="N3213" s="15" t="n">
        <f aca="false">M3213-L3213</f>
        <v>191.27</v>
      </c>
      <c r="O3213" s="1" t="n">
        <f aca="false">YEAR(B3213)</f>
        <v>2030</v>
      </c>
      <c r="P3213" s="1" t="n">
        <f aca="false">MONTH(B3213)</f>
        <v>10</v>
      </c>
      <c r="Q3213" s="1" t="str">
        <f aca="false">TEXT(B3213,"mmm")</f>
        <v>Oct</v>
      </c>
      <c r="R3213" s="1" t="str">
        <f aca="false">"Q"&amp;ROUNDUP(MONTH(B3213)/3,0)</f>
        <v>Q4</v>
      </c>
    </row>
    <row r="3214" customFormat="false" ht="15" hidden="false" customHeight="true" outlineLevel="0" collapsed="false">
      <c r="A3214" s="1" t="n">
        <v>13213</v>
      </c>
      <c r="B3214" s="14" t="n">
        <v>47774</v>
      </c>
      <c r="C3214" s="1" t="n">
        <v>1508</v>
      </c>
      <c r="D3214" s="1" t="s">
        <v>30</v>
      </c>
      <c r="E3214" s="1" t="s">
        <v>32</v>
      </c>
      <c r="F3214" s="1" t="n">
        <v>5</v>
      </c>
      <c r="G3214" s="15" t="n">
        <v>273.2</v>
      </c>
      <c r="H3214" s="16" t="n">
        <v>0.26</v>
      </c>
      <c r="I3214" s="1" t="s">
        <v>33</v>
      </c>
      <c r="J3214" s="1" t="n">
        <v>6</v>
      </c>
      <c r="K3214" s="1" t="n">
        <v>2.2</v>
      </c>
      <c r="L3214" s="15" t="n">
        <v>1010.84</v>
      </c>
      <c r="M3214" s="15" t="n">
        <f aca="false">F3214*G3214</f>
        <v>1366</v>
      </c>
      <c r="N3214" s="15" t="n">
        <f aca="false">M3214-L3214</f>
        <v>355.16</v>
      </c>
      <c r="O3214" s="1" t="n">
        <f aca="false">YEAR(B3214)</f>
        <v>2030</v>
      </c>
      <c r="P3214" s="1" t="n">
        <f aca="false">MONTH(B3214)</f>
        <v>10</v>
      </c>
      <c r="Q3214" s="1" t="str">
        <f aca="false">TEXT(B3214,"mmm")</f>
        <v>Oct</v>
      </c>
      <c r="R3214" s="1" t="str">
        <f aca="false">"Q"&amp;ROUNDUP(MONTH(B3214)/3,0)</f>
        <v>Q4</v>
      </c>
    </row>
    <row r="3215" customFormat="false" ht="15" hidden="false" customHeight="true" outlineLevel="0" collapsed="false">
      <c r="A3215" s="1" t="n">
        <v>13214</v>
      </c>
      <c r="B3215" s="14" t="n">
        <v>47775</v>
      </c>
      <c r="C3215" s="1" t="n">
        <v>1653</v>
      </c>
      <c r="D3215" s="1" t="s">
        <v>30</v>
      </c>
      <c r="E3215" s="1" t="s">
        <v>36</v>
      </c>
      <c r="F3215" s="1" t="n">
        <v>4</v>
      </c>
      <c r="G3215" s="15" t="n">
        <v>451.63</v>
      </c>
      <c r="H3215" s="16" t="n">
        <v>0.33</v>
      </c>
      <c r="I3215" s="1" t="s">
        <v>31</v>
      </c>
      <c r="J3215" s="1" t="n">
        <v>6</v>
      </c>
      <c r="K3215" s="1" t="n">
        <v>2</v>
      </c>
      <c r="L3215" s="15" t="n">
        <v>1210.37</v>
      </c>
      <c r="M3215" s="15" t="n">
        <f aca="false">F3215*G3215</f>
        <v>1806.52</v>
      </c>
      <c r="N3215" s="15" t="n">
        <f aca="false">M3215-L3215</f>
        <v>596.15</v>
      </c>
      <c r="O3215" s="1" t="n">
        <f aca="false">YEAR(B3215)</f>
        <v>2030</v>
      </c>
      <c r="P3215" s="1" t="n">
        <f aca="false">MONTH(B3215)</f>
        <v>10</v>
      </c>
      <c r="Q3215" s="1" t="str">
        <f aca="false">TEXT(B3215,"mmm")</f>
        <v>Oct</v>
      </c>
      <c r="R3215" s="1" t="str">
        <f aca="false">"Q"&amp;ROUNDUP(MONTH(B3215)/3,0)</f>
        <v>Q4</v>
      </c>
    </row>
    <row r="3216" customFormat="false" ht="15" hidden="false" customHeight="true" outlineLevel="0" collapsed="false">
      <c r="A3216" s="1" t="n">
        <v>13215</v>
      </c>
      <c r="B3216" s="14" t="n">
        <v>47776</v>
      </c>
      <c r="C3216" s="1" t="n">
        <v>1803</v>
      </c>
      <c r="D3216" s="1" t="s">
        <v>34</v>
      </c>
      <c r="E3216" s="1" t="s">
        <v>28</v>
      </c>
      <c r="F3216" s="1" t="n">
        <v>2</v>
      </c>
      <c r="G3216" s="15" t="n">
        <v>559.2</v>
      </c>
      <c r="H3216" s="16" t="n">
        <v>0</v>
      </c>
      <c r="I3216" s="1" t="s">
        <v>31</v>
      </c>
      <c r="J3216" s="1" t="n">
        <v>8</v>
      </c>
      <c r="K3216" s="1" t="n">
        <v>2.8</v>
      </c>
      <c r="L3216" s="15" t="n">
        <v>1118.4</v>
      </c>
      <c r="M3216" s="15" t="n">
        <f aca="false">F3216*G3216</f>
        <v>1118.4</v>
      </c>
      <c r="N3216" s="15" t="n">
        <f aca="false">M3216-L3216</f>
        <v>0</v>
      </c>
      <c r="O3216" s="1" t="n">
        <f aca="false">YEAR(B3216)</f>
        <v>2030</v>
      </c>
      <c r="P3216" s="1" t="n">
        <f aca="false">MONTH(B3216)</f>
        <v>10</v>
      </c>
      <c r="Q3216" s="1" t="str">
        <f aca="false">TEXT(B3216,"mmm")</f>
        <v>Oct</v>
      </c>
      <c r="R3216" s="1" t="str">
        <f aca="false">"Q"&amp;ROUNDUP(MONTH(B3216)/3,0)</f>
        <v>Q4</v>
      </c>
    </row>
    <row r="3217" customFormat="false" ht="15" hidden="false" customHeight="true" outlineLevel="0" collapsed="false">
      <c r="A3217" s="1" t="n">
        <v>13216</v>
      </c>
      <c r="B3217" s="14" t="n">
        <v>47777</v>
      </c>
      <c r="C3217" s="1" t="n">
        <v>1480</v>
      </c>
      <c r="D3217" s="1" t="s">
        <v>34</v>
      </c>
      <c r="E3217" s="1" t="s">
        <v>32</v>
      </c>
      <c r="F3217" s="1" t="n">
        <v>7</v>
      </c>
      <c r="G3217" s="15" t="n">
        <v>545.93</v>
      </c>
      <c r="H3217" s="16" t="n">
        <v>0.15</v>
      </c>
      <c r="I3217" s="1" t="s">
        <v>29</v>
      </c>
      <c r="J3217" s="1" t="n">
        <v>10</v>
      </c>
      <c r="K3217" s="1" t="n">
        <v>2.2</v>
      </c>
      <c r="L3217" s="15" t="n">
        <v>3248.28</v>
      </c>
      <c r="M3217" s="15" t="n">
        <f aca="false">F3217*G3217</f>
        <v>3821.51</v>
      </c>
      <c r="N3217" s="15" t="n">
        <f aca="false">M3217-L3217</f>
        <v>573.23</v>
      </c>
      <c r="O3217" s="1" t="n">
        <f aca="false">YEAR(B3217)</f>
        <v>2030</v>
      </c>
      <c r="P3217" s="1" t="n">
        <f aca="false">MONTH(B3217)</f>
        <v>10</v>
      </c>
      <c r="Q3217" s="1" t="str">
        <f aca="false">TEXT(B3217,"mmm")</f>
        <v>Oct</v>
      </c>
      <c r="R3217" s="1" t="str">
        <f aca="false">"Q"&amp;ROUNDUP(MONTH(B3217)/3,0)</f>
        <v>Q4</v>
      </c>
    </row>
    <row r="3218" customFormat="false" ht="15" hidden="false" customHeight="true" outlineLevel="0" collapsed="false">
      <c r="A3218" s="1" t="n">
        <v>13217</v>
      </c>
      <c r="B3218" s="14" t="n">
        <v>47778</v>
      </c>
      <c r="C3218" s="1" t="n">
        <v>1662</v>
      </c>
      <c r="D3218" s="1" t="s">
        <v>27</v>
      </c>
      <c r="E3218" s="1" t="s">
        <v>32</v>
      </c>
      <c r="F3218" s="1" t="n">
        <v>3</v>
      </c>
      <c r="G3218" s="15" t="n">
        <v>48.32</v>
      </c>
      <c r="H3218" s="16" t="n">
        <v>0.23</v>
      </c>
      <c r="I3218" s="1" t="s">
        <v>31</v>
      </c>
      <c r="J3218" s="1" t="n">
        <v>11</v>
      </c>
      <c r="K3218" s="1" t="n">
        <v>1.9</v>
      </c>
      <c r="L3218" s="15" t="n">
        <v>111.62</v>
      </c>
      <c r="M3218" s="15" t="n">
        <f aca="false">F3218*G3218</f>
        <v>144.96</v>
      </c>
      <c r="N3218" s="15" t="n">
        <f aca="false">M3218-L3218</f>
        <v>33.34</v>
      </c>
      <c r="O3218" s="1" t="n">
        <f aca="false">YEAR(B3218)</f>
        <v>2030</v>
      </c>
      <c r="P3218" s="1" t="n">
        <f aca="false">MONTH(B3218)</f>
        <v>10</v>
      </c>
      <c r="Q3218" s="1" t="str">
        <f aca="false">TEXT(B3218,"mmm")</f>
        <v>Oct</v>
      </c>
      <c r="R3218" s="1" t="str">
        <f aca="false">"Q"&amp;ROUNDUP(MONTH(B3218)/3,0)</f>
        <v>Q4</v>
      </c>
    </row>
    <row r="3219" customFormat="false" ht="15" hidden="false" customHeight="true" outlineLevel="0" collapsed="false">
      <c r="A3219" s="1" t="n">
        <v>13218</v>
      </c>
      <c r="B3219" s="14" t="n">
        <v>47779</v>
      </c>
      <c r="C3219" s="1" t="n">
        <v>1113</v>
      </c>
      <c r="D3219" s="1" t="s">
        <v>34</v>
      </c>
      <c r="E3219" s="1" t="s">
        <v>35</v>
      </c>
      <c r="F3219" s="1" t="n">
        <v>3</v>
      </c>
      <c r="G3219" s="15" t="n">
        <v>135.34</v>
      </c>
      <c r="H3219" s="16" t="n">
        <v>0.25</v>
      </c>
      <c r="I3219" s="1" t="s">
        <v>31</v>
      </c>
      <c r="J3219" s="1" t="n">
        <v>3</v>
      </c>
      <c r="K3219" s="1" t="n">
        <v>2.6</v>
      </c>
      <c r="L3219" s="15" t="n">
        <v>304.52</v>
      </c>
      <c r="M3219" s="15" t="n">
        <f aca="false">F3219*G3219</f>
        <v>406.02</v>
      </c>
      <c r="N3219" s="15" t="n">
        <f aca="false">M3219-L3219</f>
        <v>101.5</v>
      </c>
      <c r="O3219" s="1" t="n">
        <f aca="false">YEAR(B3219)</f>
        <v>2030</v>
      </c>
      <c r="P3219" s="1" t="n">
        <f aca="false">MONTH(B3219)</f>
        <v>10</v>
      </c>
      <c r="Q3219" s="1" t="str">
        <f aca="false">TEXT(B3219,"mmm")</f>
        <v>Oct</v>
      </c>
      <c r="R3219" s="1" t="str">
        <f aca="false">"Q"&amp;ROUNDUP(MONTH(B3219)/3,0)</f>
        <v>Q4</v>
      </c>
    </row>
    <row r="3220" customFormat="false" ht="15" hidden="false" customHeight="true" outlineLevel="0" collapsed="false">
      <c r="A3220" s="1" t="n">
        <v>13219</v>
      </c>
      <c r="B3220" s="14" t="n">
        <v>47780</v>
      </c>
      <c r="C3220" s="1" t="n">
        <v>1748</v>
      </c>
      <c r="D3220" s="1" t="s">
        <v>37</v>
      </c>
      <c r="E3220" s="1" t="s">
        <v>35</v>
      </c>
      <c r="F3220" s="1" t="n">
        <v>3</v>
      </c>
      <c r="G3220" s="15" t="n">
        <v>293.99</v>
      </c>
      <c r="H3220" s="16" t="n">
        <v>0.06</v>
      </c>
      <c r="I3220" s="1" t="s">
        <v>33</v>
      </c>
      <c r="J3220" s="1" t="n">
        <v>9</v>
      </c>
      <c r="K3220" s="1" t="n">
        <v>1.1</v>
      </c>
      <c r="L3220" s="15" t="n">
        <v>829.05</v>
      </c>
      <c r="M3220" s="15" t="n">
        <f aca="false">F3220*G3220</f>
        <v>881.97</v>
      </c>
      <c r="N3220" s="15" t="n">
        <f aca="false">M3220-L3220</f>
        <v>52.9200000000001</v>
      </c>
      <c r="O3220" s="1" t="n">
        <f aca="false">YEAR(B3220)</f>
        <v>2030</v>
      </c>
      <c r="P3220" s="1" t="n">
        <f aca="false">MONTH(B3220)</f>
        <v>10</v>
      </c>
      <c r="Q3220" s="1" t="str">
        <f aca="false">TEXT(B3220,"mmm")</f>
        <v>Oct</v>
      </c>
      <c r="R3220" s="1" t="str">
        <f aca="false">"Q"&amp;ROUNDUP(MONTH(B3220)/3,0)</f>
        <v>Q4</v>
      </c>
    </row>
    <row r="3221" customFormat="false" ht="15" hidden="false" customHeight="true" outlineLevel="0" collapsed="false">
      <c r="A3221" s="1" t="n">
        <v>13220</v>
      </c>
      <c r="B3221" s="14" t="n">
        <v>47781</v>
      </c>
      <c r="C3221" s="1" t="n">
        <v>1577</v>
      </c>
      <c r="D3221" s="1" t="s">
        <v>27</v>
      </c>
      <c r="E3221" s="1" t="s">
        <v>36</v>
      </c>
      <c r="F3221" s="1" t="n">
        <v>4</v>
      </c>
      <c r="G3221" s="15" t="n">
        <v>267.46</v>
      </c>
      <c r="H3221" s="16" t="n">
        <v>0.34</v>
      </c>
      <c r="I3221" s="1" t="s">
        <v>33</v>
      </c>
      <c r="J3221" s="1" t="n">
        <v>7</v>
      </c>
      <c r="K3221" s="1" t="n">
        <v>2.6</v>
      </c>
      <c r="L3221" s="15" t="n">
        <v>706.09</v>
      </c>
      <c r="M3221" s="15" t="n">
        <f aca="false">F3221*G3221</f>
        <v>1069.84</v>
      </c>
      <c r="N3221" s="15" t="n">
        <f aca="false">M3221-L3221</f>
        <v>363.75</v>
      </c>
      <c r="O3221" s="1" t="n">
        <f aca="false">YEAR(B3221)</f>
        <v>2030</v>
      </c>
      <c r="P3221" s="1" t="n">
        <f aca="false">MONTH(B3221)</f>
        <v>10</v>
      </c>
      <c r="Q3221" s="1" t="str">
        <f aca="false">TEXT(B3221,"mmm")</f>
        <v>Oct</v>
      </c>
      <c r="R3221" s="1" t="str">
        <f aca="false">"Q"&amp;ROUNDUP(MONTH(B3221)/3,0)</f>
        <v>Q4</v>
      </c>
    </row>
    <row r="3222" customFormat="false" ht="15" hidden="false" customHeight="true" outlineLevel="0" collapsed="false">
      <c r="A3222" s="1" t="n">
        <v>13221</v>
      </c>
      <c r="B3222" s="14" t="n">
        <v>47782</v>
      </c>
      <c r="C3222" s="1" t="n">
        <v>1360</v>
      </c>
      <c r="D3222" s="1" t="s">
        <v>34</v>
      </c>
      <c r="E3222" s="1" t="s">
        <v>35</v>
      </c>
      <c r="F3222" s="1" t="n">
        <v>4</v>
      </c>
      <c r="G3222" s="15" t="n">
        <v>389.92</v>
      </c>
      <c r="H3222" s="16" t="n">
        <v>0.22</v>
      </c>
      <c r="I3222" s="1" t="s">
        <v>33</v>
      </c>
      <c r="J3222" s="1" t="n">
        <v>11</v>
      </c>
      <c r="K3222" s="1" t="n">
        <v>1.9</v>
      </c>
      <c r="L3222" s="15" t="n">
        <v>1216.55</v>
      </c>
      <c r="M3222" s="15" t="n">
        <f aca="false">F3222*G3222</f>
        <v>1559.68</v>
      </c>
      <c r="N3222" s="15" t="n">
        <f aca="false">M3222-L3222</f>
        <v>343.13</v>
      </c>
      <c r="O3222" s="1" t="n">
        <f aca="false">YEAR(B3222)</f>
        <v>2030</v>
      </c>
      <c r="P3222" s="1" t="n">
        <f aca="false">MONTH(B3222)</f>
        <v>10</v>
      </c>
      <c r="Q3222" s="1" t="str">
        <f aca="false">TEXT(B3222,"mmm")</f>
        <v>Oct</v>
      </c>
      <c r="R3222" s="1" t="str">
        <f aca="false">"Q"&amp;ROUNDUP(MONTH(B3222)/3,0)</f>
        <v>Q4</v>
      </c>
    </row>
    <row r="3223" customFormat="false" ht="15" hidden="false" customHeight="true" outlineLevel="0" collapsed="false">
      <c r="A3223" s="1" t="n">
        <v>13222</v>
      </c>
      <c r="B3223" s="14" t="n">
        <v>47783</v>
      </c>
      <c r="C3223" s="1" t="n">
        <v>1340</v>
      </c>
      <c r="D3223" s="1" t="s">
        <v>34</v>
      </c>
      <c r="E3223" s="1" t="s">
        <v>32</v>
      </c>
      <c r="F3223" s="1" t="n">
        <v>6</v>
      </c>
      <c r="G3223" s="15" t="n">
        <v>567.65</v>
      </c>
      <c r="H3223" s="16" t="n">
        <v>0.06</v>
      </c>
      <c r="I3223" s="1" t="s">
        <v>33</v>
      </c>
      <c r="J3223" s="1" t="n">
        <v>6</v>
      </c>
      <c r="K3223" s="1" t="n">
        <v>2.1</v>
      </c>
      <c r="L3223" s="15" t="n">
        <v>3201.55</v>
      </c>
      <c r="M3223" s="15" t="n">
        <f aca="false">F3223*G3223</f>
        <v>3405.9</v>
      </c>
      <c r="N3223" s="15" t="n">
        <f aca="false">M3223-L3223</f>
        <v>204.349999999999</v>
      </c>
      <c r="O3223" s="1" t="n">
        <f aca="false">YEAR(B3223)</f>
        <v>2030</v>
      </c>
      <c r="P3223" s="1" t="n">
        <f aca="false">MONTH(B3223)</f>
        <v>10</v>
      </c>
      <c r="Q3223" s="1" t="str">
        <f aca="false">TEXT(B3223,"mmm")</f>
        <v>Oct</v>
      </c>
      <c r="R3223" s="1" t="str">
        <f aca="false">"Q"&amp;ROUNDUP(MONTH(B3223)/3,0)</f>
        <v>Q4</v>
      </c>
    </row>
    <row r="3224" customFormat="false" ht="15" hidden="false" customHeight="true" outlineLevel="0" collapsed="false">
      <c r="A3224" s="1" t="n">
        <v>13223</v>
      </c>
      <c r="B3224" s="14" t="n">
        <v>47784</v>
      </c>
      <c r="C3224" s="1" t="n">
        <v>1769</v>
      </c>
      <c r="D3224" s="1" t="s">
        <v>37</v>
      </c>
      <c r="E3224" s="1" t="s">
        <v>36</v>
      </c>
      <c r="F3224" s="1" t="n">
        <v>7</v>
      </c>
      <c r="G3224" s="15" t="n">
        <v>80.76</v>
      </c>
      <c r="H3224" s="16" t="n">
        <v>0.01</v>
      </c>
      <c r="I3224" s="1" t="s">
        <v>31</v>
      </c>
      <c r="J3224" s="1" t="n">
        <v>11</v>
      </c>
      <c r="K3224" s="1" t="n">
        <v>1.3</v>
      </c>
      <c r="L3224" s="15" t="n">
        <v>559.67</v>
      </c>
      <c r="M3224" s="15" t="n">
        <f aca="false">F3224*G3224</f>
        <v>565.32</v>
      </c>
      <c r="N3224" s="15" t="n">
        <f aca="false">M3224-L3224</f>
        <v>5.65000000000009</v>
      </c>
      <c r="O3224" s="1" t="n">
        <f aca="false">YEAR(B3224)</f>
        <v>2030</v>
      </c>
      <c r="P3224" s="1" t="n">
        <f aca="false">MONTH(B3224)</f>
        <v>10</v>
      </c>
      <c r="Q3224" s="1" t="str">
        <f aca="false">TEXT(B3224,"mmm")</f>
        <v>Oct</v>
      </c>
      <c r="R3224" s="1" t="str">
        <f aca="false">"Q"&amp;ROUNDUP(MONTH(B3224)/3,0)</f>
        <v>Q4</v>
      </c>
    </row>
    <row r="3225" customFormat="false" ht="15" hidden="false" customHeight="true" outlineLevel="0" collapsed="false">
      <c r="A3225" s="1" t="n">
        <v>13224</v>
      </c>
      <c r="B3225" s="14" t="n">
        <v>47785</v>
      </c>
      <c r="C3225" s="1" t="n">
        <v>1986</v>
      </c>
      <c r="D3225" s="1" t="s">
        <v>27</v>
      </c>
      <c r="E3225" s="1" t="s">
        <v>36</v>
      </c>
      <c r="F3225" s="1" t="n">
        <v>5</v>
      </c>
      <c r="G3225" s="15" t="n">
        <v>279.34</v>
      </c>
      <c r="H3225" s="16" t="n">
        <v>0.27</v>
      </c>
      <c r="I3225" s="1" t="s">
        <v>31</v>
      </c>
      <c r="J3225" s="1" t="n">
        <v>1</v>
      </c>
      <c r="K3225" s="1" t="n">
        <v>3.4</v>
      </c>
      <c r="L3225" s="15" t="n">
        <v>1019.59</v>
      </c>
      <c r="M3225" s="15" t="n">
        <f aca="false">F3225*G3225</f>
        <v>1396.7</v>
      </c>
      <c r="N3225" s="15" t="n">
        <f aca="false">M3225-L3225</f>
        <v>377.11</v>
      </c>
      <c r="O3225" s="1" t="n">
        <f aca="false">YEAR(B3225)</f>
        <v>2030</v>
      </c>
      <c r="P3225" s="1" t="n">
        <f aca="false">MONTH(B3225)</f>
        <v>10</v>
      </c>
      <c r="Q3225" s="1" t="str">
        <f aca="false">TEXT(B3225,"mmm")</f>
        <v>Oct</v>
      </c>
      <c r="R3225" s="1" t="str">
        <f aca="false">"Q"&amp;ROUNDUP(MONTH(B3225)/3,0)</f>
        <v>Q4</v>
      </c>
    </row>
    <row r="3226" customFormat="false" ht="15" hidden="false" customHeight="true" outlineLevel="0" collapsed="false">
      <c r="A3226" s="1" t="n">
        <v>13225</v>
      </c>
      <c r="B3226" s="14" t="n">
        <v>47786</v>
      </c>
      <c r="C3226" s="1" t="n">
        <v>1760</v>
      </c>
      <c r="D3226" s="1" t="s">
        <v>27</v>
      </c>
      <c r="E3226" s="1" t="s">
        <v>32</v>
      </c>
      <c r="F3226" s="1" t="n">
        <v>6</v>
      </c>
      <c r="G3226" s="15" t="n">
        <v>127.56</v>
      </c>
      <c r="H3226" s="16" t="n">
        <v>0.03</v>
      </c>
      <c r="I3226" s="1" t="s">
        <v>31</v>
      </c>
      <c r="J3226" s="1" t="n">
        <v>4</v>
      </c>
      <c r="K3226" s="1" t="n">
        <v>2.9</v>
      </c>
      <c r="L3226" s="15" t="n">
        <v>742.4</v>
      </c>
      <c r="M3226" s="15" t="n">
        <f aca="false">F3226*G3226</f>
        <v>765.36</v>
      </c>
      <c r="N3226" s="15" t="n">
        <f aca="false">M3226-L3226</f>
        <v>22.96</v>
      </c>
      <c r="O3226" s="1" t="n">
        <f aca="false">YEAR(B3226)</f>
        <v>2030</v>
      </c>
      <c r="P3226" s="1" t="n">
        <f aca="false">MONTH(B3226)</f>
        <v>10</v>
      </c>
      <c r="Q3226" s="1" t="str">
        <f aca="false">TEXT(B3226,"mmm")</f>
        <v>Oct</v>
      </c>
      <c r="R3226" s="1" t="str">
        <f aca="false">"Q"&amp;ROUNDUP(MONTH(B3226)/3,0)</f>
        <v>Q4</v>
      </c>
    </row>
    <row r="3227" customFormat="false" ht="15" hidden="false" customHeight="true" outlineLevel="0" collapsed="false">
      <c r="A3227" s="1" t="n">
        <v>13226</v>
      </c>
      <c r="B3227" s="14" t="n">
        <v>47787</v>
      </c>
      <c r="C3227" s="1" t="n">
        <v>1968</v>
      </c>
      <c r="D3227" s="1" t="s">
        <v>30</v>
      </c>
      <c r="E3227" s="1" t="s">
        <v>36</v>
      </c>
      <c r="F3227" s="1" t="n">
        <v>6</v>
      </c>
      <c r="G3227" s="15" t="n">
        <v>538.05</v>
      </c>
      <c r="H3227" s="16" t="n">
        <v>0.05</v>
      </c>
      <c r="I3227" s="1" t="s">
        <v>33</v>
      </c>
      <c r="J3227" s="1" t="n">
        <v>5</v>
      </c>
      <c r="K3227" s="1" t="n">
        <v>4</v>
      </c>
      <c r="L3227" s="15" t="n">
        <v>3066.88</v>
      </c>
      <c r="M3227" s="15" t="n">
        <f aca="false">F3227*G3227</f>
        <v>3228.3</v>
      </c>
      <c r="N3227" s="15" t="n">
        <f aca="false">M3227-L3227</f>
        <v>161.42</v>
      </c>
      <c r="O3227" s="1" t="n">
        <f aca="false">YEAR(B3227)</f>
        <v>2030</v>
      </c>
      <c r="P3227" s="1" t="n">
        <f aca="false">MONTH(B3227)</f>
        <v>10</v>
      </c>
      <c r="Q3227" s="1" t="str">
        <f aca="false">TEXT(B3227,"mmm")</f>
        <v>Oct</v>
      </c>
      <c r="R3227" s="1" t="str">
        <f aca="false">"Q"&amp;ROUNDUP(MONTH(B3227)/3,0)</f>
        <v>Q4</v>
      </c>
    </row>
    <row r="3228" customFormat="false" ht="15" hidden="false" customHeight="true" outlineLevel="0" collapsed="false">
      <c r="A3228" s="1" t="n">
        <v>13227</v>
      </c>
      <c r="B3228" s="14" t="n">
        <v>47788</v>
      </c>
      <c r="C3228" s="1" t="n">
        <v>1448</v>
      </c>
      <c r="D3228" s="1" t="s">
        <v>37</v>
      </c>
      <c r="E3228" s="1" t="s">
        <v>28</v>
      </c>
      <c r="F3228" s="1" t="n">
        <v>4</v>
      </c>
      <c r="G3228" s="15" t="n">
        <v>579.28</v>
      </c>
      <c r="H3228" s="16" t="n">
        <v>0.2</v>
      </c>
      <c r="I3228" s="1" t="s">
        <v>29</v>
      </c>
      <c r="J3228" s="1" t="n">
        <v>2</v>
      </c>
      <c r="K3228" s="1" t="n">
        <v>4.9</v>
      </c>
      <c r="L3228" s="15" t="n">
        <v>1853.7</v>
      </c>
      <c r="M3228" s="15" t="n">
        <f aca="false">F3228*G3228</f>
        <v>2317.12</v>
      </c>
      <c r="N3228" s="15" t="n">
        <f aca="false">M3228-L3228</f>
        <v>463.42</v>
      </c>
      <c r="O3228" s="1" t="n">
        <f aca="false">YEAR(B3228)</f>
        <v>2030</v>
      </c>
      <c r="P3228" s="1" t="n">
        <f aca="false">MONTH(B3228)</f>
        <v>11</v>
      </c>
      <c r="Q3228" s="1" t="str">
        <f aca="false">TEXT(B3228,"mmm")</f>
        <v>Nov</v>
      </c>
      <c r="R3228" s="1" t="str">
        <f aca="false">"Q"&amp;ROUNDUP(MONTH(B3228)/3,0)</f>
        <v>Q4</v>
      </c>
    </row>
    <row r="3229" customFormat="false" ht="15" hidden="false" customHeight="true" outlineLevel="0" collapsed="false">
      <c r="A3229" s="1" t="n">
        <v>13228</v>
      </c>
      <c r="B3229" s="14" t="n">
        <v>47789</v>
      </c>
      <c r="C3229" s="1" t="n">
        <v>1842</v>
      </c>
      <c r="D3229" s="1" t="s">
        <v>34</v>
      </c>
      <c r="E3229" s="1" t="s">
        <v>28</v>
      </c>
      <c r="F3229" s="1" t="n">
        <v>5</v>
      </c>
      <c r="G3229" s="15" t="n">
        <v>295.04</v>
      </c>
      <c r="H3229" s="16" t="n">
        <v>0.21</v>
      </c>
      <c r="I3229" s="1" t="s">
        <v>31</v>
      </c>
      <c r="J3229" s="1" t="n">
        <v>1</v>
      </c>
      <c r="K3229" s="1" t="n">
        <v>1.5</v>
      </c>
      <c r="L3229" s="15" t="n">
        <v>1165.41</v>
      </c>
      <c r="M3229" s="15" t="n">
        <f aca="false">F3229*G3229</f>
        <v>1475.2</v>
      </c>
      <c r="N3229" s="15" t="n">
        <f aca="false">M3229-L3229</f>
        <v>309.79</v>
      </c>
      <c r="O3229" s="1" t="n">
        <f aca="false">YEAR(B3229)</f>
        <v>2030</v>
      </c>
      <c r="P3229" s="1" t="n">
        <f aca="false">MONTH(B3229)</f>
        <v>11</v>
      </c>
      <c r="Q3229" s="1" t="str">
        <f aca="false">TEXT(B3229,"mmm")</f>
        <v>Nov</v>
      </c>
      <c r="R3229" s="1" t="str">
        <f aca="false">"Q"&amp;ROUNDUP(MONTH(B3229)/3,0)</f>
        <v>Q4</v>
      </c>
    </row>
    <row r="3230" customFormat="false" ht="15" hidden="false" customHeight="true" outlineLevel="0" collapsed="false">
      <c r="A3230" s="1" t="n">
        <v>13229</v>
      </c>
      <c r="B3230" s="14" t="n">
        <v>47790</v>
      </c>
      <c r="C3230" s="1" t="n">
        <v>1834</v>
      </c>
      <c r="D3230" s="1" t="s">
        <v>27</v>
      </c>
      <c r="E3230" s="1" t="s">
        <v>36</v>
      </c>
      <c r="F3230" s="1" t="n">
        <v>5</v>
      </c>
      <c r="G3230" s="15" t="n">
        <v>75.85</v>
      </c>
      <c r="H3230" s="16" t="n">
        <v>0.24</v>
      </c>
      <c r="I3230" s="1" t="s">
        <v>31</v>
      </c>
      <c r="J3230" s="1" t="n">
        <v>2</v>
      </c>
      <c r="K3230" s="1" t="n">
        <v>2.1</v>
      </c>
      <c r="L3230" s="15" t="n">
        <v>288.23</v>
      </c>
      <c r="M3230" s="15" t="n">
        <f aca="false">F3230*G3230</f>
        <v>379.25</v>
      </c>
      <c r="N3230" s="15" t="n">
        <f aca="false">M3230-L3230</f>
        <v>91.02</v>
      </c>
      <c r="O3230" s="1" t="n">
        <f aca="false">YEAR(B3230)</f>
        <v>2030</v>
      </c>
      <c r="P3230" s="1" t="n">
        <f aca="false">MONTH(B3230)</f>
        <v>11</v>
      </c>
      <c r="Q3230" s="1" t="str">
        <f aca="false">TEXT(B3230,"mmm")</f>
        <v>Nov</v>
      </c>
      <c r="R3230" s="1" t="str">
        <f aca="false">"Q"&amp;ROUNDUP(MONTH(B3230)/3,0)</f>
        <v>Q4</v>
      </c>
    </row>
    <row r="3231" customFormat="false" ht="15" hidden="false" customHeight="true" outlineLevel="0" collapsed="false">
      <c r="A3231" s="1" t="n">
        <v>13230</v>
      </c>
      <c r="B3231" s="14" t="n">
        <v>47791</v>
      </c>
      <c r="C3231" s="1" t="n">
        <v>1179</v>
      </c>
      <c r="D3231" s="1" t="s">
        <v>27</v>
      </c>
      <c r="E3231" s="1" t="s">
        <v>35</v>
      </c>
      <c r="F3231" s="1" t="n">
        <v>3</v>
      </c>
      <c r="G3231" s="15" t="n">
        <v>474.4</v>
      </c>
      <c r="H3231" s="16" t="n">
        <v>0.14</v>
      </c>
      <c r="I3231" s="1" t="s">
        <v>31</v>
      </c>
      <c r="J3231" s="1" t="n">
        <v>8</v>
      </c>
      <c r="K3231" s="1" t="n">
        <v>3.7</v>
      </c>
      <c r="L3231" s="15" t="n">
        <v>1223.95</v>
      </c>
      <c r="M3231" s="15" t="n">
        <f aca="false">F3231*G3231</f>
        <v>1423.2</v>
      </c>
      <c r="N3231" s="15" t="n">
        <f aca="false">M3231-L3231</f>
        <v>199.25</v>
      </c>
      <c r="O3231" s="1" t="n">
        <f aca="false">YEAR(B3231)</f>
        <v>2030</v>
      </c>
      <c r="P3231" s="1" t="n">
        <f aca="false">MONTH(B3231)</f>
        <v>11</v>
      </c>
      <c r="Q3231" s="1" t="str">
        <f aca="false">TEXT(B3231,"mmm")</f>
        <v>Nov</v>
      </c>
      <c r="R3231" s="1" t="str">
        <f aca="false">"Q"&amp;ROUNDUP(MONTH(B3231)/3,0)</f>
        <v>Q4</v>
      </c>
    </row>
    <row r="3232" customFormat="false" ht="15" hidden="false" customHeight="true" outlineLevel="0" collapsed="false">
      <c r="A3232" s="1" t="n">
        <v>13231</v>
      </c>
      <c r="B3232" s="14" t="n">
        <v>47792</v>
      </c>
      <c r="C3232" s="1" t="n">
        <v>1701</v>
      </c>
      <c r="D3232" s="1" t="s">
        <v>34</v>
      </c>
      <c r="E3232" s="1" t="s">
        <v>28</v>
      </c>
      <c r="F3232" s="1" t="n">
        <v>4</v>
      </c>
      <c r="G3232" s="15" t="n">
        <v>422.83</v>
      </c>
      <c r="H3232" s="16" t="n">
        <v>0.27</v>
      </c>
      <c r="I3232" s="1" t="s">
        <v>31</v>
      </c>
      <c r="J3232" s="1" t="n">
        <v>10</v>
      </c>
      <c r="K3232" s="1" t="n">
        <v>1.9</v>
      </c>
      <c r="L3232" s="15" t="n">
        <v>1234.66</v>
      </c>
      <c r="M3232" s="15" t="n">
        <f aca="false">F3232*G3232</f>
        <v>1691.32</v>
      </c>
      <c r="N3232" s="15" t="n">
        <f aca="false">M3232-L3232</f>
        <v>456.66</v>
      </c>
      <c r="O3232" s="1" t="n">
        <f aca="false">YEAR(B3232)</f>
        <v>2030</v>
      </c>
      <c r="P3232" s="1" t="n">
        <f aca="false">MONTH(B3232)</f>
        <v>11</v>
      </c>
      <c r="Q3232" s="1" t="str">
        <f aca="false">TEXT(B3232,"mmm")</f>
        <v>Nov</v>
      </c>
      <c r="R3232" s="1" t="str">
        <f aca="false">"Q"&amp;ROUNDUP(MONTH(B3232)/3,0)</f>
        <v>Q4</v>
      </c>
    </row>
    <row r="3233" customFormat="false" ht="15" hidden="false" customHeight="true" outlineLevel="0" collapsed="false">
      <c r="A3233" s="1" t="n">
        <v>13232</v>
      </c>
      <c r="B3233" s="14" t="n">
        <v>47793</v>
      </c>
      <c r="C3233" s="1" t="n">
        <v>1406</v>
      </c>
      <c r="D3233" s="1" t="s">
        <v>34</v>
      </c>
      <c r="E3233" s="1" t="s">
        <v>36</v>
      </c>
      <c r="F3233" s="1" t="n">
        <v>5</v>
      </c>
      <c r="G3233" s="15" t="n">
        <v>222.48</v>
      </c>
      <c r="H3233" s="16" t="n">
        <v>0.34</v>
      </c>
      <c r="I3233" s="1" t="s">
        <v>31</v>
      </c>
      <c r="J3233" s="1" t="n">
        <v>6</v>
      </c>
      <c r="K3233" s="1" t="n">
        <v>1.1</v>
      </c>
      <c r="L3233" s="15" t="n">
        <v>734.18</v>
      </c>
      <c r="M3233" s="15" t="n">
        <f aca="false">F3233*G3233</f>
        <v>1112.4</v>
      </c>
      <c r="N3233" s="15" t="n">
        <f aca="false">M3233-L3233</f>
        <v>378.22</v>
      </c>
      <c r="O3233" s="1" t="n">
        <f aca="false">YEAR(B3233)</f>
        <v>2030</v>
      </c>
      <c r="P3233" s="1" t="n">
        <f aca="false">MONTH(B3233)</f>
        <v>11</v>
      </c>
      <c r="Q3233" s="1" t="str">
        <f aca="false">TEXT(B3233,"mmm")</f>
        <v>Nov</v>
      </c>
      <c r="R3233" s="1" t="str">
        <f aca="false">"Q"&amp;ROUNDUP(MONTH(B3233)/3,0)</f>
        <v>Q4</v>
      </c>
    </row>
    <row r="3234" customFormat="false" ht="15" hidden="false" customHeight="true" outlineLevel="0" collapsed="false">
      <c r="A3234" s="1" t="n">
        <v>13233</v>
      </c>
      <c r="B3234" s="14" t="n">
        <v>47794</v>
      </c>
      <c r="C3234" s="1" t="n">
        <v>1665</v>
      </c>
      <c r="D3234" s="1" t="s">
        <v>34</v>
      </c>
      <c r="E3234" s="1" t="s">
        <v>28</v>
      </c>
      <c r="F3234" s="1" t="n">
        <v>6</v>
      </c>
      <c r="G3234" s="15" t="n">
        <v>534.13</v>
      </c>
      <c r="H3234" s="16" t="n">
        <v>0.09</v>
      </c>
      <c r="I3234" s="1" t="s">
        <v>33</v>
      </c>
      <c r="J3234" s="1" t="n">
        <v>10</v>
      </c>
      <c r="K3234" s="1" t="n">
        <v>1.4</v>
      </c>
      <c r="L3234" s="15" t="n">
        <v>2916.35</v>
      </c>
      <c r="M3234" s="15" t="n">
        <f aca="false">F3234*G3234</f>
        <v>3204.78</v>
      </c>
      <c r="N3234" s="15" t="n">
        <f aca="false">M3234-L3234</f>
        <v>288.43</v>
      </c>
      <c r="O3234" s="1" t="n">
        <f aca="false">YEAR(B3234)</f>
        <v>2030</v>
      </c>
      <c r="P3234" s="1" t="n">
        <f aca="false">MONTH(B3234)</f>
        <v>11</v>
      </c>
      <c r="Q3234" s="1" t="str">
        <f aca="false">TEXT(B3234,"mmm")</f>
        <v>Nov</v>
      </c>
      <c r="R3234" s="1" t="str">
        <f aca="false">"Q"&amp;ROUNDUP(MONTH(B3234)/3,0)</f>
        <v>Q4</v>
      </c>
    </row>
    <row r="3235" customFormat="false" ht="15" hidden="false" customHeight="true" outlineLevel="0" collapsed="false">
      <c r="A3235" s="1" t="n">
        <v>13234</v>
      </c>
      <c r="B3235" s="14" t="n">
        <v>47795</v>
      </c>
      <c r="C3235" s="1" t="n">
        <v>1195</v>
      </c>
      <c r="D3235" s="1" t="s">
        <v>34</v>
      </c>
      <c r="E3235" s="1" t="s">
        <v>35</v>
      </c>
      <c r="F3235" s="1" t="n">
        <v>2</v>
      </c>
      <c r="G3235" s="15" t="n">
        <v>585.86</v>
      </c>
      <c r="H3235" s="16" t="n">
        <v>0.25</v>
      </c>
      <c r="I3235" s="1" t="s">
        <v>29</v>
      </c>
      <c r="J3235" s="1" t="n">
        <v>2</v>
      </c>
      <c r="K3235" s="1" t="n">
        <v>2.7</v>
      </c>
      <c r="L3235" s="15" t="n">
        <v>878.79</v>
      </c>
      <c r="M3235" s="15" t="n">
        <f aca="false">F3235*G3235</f>
        <v>1171.72</v>
      </c>
      <c r="N3235" s="15" t="n">
        <f aca="false">M3235-L3235</f>
        <v>292.93</v>
      </c>
      <c r="O3235" s="1" t="n">
        <f aca="false">YEAR(B3235)</f>
        <v>2030</v>
      </c>
      <c r="P3235" s="1" t="n">
        <f aca="false">MONTH(B3235)</f>
        <v>11</v>
      </c>
      <c r="Q3235" s="1" t="str">
        <f aca="false">TEXT(B3235,"mmm")</f>
        <v>Nov</v>
      </c>
      <c r="R3235" s="1" t="str">
        <f aca="false">"Q"&amp;ROUNDUP(MONTH(B3235)/3,0)</f>
        <v>Q4</v>
      </c>
    </row>
    <row r="3236" customFormat="false" ht="15" hidden="false" customHeight="true" outlineLevel="0" collapsed="false">
      <c r="A3236" s="1" t="n">
        <v>13235</v>
      </c>
      <c r="B3236" s="14" t="n">
        <v>47796</v>
      </c>
      <c r="C3236" s="1" t="n">
        <v>1465</v>
      </c>
      <c r="D3236" s="1" t="s">
        <v>37</v>
      </c>
      <c r="E3236" s="1" t="s">
        <v>32</v>
      </c>
      <c r="F3236" s="1" t="n">
        <v>2</v>
      </c>
      <c r="G3236" s="15" t="n">
        <v>341.34</v>
      </c>
      <c r="H3236" s="16" t="n">
        <v>0.32</v>
      </c>
      <c r="I3236" s="1" t="s">
        <v>31</v>
      </c>
      <c r="J3236" s="1" t="n">
        <v>9</v>
      </c>
      <c r="K3236" s="1" t="n">
        <v>2.7</v>
      </c>
      <c r="L3236" s="15" t="n">
        <v>464.22</v>
      </c>
      <c r="M3236" s="15" t="n">
        <f aca="false">F3236*G3236</f>
        <v>682.68</v>
      </c>
      <c r="N3236" s="15" t="n">
        <f aca="false">M3236-L3236</f>
        <v>218.46</v>
      </c>
      <c r="O3236" s="1" t="n">
        <f aca="false">YEAR(B3236)</f>
        <v>2030</v>
      </c>
      <c r="P3236" s="1" t="n">
        <f aca="false">MONTH(B3236)</f>
        <v>11</v>
      </c>
      <c r="Q3236" s="1" t="str">
        <f aca="false">TEXT(B3236,"mmm")</f>
        <v>Nov</v>
      </c>
      <c r="R3236" s="1" t="str">
        <f aca="false">"Q"&amp;ROUNDUP(MONTH(B3236)/3,0)</f>
        <v>Q4</v>
      </c>
    </row>
    <row r="3237" customFormat="false" ht="15" hidden="false" customHeight="true" outlineLevel="0" collapsed="false">
      <c r="A3237" s="1" t="n">
        <v>13236</v>
      </c>
      <c r="B3237" s="14" t="n">
        <v>47797</v>
      </c>
      <c r="C3237" s="1" t="n">
        <v>1310</v>
      </c>
      <c r="D3237" s="1" t="s">
        <v>30</v>
      </c>
      <c r="E3237" s="1" t="s">
        <v>36</v>
      </c>
      <c r="F3237" s="1" t="n">
        <v>4</v>
      </c>
      <c r="G3237" s="15" t="n">
        <v>345.95</v>
      </c>
      <c r="H3237" s="16" t="n">
        <v>0.24</v>
      </c>
      <c r="I3237" s="1" t="s">
        <v>31</v>
      </c>
      <c r="J3237" s="1" t="n">
        <v>8</v>
      </c>
      <c r="K3237" s="1" t="n">
        <v>4.9</v>
      </c>
      <c r="L3237" s="15" t="n">
        <v>1051.69</v>
      </c>
      <c r="M3237" s="15" t="n">
        <f aca="false">F3237*G3237</f>
        <v>1383.8</v>
      </c>
      <c r="N3237" s="15" t="n">
        <f aca="false">M3237-L3237</f>
        <v>332.11</v>
      </c>
      <c r="O3237" s="1" t="n">
        <f aca="false">YEAR(B3237)</f>
        <v>2030</v>
      </c>
      <c r="P3237" s="1" t="n">
        <f aca="false">MONTH(B3237)</f>
        <v>11</v>
      </c>
      <c r="Q3237" s="1" t="str">
        <f aca="false">TEXT(B3237,"mmm")</f>
        <v>Nov</v>
      </c>
      <c r="R3237" s="1" t="str">
        <f aca="false">"Q"&amp;ROUNDUP(MONTH(B3237)/3,0)</f>
        <v>Q4</v>
      </c>
    </row>
    <row r="3238" customFormat="false" ht="15" hidden="false" customHeight="true" outlineLevel="0" collapsed="false">
      <c r="A3238" s="1" t="n">
        <v>13237</v>
      </c>
      <c r="B3238" s="14" t="n">
        <v>47798</v>
      </c>
      <c r="C3238" s="1" t="n">
        <v>1261</v>
      </c>
      <c r="D3238" s="1" t="s">
        <v>34</v>
      </c>
      <c r="E3238" s="1" t="s">
        <v>36</v>
      </c>
      <c r="F3238" s="1" t="n">
        <v>3</v>
      </c>
      <c r="G3238" s="15" t="n">
        <v>189.05</v>
      </c>
      <c r="H3238" s="16" t="n">
        <v>0.24</v>
      </c>
      <c r="I3238" s="1" t="s">
        <v>31</v>
      </c>
      <c r="J3238" s="1" t="n">
        <v>4</v>
      </c>
      <c r="K3238" s="1" t="n">
        <v>2.9</v>
      </c>
      <c r="L3238" s="15" t="n">
        <v>431.03</v>
      </c>
      <c r="M3238" s="15" t="n">
        <f aca="false">F3238*G3238</f>
        <v>567.15</v>
      </c>
      <c r="N3238" s="15" t="n">
        <f aca="false">M3238-L3238</f>
        <v>136.12</v>
      </c>
      <c r="O3238" s="1" t="n">
        <f aca="false">YEAR(B3238)</f>
        <v>2030</v>
      </c>
      <c r="P3238" s="1" t="n">
        <f aca="false">MONTH(B3238)</f>
        <v>11</v>
      </c>
      <c r="Q3238" s="1" t="str">
        <f aca="false">TEXT(B3238,"mmm")</f>
        <v>Nov</v>
      </c>
      <c r="R3238" s="1" t="str">
        <f aca="false">"Q"&amp;ROUNDUP(MONTH(B3238)/3,0)</f>
        <v>Q4</v>
      </c>
    </row>
    <row r="3239" customFormat="false" ht="15" hidden="false" customHeight="true" outlineLevel="0" collapsed="false">
      <c r="A3239" s="1" t="n">
        <v>13238</v>
      </c>
      <c r="B3239" s="14" t="n">
        <v>47799</v>
      </c>
      <c r="C3239" s="1" t="n">
        <v>1418</v>
      </c>
      <c r="D3239" s="1" t="s">
        <v>34</v>
      </c>
      <c r="E3239" s="1" t="s">
        <v>36</v>
      </c>
      <c r="F3239" s="1" t="n">
        <v>3</v>
      </c>
      <c r="G3239" s="15" t="n">
        <v>356.94</v>
      </c>
      <c r="H3239" s="16" t="n">
        <v>0.08</v>
      </c>
      <c r="I3239" s="1" t="s">
        <v>31</v>
      </c>
      <c r="J3239" s="1" t="n">
        <v>11</v>
      </c>
      <c r="K3239" s="1" t="n">
        <v>3.7</v>
      </c>
      <c r="L3239" s="15" t="n">
        <v>985.15</v>
      </c>
      <c r="M3239" s="15" t="n">
        <f aca="false">F3239*G3239</f>
        <v>1070.82</v>
      </c>
      <c r="N3239" s="15" t="n">
        <f aca="false">M3239-L3239</f>
        <v>85.67</v>
      </c>
      <c r="O3239" s="1" t="n">
        <f aca="false">YEAR(B3239)</f>
        <v>2030</v>
      </c>
      <c r="P3239" s="1" t="n">
        <f aca="false">MONTH(B3239)</f>
        <v>11</v>
      </c>
      <c r="Q3239" s="1" t="str">
        <f aca="false">TEXT(B3239,"mmm")</f>
        <v>Nov</v>
      </c>
      <c r="R3239" s="1" t="str">
        <f aca="false">"Q"&amp;ROUNDUP(MONTH(B3239)/3,0)</f>
        <v>Q4</v>
      </c>
    </row>
    <row r="3240" customFormat="false" ht="15" hidden="false" customHeight="true" outlineLevel="0" collapsed="false">
      <c r="A3240" s="1" t="n">
        <v>13239</v>
      </c>
      <c r="B3240" s="14" t="n">
        <v>47800</v>
      </c>
      <c r="C3240" s="1" t="n">
        <v>1405</v>
      </c>
      <c r="D3240" s="1" t="s">
        <v>27</v>
      </c>
      <c r="E3240" s="1" t="s">
        <v>36</v>
      </c>
      <c r="F3240" s="1" t="n">
        <v>5</v>
      </c>
      <c r="G3240" s="15" t="n">
        <v>272.19</v>
      </c>
      <c r="H3240" s="16" t="n">
        <v>0.19</v>
      </c>
      <c r="I3240" s="1" t="s">
        <v>31</v>
      </c>
      <c r="J3240" s="1" t="n">
        <v>10</v>
      </c>
      <c r="K3240" s="1" t="n">
        <v>3</v>
      </c>
      <c r="L3240" s="15" t="n">
        <v>1102.37</v>
      </c>
      <c r="M3240" s="15" t="n">
        <f aca="false">F3240*G3240</f>
        <v>1360.95</v>
      </c>
      <c r="N3240" s="15" t="n">
        <f aca="false">M3240-L3240</f>
        <v>258.58</v>
      </c>
      <c r="O3240" s="1" t="n">
        <f aca="false">YEAR(B3240)</f>
        <v>2030</v>
      </c>
      <c r="P3240" s="1" t="n">
        <f aca="false">MONTH(B3240)</f>
        <v>11</v>
      </c>
      <c r="Q3240" s="1" t="str">
        <f aca="false">TEXT(B3240,"mmm")</f>
        <v>Nov</v>
      </c>
      <c r="R3240" s="1" t="str">
        <f aca="false">"Q"&amp;ROUNDUP(MONTH(B3240)/3,0)</f>
        <v>Q4</v>
      </c>
    </row>
    <row r="3241" customFormat="false" ht="15" hidden="false" customHeight="true" outlineLevel="0" collapsed="false">
      <c r="A3241" s="1" t="n">
        <v>13240</v>
      </c>
      <c r="B3241" s="14" t="n">
        <v>47801</v>
      </c>
      <c r="C3241" s="1" t="n">
        <v>1938</v>
      </c>
      <c r="D3241" s="1" t="s">
        <v>30</v>
      </c>
      <c r="E3241" s="1" t="s">
        <v>36</v>
      </c>
      <c r="F3241" s="1" t="n">
        <v>7</v>
      </c>
      <c r="G3241" s="15" t="n">
        <v>191.78</v>
      </c>
      <c r="H3241" s="16" t="n">
        <v>0.2</v>
      </c>
      <c r="I3241" s="1" t="s">
        <v>33</v>
      </c>
      <c r="J3241" s="1" t="n">
        <v>7</v>
      </c>
      <c r="K3241" s="1" t="n">
        <v>2.1</v>
      </c>
      <c r="L3241" s="15" t="n">
        <v>1073.97</v>
      </c>
      <c r="M3241" s="15" t="n">
        <f aca="false">F3241*G3241</f>
        <v>1342.46</v>
      </c>
      <c r="N3241" s="15" t="n">
        <f aca="false">M3241-L3241</f>
        <v>268.49</v>
      </c>
      <c r="O3241" s="1" t="n">
        <f aca="false">YEAR(B3241)</f>
        <v>2030</v>
      </c>
      <c r="P3241" s="1" t="n">
        <f aca="false">MONTH(B3241)</f>
        <v>11</v>
      </c>
      <c r="Q3241" s="1" t="str">
        <f aca="false">TEXT(B3241,"mmm")</f>
        <v>Nov</v>
      </c>
      <c r="R3241" s="1" t="str">
        <f aca="false">"Q"&amp;ROUNDUP(MONTH(B3241)/3,0)</f>
        <v>Q4</v>
      </c>
    </row>
    <row r="3242" customFormat="false" ht="15" hidden="false" customHeight="true" outlineLevel="0" collapsed="false">
      <c r="A3242" s="1" t="n">
        <v>13241</v>
      </c>
      <c r="B3242" s="14" t="n">
        <v>47802</v>
      </c>
      <c r="C3242" s="1" t="n">
        <v>1142</v>
      </c>
      <c r="D3242" s="1" t="s">
        <v>30</v>
      </c>
      <c r="E3242" s="1" t="s">
        <v>36</v>
      </c>
      <c r="F3242" s="1" t="n">
        <v>4</v>
      </c>
      <c r="G3242" s="15" t="n">
        <v>54.3</v>
      </c>
      <c r="H3242" s="16" t="n">
        <v>0.25</v>
      </c>
      <c r="I3242" s="1" t="s">
        <v>31</v>
      </c>
      <c r="J3242" s="1" t="n">
        <v>3</v>
      </c>
      <c r="K3242" s="1" t="n">
        <v>1.4</v>
      </c>
      <c r="L3242" s="15" t="n">
        <v>162.9</v>
      </c>
      <c r="M3242" s="15" t="n">
        <f aca="false">F3242*G3242</f>
        <v>217.2</v>
      </c>
      <c r="N3242" s="15" t="n">
        <f aca="false">M3242-L3242</f>
        <v>54.3</v>
      </c>
      <c r="O3242" s="1" t="n">
        <f aca="false">YEAR(B3242)</f>
        <v>2030</v>
      </c>
      <c r="P3242" s="1" t="n">
        <f aca="false">MONTH(B3242)</f>
        <v>11</v>
      </c>
      <c r="Q3242" s="1" t="str">
        <f aca="false">TEXT(B3242,"mmm")</f>
        <v>Nov</v>
      </c>
      <c r="R3242" s="1" t="str">
        <f aca="false">"Q"&amp;ROUNDUP(MONTH(B3242)/3,0)</f>
        <v>Q4</v>
      </c>
    </row>
    <row r="3243" customFormat="false" ht="15" hidden="false" customHeight="true" outlineLevel="0" collapsed="false">
      <c r="A3243" s="1" t="n">
        <v>13242</v>
      </c>
      <c r="B3243" s="14" t="n">
        <v>47803</v>
      </c>
      <c r="C3243" s="1" t="n">
        <v>1341</v>
      </c>
      <c r="D3243" s="1" t="s">
        <v>34</v>
      </c>
      <c r="E3243" s="1" t="s">
        <v>35</v>
      </c>
      <c r="F3243" s="1" t="n">
        <v>7</v>
      </c>
      <c r="G3243" s="15" t="n">
        <v>162.83</v>
      </c>
      <c r="H3243" s="16" t="n">
        <v>0.35</v>
      </c>
      <c r="I3243" s="1" t="s">
        <v>29</v>
      </c>
      <c r="J3243" s="1" t="n">
        <v>6</v>
      </c>
      <c r="K3243" s="1" t="n">
        <v>4.4</v>
      </c>
      <c r="L3243" s="15" t="n">
        <v>740.88</v>
      </c>
      <c r="M3243" s="15" t="n">
        <f aca="false">F3243*G3243</f>
        <v>1139.81</v>
      </c>
      <c r="N3243" s="15" t="n">
        <f aca="false">M3243-L3243</f>
        <v>398.93</v>
      </c>
      <c r="O3243" s="1" t="n">
        <f aca="false">YEAR(B3243)</f>
        <v>2030</v>
      </c>
      <c r="P3243" s="1" t="n">
        <f aca="false">MONTH(B3243)</f>
        <v>11</v>
      </c>
      <c r="Q3243" s="1" t="str">
        <f aca="false">TEXT(B3243,"mmm")</f>
        <v>Nov</v>
      </c>
      <c r="R3243" s="1" t="str">
        <f aca="false">"Q"&amp;ROUNDUP(MONTH(B3243)/3,0)</f>
        <v>Q4</v>
      </c>
    </row>
    <row r="3244" customFormat="false" ht="15" hidden="false" customHeight="true" outlineLevel="0" collapsed="false">
      <c r="A3244" s="1" t="n">
        <v>13243</v>
      </c>
      <c r="B3244" s="14" t="n">
        <v>47804</v>
      </c>
      <c r="C3244" s="1" t="n">
        <v>1315</v>
      </c>
      <c r="D3244" s="1" t="s">
        <v>27</v>
      </c>
      <c r="E3244" s="1" t="s">
        <v>32</v>
      </c>
      <c r="F3244" s="1" t="n">
        <v>2</v>
      </c>
      <c r="G3244" s="15" t="n">
        <v>130.74</v>
      </c>
      <c r="H3244" s="16" t="n">
        <v>0.01</v>
      </c>
      <c r="I3244" s="1" t="s">
        <v>33</v>
      </c>
      <c r="J3244" s="1" t="n">
        <v>3</v>
      </c>
      <c r="K3244" s="1" t="n">
        <v>1.6</v>
      </c>
      <c r="L3244" s="15" t="n">
        <v>258.87</v>
      </c>
      <c r="M3244" s="15" t="n">
        <f aca="false">F3244*G3244</f>
        <v>261.48</v>
      </c>
      <c r="N3244" s="15" t="n">
        <f aca="false">M3244-L3244</f>
        <v>2.61000000000001</v>
      </c>
      <c r="O3244" s="1" t="n">
        <f aca="false">YEAR(B3244)</f>
        <v>2030</v>
      </c>
      <c r="P3244" s="1" t="n">
        <f aca="false">MONTH(B3244)</f>
        <v>11</v>
      </c>
      <c r="Q3244" s="1" t="str">
        <f aca="false">TEXT(B3244,"mmm")</f>
        <v>Nov</v>
      </c>
      <c r="R3244" s="1" t="str">
        <f aca="false">"Q"&amp;ROUNDUP(MONTH(B3244)/3,0)</f>
        <v>Q4</v>
      </c>
    </row>
    <row r="3245" customFormat="false" ht="15" hidden="false" customHeight="true" outlineLevel="0" collapsed="false">
      <c r="A3245" s="1" t="n">
        <v>13244</v>
      </c>
      <c r="B3245" s="14" t="n">
        <v>47805</v>
      </c>
      <c r="C3245" s="1" t="n">
        <v>1100</v>
      </c>
      <c r="D3245" s="1" t="s">
        <v>37</v>
      </c>
      <c r="E3245" s="1" t="s">
        <v>35</v>
      </c>
      <c r="F3245" s="1" t="n">
        <v>6</v>
      </c>
      <c r="G3245" s="15" t="n">
        <v>332.09</v>
      </c>
      <c r="H3245" s="16" t="n">
        <v>0.02</v>
      </c>
      <c r="I3245" s="1" t="s">
        <v>33</v>
      </c>
      <c r="J3245" s="1" t="n">
        <v>10</v>
      </c>
      <c r="K3245" s="1" t="n">
        <v>1.4</v>
      </c>
      <c r="L3245" s="15" t="n">
        <v>1952.69</v>
      </c>
      <c r="M3245" s="15" t="n">
        <f aca="false">F3245*G3245</f>
        <v>1992.54</v>
      </c>
      <c r="N3245" s="15" t="n">
        <f aca="false">M3245-L3245</f>
        <v>39.8499999999999</v>
      </c>
      <c r="O3245" s="1" t="n">
        <f aca="false">YEAR(B3245)</f>
        <v>2030</v>
      </c>
      <c r="P3245" s="1" t="n">
        <f aca="false">MONTH(B3245)</f>
        <v>11</v>
      </c>
      <c r="Q3245" s="1" t="str">
        <f aca="false">TEXT(B3245,"mmm")</f>
        <v>Nov</v>
      </c>
      <c r="R3245" s="1" t="str">
        <f aca="false">"Q"&amp;ROUNDUP(MONTH(B3245)/3,0)</f>
        <v>Q4</v>
      </c>
    </row>
    <row r="3246" customFormat="false" ht="15" hidden="false" customHeight="true" outlineLevel="0" collapsed="false">
      <c r="A3246" s="1" t="n">
        <v>13245</v>
      </c>
      <c r="B3246" s="14" t="n">
        <v>47806</v>
      </c>
      <c r="C3246" s="1" t="n">
        <v>1243</v>
      </c>
      <c r="D3246" s="1" t="s">
        <v>34</v>
      </c>
      <c r="E3246" s="1" t="s">
        <v>35</v>
      </c>
      <c r="F3246" s="1" t="n">
        <v>5</v>
      </c>
      <c r="G3246" s="15" t="n">
        <v>366.98</v>
      </c>
      <c r="H3246" s="16" t="n">
        <v>0.03</v>
      </c>
      <c r="I3246" s="1" t="s">
        <v>31</v>
      </c>
      <c r="J3246" s="1" t="n">
        <v>3</v>
      </c>
      <c r="K3246" s="1" t="n">
        <v>1.9</v>
      </c>
      <c r="L3246" s="15" t="n">
        <v>1779.85</v>
      </c>
      <c r="M3246" s="15" t="n">
        <f aca="false">F3246*G3246</f>
        <v>1834.9</v>
      </c>
      <c r="N3246" s="15" t="n">
        <f aca="false">M3246-L3246</f>
        <v>55.0500000000002</v>
      </c>
      <c r="O3246" s="1" t="n">
        <f aca="false">YEAR(B3246)</f>
        <v>2030</v>
      </c>
      <c r="P3246" s="1" t="n">
        <f aca="false">MONTH(B3246)</f>
        <v>11</v>
      </c>
      <c r="Q3246" s="1" t="str">
        <f aca="false">TEXT(B3246,"mmm")</f>
        <v>Nov</v>
      </c>
      <c r="R3246" s="1" t="str">
        <f aca="false">"Q"&amp;ROUNDUP(MONTH(B3246)/3,0)</f>
        <v>Q4</v>
      </c>
    </row>
    <row r="3247" customFormat="false" ht="15" hidden="false" customHeight="true" outlineLevel="0" collapsed="false">
      <c r="A3247" s="1" t="n">
        <v>13246</v>
      </c>
      <c r="B3247" s="14" t="n">
        <v>47807</v>
      </c>
      <c r="C3247" s="1" t="n">
        <v>1489</v>
      </c>
      <c r="D3247" s="1" t="s">
        <v>34</v>
      </c>
      <c r="E3247" s="1" t="s">
        <v>32</v>
      </c>
      <c r="F3247" s="1" t="n">
        <v>6</v>
      </c>
      <c r="G3247" s="15" t="n">
        <v>371.01</v>
      </c>
      <c r="H3247" s="16" t="n">
        <v>0.26</v>
      </c>
      <c r="I3247" s="1" t="s">
        <v>33</v>
      </c>
      <c r="J3247" s="1" t="n">
        <v>11</v>
      </c>
      <c r="K3247" s="1" t="n">
        <v>1</v>
      </c>
      <c r="L3247" s="15" t="n">
        <v>1647.28</v>
      </c>
      <c r="M3247" s="15" t="n">
        <f aca="false">F3247*G3247</f>
        <v>2226.06</v>
      </c>
      <c r="N3247" s="15" t="n">
        <f aca="false">M3247-L3247</f>
        <v>578.78</v>
      </c>
      <c r="O3247" s="1" t="n">
        <f aca="false">YEAR(B3247)</f>
        <v>2030</v>
      </c>
      <c r="P3247" s="1" t="n">
        <f aca="false">MONTH(B3247)</f>
        <v>11</v>
      </c>
      <c r="Q3247" s="1" t="str">
        <f aca="false">TEXT(B3247,"mmm")</f>
        <v>Nov</v>
      </c>
      <c r="R3247" s="1" t="str">
        <f aca="false">"Q"&amp;ROUNDUP(MONTH(B3247)/3,0)</f>
        <v>Q4</v>
      </c>
    </row>
    <row r="3248" customFormat="false" ht="15" hidden="false" customHeight="true" outlineLevel="0" collapsed="false">
      <c r="A3248" s="1" t="n">
        <v>13247</v>
      </c>
      <c r="B3248" s="14" t="n">
        <v>47808</v>
      </c>
      <c r="C3248" s="1" t="n">
        <v>1011</v>
      </c>
      <c r="D3248" s="1" t="s">
        <v>34</v>
      </c>
      <c r="E3248" s="1" t="s">
        <v>35</v>
      </c>
      <c r="F3248" s="1" t="n">
        <v>7</v>
      </c>
      <c r="G3248" s="15" t="n">
        <v>242.09</v>
      </c>
      <c r="H3248" s="16" t="n">
        <v>0.05</v>
      </c>
      <c r="I3248" s="1" t="s">
        <v>33</v>
      </c>
      <c r="J3248" s="1" t="n">
        <v>9</v>
      </c>
      <c r="K3248" s="1" t="n">
        <v>1.3</v>
      </c>
      <c r="L3248" s="15" t="n">
        <v>1609.9</v>
      </c>
      <c r="M3248" s="15" t="n">
        <f aca="false">F3248*G3248</f>
        <v>1694.63</v>
      </c>
      <c r="N3248" s="15" t="n">
        <f aca="false">M3248-L3248</f>
        <v>84.73</v>
      </c>
      <c r="O3248" s="1" t="n">
        <f aca="false">YEAR(B3248)</f>
        <v>2030</v>
      </c>
      <c r="P3248" s="1" t="n">
        <f aca="false">MONTH(B3248)</f>
        <v>11</v>
      </c>
      <c r="Q3248" s="1" t="str">
        <f aca="false">TEXT(B3248,"mmm")</f>
        <v>Nov</v>
      </c>
      <c r="R3248" s="1" t="str">
        <f aca="false">"Q"&amp;ROUNDUP(MONTH(B3248)/3,0)</f>
        <v>Q4</v>
      </c>
    </row>
    <row r="3249" customFormat="false" ht="15" hidden="false" customHeight="true" outlineLevel="0" collapsed="false">
      <c r="A3249" s="1" t="n">
        <v>13248</v>
      </c>
      <c r="B3249" s="14" t="n">
        <v>47809</v>
      </c>
      <c r="C3249" s="1" t="n">
        <v>1238</v>
      </c>
      <c r="D3249" s="1" t="s">
        <v>34</v>
      </c>
      <c r="E3249" s="1" t="s">
        <v>28</v>
      </c>
      <c r="F3249" s="1" t="n">
        <v>5</v>
      </c>
      <c r="G3249" s="15" t="n">
        <v>261.42</v>
      </c>
      <c r="H3249" s="16" t="n">
        <v>0.22</v>
      </c>
      <c r="I3249" s="1" t="s">
        <v>31</v>
      </c>
      <c r="J3249" s="1" t="n">
        <v>6</v>
      </c>
      <c r="K3249" s="1" t="n">
        <v>3.5</v>
      </c>
      <c r="L3249" s="15" t="n">
        <v>1019.54</v>
      </c>
      <c r="M3249" s="15" t="n">
        <f aca="false">F3249*G3249</f>
        <v>1307.1</v>
      </c>
      <c r="N3249" s="15" t="n">
        <f aca="false">M3249-L3249</f>
        <v>287.56</v>
      </c>
      <c r="O3249" s="1" t="n">
        <f aca="false">YEAR(B3249)</f>
        <v>2030</v>
      </c>
      <c r="P3249" s="1" t="n">
        <f aca="false">MONTH(B3249)</f>
        <v>11</v>
      </c>
      <c r="Q3249" s="1" t="str">
        <f aca="false">TEXT(B3249,"mmm")</f>
        <v>Nov</v>
      </c>
      <c r="R3249" s="1" t="str">
        <f aca="false">"Q"&amp;ROUNDUP(MONTH(B3249)/3,0)</f>
        <v>Q4</v>
      </c>
    </row>
    <row r="3250" customFormat="false" ht="15" hidden="false" customHeight="true" outlineLevel="0" collapsed="false">
      <c r="A3250" s="1" t="n">
        <v>13249</v>
      </c>
      <c r="B3250" s="14" t="n">
        <v>47810</v>
      </c>
      <c r="C3250" s="1" t="n">
        <v>1560</v>
      </c>
      <c r="D3250" s="1" t="s">
        <v>30</v>
      </c>
      <c r="E3250" s="1" t="s">
        <v>35</v>
      </c>
      <c r="F3250" s="1" t="n">
        <v>1</v>
      </c>
      <c r="G3250" s="15" t="n">
        <v>503.03</v>
      </c>
      <c r="H3250" s="16" t="n">
        <v>0.11</v>
      </c>
      <c r="I3250" s="1" t="s">
        <v>31</v>
      </c>
      <c r="J3250" s="1" t="n">
        <v>8</v>
      </c>
      <c r="K3250" s="1" t="n">
        <v>2</v>
      </c>
      <c r="L3250" s="15" t="n">
        <v>447.7</v>
      </c>
      <c r="M3250" s="15" t="n">
        <f aca="false">F3250*G3250</f>
        <v>503.03</v>
      </c>
      <c r="N3250" s="15" t="n">
        <f aca="false">M3250-L3250</f>
        <v>55.33</v>
      </c>
      <c r="O3250" s="1" t="n">
        <f aca="false">YEAR(B3250)</f>
        <v>2030</v>
      </c>
      <c r="P3250" s="1" t="n">
        <f aca="false">MONTH(B3250)</f>
        <v>11</v>
      </c>
      <c r="Q3250" s="1" t="str">
        <f aca="false">TEXT(B3250,"mmm")</f>
        <v>Nov</v>
      </c>
      <c r="R3250" s="1" t="str">
        <f aca="false">"Q"&amp;ROUNDUP(MONTH(B3250)/3,0)</f>
        <v>Q4</v>
      </c>
    </row>
    <row r="3251" customFormat="false" ht="15" hidden="false" customHeight="true" outlineLevel="0" collapsed="false">
      <c r="A3251" s="1" t="n">
        <v>13250</v>
      </c>
      <c r="B3251" s="14" t="n">
        <v>47811</v>
      </c>
      <c r="C3251" s="1" t="n">
        <v>1041</v>
      </c>
      <c r="D3251" s="1" t="s">
        <v>27</v>
      </c>
      <c r="E3251" s="1" t="s">
        <v>36</v>
      </c>
      <c r="F3251" s="1" t="n">
        <v>6</v>
      </c>
      <c r="G3251" s="15" t="n">
        <v>293.6</v>
      </c>
      <c r="H3251" s="16" t="n">
        <v>0.16</v>
      </c>
      <c r="I3251" s="1" t="s">
        <v>29</v>
      </c>
      <c r="J3251" s="1" t="n">
        <v>4</v>
      </c>
      <c r="K3251" s="1" t="n">
        <v>2.4</v>
      </c>
      <c r="L3251" s="15" t="n">
        <v>1479.74</v>
      </c>
      <c r="M3251" s="15" t="n">
        <f aca="false">F3251*G3251</f>
        <v>1761.6</v>
      </c>
      <c r="N3251" s="15" t="n">
        <f aca="false">M3251-L3251</f>
        <v>281.86</v>
      </c>
      <c r="O3251" s="1" t="n">
        <f aca="false">YEAR(B3251)</f>
        <v>2030</v>
      </c>
      <c r="P3251" s="1" t="n">
        <f aca="false">MONTH(B3251)</f>
        <v>11</v>
      </c>
      <c r="Q3251" s="1" t="str">
        <f aca="false">TEXT(B3251,"mmm")</f>
        <v>Nov</v>
      </c>
      <c r="R3251" s="1" t="str">
        <f aca="false">"Q"&amp;ROUNDUP(MONTH(B3251)/3,0)</f>
        <v>Q4</v>
      </c>
    </row>
    <row r="3252" customFormat="false" ht="15" hidden="false" customHeight="true" outlineLevel="0" collapsed="false">
      <c r="A3252" s="1" t="n">
        <v>13251</v>
      </c>
      <c r="B3252" s="14" t="n">
        <v>47812</v>
      </c>
      <c r="C3252" s="1" t="n">
        <v>1677</v>
      </c>
      <c r="D3252" s="1" t="s">
        <v>30</v>
      </c>
      <c r="E3252" s="1" t="s">
        <v>28</v>
      </c>
      <c r="F3252" s="1" t="n">
        <v>4</v>
      </c>
      <c r="G3252" s="15" t="n">
        <v>592.85</v>
      </c>
      <c r="H3252" s="16" t="n">
        <v>0.08</v>
      </c>
      <c r="I3252" s="1" t="s">
        <v>31</v>
      </c>
      <c r="J3252" s="1" t="n">
        <v>4</v>
      </c>
      <c r="K3252" s="1" t="n">
        <v>4.3</v>
      </c>
      <c r="L3252" s="15" t="n">
        <v>2181.69</v>
      </c>
      <c r="M3252" s="15" t="n">
        <f aca="false">F3252*G3252</f>
        <v>2371.4</v>
      </c>
      <c r="N3252" s="15" t="n">
        <f aca="false">M3252-L3252</f>
        <v>189.71</v>
      </c>
      <c r="O3252" s="1" t="n">
        <f aca="false">YEAR(B3252)</f>
        <v>2030</v>
      </c>
      <c r="P3252" s="1" t="n">
        <f aca="false">MONTH(B3252)</f>
        <v>11</v>
      </c>
      <c r="Q3252" s="1" t="str">
        <f aca="false">TEXT(B3252,"mmm")</f>
        <v>Nov</v>
      </c>
      <c r="R3252" s="1" t="str">
        <f aca="false">"Q"&amp;ROUNDUP(MONTH(B3252)/3,0)</f>
        <v>Q4</v>
      </c>
    </row>
    <row r="3253" customFormat="false" ht="15" hidden="false" customHeight="true" outlineLevel="0" collapsed="false">
      <c r="A3253" s="1" t="n">
        <v>13252</v>
      </c>
      <c r="B3253" s="14" t="n">
        <v>47813</v>
      </c>
      <c r="C3253" s="1" t="n">
        <v>1593</v>
      </c>
      <c r="D3253" s="1" t="s">
        <v>37</v>
      </c>
      <c r="E3253" s="1" t="s">
        <v>28</v>
      </c>
      <c r="F3253" s="1" t="n">
        <v>6</v>
      </c>
      <c r="G3253" s="15" t="n">
        <v>272.18</v>
      </c>
      <c r="H3253" s="16" t="n">
        <v>0.3</v>
      </c>
      <c r="I3253" s="1" t="s">
        <v>31</v>
      </c>
      <c r="J3253" s="1" t="n">
        <v>8</v>
      </c>
      <c r="K3253" s="1" t="n">
        <v>4.1</v>
      </c>
      <c r="L3253" s="15" t="n">
        <v>1143.16</v>
      </c>
      <c r="M3253" s="15" t="n">
        <f aca="false">F3253*G3253</f>
        <v>1633.08</v>
      </c>
      <c r="N3253" s="15" t="n">
        <f aca="false">M3253-L3253</f>
        <v>489.92</v>
      </c>
      <c r="O3253" s="1" t="n">
        <f aca="false">YEAR(B3253)</f>
        <v>2030</v>
      </c>
      <c r="P3253" s="1" t="n">
        <f aca="false">MONTH(B3253)</f>
        <v>11</v>
      </c>
      <c r="Q3253" s="1" t="str">
        <f aca="false">TEXT(B3253,"mmm")</f>
        <v>Nov</v>
      </c>
      <c r="R3253" s="1" t="str">
        <f aca="false">"Q"&amp;ROUNDUP(MONTH(B3253)/3,0)</f>
        <v>Q4</v>
      </c>
    </row>
    <row r="3254" customFormat="false" ht="15" hidden="false" customHeight="true" outlineLevel="0" collapsed="false">
      <c r="A3254" s="1" t="n">
        <v>13253</v>
      </c>
      <c r="B3254" s="14" t="n">
        <v>47814</v>
      </c>
      <c r="C3254" s="1" t="n">
        <v>1428</v>
      </c>
      <c r="D3254" s="1" t="s">
        <v>30</v>
      </c>
      <c r="E3254" s="1" t="s">
        <v>32</v>
      </c>
      <c r="F3254" s="1" t="n">
        <v>6</v>
      </c>
      <c r="G3254" s="15" t="n">
        <v>395</v>
      </c>
      <c r="H3254" s="16" t="n">
        <v>0.21</v>
      </c>
      <c r="I3254" s="1" t="s">
        <v>31</v>
      </c>
      <c r="J3254" s="1" t="n">
        <v>7</v>
      </c>
      <c r="K3254" s="1" t="n">
        <v>3</v>
      </c>
      <c r="L3254" s="15" t="n">
        <v>1872.3</v>
      </c>
      <c r="M3254" s="15" t="n">
        <f aca="false">F3254*G3254</f>
        <v>2370</v>
      </c>
      <c r="N3254" s="15" t="n">
        <f aca="false">M3254-L3254</f>
        <v>497.7</v>
      </c>
      <c r="O3254" s="1" t="n">
        <f aca="false">YEAR(B3254)</f>
        <v>2030</v>
      </c>
      <c r="P3254" s="1" t="n">
        <f aca="false">MONTH(B3254)</f>
        <v>11</v>
      </c>
      <c r="Q3254" s="1" t="str">
        <f aca="false">TEXT(B3254,"mmm")</f>
        <v>Nov</v>
      </c>
      <c r="R3254" s="1" t="str">
        <f aca="false">"Q"&amp;ROUNDUP(MONTH(B3254)/3,0)</f>
        <v>Q4</v>
      </c>
    </row>
    <row r="3255" customFormat="false" ht="15" hidden="false" customHeight="true" outlineLevel="0" collapsed="false">
      <c r="A3255" s="1" t="n">
        <v>13254</v>
      </c>
      <c r="B3255" s="14" t="n">
        <v>47815</v>
      </c>
      <c r="C3255" s="1" t="n">
        <v>1802</v>
      </c>
      <c r="D3255" s="1" t="s">
        <v>37</v>
      </c>
      <c r="E3255" s="1" t="s">
        <v>35</v>
      </c>
      <c r="F3255" s="1" t="n">
        <v>5</v>
      </c>
      <c r="G3255" s="15" t="n">
        <v>44.46</v>
      </c>
      <c r="H3255" s="16" t="n">
        <v>0.33</v>
      </c>
      <c r="I3255" s="1" t="s">
        <v>31</v>
      </c>
      <c r="J3255" s="1" t="n">
        <v>5</v>
      </c>
      <c r="K3255" s="1" t="n">
        <v>3.5</v>
      </c>
      <c r="L3255" s="15" t="n">
        <v>148.94</v>
      </c>
      <c r="M3255" s="15" t="n">
        <f aca="false">F3255*G3255</f>
        <v>222.3</v>
      </c>
      <c r="N3255" s="15" t="n">
        <f aca="false">M3255-L3255</f>
        <v>73.36</v>
      </c>
      <c r="O3255" s="1" t="n">
        <f aca="false">YEAR(B3255)</f>
        <v>2030</v>
      </c>
      <c r="P3255" s="1" t="n">
        <f aca="false">MONTH(B3255)</f>
        <v>11</v>
      </c>
      <c r="Q3255" s="1" t="str">
        <f aca="false">TEXT(B3255,"mmm")</f>
        <v>Nov</v>
      </c>
      <c r="R3255" s="1" t="str">
        <f aca="false">"Q"&amp;ROUNDUP(MONTH(B3255)/3,0)</f>
        <v>Q4</v>
      </c>
    </row>
    <row r="3256" customFormat="false" ht="15" hidden="false" customHeight="true" outlineLevel="0" collapsed="false">
      <c r="A3256" s="1" t="n">
        <v>13255</v>
      </c>
      <c r="B3256" s="14" t="n">
        <v>47816</v>
      </c>
      <c r="C3256" s="1" t="n">
        <v>1157</v>
      </c>
      <c r="D3256" s="1" t="s">
        <v>37</v>
      </c>
      <c r="E3256" s="1" t="s">
        <v>35</v>
      </c>
      <c r="F3256" s="1" t="n">
        <v>2</v>
      </c>
      <c r="G3256" s="15" t="n">
        <v>397.2</v>
      </c>
      <c r="H3256" s="16" t="n">
        <v>0.2</v>
      </c>
      <c r="I3256" s="1" t="s">
        <v>31</v>
      </c>
      <c r="J3256" s="1" t="n">
        <v>2</v>
      </c>
      <c r="K3256" s="1" t="n">
        <v>1.3</v>
      </c>
      <c r="L3256" s="15" t="n">
        <v>635.52</v>
      </c>
      <c r="M3256" s="15" t="n">
        <f aca="false">F3256*G3256</f>
        <v>794.4</v>
      </c>
      <c r="N3256" s="15" t="n">
        <f aca="false">M3256-L3256</f>
        <v>158.88</v>
      </c>
      <c r="O3256" s="1" t="n">
        <f aca="false">YEAR(B3256)</f>
        <v>2030</v>
      </c>
      <c r="P3256" s="1" t="n">
        <f aca="false">MONTH(B3256)</f>
        <v>11</v>
      </c>
      <c r="Q3256" s="1" t="str">
        <f aca="false">TEXT(B3256,"mmm")</f>
        <v>Nov</v>
      </c>
      <c r="R3256" s="1" t="str">
        <f aca="false">"Q"&amp;ROUNDUP(MONTH(B3256)/3,0)</f>
        <v>Q4</v>
      </c>
    </row>
    <row r="3257" customFormat="false" ht="15" hidden="false" customHeight="true" outlineLevel="0" collapsed="false">
      <c r="A3257" s="1" t="n">
        <v>13256</v>
      </c>
      <c r="B3257" s="14" t="n">
        <v>47817</v>
      </c>
      <c r="C3257" s="1" t="n">
        <v>1215</v>
      </c>
      <c r="D3257" s="1" t="s">
        <v>34</v>
      </c>
      <c r="E3257" s="1" t="s">
        <v>28</v>
      </c>
      <c r="F3257" s="1" t="n">
        <v>7</v>
      </c>
      <c r="G3257" s="15" t="n">
        <v>513.08</v>
      </c>
      <c r="H3257" s="16" t="n">
        <v>0.04</v>
      </c>
      <c r="I3257" s="1" t="s">
        <v>31</v>
      </c>
      <c r="J3257" s="1" t="n">
        <v>6</v>
      </c>
      <c r="K3257" s="1" t="n">
        <v>4</v>
      </c>
      <c r="L3257" s="15" t="n">
        <v>3447.9</v>
      </c>
      <c r="M3257" s="15" t="n">
        <f aca="false">F3257*G3257</f>
        <v>3591.56</v>
      </c>
      <c r="N3257" s="15" t="n">
        <f aca="false">M3257-L3257</f>
        <v>143.66</v>
      </c>
      <c r="O3257" s="1" t="n">
        <f aca="false">YEAR(B3257)</f>
        <v>2030</v>
      </c>
      <c r="P3257" s="1" t="n">
        <f aca="false">MONTH(B3257)</f>
        <v>11</v>
      </c>
      <c r="Q3257" s="1" t="str">
        <f aca="false">TEXT(B3257,"mmm")</f>
        <v>Nov</v>
      </c>
      <c r="R3257" s="1" t="str">
        <f aca="false">"Q"&amp;ROUNDUP(MONTH(B3257)/3,0)</f>
        <v>Q4</v>
      </c>
    </row>
    <row r="3258" customFormat="false" ht="15" hidden="false" customHeight="true" outlineLevel="0" collapsed="false">
      <c r="A3258" s="1" t="n">
        <v>13257</v>
      </c>
      <c r="B3258" s="14" t="n">
        <v>47818</v>
      </c>
      <c r="C3258" s="1" t="n">
        <v>1669</v>
      </c>
      <c r="D3258" s="1" t="s">
        <v>30</v>
      </c>
      <c r="E3258" s="1" t="s">
        <v>35</v>
      </c>
      <c r="F3258" s="1" t="n">
        <v>1</v>
      </c>
      <c r="G3258" s="15" t="n">
        <v>566.34</v>
      </c>
      <c r="H3258" s="16" t="n">
        <v>0.06</v>
      </c>
      <c r="I3258" s="1" t="s">
        <v>33</v>
      </c>
      <c r="J3258" s="1" t="n">
        <v>1</v>
      </c>
      <c r="K3258" s="1" t="n">
        <v>3.1</v>
      </c>
      <c r="L3258" s="15" t="n">
        <v>532.36</v>
      </c>
      <c r="M3258" s="15" t="n">
        <f aca="false">F3258*G3258</f>
        <v>566.34</v>
      </c>
      <c r="N3258" s="15" t="n">
        <f aca="false">M3258-L3258</f>
        <v>33.98</v>
      </c>
      <c r="O3258" s="1" t="n">
        <f aca="false">YEAR(B3258)</f>
        <v>2030</v>
      </c>
      <c r="P3258" s="1" t="n">
        <f aca="false">MONTH(B3258)</f>
        <v>12</v>
      </c>
      <c r="Q3258" s="1" t="str">
        <f aca="false">TEXT(B3258,"mmm")</f>
        <v>Dec</v>
      </c>
      <c r="R3258" s="1" t="str">
        <f aca="false">"Q"&amp;ROUNDUP(MONTH(B3258)/3,0)</f>
        <v>Q4</v>
      </c>
    </row>
    <row r="3259" customFormat="false" ht="15" hidden="false" customHeight="true" outlineLevel="0" collapsed="false">
      <c r="A3259" s="1" t="n">
        <v>13258</v>
      </c>
      <c r="B3259" s="14" t="n">
        <v>47819</v>
      </c>
      <c r="C3259" s="1" t="n">
        <v>1461</v>
      </c>
      <c r="D3259" s="1" t="s">
        <v>30</v>
      </c>
      <c r="E3259" s="1" t="s">
        <v>35</v>
      </c>
      <c r="F3259" s="1" t="n">
        <v>6</v>
      </c>
      <c r="G3259" s="15" t="n">
        <v>598.43</v>
      </c>
      <c r="H3259" s="16" t="n">
        <v>0.35</v>
      </c>
      <c r="I3259" s="1" t="s">
        <v>31</v>
      </c>
      <c r="J3259" s="1" t="n">
        <v>7</v>
      </c>
      <c r="K3259" s="1" t="n">
        <v>3.3</v>
      </c>
      <c r="L3259" s="15" t="n">
        <v>2333.88</v>
      </c>
      <c r="M3259" s="15" t="n">
        <f aca="false">F3259*G3259</f>
        <v>3590.58</v>
      </c>
      <c r="N3259" s="15" t="n">
        <f aca="false">M3259-L3259</f>
        <v>1256.7</v>
      </c>
      <c r="O3259" s="1" t="n">
        <f aca="false">YEAR(B3259)</f>
        <v>2030</v>
      </c>
      <c r="P3259" s="1" t="n">
        <f aca="false">MONTH(B3259)</f>
        <v>12</v>
      </c>
      <c r="Q3259" s="1" t="str">
        <f aca="false">TEXT(B3259,"mmm")</f>
        <v>Dec</v>
      </c>
      <c r="R3259" s="1" t="str">
        <f aca="false">"Q"&amp;ROUNDUP(MONTH(B3259)/3,0)</f>
        <v>Q4</v>
      </c>
    </row>
    <row r="3260" customFormat="false" ht="15" hidden="false" customHeight="true" outlineLevel="0" collapsed="false">
      <c r="A3260" s="1" t="n">
        <v>13259</v>
      </c>
      <c r="B3260" s="14" t="n">
        <v>47820</v>
      </c>
      <c r="C3260" s="1" t="n">
        <v>1133</v>
      </c>
      <c r="D3260" s="1" t="s">
        <v>34</v>
      </c>
      <c r="E3260" s="1" t="s">
        <v>32</v>
      </c>
      <c r="F3260" s="1" t="n">
        <v>7</v>
      </c>
      <c r="G3260" s="15" t="n">
        <v>180.07</v>
      </c>
      <c r="H3260" s="16" t="n">
        <v>0.25</v>
      </c>
      <c r="I3260" s="1" t="s">
        <v>33</v>
      </c>
      <c r="J3260" s="1" t="n">
        <v>9</v>
      </c>
      <c r="K3260" s="1" t="n">
        <v>3.7</v>
      </c>
      <c r="L3260" s="15" t="n">
        <v>945.37</v>
      </c>
      <c r="M3260" s="15" t="n">
        <f aca="false">F3260*G3260</f>
        <v>1260.49</v>
      </c>
      <c r="N3260" s="15" t="n">
        <f aca="false">M3260-L3260</f>
        <v>315.12</v>
      </c>
      <c r="O3260" s="1" t="n">
        <f aca="false">YEAR(B3260)</f>
        <v>2030</v>
      </c>
      <c r="P3260" s="1" t="n">
        <f aca="false">MONTH(B3260)</f>
        <v>12</v>
      </c>
      <c r="Q3260" s="1" t="str">
        <f aca="false">TEXT(B3260,"mmm")</f>
        <v>Dec</v>
      </c>
      <c r="R3260" s="1" t="str">
        <f aca="false">"Q"&amp;ROUNDUP(MONTH(B3260)/3,0)</f>
        <v>Q4</v>
      </c>
    </row>
    <row r="3261" customFormat="false" ht="15" hidden="false" customHeight="true" outlineLevel="0" collapsed="false">
      <c r="A3261" s="1" t="n">
        <v>13260</v>
      </c>
      <c r="B3261" s="14" t="n">
        <v>47821</v>
      </c>
      <c r="C3261" s="1" t="n">
        <v>1066</v>
      </c>
      <c r="D3261" s="1" t="s">
        <v>30</v>
      </c>
      <c r="E3261" s="1" t="s">
        <v>28</v>
      </c>
      <c r="F3261" s="1" t="n">
        <v>7</v>
      </c>
      <c r="G3261" s="15" t="n">
        <v>351.59</v>
      </c>
      <c r="H3261" s="16" t="n">
        <v>0.02</v>
      </c>
      <c r="I3261" s="1" t="s">
        <v>33</v>
      </c>
      <c r="J3261" s="1" t="n">
        <v>5</v>
      </c>
      <c r="K3261" s="1" t="n">
        <v>3</v>
      </c>
      <c r="L3261" s="15" t="n">
        <v>2411.91</v>
      </c>
      <c r="M3261" s="15" t="n">
        <f aca="false">F3261*G3261</f>
        <v>2461.13</v>
      </c>
      <c r="N3261" s="15" t="n">
        <f aca="false">M3261-L3261</f>
        <v>49.2199999999998</v>
      </c>
      <c r="O3261" s="1" t="n">
        <f aca="false">YEAR(B3261)</f>
        <v>2030</v>
      </c>
      <c r="P3261" s="1" t="n">
        <f aca="false">MONTH(B3261)</f>
        <v>12</v>
      </c>
      <c r="Q3261" s="1" t="str">
        <f aca="false">TEXT(B3261,"mmm")</f>
        <v>Dec</v>
      </c>
      <c r="R3261" s="1" t="str">
        <f aca="false">"Q"&amp;ROUNDUP(MONTH(B3261)/3,0)</f>
        <v>Q4</v>
      </c>
    </row>
    <row r="3262" customFormat="false" ht="15" hidden="false" customHeight="true" outlineLevel="0" collapsed="false">
      <c r="A3262" s="1" t="n">
        <v>13261</v>
      </c>
      <c r="B3262" s="14" t="n">
        <v>47822</v>
      </c>
      <c r="C3262" s="1" t="n">
        <v>1847</v>
      </c>
      <c r="D3262" s="1" t="s">
        <v>30</v>
      </c>
      <c r="E3262" s="1" t="s">
        <v>36</v>
      </c>
      <c r="F3262" s="1" t="n">
        <v>2</v>
      </c>
      <c r="G3262" s="15" t="n">
        <v>278.67</v>
      </c>
      <c r="H3262" s="16" t="n">
        <v>0.25</v>
      </c>
      <c r="I3262" s="1" t="s">
        <v>31</v>
      </c>
      <c r="J3262" s="1" t="n">
        <v>5</v>
      </c>
      <c r="K3262" s="1" t="n">
        <v>3.1</v>
      </c>
      <c r="L3262" s="15" t="n">
        <v>418</v>
      </c>
      <c r="M3262" s="15" t="n">
        <f aca="false">F3262*G3262</f>
        <v>557.34</v>
      </c>
      <c r="N3262" s="15" t="n">
        <f aca="false">M3262-L3262</f>
        <v>139.34</v>
      </c>
      <c r="O3262" s="1" t="n">
        <f aca="false">YEAR(B3262)</f>
        <v>2030</v>
      </c>
      <c r="P3262" s="1" t="n">
        <f aca="false">MONTH(B3262)</f>
        <v>12</v>
      </c>
      <c r="Q3262" s="1" t="str">
        <f aca="false">TEXT(B3262,"mmm")</f>
        <v>Dec</v>
      </c>
      <c r="R3262" s="1" t="str">
        <f aca="false">"Q"&amp;ROUNDUP(MONTH(B3262)/3,0)</f>
        <v>Q4</v>
      </c>
    </row>
    <row r="3263" customFormat="false" ht="15" hidden="false" customHeight="true" outlineLevel="0" collapsed="false">
      <c r="A3263" s="1" t="n">
        <v>13262</v>
      </c>
      <c r="B3263" s="14" t="n">
        <v>47823</v>
      </c>
      <c r="C3263" s="1" t="n">
        <v>1006</v>
      </c>
      <c r="D3263" s="1" t="s">
        <v>27</v>
      </c>
      <c r="E3263" s="1" t="s">
        <v>28</v>
      </c>
      <c r="F3263" s="1" t="n">
        <v>3</v>
      </c>
      <c r="G3263" s="15" t="n">
        <v>344.83</v>
      </c>
      <c r="H3263" s="16" t="n">
        <v>0.14</v>
      </c>
      <c r="I3263" s="1" t="s">
        <v>33</v>
      </c>
      <c r="J3263" s="1" t="n">
        <v>7</v>
      </c>
      <c r="K3263" s="1" t="n">
        <v>3</v>
      </c>
      <c r="L3263" s="15" t="n">
        <v>889.66</v>
      </c>
      <c r="M3263" s="15" t="n">
        <f aca="false">F3263*G3263</f>
        <v>1034.49</v>
      </c>
      <c r="N3263" s="15" t="n">
        <f aca="false">M3263-L3263</f>
        <v>144.83</v>
      </c>
      <c r="O3263" s="1" t="n">
        <f aca="false">YEAR(B3263)</f>
        <v>2030</v>
      </c>
      <c r="P3263" s="1" t="n">
        <f aca="false">MONTH(B3263)</f>
        <v>12</v>
      </c>
      <c r="Q3263" s="1" t="str">
        <f aca="false">TEXT(B3263,"mmm")</f>
        <v>Dec</v>
      </c>
      <c r="R3263" s="1" t="str">
        <f aca="false">"Q"&amp;ROUNDUP(MONTH(B3263)/3,0)</f>
        <v>Q4</v>
      </c>
    </row>
    <row r="3264" customFormat="false" ht="15" hidden="false" customHeight="true" outlineLevel="0" collapsed="false">
      <c r="A3264" s="1" t="n">
        <v>13263</v>
      </c>
      <c r="B3264" s="14" t="n">
        <v>47824</v>
      </c>
      <c r="C3264" s="1" t="n">
        <v>1947</v>
      </c>
      <c r="D3264" s="1" t="s">
        <v>30</v>
      </c>
      <c r="E3264" s="1" t="s">
        <v>32</v>
      </c>
      <c r="F3264" s="1" t="n">
        <v>1</v>
      </c>
      <c r="G3264" s="15" t="n">
        <v>107.11</v>
      </c>
      <c r="H3264" s="16" t="n">
        <v>0.11</v>
      </c>
      <c r="I3264" s="1" t="s">
        <v>33</v>
      </c>
      <c r="J3264" s="1" t="n">
        <v>5</v>
      </c>
      <c r="K3264" s="1" t="n">
        <v>3</v>
      </c>
      <c r="L3264" s="15" t="n">
        <v>95.33</v>
      </c>
      <c r="M3264" s="15" t="n">
        <f aca="false">F3264*G3264</f>
        <v>107.11</v>
      </c>
      <c r="N3264" s="15" t="n">
        <f aca="false">M3264-L3264</f>
        <v>11.78</v>
      </c>
      <c r="O3264" s="1" t="n">
        <f aca="false">YEAR(B3264)</f>
        <v>2030</v>
      </c>
      <c r="P3264" s="1" t="n">
        <f aca="false">MONTH(B3264)</f>
        <v>12</v>
      </c>
      <c r="Q3264" s="1" t="str">
        <f aca="false">TEXT(B3264,"mmm")</f>
        <v>Dec</v>
      </c>
      <c r="R3264" s="1" t="str">
        <f aca="false">"Q"&amp;ROUNDUP(MONTH(B3264)/3,0)</f>
        <v>Q4</v>
      </c>
    </row>
    <row r="3265" customFormat="false" ht="15" hidden="false" customHeight="true" outlineLevel="0" collapsed="false">
      <c r="A3265" s="1" t="n">
        <v>13264</v>
      </c>
      <c r="B3265" s="14" t="n">
        <v>47825</v>
      </c>
      <c r="C3265" s="1" t="n">
        <v>1525</v>
      </c>
      <c r="D3265" s="1" t="s">
        <v>37</v>
      </c>
      <c r="E3265" s="1" t="s">
        <v>32</v>
      </c>
      <c r="F3265" s="1" t="n">
        <v>1</v>
      </c>
      <c r="G3265" s="15" t="n">
        <v>515.85</v>
      </c>
      <c r="H3265" s="16" t="n">
        <v>0.05</v>
      </c>
      <c r="I3265" s="1" t="s">
        <v>33</v>
      </c>
      <c r="J3265" s="1" t="n">
        <v>10</v>
      </c>
      <c r="K3265" s="1" t="n">
        <v>4</v>
      </c>
      <c r="L3265" s="15" t="n">
        <v>490.06</v>
      </c>
      <c r="M3265" s="15" t="n">
        <f aca="false">F3265*G3265</f>
        <v>515.85</v>
      </c>
      <c r="N3265" s="15" t="n">
        <f aca="false">M3265-L3265</f>
        <v>25.79</v>
      </c>
      <c r="O3265" s="1" t="n">
        <f aca="false">YEAR(B3265)</f>
        <v>2030</v>
      </c>
      <c r="P3265" s="1" t="n">
        <f aca="false">MONTH(B3265)</f>
        <v>12</v>
      </c>
      <c r="Q3265" s="1" t="str">
        <f aca="false">TEXT(B3265,"mmm")</f>
        <v>Dec</v>
      </c>
      <c r="R3265" s="1" t="str">
        <f aca="false">"Q"&amp;ROUNDUP(MONTH(B3265)/3,0)</f>
        <v>Q4</v>
      </c>
    </row>
    <row r="3266" customFormat="false" ht="15" hidden="false" customHeight="true" outlineLevel="0" collapsed="false">
      <c r="A3266" s="1" t="n">
        <v>13265</v>
      </c>
      <c r="B3266" s="14" t="n">
        <v>47826</v>
      </c>
      <c r="C3266" s="1" t="n">
        <v>1072</v>
      </c>
      <c r="D3266" s="1" t="s">
        <v>30</v>
      </c>
      <c r="E3266" s="1" t="s">
        <v>32</v>
      </c>
      <c r="F3266" s="1" t="n">
        <v>7</v>
      </c>
      <c r="G3266" s="15" t="n">
        <v>547.1</v>
      </c>
      <c r="H3266" s="16" t="n">
        <v>0.29</v>
      </c>
      <c r="I3266" s="1" t="s">
        <v>33</v>
      </c>
      <c r="J3266" s="1" t="n">
        <v>4</v>
      </c>
      <c r="K3266" s="1" t="n">
        <v>2.7</v>
      </c>
      <c r="L3266" s="15" t="n">
        <v>2719.09</v>
      </c>
      <c r="M3266" s="15" t="n">
        <f aca="false">F3266*G3266</f>
        <v>3829.7</v>
      </c>
      <c r="N3266" s="15" t="n">
        <f aca="false">M3266-L3266</f>
        <v>1110.61</v>
      </c>
      <c r="O3266" s="1" t="n">
        <f aca="false">YEAR(B3266)</f>
        <v>2030</v>
      </c>
      <c r="P3266" s="1" t="n">
        <f aca="false">MONTH(B3266)</f>
        <v>12</v>
      </c>
      <c r="Q3266" s="1" t="str">
        <f aca="false">TEXT(B3266,"mmm")</f>
        <v>Dec</v>
      </c>
      <c r="R3266" s="1" t="str">
        <f aca="false">"Q"&amp;ROUNDUP(MONTH(B3266)/3,0)</f>
        <v>Q4</v>
      </c>
    </row>
    <row r="3267" customFormat="false" ht="15" hidden="false" customHeight="true" outlineLevel="0" collapsed="false">
      <c r="A3267" s="1" t="n">
        <v>13266</v>
      </c>
      <c r="B3267" s="14" t="n">
        <v>47827</v>
      </c>
      <c r="C3267" s="1" t="n">
        <v>1398</v>
      </c>
      <c r="D3267" s="1" t="s">
        <v>37</v>
      </c>
      <c r="E3267" s="1" t="s">
        <v>35</v>
      </c>
      <c r="F3267" s="1" t="n">
        <v>5</v>
      </c>
      <c r="G3267" s="15" t="n">
        <v>278.05</v>
      </c>
      <c r="H3267" s="16" t="n">
        <v>0.02</v>
      </c>
      <c r="I3267" s="1" t="s">
        <v>33</v>
      </c>
      <c r="J3267" s="1" t="n">
        <v>1</v>
      </c>
      <c r="K3267" s="1" t="n">
        <v>1</v>
      </c>
      <c r="L3267" s="15" t="n">
        <v>1362.44</v>
      </c>
      <c r="M3267" s="15" t="n">
        <f aca="false">F3267*G3267</f>
        <v>1390.25</v>
      </c>
      <c r="N3267" s="15" t="n">
        <f aca="false">M3267-L3267</f>
        <v>27.8099999999999</v>
      </c>
      <c r="O3267" s="1" t="n">
        <f aca="false">YEAR(B3267)</f>
        <v>2030</v>
      </c>
      <c r="P3267" s="1" t="n">
        <f aca="false">MONTH(B3267)</f>
        <v>12</v>
      </c>
      <c r="Q3267" s="1" t="str">
        <f aca="false">TEXT(B3267,"mmm")</f>
        <v>Dec</v>
      </c>
      <c r="R3267" s="1" t="str">
        <f aca="false">"Q"&amp;ROUNDUP(MONTH(B3267)/3,0)</f>
        <v>Q4</v>
      </c>
    </row>
    <row r="3268" customFormat="false" ht="15" hidden="false" customHeight="true" outlineLevel="0" collapsed="false">
      <c r="A3268" s="1" t="n">
        <v>13267</v>
      </c>
      <c r="B3268" s="14" t="n">
        <v>47828</v>
      </c>
      <c r="C3268" s="1" t="n">
        <v>1404</v>
      </c>
      <c r="D3268" s="1" t="s">
        <v>30</v>
      </c>
      <c r="E3268" s="1" t="s">
        <v>28</v>
      </c>
      <c r="F3268" s="1" t="n">
        <v>6</v>
      </c>
      <c r="G3268" s="15" t="n">
        <v>179.05</v>
      </c>
      <c r="H3268" s="16" t="n">
        <v>0.1</v>
      </c>
      <c r="I3268" s="1" t="s">
        <v>31</v>
      </c>
      <c r="J3268" s="1" t="n">
        <v>6</v>
      </c>
      <c r="K3268" s="1" t="n">
        <v>3.4</v>
      </c>
      <c r="L3268" s="15" t="n">
        <v>966.87</v>
      </c>
      <c r="M3268" s="15" t="n">
        <f aca="false">F3268*G3268</f>
        <v>1074.3</v>
      </c>
      <c r="N3268" s="15" t="n">
        <f aca="false">M3268-L3268</f>
        <v>107.43</v>
      </c>
      <c r="O3268" s="1" t="n">
        <f aca="false">YEAR(B3268)</f>
        <v>2030</v>
      </c>
      <c r="P3268" s="1" t="n">
        <f aca="false">MONTH(B3268)</f>
        <v>12</v>
      </c>
      <c r="Q3268" s="1" t="str">
        <f aca="false">TEXT(B3268,"mmm")</f>
        <v>Dec</v>
      </c>
      <c r="R3268" s="1" t="str">
        <f aca="false">"Q"&amp;ROUNDUP(MONTH(B3268)/3,0)</f>
        <v>Q4</v>
      </c>
    </row>
    <row r="3269" customFormat="false" ht="15" hidden="false" customHeight="true" outlineLevel="0" collapsed="false">
      <c r="A3269" s="1" t="n">
        <v>13268</v>
      </c>
      <c r="B3269" s="14" t="n">
        <v>47829</v>
      </c>
      <c r="C3269" s="1" t="n">
        <v>1674</v>
      </c>
      <c r="D3269" s="1" t="s">
        <v>27</v>
      </c>
      <c r="E3269" s="1" t="s">
        <v>35</v>
      </c>
      <c r="F3269" s="1" t="n">
        <v>3</v>
      </c>
      <c r="G3269" s="15" t="n">
        <v>97.39</v>
      </c>
      <c r="H3269" s="16" t="n">
        <v>0.11</v>
      </c>
      <c r="I3269" s="1" t="s">
        <v>33</v>
      </c>
      <c r="J3269" s="1" t="n">
        <v>9</v>
      </c>
      <c r="K3269" s="1" t="n">
        <v>4.8</v>
      </c>
      <c r="L3269" s="15" t="n">
        <v>260.03</v>
      </c>
      <c r="M3269" s="15" t="n">
        <f aca="false">F3269*G3269</f>
        <v>292.17</v>
      </c>
      <c r="N3269" s="15" t="n">
        <f aca="false">M3269-L3269</f>
        <v>32.14</v>
      </c>
      <c r="O3269" s="1" t="n">
        <f aca="false">YEAR(B3269)</f>
        <v>2030</v>
      </c>
      <c r="P3269" s="1" t="n">
        <f aca="false">MONTH(B3269)</f>
        <v>12</v>
      </c>
      <c r="Q3269" s="1" t="str">
        <f aca="false">TEXT(B3269,"mmm")</f>
        <v>Dec</v>
      </c>
      <c r="R3269" s="1" t="str">
        <f aca="false">"Q"&amp;ROUNDUP(MONTH(B3269)/3,0)</f>
        <v>Q4</v>
      </c>
    </row>
    <row r="3270" customFormat="false" ht="15" hidden="false" customHeight="true" outlineLevel="0" collapsed="false">
      <c r="A3270" s="1" t="n">
        <v>13269</v>
      </c>
      <c r="B3270" s="14" t="n">
        <v>47830</v>
      </c>
      <c r="C3270" s="1" t="n">
        <v>1577</v>
      </c>
      <c r="D3270" s="1" t="s">
        <v>30</v>
      </c>
      <c r="E3270" s="1" t="s">
        <v>35</v>
      </c>
      <c r="F3270" s="1" t="n">
        <v>5</v>
      </c>
      <c r="G3270" s="15" t="n">
        <v>415</v>
      </c>
      <c r="H3270" s="16" t="n">
        <v>0.06</v>
      </c>
      <c r="I3270" s="1" t="s">
        <v>31</v>
      </c>
      <c r="J3270" s="1" t="n">
        <v>4</v>
      </c>
      <c r="K3270" s="1" t="n">
        <v>2</v>
      </c>
      <c r="L3270" s="15" t="n">
        <v>1950.5</v>
      </c>
      <c r="M3270" s="15" t="n">
        <f aca="false">F3270*G3270</f>
        <v>2075</v>
      </c>
      <c r="N3270" s="15" t="n">
        <f aca="false">M3270-L3270</f>
        <v>124.5</v>
      </c>
      <c r="O3270" s="1" t="n">
        <f aca="false">YEAR(B3270)</f>
        <v>2030</v>
      </c>
      <c r="P3270" s="1" t="n">
        <f aca="false">MONTH(B3270)</f>
        <v>12</v>
      </c>
      <c r="Q3270" s="1" t="str">
        <f aca="false">TEXT(B3270,"mmm")</f>
        <v>Dec</v>
      </c>
      <c r="R3270" s="1" t="str">
        <f aca="false">"Q"&amp;ROUNDUP(MONTH(B3270)/3,0)</f>
        <v>Q4</v>
      </c>
    </row>
    <row r="3271" customFormat="false" ht="15" hidden="false" customHeight="true" outlineLevel="0" collapsed="false">
      <c r="A3271" s="1" t="n">
        <v>13270</v>
      </c>
      <c r="B3271" s="14" t="n">
        <v>47831</v>
      </c>
      <c r="C3271" s="1" t="n">
        <v>1858</v>
      </c>
      <c r="D3271" s="1" t="s">
        <v>30</v>
      </c>
      <c r="E3271" s="1" t="s">
        <v>28</v>
      </c>
      <c r="F3271" s="1" t="n">
        <v>4</v>
      </c>
      <c r="G3271" s="15" t="n">
        <v>197.66</v>
      </c>
      <c r="H3271" s="16" t="n">
        <v>0.18</v>
      </c>
      <c r="I3271" s="1" t="s">
        <v>33</v>
      </c>
      <c r="J3271" s="1" t="n">
        <v>10</v>
      </c>
      <c r="K3271" s="1" t="n">
        <v>4.3</v>
      </c>
      <c r="L3271" s="15" t="n">
        <v>648.32</v>
      </c>
      <c r="M3271" s="15" t="n">
        <f aca="false">F3271*G3271</f>
        <v>790.64</v>
      </c>
      <c r="N3271" s="15" t="n">
        <f aca="false">M3271-L3271</f>
        <v>142.32</v>
      </c>
      <c r="O3271" s="1" t="n">
        <f aca="false">YEAR(B3271)</f>
        <v>2030</v>
      </c>
      <c r="P3271" s="1" t="n">
        <f aca="false">MONTH(B3271)</f>
        <v>12</v>
      </c>
      <c r="Q3271" s="1" t="str">
        <f aca="false">TEXT(B3271,"mmm")</f>
        <v>Dec</v>
      </c>
      <c r="R3271" s="1" t="str">
        <f aca="false">"Q"&amp;ROUNDUP(MONTH(B3271)/3,0)</f>
        <v>Q4</v>
      </c>
    </row>
    <row r="3272" customFormat="false" ht="15" hidden="false" customHeight="true" outlineLevel="0" collapsed="false">
      <c r="A3272" s="1" t="n">
        <v>13271</v>
      </c>
      <c r="B3272" s="14" t="n">
        <v>47832</v>
      </c>
      <c r="C3272" s="1" t="n">
        <v>1129</v>
      </c>
      <c r="D3272" s="1" t="s">
        <v>30</v>
      </c>
      <c r="E3272" s="1" t="s">
        <v>32</v>
      </c>
      <c r="F3272" s="1" t="n">
        <v>2</v>
      </c>
      <c r="G3272" s="15" t="n">
        <v>547.08</v>
      </c>
      <c r="H3272" s="16" t="n">
        <v>0</v>
      </c>
      <c r="I3272" s="1" t="s">
        <v>31</v>
      </c>
      <c r="J3272" s="1" t="n">
        <v>11</v>
      </c>
      <c r="K3272" s="1" t="n">
        <v>2.8</v>
      </c>
      <c r="L3272" s="15" t="n">
        <v>1094.16</v>
      </c>
      <c r="M3272" s="15" t="n">
        <f aca="false">F3272*G3272</f>
        <v>1094.16</v>
      </c>
      <c r="N3272" s="15" t="n">
        <f aca="false">M3272-L3272</f>
        <v>0</v>
      </c>
      <c r="O3272" s="1" t="n">
        <f aca="false">YEAR(B3272)</f>
        <v>2030</v>
      </c>
      <c r="P3272" s="1" t="n">
        <f aca="false">MONTH(B3272)</f>
        <v>12</v>
      </c>
      <c r="Q3272" s="1" t="str">
        <f aca="false">TEXT(B3272,"mmm")</f>
        <v>Dec</v>
      </c>
      <c r="R3272" s="1" t="str">
        <f aca="false">"Q"&amp;ROUNDUP(MONTH(B3272)/3,0)</f>
        <v>Q4</v>
      </c>
    </row>
    <row r="3273" customFormat="false" ht="15" hidden="false" customHeight="true" outlineLevel="0" collapsed="false">
      <c r="A3273" s="1" t="n">
        <v>13272</v>
      </c>
      <c r="B3273" s="14" t="n">
        <v>47833</v>
      </c>
      <c r="C3273" s="1" t="n">
        <v>1930</v>
      </c>
      <c r="D3273" s="1" t="s">
        <v>30</v>
      </c>
      <c r="E3273" s="1" t="s">
        <v>36</v>
      </c>
      <c r="F3273" s="1" t="n">
        <v>2</v>
      </c>
      <c r="G3273" s="15" t="n">
        <v>407.54</v>
      </c>
      <c r="H3273" s="16" t="n">
        <v>0.11</v>
      </c>
      <c r="I3273" s="1" t="s">
        <v>29</v>
      </c>
      <c r="J3273" s="1" t="n">
        <v>4</v>
      </c>
      <c r="K3273" s="1" t="n">
        <v>3.6</v>
      </c>
      <c r="L3273" s="15" t="n">
        <v>725.42</v>
      </c>
      <c r="M3273" s="15" t="n">
        <f aca="false">F3273*G3273</f>
        <v>815.08</v>
      </c>
      <c r="N3273" s="15" t="n">
        <f aca="false">M3273-L3273</f>
        <v>89.6600000000001</v>
      </c>
      <c r="O3273" s="1" t="n">
        <f aca="false">YEAR(B3273)</f>
        <v>2030</v>
      </c>
      <c r="P3273" s="1" t="n">
        <f aca="false">MONTH(B3273)</f>
        <v>12</v>
      </c>
      <c r="Q3273" s="1" t="str">
        <f aca="false">TEXT(B3273,"mmm")</f>
        <v>Dec</v>
      </c>
      <c r="R3273" s="1" t="str">
        <f aca="false">"Q"&amp;ROUNDUP(MONTH(B3273)/3,0)</f>
        <v>Q4</v>
      </c>
    </row>
    <row r="3274" customFormat="false" ht="15" hidden="false" customHeight="true" outlineLevel="0" collapsed="false">
      <c r="A3274" s="1" t="n">
        <v>13273</v>
      </c>
      <c r="B3274" s="14" t="n">
        <v>47834</v>
      </c>
      <c r="C3274" s="1" t="n">
        <v>1465</v>
      </c>
      <c r="D3274" s="1" t="s">
        <v>34</v>
      </c>
      <c r="E3274" s="1" t="s">
        <v>36</v>
      </c>
      <c r="F3274" s="1" t="n">
        <v>5</v>
      </c>
      <c r="G3274" s="15" t="n">
        <v>392.73</v>
      </c>
      <c r="H3274" s="16" t="n">
        <v>0.33</v>
      </c>
      <c r="I3274" s="1" t="s">
        <v>33</v>
      </c>
      <c r="J3274" s="1" t="n">
        <v>5</v>
      </c>
      <c r="K3274" s="1" t="n">
        <v>4.6</v>
      </c>
      <c r="L3274" s="15" t="n">
        <v>1315.65</v>
      </c>
      <c r="M3274" s="15" t="n">
        <f aca="false">F3274*G3274</f>
        <v>1963.65</v>
      </c>
      <c r="N3274" s="15" t="n">
        <f aca="false">M3274-L3274</f>
        <v>648</v>
      </c>
      <c r="O3274" s="1" t="n">
        <f aca="false">YEAR(B3274)</f>
        <v>2030</v>
      </c>
      <c r="P3274" s="1" t="n">
        <f aca="false">MONTH(B3274)</f>
        <v>12</v>
      </c>
      <c r="Q3274" s="1" t="str">
        <f aca="false">TEXT(B3274,"mmm")</f>
        <v>Dec</v>
      </c>
      <c r="R3274" s="1" t="str">
        <f aca="false">"Q"&amp;ROUNDUP(MONTH(B3274)/3,0)</f>
        <v>Q4</v>
      </c>
    </row>
    <row r="3275" customFormat="false" ht="15" hidden="false" customHeight="true" outlineLevel="0" collapsed="false">
      <c r="A3275" s="1" t="n">
        <v>13274</v>
      </c>
      <c r="B3275" s="14" t="n">
        <v>47835</v>
      </c>
      <c r="C3275" s="1" t="n">
        <v>1205</v>
      </c>
      <c r="D3275" s="1" t="s">
        <v>34</v>
      </c>
      <c r="E3275" s="1" t="s">
        <v>28</v>
      </c>
      <c r="F3275" s="1" t="n">
        <v>7</v>
      </c>
      <c r="G3275" s="15" t="n">
        <v>342.25</v>
      </c>
      <c r="H3275" s="16" t="n">
        <v>0.11</v>
      </c>
      <c r="I3275" s="1" t="s">
        <v>33</v>
      </c>
      <c r="J3275" s="1" t="n">
        <v>6</v>
      </c>
      <c r="K3275" s="1" t="n">
        <v>4.1</v>
      </c>
      <c r="L3275" s="15" t="n">
        <v>2132.22</v>
      </c>
      <c r="M3275" s="15" t="n">
        <f aca="false">F3275*G3275</f>
        <v>2395.75</v>
      </c>
      <c r="N3275" s="15" t="n">
        <f aca="false">M3275-L3275</f>
        <v>263.53</v>
      </c>
      <c r="O3275" s="1" t="n">
        <f aca="false">YEAR(B3275)</f>
        <v>2030</v>
      </c>
      <c r="P3275" s="1" t="n">
        <f aca="false">MONTH(B3275)</f>
        <v>12</v>
      </c>
      <c r="Q3275" s="1" t="str">
        <f aca="false">TEXT(B3275,"mmm")</f>
        <v>Dec</v>
      </c>
      <c r="R3275" s="1" t="str">
        <f aca="false">"Q"&amp;ROUNDUP(MONTH(B3275)/3,0)</f>
        <v>Q4</v>
      </c>
    </row>
    <row r="3276" customFormat="false" ht="15" hidden="false" customHeight="true" outlineLevel="0" collapsed="false">
      <c r="A3276" s="1" t="n">
        <v>13275</v>
      </c>
      <c r="B3276" s="14" t="n">
        <v>47836</v>
      </c>
      <c r="C3276" s="1" t="n">
        <v>1787</v>
      </c>
      <c r="D3276" s="1" t="s">
        <v>34</v>
      </c>
      <c r="E3276" s="1" t="s">
        <v>28</v>
      </c>
      <c r="F3276" s="1" t="n">
        <v>2</v>
      </c>
      <c r="G3276" s="15" t="n">
        <v>41.78</v>
      </c>
      <c r="H3276" s="16" t="n">
        <v>0.13</v>
      </c>
      <c r="I3276" s="1" t="s">
        <v>33</v>
      </c>
      <c r="J3276" s="1" t="n">
        <v>3</v>
      </c>
      <c r="K3276" s="1" t="n">
        <v>4.5</v>
      </c>
      <c r="L3276" s="15" t="n">
        <v>72.7</v>
      </c>
      <c r="M3276" s="15" t="n">
        <f aca="false">F3276*G3276</f>
        <v>83.56</v>
      </c>
      <c r="N3276" s="15" t="n">
        <f aca="false">M3276-L3276</f>
        <v>10.86</v>
      </c>
      <c r="O3276" s="1" t="n">
        <f aca="false">YEAR(B3276)</f>
        <v>2030</v>
      </c>
      <c r="P3276" s="1" t="n">
        <f aca="false">MONTH(B3276)</f>
        <v>12</v>
      </c>
      <c r="Q3276" s="1" t="str">
        <f aca="false">TEXT(B3276,"mmm")</f>
        <v>Dec</v>
      </c>
      <c r="R3276" s="1" t="str">
        <f aca="false">"Q"&amp;ROUNDUP(MONTH(B3276)/3,0)</f>
        <v>Q4</v>
      </c>
    </row>
    <row r="3277" customFormat="false" ht="15" hidden="false" customHeight="true" outlineLevel="0" collapsed="false">
      <c r="A3277" s="1" t="n">
        <v>13276</v>
      </c>
      <c r="B3277" s="14" t="n">
        <v>47837</v>
      </c>
      <c r="C3277" s="1" t="n">
        <v>1977</v>
      </c>
      <c r="D3277" s="1" t="s">
        <v>27</v>
      </c>
      <c r="E3277" s="1" t="s">
        <v>32</v>
      </c>
      <c r="F3277" s="1" t="n">
        <v>6</v>
      </c>
      <c r="G3277" s="15" t="n">
        <v>560.17</v>
      </c>
      <c r="H3277" s="16" t="n">
        <v>0.17</v>
      </c>
      <c r="I3277" s="1" t="s">
        <v>29</v>
      </c>
      <c r="J3277" s="1" t="n">
        <v>9</v>
      </c>
      <c r="K3277" s="1" t="n">
        <v>1</v>
      </c>
      <c r="L3277" s="15" t="n">
        <v>2789.65</v>
      </c>
      <c r="M3277" s="15" t="n">
        <f aca="false">F3277*G3277</f>
        <v>3361.02</v>
      </c>
      <c r="N3277" s="15" t="n">
        <f aca="false">M3277-L3277</f>
        <v>571.369999999999</v>
      </c>
      <c r="O3277" s="1" t="n">
        <f aca="false">YEAR(B3277)</f>
        <v>2030</v>
      </c>
      <c r="P3277" s="1" t="n">
        <f aca="false">MONTH(B3277)</f>
        <v>12</v>
      </c>
      <c r="Q3277" s="1" t="str">
        <f aca="false">TEXT(B3277,"mmm")</f>
        <v>Dec</v>
      </c>
      <c r="R3277" s="1" t="str">
        <f aca="false">"Q"&amp;ROUNDUP(MONTH(B3277)/3,0)</f>
        <v>Q4</v>
      </c>
    </row>
    <row r="3278" customFormat="false" ht="15" hidden="false" customHeight="true" outlineLevel="0" collapsed="false">
      <c r="A3278" s="1" t="n">
        <v>13277</v>
      </c>
      <c r="B3278" s="14" t="n">
        <v>47838</v>
      </c>
      <c r="C3278" s="1" t="n">
        <v>1767</v>
      </c>
      <c r="D3278" s="1" t="s">
        <v>34</v>
      </c>
      <c r="E3278" s="1" t="s">
        <v>28</v>
      </c>
      <c r="F3278" s="1" t="n">
        <v>2</v>
      </c>
      <c r="G3278" s="15" t="n">
        <v>382.34</v>
      </c>
      <c r="H3278" s="16" t="n">
        <v>0.2</v>
      </c>
      <c r="I3278" s="1" t="s">
        <v>33</v>
      </c>
      <c r="J3278" s="1" t="n">
        <v>1</v>
      </c>
      <c r="K3278" s="1" t="n">
        <v>1.7</v>
      </c>
      <c r="L3278" s="15" t="n">
        <v>611.74</v>
      </c>
      <c r="M3278" s="15" t="n">
        <f aca="false">F3278*G3278</f>
        <v>764.68</v>
      </c>
      <c r="N3278" s="15" t="n">
        <f aca="false">M3278-L3278</f>
        <v>152.94</v>
      </c>
      <c r="O3278" s="1" t="n">
        <f aca="false">YEAR(B3278)</f>
        <v>2030</v>
      </c>
      <c r="P3278" s="1" t="n">
        <f aca="false">MONTH(B3278)</f>
        <v>12</v>
      </c>
      <c r="Q3278" s="1" t="str">
        <f aca="false">TEXT(B3278,"mmm")</f>
        <v>Dec</v>
      </c>
      <c r="R3278" s="1" t="str">
        <f aca="false">"Q"&amp;ROUNDUP(MONTH(B3278)/3,0)</f>
        <v>Q4</v>
      </c>
    </row>
    <row r="3279" customFormat="false" ht="15" hidden="false" customHeight="true" outlineLevel="0" collapsed="false">
      <c r="A3279" s="1" t="n">
        <v>13278</v>
      </c>
      <c r="B3279" s="14" t="n">
        <v>47839</v>
      </c>
      <c r="C3279" s="1" t="n">
        <v>1265</v>
      </c>
      <c r="D3279" s="1" t="s">
        <v>34</v>
      </c>
      <c r="E3279" s="1" t="s">
        <v>28</v>
      </c>
      <c r="F3279" s="1" t="n">
        <v>6</v>
      </c>
      <c r="G3279" s="15" t="n">
        <v>596.53</v>
      </c>
      <c r="H3279" s="16" t="n">
        <v>0.28</v>
      </c>
      <c r="I3279" s="1" t="s">
        <v>31</v>
      </c>
      <c r="J3279" s="1" t="n">
        <v>11</v>
      </c>
      <c r="K3279" s="1" t="n">
        <v>2.7</v>
      </c>
      <c r="L3279" s="15" t="n">
        <v>2577.01</v>
      </c>
      <c r="M3279" s="15" t="n">
        <f aca="false">F3279*G3279</f>
        <v>3579.18</v>
      </c>
      <c r="N3279" s="15" t="n">
        <f aca="false">M3279-L3279</f>
        <v>1002.17</v>
      </c>
      <c r="O3279" s="1" t="n">
        <f aca="false">YEAR(B3279)</f>
        <v>2030</v>
      </c>
      <c r="P3279" s="1" t="n">
        <f aca="false">MONTH(B3279)</f>
        <v>12</v>
      </c>
      <c r="Q3279" s="1" t="str">
        <f aca="false">TEXT(B3279,"mmm")</f>
        <v>Dec</v>
      </c>
      <c r="R3279" s="1" t="str">
        <f aca="false">"Q"&amp;ROUNDUP(MONTH(B3279)/3,0)</f>
        <v>Q4</v>
      </c>
    </row>
    <row r="3280" customFormat="false" ht="15" hidden="false" customHeight="true" outlineLevel="0" collapsed="false">
      <c r="A3280" s="1" t="n">
        <v>13279</v>
      </c>
      <c r="B3280" s="14" t="n">
        <v>47840</v>
      </c>
      <c r="C3280" s="1" t="n">
        <v>1536</v>
      </c>
      <c r="D3280" s="1" t="s">
        <v>37</v>
      </c>
      <c r="E3280" s="1" t="s">
        <v>32</v>
      </c>
      <c r="F3280" s="1" t="n">
        <v>4</v>
      </c>
      <c r="G3280" s="15" t="n">
        <v>329.35</v>
      </c>
      <c r="H3280" s="16" t="n">
        <v>0.07</v>
      </c>
      <c r="I3280" s="1" t="s">
        <v>29</v>
      </c>
      <c r="J3280" s="1" t="n">
        <v>6</v>
      </c>
      <c r="K3280" s="1" t="n">
        <v>4.4</v>
      </c>
      <c r="L3280" s="15" t="n">
        <v>1225.18</v>
      </c>
      <c r="M3280" s="15" t="n">
        <f aca="false">F3280*G3280</f>
        <v>1317.4</v>
      </c>
      <c r="N3280" s="15" t="n">
        <f aca="false">M3280-L3280</f>
        <v>92.22</v>
      </c>
      <c r="O3280" s="1" t="n">
        <f aca="false">YEAR(B3280)</f>
        <v>2030</v>
      </c>
      <c r="P3280" s="1" t="n">
        <f aca="false">MONTH(B3280)</f>
        <v>12</v>
      </c>
      <c r="Q3280" s="1" t="str">
        <f aca="false">TEXT(B3280,"mmm")</f>
        <v>Dec</v>
      </c>
      <c r="R3280" s="1" t="str">
        <f aca="false">"Q"&amp;ROUNDUP(MONTH(B3280)/3,0)</f>
        <v>Q4</v>
      </c>
    </row>
    <row r="3281" customFormat="false" ht="15" hidden="false" customHeight="true" outlineLevel="0" collapsed="false">
      <c r="A3281" s="1" t="n">
        <v>13280</v>
      </c>
      <c r="B3281" s="14" t="n">
        <v>47841</v>
      </c>
      <c r="C3281" s="1" t="n">
        <v>1961</v>
      </c>
      <c r="D3281" s="1" t="s">
        <v>34</v>
      </c>
      <c r="E3281" s="1" t="s">
        <v>32</v>
      </c>
      <c r="F3281" s="1" t="n">
        <v>3</v>
      </c>
      <c r="G3281" s="15" t="n">
        <v>430.41</v>
      </c>
      <c r="H3281" s="16" t="n">
        <v>0.31</v>
      </c>
      <c r="I3281" s="1" t="s">
        <v>33</v>
      </c>
      <c r="J3281" s="1" t="n">
        <v>6</v>
      </c>
      <c r="K3281" s="1" t="n">
        <v>4.4</v>
      </c>
      <c r="L3281" s="15" t="n">
        <v>890.95</v>
      </c>
      <c r="M3281" s="15" t="n">
        <f aca="false">F3281*G3281</f>
        <v>1291.23</v>
      </c>
      <c r="N3281" s="15" t="n">
        <f aca="false">M3281-L3281</f>
        <v>400.28</v>
      </c>
      <c r="O3281" s="1" t="n">
        <f aca="false">YEAR(B3281)</f>
        <v>2030</v>
      </c>
      <c r="P3281" s="1" t="n">
        <f aca="false">MONTH(B3281)</f>
        <v>12</v>
      </c>
      <c r="Q3281" s="1" t="str">
        <f aca="false">TEXT(B3281,"mmm")</f>
        <v>Dec</v>
      </c>
      <c r="R3281" s="1" t="str">
        <f aca="false">"Q"&amp;ROUNDUP(MONTH(B3281)/3,0)</f>
        <v>Q4</v>
      </c>
    </row>
    <row r="3282" customFormat="false" ht="15" hidden="false" customHeight="true" outlineLevel="0" collapsed="false">
      <c r="A3282" s="1" t="n">
        <v>13281</v>
      </c>
      <c r="B3282" s="14" t="n">
        <v>47842</v>
      </c>
      <c r="C3282" s="1" t="n">
        <v>1792</v>
      </c>
      <c r="D3282" s="1" t="s">
        <v>30</v>
      </c>
      <c r="E3282" s="1" t="s">
        <v>35</v>
      </c>
      <c r="F3282" s="1" t="n">
        <v>1</v>
      </c>
      <c r="G3282" s="15" t="n">
        <v>47.88</v>
      </c>
      <c r="H3282" s="16" t="n">
        <v>0.27</v>
      </c>
      <c r="I3282" s="1" t="s">
        <v>33</v>
      </c>
      <c r="J3282" s="1" t="n">
        <v>8</v>
      </c>
      <c r="K3282" s="1" t="n">
        <v>1.7</v>
      </c>
      <c r="L3282" s="15" t="n">
        <v>34.95</v>
      </c>
      <c r="M3282" s="15" t="n">
        <f aca="false">F3282*G3282</f>
        <v>47.88</v>
      </c>
      <c r="N3282" s="15" t="n">
        <f aca="false">M3282-L3282</f>
        <v>12.93</v>
      </c>
      <c r="O3282" s="1" t="n">
        <f aca="false">YEAR(B3282)</f>
        <v>2030</v>
      </c>
      <c r="P3282" s="1" t="n">
        <f aca="false">MONTH(B3282)</f>
        <v>12</v>
      </c>
      <c r="Q3282" s="1" t="str">
        <f aca="false">TEXT(B3282,"mmm")</f>
        <v>Dec</v>
      </c>
      <c r="R3282" s="1" t="str">
        <f aca="false">"Q"&amp;ROUNDUP(MONTH(B3282)/3,0)</f>
        <v>Q4</v>
      </c>
    </row>
    <row r="3283" customFormat="false" ht="15" hidden="false" customHeight="true" outlineLevel="0" collapsed="false">
      <c r="A3283" s="1" t="n">
        <v>13282</v>
      </c>
      <c r="B3283" s="14" t="n">
        <v>47843</v>
      </c>
      <c r="C3283" s="1" t="n">
        <v>1252</v>
      </c>
      <c r="D3283" s="1" t="s">
        <v>34</v>
      </c>
      <c r="E3283" s="1" t="s">
        <v>28</v>
      </c>
      <c r="F3283" s="1" t="n">
        <v>5</v>
      </c>
      <c r="G3283" s="15" t="n">
        <v>384.57</v>
      </c>
      <c r="H3283" s="16" t="n">
        <v>0.25</v>
      </c>
      <c r="I3283" s="1" t="s">
        <v>29</v>
      </c>
      <c r="J3283" s="1" t="n">
        <v>5</v>
      </c>
      <c r="K3283" s="1" t="n">
        <v>1.6</v>
      </c>
      <c r="L3283" s="15" t="n">
        <v>1442.14</v>
      </c>
      <c r="M3283" s="15" t="n">
        <f aca="false">F3283*G3283</f>
        <v>1922.85</v>
      </c>
      <c r="N3283" s="15" t="n">
        <f aca="false">M3283-L3283</f>
        <v>480.71</v>
      </c>
      <c r="O3283" s="1" t="n">
        <f aca="false">YEAR(B3283)</f>
        <v>2030</v>
      </c>
      <c r="P3283" s="1" t="n">
        <f aca="false">MONTH(B3283)</f>
        <v>12</v>
      </c>
      <c r="Q3283" s="1" t="str">
        <f aca="false">TEXT(B3283,"mmm")</f>
        <v>Dec</v>
      </c>
      <c r="R3283" s="1" t="str">
        <f aca="false">"Q"&amp;ROUNDUP(MONTH(B3283)/3,0)</f>
        <v>Q4</v>
      </c>
    </row>
    <row r="3284" customFormat="false" ht="15" hidden="false" customHeight="true" outlineLevel="0" collapsed="false">
      <c r="A3284" s="1" t="n">
        <v>13283</v>
      </c>
      <c r="B3284" s="14" t="n">
        <v>47844</v>
      </c>
      <c r="C3284" s="1" t="n">
        <v>1821</v>
      </c>
      <c r="D3284" s="1" t="s">
        <v>27</v>
      </c>
      <c r="E3284" s="1" t="s">
        <v>36</v>
      </c>
      <c r="F3284" s="1" t="n">
        <v>5</v>
      </c>
      <c r="G3284" s="15" t="n">
        <v>462.32</v>
      </c>
      <c r="H3284" s="16" t="n">
        <v>0.03</v>
      </c>
      <c r="I3284" s="1" t="s">
        <v>31</v>
      </c>
      <c r="J3284" s="1" t="n">
        <v>9</v>
      </c>
      <c r="K3284" s="1" t="n">
        <v>4.3</v>
      </c>
      <c r="L3284" s="15" t="n">
        <v>2242.25</v>
      </c>
      <c r="M3284" s="15" t="n">
        <f aca="false">F3284*G3284</f>
        <v>2311.6</v>
      </c>
      <c r="N3284" s="15" t="n">
        <f aca="false">M3284-L3284</f>
        <v>69.3499999999999</v>
      </c>
      <c r="O3284" s="1" t="n">
        <f aca="false">YEAR(B3284)</f>
        <v>2030</v>
      </c>
      <c r="P3284" s="1" t="n">
        <f aca="false">MONTH(B3284)</f>
        <v>12</v>
      </c>
      <c r="Q3284" s="1" t="str">
        <f aca="false">TEXT(B3284,"mmm")</f>
        <v>Dec</v>
      </c>
      <c r="R3284" s="1" t="str">
        <f aca="false">"Q"&amp;ROUNDUP(MONTH(B3284)/3,0)</f>
        <v>Q4</v>
      </c>
    </row>
    <row r="3285" customFormat="false" ht="15" hidden="false" customHeight="true" outlineLevel="0" collapsed="false">
      <c r="A3285" s="1" t="n">
        <v>13284</v>
      </c>
      <c r="B3285" s="14" t="n">
        <v>47845</v>
      </c>
      <c r="C3285" s="1" t="n">
        <v>1288</v>
      </c>
      <c r="D3285" s="1" t="s">
        <v>27</v>
      </c>
      <c r="E3285" s="1" t="s">
        <v>28</v>
      </c>
      <c r="F3285" s="1" t="n">
        <v>6</v>
      </c>
      <c r="G3285" s="15" t="n">
        <v>470.43</v>
      </c>
      <c r="H3285" s="16" t="n">
        <v>0.01</v>
      </c>
      <c r="I3285" s="1" t="s">
        <v>31</v>
      </c>
      <c r="J3285" s="1" t="n">
        <v>9</v>
      </c>
      <c r="K3285" s="1" t="n">
        <v>3.2</v>
      </c>
      <c r="L3285" s="15" t="n">
        <v>2794.35</v>
      </c>
      <c r="M3285" s="15" t="n">
        <f aca="false">F3285*G3285</f>
        <v>2822.58</v>
      </c>
      <c r="N3285" s="15" t="n">
        <f aca="false">M3285-L3285</f>
        <v>28.23</v>
      </c>
      <c r="O3285" s="1" t="n">
        <f aca="false">YEAR(B3285)</f>
        <v>2030</v>
      </c>
      <c r="P3285" s="1" t="n">
        <f aca="false">MONTH(B3285)</f>
        <v>12</v>
      </c>
      <c r="Q3285" s="1" t="str">
        <f aca="false">TEXT(B3285,"mmm")</f>
        <v>Dec</v>
      </c>
      <c r="R3285" s="1" t="str">
        <f aca="false">"Q"&amp;ROUNDUP(MONTH(B3285)/3,0)</f>
        <v>Q4</v>
      </c>
    </row>
    <row r="3286" customFormat="false" ht="15" hidden="false" customHeight="true" outlineLevel="0" collapsed="false">
      <c r="A3286" s="1" t="n">
        <v>13285</v>
      </c>
      <c r="B3286" s="14" t="n">
        <v>47846</v>
      </c>
      <c r="C3286" s="1" t="n">
        <v>1163</v>
      </c>
      <c r="D3286" s="1" t="s">
        <v>27</v>
      </c>
      <c r="E3286" s="1" t="s">
        <v>36</v>
      </c>
      <c r="F3286" s="1" t="n">
        <v>4</v>
      </c>
      <c r="G3286" s="15" t="n">
        <v>465.52</v>
      </c>
      <c r="H3286" s="16" t="n">
        <v>0.21</v>
      </c>
      <c r="I3286" s="1" t="s">
        <v>33</v>
      </c>
      <c r="J3286" s="1" t="n">
        <v>2</v>
      </c>
      <c r="K3286" s="1" t="n">
        <v>3.5</v>
      </c>
      <c r="L3286" s="15" t="n">
        <v>1471.04</v>
      </c>
      <c r="M3286" s="15" t="n">
        <f aca="false">F3286*G3286</f>
        <v>1862.08</v>
      </c>
      <c r="N3286" s="15" t="n">
        <f aca="false">M3286-L3286</f>
        <v>391.04</v>
      </c>
      <c r="O3286" s="1" t="n">
        <f aca="false">YEAR(B3286)</f>
        <v>2030</v>
      </c>
      <c r="P3286" s="1" t="n">
        <f aca="false">MONTH(B3286)</f>
        <v>12</v>
      </c>
      <c r="Q3286" s="1" t="str">
        <f aca="false">TEXT(B3286,"mmm")</f>
        <v>Dec</v>
      </c>
      <c r="R3286" s="1" t="str">
        <f aca="false">"Q"&amp;ROUNDUP(MONTH(B3286)/3,0)</f>
        <v>Q4</v>
      </c>
    </row>
    <row r="3287" customFormat="false" ht="15" hidden="false" customHeight="true" outlineLevel="0" collapsed="false">
      <c r="A3287" s="1" t="n">
        <v>13286</v>
      </c>
      <c r="B3287" s="14" t="n">
        <v>47847</v>
      </c>
      <c r="C3287" s="1" t="n">
        <v>1094</v>
      </c>
      <c r="D3287" s="1" t="s">
        <v>30</v>
      </c>
      <c r="E3287" s="1" t="s">
        <v>36</v>
      </c>
      <c r="F3287" s="1" t="n">
        <v>4</v>
      </c>
      <c r="G3287" s="15" t="n">
        <v>147.38</v>
      </c>
      <c r="H3287" s="16" t="n">
        <v>0.3</v>
      </c>
      <c r="I3287" s="1" t="s">
        <v>33</v>
      </c>
      <c r="J3287" s="1" t="n">
        <v>5</v>
      </c>
      <c r="K3287" s="1" t="n">
        <v>4.2</v>
      </c>
      <c r="L3287" s="15" t="n">
        <v>412.66</v>
      </c>
      <c r="M3287" s="15" t="n">
        <f aca="false">F3287*G3287</f>
        <v>589.52</v>
      </c>
      <c r="N3287" s="15" t="n">
        <f aca="false">M3287-L3287</f>
        <v>176.86</v>
      </c>
      <c r="O3287" s="1" t="n">
        <f aca="false">YEAR(B3287)</f>
        <v>2030</v>
      </c>
      <c r="P3287" s="1" t="n">
        <f aca="false">MONTH(B3287)</f>
        <v>12</v>
      </c>
      <c r="Q3287" s="1" t="str">
        <f aca="false">TEXT(B3287,"mmm")</f>
        <v>Dec</v>
      </c>
      <c r="R3287" s="1" t="str">
        <f aca="false">"Q"&amp;ROUNDUP(MONTH(B3287)/3,0)</f>
        <v>Q4</v>
      </c>
    </row>
    <row r="3288" customFormat="false" ht="15" hidden="false" customHeight="true" outlineLevel="0" collapsed="false">
      <c r="A3288" s="1" t="n">
        <v>13287</v>
      </c>
      <c r="B3288" s="14" t="n">
        <v>47848</v>
      </c>
      <c r="C3288" s="1" t="n">
        <v>1781</v>
      </c>
      <c r="D3288" s="1" t="s">
        <v>37</v>
      </c>
      <c r="E3288" s="1" t="s">
        <v>36</v>
      </c>
      <c r="F3288" s="1" t="n">
        <v>7</v>
      </c>
      <c r="G3288" s="15" t="n">
        <v>585.61</v>
      </c>
      <c r="H3288" s="16" t="n">
        <v>0.2</v>
      </c>
      <c r="I3288" s="1" t="s">
        <v>31</v>
      </c>
      <c r="J3288" s="1" t="n">
        <v>7</v>
      </c>
      <c r="K3288" s="1" t="n">
        <v>1.8</v>
      </c>
      <c r="L3288" s="15" t="n">
        <v>3279.42</v>
      </c>
      <c r="M3288" s="15" t="n">
        <f aca="false">F3288*G3288</f>
        <v>4099.27</v>
      </c>
      <c r="N3288" s="15" t="n">
        <f aca="false">M3288-L3288</f>
        <v>819.85</v>
      </c>
      <c r="O3288" s="1" t="n">
        <f aca="false">YEAR(B3288)</f>
        <v>2030</v>
      </c>
      <c r="P3288" s="1" t="n">
        <f aca="false">MONTH(B3288)</f>
        <v>12</v>
      </c>
      <c r="Q3288" s="1" t="str">
        <f aca="false">TEXT(B3288,"mmm")</f>
        <v>Dec</v>
      </c>
      <c r="R3288" s="1" t="str">
        <f aca="false">"Q"&amp;ROUNDUP(MONTH(B3288)/3,0)</f>
        <v>Q4</v>
      </c>
    </row>
    <row r="3289" customFormat="false" ht="15" hidden="false" customHeight="true" outlineLevel="0" collapsed="false">
      <c r="A3289" s="1" t="n">
        <v>13288</v>
      </c>
      <c r="B3289" s="14" t="n">
        <v>47849</v>
      </c>
      <c r="C3289" s="1" t="n">
        <v>1832</v>
      </c>
      <c r="D3289" s="1" t="s">
        <v>34</v>
      </c>
      <c r="E3289" s="1" t="s">
        <v>35</v>
      </c>
      <c r="F3289" s="1" t="n">
        <v>1</v>
      </c>
      <c r="G3289" s="15" t="n">
        <v>597.18</v>
      </c>
      <c r="H3289" s="16" t="n">
        <v>0.07</v>
      </c>
      <c r="I3289" s="1" t="s">
        <v>33</v>
      </c>
      <c r="J3289" s="1" t="n">
        <v>2</v>
      </c>
      <c r="K3289" s="1" t="n">
        <v>1.5</v>
      </c>
      <c r="L3289" s="15" t="n">
        <v>555.38</v>
      </c>
      <c r="M3289" s="15" t="n">
        <f aca="false">F3289*G3289</f>
        <v>597.18</v>
      </c>
      <c r="N3289" s="15" t="n">
        <f aca="false">M3289-L3289</f>
        <v>41.8</v>
      </c>
      <c r="O3289" s="1" t="n">
        <f aca="false">YEAR(B3289)</f>
        <v>2031</v>
      </c>
      <c r="P3289" s="1" t="n">
        <f aca="false">MONTH(B3289)</f>
        <v>1</v>
      </c>
      <c r="Q3289" s="1" t="str">
        <f aca="false">TEXT(B3289,"mmm")</f>
        <v>Jan</v>
      </c>
      <c r="R3289" s="1" t="str">
        <f aca="false">"Q"&amp;ROUNDUP(MONTH(B3289)/3,0)</f>
        <v>Q1</v>
      </c>
    </row>
    <row r="3290" customFormat="false" ht="15" hidden="false" customHeight="true" outlineLevel="0" collapsed="false">
      <c r="A3290" s="1" t="n">
        <v>13289</v>
      </c>
      <c r="B3290" s="14" t="n">
        <v>47850</v>
      </c>
      <c r="C3290" s="1" t="n">
        <v>1109</v>
      </c>
      <c r="D3290" s="1" t="s">
        <v>34</v>
      </c>
      <c r="E3290" s="1" t="s">
        <v>32</v>
      </c>
      <c r="F3290" s="1" t="n">
        <v>3</v>
      </c>
      <c r="G3290" s="15" t="n">
        <v>59.22</v>
      </c>
      <c r="H3290" s="16" t="n">
        <v>0.03</v>
      </c>
      <c r="I3290" s="1" t="s">
        <v>33</v>
      </c>
      <c r="J3290" s="1" t="n">
        <v>7</v>
      </c>
      <c r="K3290" s="1" t="n">
        <v>4.4</v>
      </c>
      <c r="L3290" s="15" t="n">
        <v>172.33</v>
      </c>
      <c r="M3290" s="15" t="n">
        <f aca="false">F3290*G3290</f>
        <v>177.66</v>
      </c>
      <c r="N3290" s="15" t="n">
        <f aca="false">M3290-L3290</f>
        <v>5.32999999999998</v>
      </c>
      <c r="O3290" s="1" t="n">
        <f aca="false">YEAR(B3290)</f>
        <v>2031</v>
      </c>
      <c r="P3290" s="1" t="n">
        <f aca="false">MONTH(B3290)</f>
        <v>1</v>
      </c>
      <c r="Q3290" s="1" t="str">
        <f aca="false">TEXT(B3290,"mmm")</f>
        <v>Jan</v>
      </c>
      <c r="R3290" s="1" t="str">
        <f aca="false">"Q"&amp;ROUNDUP(MONTH(B3290)/3,0)</f>
        <v>Q1</v>
      </c>
    </row>
    <row r="3291" customFormat="false" ht="15" hidden="false" customHeight="true" outlineLevel="0" collapsed="false">
      <c r="A3291" s="1" t="n">
        <v>13290</v>
      </c>
      <c r="B3291" s="14" t="n">
        <v>47851</v>
      </c>
      <c r="C3291" s="1" t="n">
        <v>1335</v>
      </c>
      <c r="D3291" s="1" t="s">
        <v>34</v>
      </c>
      <c r="E3291" s="1" t="s">
        <v>32</v>
      </c>
      <c r="F3291" s="1" t="n">
        <v>5</v>
      </c>
      <c r="G3291" s="15" t="n">
        <v>562.82</v>
      </c>
      <c r="H3291" s="16" t="n">
        <v>0.24</v>
      </c>
      <c r="I3291" s="1" t="s">
        <v>33</v>
      </c>
      <c r="J3291" s="1" t="n">
        <v>9</v>
      </c>
      <c r="K3291" s="1" t="n">
        <v>1.4</v>
      </c>
      <c r="L3291" s="15" t="n">
        <v>2138.72</v>
      </c>
      <c r="M3291" s="15" t="n">
        <f aca="false">F3291*G3291</f>
        <v>2814.1</v>
      </c>
      <c r="N3291" s="15" t="n">
        <f aca="false">M3291-L3291</f>
        <v>675.380000000001</v>
      </c>
      <c r="O3291" s="1" t="n">
        <f aca="false">YEAR(B3291)</f>
        <v>2031</v>
      </c>
      <c r="P3291" s="1" t="n">
        <f aca="false">MONTH(B3291)</f>
        <v>1</v>
      </c>
      <c r="Q3291" s="1" t="str">
        <f aca="false">TEXT(B3291,"mmm")</f>
        <v>Jan</v>
      </c>
      <c r="R3291" s="1" t="str">
        <f aca="false">"Q"&amp;ROUNDUP(MONTH(B3291)/3,0)</f>
        <v>Q1</v>
      </c>
    </row>
    <row r="3292" customFormat="false" ht="15" hidden="false" customHeight="true" outlineLevel="0" collapsed="false">
      <c r="A3292" s="1" t="n">
        <v>13291</v>
      </c>
      <c r="B3292" s="14" t="n">
        <v>47852</v>
      </c>
      <c r="C3292" s="1" t="n">
        <v>1821</v>
      </c>
      <c r="D3292" s="1" t="s">
        <v>30</v>
      </c>
      <c r="E3292" s="1" t="s">
        <v>35</v>
      </c>
      <c r="F3292" s="1" t="n">
        <v>6</v>
      </c>
      <c r="G3292" s="15" t="n">
        <v>184.33</v>
      </c>
      <c r="H3292" s="16" t="n">
        <v>0.25</v>
      </c>
      <c r="I3292" s="1" t="s">
        <v>29</v>
      </c>
      <c r="J3292" s="1" t="n">
        <v>8</v>
      </c>
      <c r="K3292" s="1" t="n">
        <v>1.4</v>
      </c>
      <c r="L3292" s="15" t="n">
        <v>829.48</v>
      </c>
      <c r="M3292" s="15" t="n">
        <f aca="false">F3292*G3292</f>
        <v>1105.98</v>
      </c>
      <c r="N3292" s="15" t="n">
        <f aca="false">M3292-L3292</f>
        <v>276.5</v>
      </c>
      <c r="O3292" s="1" t="n">
        <f aca="false">YEAR(B3292)</f>
        <v>2031</v>
      </c>
      <c r="P3292" s="1" t="n">
        <f aca="false">MONTH(B3292)</f>
        <v>1</v>
      </c>
      <c r="Q3292" s="1" t="str">
        <f aca="false">TEXT(B3292,"mmm")</f>
        <v>Jan</v>
      </c>
      <c r="R3292" s="1" t="str">
        <f aca="false">"Q"&amp;ROUNDUP(MONTH(B3292)/3,0)</f>
        <v>Q1</v>
      </c>
    </row>
    <row r="3293" customFormat="false" ht="15" hidden="false" customHeight="true" outlineLevel="0" collapsed="false">
      <c r="A3293" s="1" t="n">
        <v>13292</v>
      </c>
      <c r="B3293" s="14" t="n">
        <v>47853</v>
      </c>
      <c r="C3293" s="1" t="n">
        <v>1237</v>
      </c>
      <c r="D3293" s="1" t="s">
        <v>30</v>
      </c>
      <c r="E3293" s="1" t="s">
        <v>32</v>
      </c>
      <c r="F3293" s="1" t="n">
        <v>4</v>
      </c>
      <c r="G3293" s="15" t="n">
        <v>418.23</v>
      </c>
      <c r="H3293" s="16" t="n">
        <v>0.06</v>
      </c>
      <c r="I3293" s="1" t="s">
        <v>31</v>
      </c>
      <c r="J3293" s="1" t="n">
        <v>10</v>
      </c>
      <c r="K3293" s="1" t="n">
        <v>2.1</v>
      </c>
      <c r="L3293" s="15" t="n">
        <v>1572.54</v>
      </c>
      <c r="M3293" s="15" t="n">
        <f aca="false">F3293*G3293</f>
        <v>1672.92</v>
      </c>
      <c r="N3293" s="15" t="n">
        <f aca="false">M3293-L3293</f>
        <v>100.38</v>
      </c>
      <c r="O3293" s="1" t="n">
        <f aca="false">YEAR(B3293)</f>
        <v>2031</v>
      </c>
      <c r="P3293" s="1" t="n">
        <f aca="false">MONTH(B3293)</f>
        <v>1</v>
      </c>
      <c r="Q3293" s="1" t="str">
        <f aca="false">TEXT(B3293,"mmm")</f>
        <v>Jan</v>
      </c>
      <c r="R3293" s="1" t="str">
        <f aca="false">"Q"&amp;ROUNDUP(MONTH(B3293)/3,0)</f>
        <v>Q1</v>
      </c>
    </row>
    <row r="3294" customFormat="false" ht="15" hidden="false" customHeight="true" outlineLevel="0" collapsed="false">
      <c r="A3294" s="1" t="n">
        <v>13293</v>
      </c>
      <c r="B3294" s="14" t="n">
        <v>47854</v>
      </c>
      <c r="C3294" s="1" t="n">
        <v>1380</v>
      </c>
      <c r="D3294" s="1" t="s">
        <v>30</v>
      </c>
      <c r="E3294" s="1" t="s">
        <v>35</v>
      </c>
      <c r="F3294" s="1" t="n">
        <v>5</v>
      </c>
      <c r="G3294" s="15" t="n">
        <v>212.79</v>
      </c>
      <c r="H3294" s="16" t="n">
        <v>0.01</v>
      </c>
      <c r="I3294" s="1" t="s">
        <v>33</v>
      </c>
      <c r="J3294" s="1" t="n">
        <v>9</v>
      </c>
      <c r="K3294" s="1" t="n">
        <v>2.3</v>
      </c>
      <c r="L3294" s="15" t="n">
        <v>1053.31</v>
      </c>
      <c r="M3294" s="15" t="n">
        <f aca="false">F3294*G3294</f>
        <v>1063.95</v>
      </c>
      <c r="N3294" s="15" t="n">
        <f aca="false">M3294-L3294</f>
        <v>10.6400000000001</v>
      </c>
      <c r="O3294" s="1" t="n">
        <f aca="false">YEAR(B3294)</f>
        <v>2031</v>
      </c>
      <c r="P3294" s="1" t="n">
        <f aca="false">MONTH(B3294)</f>
        <v>1</v>
      </c>
      <c r="Q3294" s="1" t="str">
        <f aca="false">TEXT(B3294,"mmm")</f>
        <v>Jan</v>
      </c>
      <c r="R3294" s="1" t="str">
        <f aca="false">"Q"&amp;ROUNDUP(MONTH(B3294)/3,0)</f>
        <v>Q1</v>
      </c>
    </row>
    <row r="3295" customFormat="false" ht="15" hidden="false" customHeight="true" outlineLevel="0" collapsed="false">
      <c r="A3295" s="1" t="n">
        <v>13294</v>
      </c>
      <c r="B3295" s="14" t="n">
        <v>47855</v>
      </c>
      <c r="C3295" s="1" t="n">
        <v>1435</v>
      </c>
      <c r="D3295" s="1" t="s">
        <v>34</v>
      </c>
      <c r="E3295" s="1" t="s">
        <v>28</v>
      </c>
      <c r="F3295" s="1" t="n">
        <v>6</v>
      </c>
      <c r="G3295" s="15" t="n">
        <v>581.14</v>
      </c>
      <c r="H3295" s="16" t="n">
        <v>0.14</v>
      </c>
      <c r="I3295" s="1" t="s">
        <v>33</v>
      </c>
      <c r="J3295" s="1" t="n">
        <v>4</v>
      </c>
      <c r="K3295" s="1" t="n">
        <v>2</v>
      </c>
      <c r="L3295" s="15" t="n">
        <v>2998.68</v>
      </c>
      <c r="M3295" s="15" t="n">
        <f aca="false">F3295*G3295</f>
        <v>3486.84</v>
      </c>
      <c r="N3295" s="15" t="n">
        <f aca="false">M3295-L3295</f>
        <v>488.16</v>
      </c>
      <c r="O3295" s="1" t="n">
        <f aca="false">YEAR(B3295)</f>
        <v>2031</v>
      </c>
      <c r="P3295" s="1" t="n">
        <f aca="false">MONTH(B3295)</f>
        <v>1</v>
      </c>
      <c r="Q3295" s="1" t="str">
        <f aca="false">TEXT(B3295,"mmm")</f>
        <v>Jan</v>
      </c>
      <c r="R3295" s="1" t="str">
        <f aca="false">"Q"&amp;ROUNDUP(MONTH(B3295)/3,0)</f>
        <v>Q1</v>
      </c>
    </row>
    <row r="3296" customFormat="false" ht="15" hidden="false" customHeight="true" outlineLevel="0" collapsed="false">
      <c r="A3296" s="1" t="n">
        <v>13295</v>
      </c>
      <c r="B3296" s="14" t="n">
        <v>47856</v>
      </c>
      <c r="C3296" s="1" t="n">
        <v>1898</v>
      </c>
      <c r="D3296" s="1" t="s">
        <v>30</v>
      </c>
      <c r="E3296" s="1" t="s">
        <v>35</v>
      </c>
      <c r="F3296" s="1" t="n">
        <v>2</v>
      </c>
      <c r="G3296" s="15" t="n">
        <v>74.38</v>
      </c>
      <c r="H3296" s="16" t="n">
        <v>0.2</v>
      </c>
      <c r="I3296" s="1" t="s">
        <v>31</v>
      </c>
      <c r="J3296" s="1" t="n">
        <v>8</v>
      </c>
      <c r="K3296" s="1" t="n">
        <v>4</v>
      </c>
      <c r="L3296" s="15" t="n">
        <v>119.01</v>
      </c>
      <c r="M3296" s="15" t="n">
        <f aca="false">F3296*G3296</f>
        <v>148.76</v>
      </c>
      <c r="N3296" s="15" t="n">
        <f aca="false">M3296-L3296</f>
        <v>29.75</v>
      </c>
      <c r="O3296" s="1" t="n">
        <f aca="false">YEAR(B3296)</f>
        <v>2031</v>
      </c>
      <c r="P3296" s="1" t="n">
        <f aca="false">MONTH(B3296)</f>
        <v>1</v>
      </c>
      <c r="Q3296" s="1" t="str">
        <f aca="false">TEXT(B3296,"mmm")</f>
        <v>Jan</v>
      </c>
      <c r="R3296" s="1" t="str">
        <f aca="false">"Q"&amp;ROUNDUP(MONTH(B3296)/3,0)</f>
        <v>Q1</v>
      </c>
    </row>
    <row r="3297" customFormat="false" ht="15" hidden="false" customHeight="true" outlineLevel="0" collapsed="false">
      <c r="A3297" s="1" t="n">
        <v>13296</v>
      </c>
      <c r="B3297" s="14" t="n">
        <v>47857</v>
      </c>
      <c r="C3297" s="1" t="n">
        <v>1482</v>
      </c>
      <c r="D3297" s="1" t="s">
        <v>37</v>
      </c>
      <c r="E3297" s="1" t="s">
        <v>32</v>
      </c>
      <c r="F3297" s="1" t="n">
        <v>5</v>
      </c>
      <c r="G3297" s="15" t="n">
        <v>306.18</v>
      </c>
      <c r="H3297" s="16" t="n">
        <v>0.25</v>
      </c>
      <c r="I3297" s="1" t="s">
        <v>31</v>
      </c>
      <c r="J3297" s="1" t="n">
        <v>9</v>
      </c>
      <c r="K3297" s="1" t="n">
        <v>4.9</v>
      </c>
      <c r="L3297" s="15" t="n">
        <v>1148.18</v>
      </c>
      <c r="M3297" s="15" t="n">
        <f aca="false">F3297*G3297</f>
        <v>1530.9</v>
      </c>
      <c r="N3297" s="15" t="n">
        <f aca="false">M3297-L3297</f>
        <v>382.72</v>
      </c>
      <c r="O3297" s="1" t="n">
        <f aca="false">YEAR(B3297)</f>
        <v>2031</v>
      </c>
      <c r="P3297" s="1" t="n">
        <f aca="false">MONTH(B3297)</f>
        <v>1</v>
      </c>
      <c r="Q3297" s="1" t="str">
        <f aca="false">TEXT(B3297,"mmm")</f>
        <v>Jan</v>
      </c>
      <c r="R3297" s="1" t="str">
        <f aca="false">"Q"&amp;ROUNDUP(MONTH(B3297)/3,0)</f>
        <v>Q1</v>
      </c>
    </row>
    <row r="3298" customFormat="false" ht="15" hidden="false" customHeight="true" outlineLevel="0" collapsed="false">
      <c r="A3298" s="1" t="n">
        <v>13297</v>
      </c>
      <c r="B3298" s="14" t="n">
        <v>47858</v>
      </c>
      <c r="C3298" s="1" t="n">
        <v>1936</v>
      </c>
      <c r="D3298" s="1" t="s">
        <v>30</v>
      </c>
      <c r="E3298" s="1" t="s">
        <v>32</v>
      </c>
      <c r="F3298" s="1" t="n">
        <v>3</v>
      </c>
      <c r="G3298" s="15" t="n">
        <v>265.41</v>
      </c>
      <c r="H3298" s="16" t="n">
        <v>0.28</v>
      </c>
      <c r="I3298" s="1" t="s">
        <v>31</v>
      </c>
      <c r="J3298" s="1" t="n">
        <v>10</v>
      </c>
      <c r="K3298" s="1" t="n">
        <v>1.8</v>
      </c>
      <c r="L3298" s="15" t="n">
        <v>573.29</v>
      </c>
      <c r="M3298" s="15" t="n">
        <f aca="false">F3298*G3298</f>
        <v>796.23</v>
      </c>
      <c r="N3298" s="15" t="n">
        <f aca="false">M3298-L3298</f>
        <v>222.94</v>
      </c>
      <c r="O3298" s="1" t="n">
        <f aca="false">YEAR(B3298)</f>
        <v>2031</v>
      </c>
      <c r="P3298" s="1" t="n">
        <f aca="false">MONTH(B3298)</f>
        <v>1</v>
      </c>
      <c r="Q3298" s="1" t="str">
        <f aca="false">TEXT(B3298,"mmm")</f>
        <v>Jan</v>
      </c>
      <c r="R3298" s="1" t="str">
        <f aca="false">"Q"&amp;ROUNDUP(MONTH(B3298)/3,0)</f>
        <v>Q1</v>
      </c>
    </row>
    <row r="3299" customFormat="false" ht="15" hidden="false" customHeight="true" outlineLevel="0" collapsed="false">
      <c r="A3299" s="1" t="n">
        <v>13298</v>
      </c>
      <c r="B3299" s="14" t="n">
        <v>47859</v>
      </c>
      <c r="C3299" s="1" t="n">
        <v>1901</v>
      </c>
      <c r="D3299" s="1" t="s">
        <v>37</v>
      </c>
      <c r="E3299" s="1" t="s">
        <v>28</v>
      </c>
      <c r="F3299" s="1" t="n">
        <v>6</v>
      </c>
      <c r="G3299" s="15" t="n">
        <v>205.72</v>
      </c>
      <c r="H3299" s="16" t="n">
        <v>0.21</v>
      </c>
      <c r="I3299" s="1" t="s">
        <v>33</v>
      </c>
      <c r="J3299" s="1" t="n">
        <v>2</v>
      </c>
      <c r="K3299" s="1" t="n">
        <v>4.1</v>
      </c>
      <c r="L3299" s="15" t="n">
        <v>975.11</v>
      </c>
      <c r="M3299" s="15" t="n">
        <f aca="false">F3299*G3299</f>
        <v>1234.32</v>
      </c>
      <c r="N3299" s="15" t="n">
        <f aca="false">M3299-L3299</f>
        <v>259.21</v>
      </c>
      <c r="O3299" s="1" t="n">
        <f aca="false">YEAR(B3299)</f>
        <v>2031</v>
      </c>
      <c r="P3299" s="1" t="n">
        <f aca="false">MONTH(B3299)</f>
        <v>1</v>
      </c>
      <c r="Q3299" s="1" t="str">
        <f aca="false">TEXT(B3299,"mmm")</f>
        <v>Jan</v>
      </c>
      <c r="R3299" s="1" t="str">
        <f aca="false">"Q"&amp;ROUNDUP(MONTH(B3299)/3,0)</f>
        <v>Q1</v>
      </c>
    </row>
    <row r="3300" customFormat="false" ht="15" hidden="false" customHeight="true" outlineLevel="0" collapsed="false">
      <c r="A3300" s="1" t="n">
        <v>13299</v>
      </c>
      <c r="B3300" s="14" t="n">
        <v>47860</v>
      </c>
      <c r="C3300" s="1" t="n">
        <v>1024</v>
      </c>
      <c r="D3300" s="1" t="s">
        <v>34</v>
      </c>
      <c r="E3300" s="1" t="s">
        <v>35</v>
      </c>
      <c r="F3300" s="1" t="n">
        <v>3</v>
      </c>
      <c r="G3300" s="15" t="n">
        <v>392.64</v>
      </c>
      <c r="H3300" s="16" t="n">
        <v>0.04</v>
      </c>
      <c r="I3300" s="1" t="s">
        <v>31</v>
      </c>
      <c r="J3300" s="1" t="n">
        <v>10</v>
      </c>
      <c r="K3300" s="1" t="n">
        <v>1.2</v>
      </c>
      <c r="L3300" s="15" t="n">
        <v>1130.8</v>
      </c>
      <c r="M3300" s="15" t="n">
        <f aca="false">F3300*G3300</f>
        <v>1177.92</v>
      </c>
      <c r="N3300" s="15" t="n">
        <f aca="false">M3300-L3300</f>
        <v>47.1200000000001</v>
      </c>
      <c r="O3300" s="1" t="n">
        <f aca="false">YEAR(B3300)</f>
        <v>2031</v>
      </c>
      <c r="P3300" s="1" t="n">
        <f aca="false">MONTH(B3300)</f>
        <v>1</v>
      </c>
      <c r="Q3300" s="1" t="str">
        <f aca="false">TEXT(B3300,"mmm")</f>
        <v>Jan</v>
      </c>
      <c r="R3300" s="1" t="str">
        <f aca="false">"Q"&amp;ROUNDUP(MONTH(B3300)/3,0)</f>
        <v>Q1</v>
      </c>
    </row>
    <row r="3301" customFormat="false" ht="15" hidden="false" customHeight="true" outlineLevel="0" collapsed="false">
      <c r="A3301" s="1" t="n">
        <v>13300</v>
      </c>
      <c r="B3301" s="14" t="n">
        <v>47861</v>
      </c>
      <c r="C3301" s="1" t="n">
        <v>1652</v>
      </c>
      <c r="D3301" s="1" t="s">
        <v>37</v>
      </c>
      <c r="E3301" s="1" t="s">
        <v>28</v>
      </c>
      <c r="F3301" s="1" t="n">
        <v>5</v>
      </c>
      <c r="G3301" s="15" t="n">
        <v>91.67</v>
      </c>
      <c r="H3301" s="16" t="n">
        <v>0.24</v>
      </c>
      <c r="I3301" s="1" t="s">
        <v>31</v>
      </c>
      <c r="J3301" s="1" t="n">
        <v>3</v>
      </c>
      <c r="K3301" s="1" t="n">
        <v>1.5</v>
      </c>
      <c r="L3301" s="15" t="n">
        <v>348.35</v>
      </c>
      <c r="M3301" s="15" t="n">
        <f aca="false">F3301*G3301</f>
        <v>458.35</v>
      </c>
      <c r="N3301" s="15" t="n">
        <f aca="false">M3301-L3301</f>
        <v>110</v>
      </c>
      <c r="O3301" s="1" t="n">
        <f aca="false">YEAR(B3301)</f>
        <v>2031</v>
      </c>
      <c r="P3301" s="1" t="n">
        <f aca="false">MONTH(B3301)</f>
        <v>1</v>
      </c>
      <c r="Q3301" s="1" t="str">
        <f aca="false">TEXT(B3301,"mmm")</f>
        <v>Jan</v>
      </c>
      <c r="R3301" s="1" t="str">
        <f aca="false">"Q"&amp;ROUNDUP(MONTH(B3301)/3,0)</f>
        <v>Q1</v>
      </c>
    </row>
    <row r="3302" customFormat="false" ht="15" hidden="false" customHeight="true" outlineLevel="0" collapsed="false">
      <c r="A3302" s="1" t="n">
        <v>13301</v>
      </c>
      <c r="B3302" s="14" t="n">
        <v>47862</v>
      </c>
      <c r="C3302" s="1" t="n">
        <v>1116</v>
      </c>
      <c r="D3302" s="1" t="s">
        <v>30</v>
      </c>
      <c r="E3302" s="1" t="s">
        <v>36</v>
      </c>
      <c r="F3302" s="1" t="n">
        <v>2</v>
      </c>
      <c r="G3302" s="15" t="n">
        <v>434.25</v>
      </c>
      <c r="H3302" s="16" t="n">
        <v>0.34</v>
      </c>
      <c r="I3302" s="1" t="s">
        <v>31</v>
      </c>
      <c r="J3302" s="1" t="n">
        <v>1</v>
      </c>
      <c r="K3302" s="1" t="n">
        <v>3.1</v>
      </c>
      <c r="L3302" s="15" t="n">
        <v>573.21</v>
      </c>
      <c r="M3302" s="15" t="n">
        <f aca="false">F3302*G3302</f>
        <v>868.5</v>
      </c>
      <c r="N3302" s="15" t="n">
        <f aca="false">M3302-L3302</f>
        <v>295.29</v>
      </c>
      <c r="O3302" s="1" t="n">
        <f aca="false">YEAR(B3302)</f>
        <v>2031</v>
      </c>
      <c r="P3302" s="1" t="n">
        <f aca="false">MONTH(B3302)</f>
        <v>1</v>
      </c>
      <c r="Q3302" s="1" t="str">
        <f aca="false">TEXT(B3302,"mmm")</f>
        <v>Jan</v>
      </c>
      <c r="R3302" s="1" t="str">
        <f aca="false">"Q"&amp;ROUNDUP(MONTH(B3302)/3,0)</f>
        <v>Q1</v>
      </c>
    </row>
    <row r="3303" customFormat="false" ht="15" hidden="false" customHeight="true" outlineLevel="0" collapsed="false">
      <c r="A3303" s="1" t="n">
        <v>13302</v>
      </c>
      <c r="B3303" s="14" t="n">
        <v>47863</v>
      </c>
      <c r="C3303" s="1" t="n">
        <v>1481</v>
      </c>
      <c r="D3303" s="1" t="s">
        <v>34</v>
      </c>
      <c r="E3303" s="1" t="s">
        <v>35</v>
      </c>
      <c r="F3303" s="1" t="n">
        <v>3</v>
      </c>
      <c r="G3303" s="15" t="n">
        <v>588.65</v>
      </c>
      <c r="H3303" s="16" t="n">
        <v>0.32</v>
      </c>
      <c r="I3303" s="1" t="s">
        <v>33</v>
      </c>
      <c r="J3303" s="1" t="n">
        <v>1</v>
      </c>
      <c r="K3303" s="1" t="n">
        <v>5</v>
      </c>
      <c r="L3303" s="15" t="n">
        <v>1200.85</v>
      </c>
      <c r="M3303" s="15" t="n">
        <f aca="false">F3303*G3303</f>
        <v>1765.95</v>
      </c>
      <c r="N3303" s="15" t="n">
        <f aca="false">M3303-L3303</f>
        <v>565.1</v>
      </c>
      <c r="O3303" s="1" t="n">
        <f aca="false">YEAR(B3303)</f>
        <v>2031</v>
      </c>
      <c r="P3303" s="1" t="n">
        <f aca="false">MONTH(B3303)</f>
        <v>1</v>
      </c>
      <c r="Q3303" s="1" t="str">
        <f aca="false">TEXT(B3303,"mmm")</f>
        <v>Jan</v>
      </c>
      <c r="R3303" s="1" t="str">
        <f aca="false">"Q"&amp;ROUNDUP(MONTH(B3303)/3,0)</f>
        <v>Q1</v>
      </c>
    </row>
    <row r="3304" customFormat="false" ht="15" hidden="false" customHeight="true" outlineLevel="0" collapsed="false">
      <c r="A3304" s="1" t="n">
        <v>13303</v>
      </c>
      <c r="B3304" s="14" t="n">
        <v>47864</v>
      </c>
      <c r="C3304" s="1" t="n">
        <v>1391</v>
      </c>
      <c r="D3304" s="1" t="s">
        <v>34</v>
      </c>
      <c r="E3304" s="1" t="s">
        <v>28</v>
      </c>
      <c r="F3304" s="1" t="n">
        <v>4</v>
      </c>
      <c r="G3304" s="15" t="n">
        <v>485.67</v>
      </c>
      <c r="H3304" s="16" t="n">
        <v>0.31</v>
      </c>
      <c r="I3304" s="1" t="s">
        <v>33</v>
      </c>
      <c r="J3304" s="1" t="n">
        <v>10</v>
      </c>
      <c r="K3304" s="1" t="n">
        <v>4.8</v>
      </c>
      <c r="L3304" s="15" t="n">
        <v>1340.45</v>
      </c>
      <c r="M3304" s="15" t="n">
        <f aca="false">F3304*G3304</f>
        <v>1942.68</v>
      </c>
      <c r="N3304" s="15" t="n">
        <f aca="false">M3304-L3304</f>
        <v>602.23</v>
      </c>
      <c r="O3304" s="1" t="n">
        <f aca="false">YEAR(B3304)</f>
        <v>2031</v>
      </c>
      <c r="P3304" s="1" t="n">
        <f aca="false">MONTH(B3304)</f>
        <v>1</v>
      </c>
      <c r="Q3304" s="1" t="str">
        <f aca="false">TEXT(B3304,"mmm")</f>
        <v>Jan</v>
      </c>
      <c r="R3304" s="1" t="str">
        <f aca="false">"Q"&amp;ROUNDUP(MONTH(B3304)/3,0)</f>
        <v>Q1</v>
      </c>
    </row>
    <row r="3305" customFormat="false" ht="15" hidden="false" customHeight="true" outlineLevel="0" collapsed="false">
      <c r="A3305" s="1" t="n">
        <v>13304</v>
      </c>
      <c r="B3305" s="14" t="n">
        <v>47865</v>
      </c>
      <c r="C3305" s="1" t="n">
        <v>1916</v>
      </c>
      <c r="D3305" s="1" t="s">
        <v>30</v>
      </c>
      <c r="E3305" s="1" t="s">
        <v>28</v>
      </c>
      <c r="F3305" s="1" t="n">
        <v>6</v>
      </c>
      <c r="G3305" s="15" t="n">
        <v>518.11</v>
      </c>
      <c r="H3305" s="16" t="n">
        <v>0.11</v>
      </c>
      <c r="I3305" s="1" t="s">
        <v>33</v>
      </c>
      <c r="J3305" s="1" t="n">
        <v>6</v>
      </c>
      <c r="K3305" s="1" t="n">
        <v>1.4</v>
      </c>
      <c r="L3305" s="15" t="n">
        <v>2766.71</v>
      </c>
      <c r="M3305" s="15" t="n">
        <f aca="false">F3305*G3305</f>
        <v>3108.66</v>
      </c>
      <c r="N3305" s="15" t="n">
        <f aca="false">M3305-L3305</f>
        <v>341.95</v>
      </c>
      <c r="O3305" s="1" t="n">
        <f aca="false">YEAR(B3305)</f>
        <v>2031</v>
      </c>
      <c r="P3305" s="1" t="n">
        <f aca="false">MONTH(B3305)</f>
        <v>1</v>
      </c>
      <c r="Q3305" s="1" t="str">
        <f aca="false">TEXT(B3305,"mmm")</f>
        <v>Jan</v>
      </c>
      <c r="R3305" s="1" t="str">
        <f aca="false">"Q"&amp;ROUNDUP(MONTH(B3305)/3,0)</f>
        <v>Q1</v>
      </c>
    </row>
    <row r="3306" customFormat="false" ht="15" hidden="false" customHeight="true" outlineLevel="0" collapsed="false">
      <c r="A3306" s="1" t="n">
        <v>13305</v>
      </c>
      <c r="B3306" s="14" t="n">
        <v>47866</v>
      </c>
      <c r="C3306" s="1" t="n">
        <v>1993</v>
      </c>
      <c r="D3306" s="1" t="s">
        <v>37</v>
      </c>
      <c r="E3306" s="1" t="s">
        <v>32</v>
      </c>
      <c r="F3306" s="1" t="n">
        <v>5</v>
      </c>
      <c r="G3306" s="15" t="n">
        <v>225.39</v>
      </c>
      <c r="H3306" s="16" t="n">
        <v>0.26</v>
      </c>
      <c r="I3306" s="1" t="s">
        <v>31</v>
      </c>
      <c r="J3306" s="1" t="n">
        <v>1</v>
      </c>
      <c r="K3306" s="1" t="n">
        <v>2</v>
      </c>
      <c r="L3306" s="15" t="n">
        <v>833.94</v>
      </c>
      <c r="M3306" s="15" t="n">
        <f aca="false">F3306*G3306</f>
        <v>1126.95</v>
      </c>
      <c r="N3306" s="15" t="n">
        <f aca="false">M3306-L3306</f>
        <v>293.01</v>
      </c>
      <c r="O3306" s="1" t="n">
        <f aca="false">YEAR(B3306)</f>
        <v>2031</v>
      </c>
      <c r="P3306" s="1" t="n">
        <f aca="false">MONTH(B3306)</f>
        <v>1</v>
      </c>
      <c r="Q3306" s="1" t="str">
        <f aca="false">TEXT(B3306,"mmm")</f>
        <v>Jan</v>
      </c>
      <c r="R3306" s="1" t="str">
        <f aca="false">"Q"&amp;ROUNDUP(MONTH(B3306)/3,0)</f>
        <v>Q1</v>
      </c>
    </row>
    <row r="3307" customFormat="false" ht="15" hidden="false" customHeight="true" outlineLevel="0" collapsed="false">
      <c r="A3307" s="1" t="n">
        <v>13306</v>
      </c>
      <c r="B3307" s="14" t="n">
        <v>47867</v>
      </c>
      <c r="C3307" s="1" t="n">
        <v>1963</v>
      </c>
      <c r="D3307" s="1" t="s">
        <v>30</v>
      </c>
      <c r="E3307" s="1" t="s">
        <v>35</v>
      </c>
      <c r="F3307" s="1" t="n">
        <v>2</v>
      </c>
      <c r="G3307" s="15" t="n">
        <v>205.06</v>
      </c>
      <c r="H3307" s="16" t="n">
        <v>0.3</v>
      </c>
      <c r="I3307" s="1" t="s">
        <v>33</v>
      </c>
      <c r="J3307" s="1" t="n">
        <v>5</v>
      </c>
      <c r="K3307" s="1" t="n">
        <v>4.8</v>
      </c>
      <c r="L3307" s="15" t="n">
        <v>287.08</v>
      </c>
      <c r="M3307" s="15" t="n">
        <f aca="false">F3307*G3307</f>
        <v>410.12</v>
      </c>
      <c r="N3307" s="15" t="n">
        <f aca="false">M3307-L3307</f>
        <v>123.04</v>
      </c>
      <c r="O3307" s="1" t="n">
        <f aca="false">YEAR(B3307)</f>
        <v>2031</v>
      </c>
      <c r="P3307" s="1" t="n">
        <f aca="false">MONTH(B3307)</f>
        <v>1</v>
      </c>
      <c r="Q3307" s="1" t="str">
        <f aca="false">TEXT(B3307,"mmm")</f>
        <v>Jan</v>
      </c>
      <c r="R3307" s="1" t="str">
        <f aca="false">"Q"&amp;ROUNDUP(MONTH(B3307)/3,0)</f>
        <v>Q1</v>
      </c>
    </row>
    <row r="3308" customFormat="false" ht="15" hidden="false" customHeight="true" outlineLevel="0" collapsed="false">
      <c r="A3308" s="1" t="n">
        <v>13307</v>
      </c>
      <c r="B3308" s="14" t="n">
        <v>47868</v>
      </c>
      <c r="C3308" s="1" t="n">
        <v>1536</v>
      </c>
      <c r="D3308" s="1" t="s">
        <v>34</v>
      </c>
      <c r="E3308" s="1" t="s">
        <v>36</v>
      </c>
      <c r="F3308" s="1" t="n">
        <v>4</v>
      </c>
      <c r="G3308" s="15" t="n">
        <v>317.47</v>
      </c>
      <c r="H3308" s="16" t="n">
        <v>0.24</v>
      </c>
      <c r="I3308" s="1" t="s">
        <v>33</v>
      </c>
      <c r="J3308" s="1" t="n">
        <v>6</v>
      </c>
      <c r="K3308" s="1" t="n">
        <v>1.6</v>
      </c>
      <c r="L3308" s="15" t="n">
        <v>965.11</v>
      </c>
      <c r="M3308" s="15" t="n">
        <f aca="false">F3308*G3308</f>
        <v>1269.88</v>
      </c>
      <c r="N3308" s="15" t="n">
        <f aca="false">M3308-L3308</f>
        <v>304.77</v>
      </c>
      <c r="O3308" s="1" t="n">
        <f aca="false">YEAR(B3308)</f>
        <v>2031</v>
      </c>
      <c r="P3308" s="1" t="n">
        <f aca="false">MONTH(B3308)</f>
        <v>1</v>
      </c>
      <c r="Q3308" s="1" t="str">
        <f aca="false">TEXT(B3308,"mmm")</f>
        <v>Jan</v>
      </c>
      <c r="R3308" s="1" t="str">
        <f aca="false">"Q"&amp;ROUNDUP(MONTH(B3308)/3,0)</f>
        <v>Q1</v>
      </c>
    </row>
    <row r="3309" customFormat="false" ht="15" hidden="false" customHeight="true" outlineLevel="0" collapsed="false">
      <c r="A3309" s="1" t="n">
        <v>13308</v>
      </c>
      <c r="B3309" s="14" t="n">
        <v>47869</v>
      </c>
      <c r="C3309" s="1" t="n">
        <v>1078</v>
      </c>
      <c r="D3309" s="1" t="s">
        <v>27</v>
      </c>
      <c r="E3309" s="1" t="s">
        <v>36</v>
      </c>
      <c r="F3309" s="1" t="n">
        <v>5</v>
      </c>
      <c r="G3309" s="15" t="n">
        <v>41.75</v>
      </c>
      <c r="H3309" s="16" t="n">
        <v>0.09</v>
      </c>
      <c r="I3309" s="1" t="s">
        <v>31</v>
      </c>
      <c r="J3309" s="1" t="n">
        <v>9</v>
      </c>
      <c r="K3309" s="1" t="n">
        <v>4</v>
      </c>
      <c r="L3309" s="15" t="n">
        <v>189.96</v>
      </c>
      <c r="M3309" s="15" t="n">
        <f aca="false">F3309*G3309</f>
        <v>208.75</v>
      </c>
      <c r="N3309" s="15" t="n">
        <f aca="false">M3309-L3309</f>
        <v>18.79</v>
      </c>
      <c r="O3309" s="1" t="n">
        <f aca="false">YEAR(B3309)</f>
        <v>2031</v>
      </c>
      <c r="P3309" s="1" t="n">
        <f aca="false">MONTH(B3309)</f>
        <v>1</v>
      </c>
      <c r="Q3309" s="1" t="str">
        <f aca="false">TEXT(B3309,"mmm")</f>
        <v>Jan</v>
      </c>
      <c r="R3309" s="1" t="str">
        <f aca="false">"Q"&amp;ROUNDUP(MONTH(B3309)/3,0)</f>
        <v>Q1</v>
      </c>
    </row>
    <row r="3310" customFormat="false" ht="15" hidden="false" customHeight="true" outlineLevel="0" collapsed="false">
      <c r="A3310" s="1" t="n">
        <v>13309</v>
      </c>
      <c r="B3310" s="14" t="n">
        <v>47870</v>
      </c>
      <c r="C3310" s="1" t="n">
        <v>1579</v>
      </c>
      <c r="D3310" s="1" t="s">
        <v>37</v>
      </c>
      <c r="E3310" s="1" t="s">
        <v>35</v>
      </c>
      <c r="F3310" s="1" t="n">
        <v>7</v>
      </c>
      <c r="G3310" s="15" t="n">
        <v>568.03</v>
      </c>
      <c r="H3310" s="16" t="n">
        <v>0.33</v>
      </c>
      <c r="I3310" s="1" t="s">
        <v>31</v>
      </c>
      <c r="J3310" s="1" t="n">
        <v>6</v>
      </c>
      <c r="K3310" s="1" t="n">
        <v>1</v>
      </c>
      <c r="L3310" s="15" t="n">
        <v>2664.06</v>
      </c>
      <c r="M3310" s="15" t="n">
        <f aca="false">F3310*G3310</f>
        <v>3976.21</v>
      </c>
      <c r="N3310" s="15" t="n">
        <f aca="false">M3310-L3310</f>
        <v>1312.15</v>
      </c>
      <c r="O3310" s="1" t="n">
        <f aca="false">YEAR(B3310)</f>
        <v>2031</v>
      </c>
      <c r="P3310" s="1" t="n">
        <f aca="false">MONTH(B3310)</f>
        <v>1</v>
      </c>
      <c r="Q3310" s="1" t="str">
        <f aca="false">TEXT(B3310,"mmm")</f>
        <v>Jan</v>
      </c>
      <c r="R3310" s="1" t="str">
        <f aca="false">"Q"&amp;ROUNDUP(MONTH(B3310)/3,0)</f>
        <v>Q1</v>
      </c>
    </row>
    <row r="3311" customFormat="false" ht="15" hidden="false" customHeight="true" outlineLevel="0" collapsed="false">
      <c r="A3311" s="1" t="n">
        <v>13310</v>
      </c>
      <c r="B3311" s="14" t="n">
        <v>47871</v>
      </c>
      <c r="C3311" s="1" t="n">
        <v>1172</v>
      </c>
      <c r="D3311" s="1" t="s">
        <v>30</v>
      </c>
      <c r="E3311" s="1" t="s">
        <v>35</v>
      </c>
      <c r="F3311" s="1" t="n">
        <v>2</v>
      </c>
      <c r="G3311" s="15" t="n">
        <v>99.11</v>
      </c>
      <c r="H3311" s="16" t="n">
        <v>0.16</v>
      </c>
      <c r="I3311" s="1" t="s">
        <v>29</v>
      </c>
      <c r="J3311" s="1" t="n">
        <v>4</v>
      </c>
      <c r="K3311" s="1" t="n">
        <v>3.5</v>
      </c>
      <c r="L3311" s="15" t="n">
        <v>166.5</v>
      </c>
      <c r="M3311" s="15" t="n">
        <f aca="false">F3311*G3311</f>
        <v>198.22</v>
      </c>
      <c r="N3311" s="15" t="n">
        <f aca="false">M3311-L3311</f>
        <v>31.72</v>
      </c>
      <c r="O3311" s="1" t="n">
        <f aca="false">YEAR(B3311)</f>
        <v>2031</v>
      </c>
      <c r="P3311" s="1" t="n">
        <f aca="false">MONTH(B3311)</f>
        <v>1</v>
      </c>
      <c r="Q3311" s="1" t="str">
        <f aca="false">TEXT(B3311,"mmm")</f>
        <v>Jan</v>
      </c>
      <c r="R3311" s="1" t="str">
        <f aca="false">"Q"&amp;ROUNDUP(MONTH(B3311)/3,0)</f>
        <v>Q1</v>
      </c>
    </row>
    <row r="3312" customFormat="false" ht="15" hidden="false" customHeight="true" outlineLevel="0" collapsed="false">
      <c r="A3312" s="1" t="n">
        <v>13311</v>
      </c>
      <c r="B3312" s="14" t="n">
        <v>47872</v>
      </c>
      <c r="C3312" s="1" t="n">
        <v>1955</v>
      </c>
      <c r="D3312" s="1" t="s">
        <v>30</v>
      </c>
      <c r="E3312" s="1" t="s">
        <v>28</v>
      </c>
      <c r="F3312" s="1" t="n">
        <v>4</v>
      </c>
      <c r="G3312" s="15" t="n">
        <v>543.26</v>
      </c>
      <c r="H3312" s="16" t="n">
        <v>0.05</v>
      </c>
      <c r="I3312" s="1" t="s">
        <v>33</v>
      </c>
      <c r="J3312" s="1" t="n">
        <v>1</v>
      </c>
      <c r="K3312" s="1" t="n">
        <v>3</v>
      </c>
      <c r="L3312" s="15" t="n">
        <v>2064.39</v>
      </c>
      <c r="M3312" s="15" t="n">
        <f aca="false">F3312*G3312</f>
        <v>2173.04</v>
      </c>
      <c r="N3312" s="15" t="n">
        <f aca="false">M3312-L3312</f>
        <v>108.65</v>
      </c>
      <c r="O3312" s="1" t="n">
        <f aca="false">YEAR(B3312)</f>
        <v>2031</v>
      </c>
      <c r="P3312" s="1" t="n">
        <f aca="false">MONTH(B3312)</f>
        <v>1</v>
      </c>
      <c r="Q3312" s="1" t="str">
        <f aca="false">TEXT(B3312,"mmm")</f>
        <v>Jan</v>
      </c>
      <c r="R3312" s="1" t="str">
        <f aca="false">"Q"&amp;ROUNDUP(MONTH(B3312)/3,0)</f>
        <v>Q1</v>
      </c>
    </row>
    <row r="3313" customFormat="false" ht="15" hidden="false" customHeight="true" outlineLevel="0" collapsed="false">
      <c r="A3313" s="1" t="n">
        <v>13312</v>
      </c>
      <c r="B3313" s="14" t="n">
        <v>47873</v>
      </c>
      <c r="C3313" s="1" t="n">
        <v>1011</v>
      </c>
      <c r="D3313" s="1" t="s">
        <v>34</v>
      </c>
      <c r="E3313" s="1" t="s">
        <v>32</v>
      </c>
      <c r="F3313" s="1" t="n">
        <v>3</v>
      </c>
      <c r="G3313" s="15" t="n">
        <v>63.9</v>
      </c>
      <c r="H3313" s="16" t="n">
        <v>0.04</v>
      </c>
      <c r="I3313" s="1" t="s">
        <v>33</v>
      </c>
      <c r="J3313" s="1" t="n">
        <v>6</v>
      </c>
      <c r="K3313" s="1" t="n">
        <v>2.9</v>
      </c>
      <c r="L3313" s="15" t="n">
        <v>184.03</v>
      </c>
      <c r="M3313" s="15" t="n">
        <f aca="false">F3313*G3313</f>
        <v>191.7</v>
      </c>
      <c r="N3313" s="15" t="n">
        <f aca="false">M3313-L3313</f>
        <v>7.66999999999999</v>
      </c>
      <c r="O3313" s="1" t="n">
        <f aca="false">YEAR(B3313)</f>
        <v>2031</v>
      </c>
      <c r="P3313" s="1" t="n">
        <f aca="false">MONTH(B3313)</f>
        <v>1</v>
      </c>
      <c r="Q3313" s="1" t="str">
        <f aca="false">TEXT(B3313,"mmm")</f>
        <v>Jan</v>
      </c>
      <c r="R3313" s="1" t="str">
        <f aca="false">"Q"&amp;ROUNDUP(MONTH(B3313)/3,0)</f>
        <v>Q1</v>
      </c>
    </row>
    <row r="3314" customFormat="false" ht="15" hidden="false" customHeight="true" outlineLevel="0" collapsed="false">
      <c r="A3314" s="1" t="n">
        <v>13313</v>
      </c>
      <c r="B3314" s="14" t="n">
        <v>47874</v>
      </c>
      <c r="C3314" s="1" t="n">
        <v>1799</v>
      </c>
      <c r="D3314" s="1" t="s">
        <v>30</v>
      </c>
      <c r="E3314" s="1" t="s">
        <v>32</v>
      </c>
      <c r="F3314" s="1" t="n">
        <v>5</v>
      </c>
      <c r="G3314" s="15" t="n">
        <v>496.24</v>
      </c>
      <c r="H3314" s="16" t="n">
        <v>0.23</v>
      </c>
      <c r="I3314" s="1" t="s">
        <v>31</v>
      </c>
      <c r="J3314" s="1" t="n">
        <v>7</v>
      </c>
      <c r="K3314" s="1" t="n">
        <v>4.3</v>
      </c>
      <c r="L3314" s="15" t="n">
        <v>1910.52</v>
      </c>
      <c r="M3314" s="15" t="n">
        <f aca="false">F3314*G3314</f>
        <v>2481.2</v>
      </c>
      <c r="N3314" s="15" t="n">
        <f aca="false">M3314-L3314</f>
        <v>570.68</v>
      </c>
      <c r="O3314" s="1" t="n">
        <f aca="false">YEAR(B3314)</f>
        <v>2031</v>
      </c>
      <c r="P3314" s="1" t="n">
        <f aca="false">MONTH(B3314)</f>
        <v>1</v>
      </c>
      <c r="Q3314" s="1" t="str">
        <f aca="false">TEXT(B3314,"mmm")</f>
        <v>Jan</v>
      </c>
      <c r="R3314" s="1" t="str">
        <f aca="false">"Q"&amp;ROUNDUP(MONTH(B3314)/3,0)</f>
        <v>Q1</v>
      </c>
    </row>
    <row r="3315" customFormat="false" ht="15" hidden="false" customHeight="true" outlineLevel="0" collapsed="false">
      <c r="A3315" s="1" t="n">
        <v>13314</v>
      </c>
      <c r="B3315" s="14" t="n">
        <v>47875</v>
      </c>
      <c r="C3315" s="1" t="n">
        <v>1127</v>
      </c>
      <c r="D3315" s="1" t="s">
        <v>30</v>
      </c>
      <c r="E3315" s="1" t="s">
        <v>32</v>
      </c>
      <c r="F3315" s="1" t="n">
        <v>5</v>
      </c>
      <c r="G3315" s="15" t="n">
        <v>103.9</v>
      </c>
      <c r="H3315" s="16" t="n">
        <v>0.15</v>
      </c>
      <c r="I3315" s="1" t="s">
        <v>29</v>
      </c>
      <c r="J3315" s="1" t="n">
        <v>5</v>
      </c>
      <c r="K3315" s="1" t="n">
        <v>1.3</v>
      </c>
      <c r="L3315" s="15" t="n">
        <v>441.58</v>
      </c>
      <c r="M3315" s="15" t="n">
        <f aca="false">F3315*G3315</f>
        <v>519.5</v>
      </c>
      <c r="N3315" s="15" t="n">
        <f aca="false">M3315-L3315</f>
        <v>77.92</v>
      </c>
      <c r="O3315" s="1" t="n">
        <f aca="false">YEAR(B3315)</f>
        <v>2031</v>
      </c>
      <c r="P3315" s="1" t="n">
        <f aca="false">MONTH(B3315)</f>
        <v>1</v>
      </c>
      <c r="Q3315" s="1" t="str">
        <f aca="false">TEXT(B3315,"mmm")</f>
        <v>Jan</v>
      </c>
      <c r="R3315" s="1" t="str">
        <f aca="false">"Q"&amp;ROUNDUP(MONTH(B3315)/3,0)</f>
        <v>Q1</v>
      </c>
    </row>
    <row r="3316" customFormat="false" ht="15" hidden="false" customHeight="true" outlineLevel="0" collapsed="false">
      <c r="A3316" s="1" t="n">
        <v>13315</v>
      </c>
      <c r="B3316" s="14" t="n">
        <v>47876</v>
      </c>
      <c r="C3316" s="1" t="n">
        <v>1607</v>
      </c>
      <c r="D3316" s="1" t="s">
        <v>27</v>
      </c>
      <c r="E3316" s="1" t="s">
        <v>35</v>
      </c>
      <c r="F3316" s="1" t="n">
        <v>3</v>
      </c>
      <c r="G3316" s="15" t="n">
        <v>37.31</v>
      </c>
      <c r="H3316" s="16" t="n">
        <v>0.03</v>
      </c>
      <c r="I3316" s="1" t="s">
        <v>33</v>
      </c>
      <c r="J3316" s="1" t="n">
        <v>6</v>
      </c>
      <c r="K3316" s="1" t="n">
        <v>2.5</v>
      </c>
      <c r="L3316" s="15" t="n">
        <v>108.57</v>
      </c>
      <c r="M3316" s="15" t="n">
        <f aca="false">F3316*G3316</f>
        <v>111.93</v>
      </c>
      <c r="N3316" s="15" t="n">
        <f aca="false">M3316-L3316</f>
        <v>3.36000000000001</v>
      </c>
      <c r="O3316" s="1" t="n">
        <f aca="false">YEAR(B3316)</f>
        <v>2031</v>
      </c>
      <c r="P3316" s="1" t="n">
        <f aca="false">MONTH(B3316)</f>
        <v>1</v>
      </c>
      <c r="Q3316" s="1" t="str">
        <f aca="false">TEXT(B3316,"mmm")</f>
        <v>Jan</v>
      </c>
      <c r="R3316" s="1" t="str">
        <f aca="false">"Q"&amp;ROUNDUP(MONTH(B3316)/3,0)</f>
        <v>Q1</v>
      </c>
    </row>
    <row r="3317" customFormat="false" ht="15" hidden="false" customHeight="true" outlineLevel="0" collapsed="false">
      <c r="A3317" s="1" t="n">
        <v>13316</v>
      </c>
      <c r="B3317" s="14" t="n">
        <v>47877</v>
      </c>
      <c r="C3317" s="1" t="n">
        <v>1091</v>
      </c>
      <c r="D3317" s="1" t="s">
        <v>30</v>
      </c>
      <c r="E3317" s="1" t="s">
        <v>32</v>
      </c>
      <c r="F3317" s="1" t="n">
        <v>7</v>
      </c>
      <c r="G3317" s="15" t="n">
        <v>435.9</v>
      </c>
      <c r="H3317" s="16" t="n">
        <v>0.26</v>
      </c>
      <c r="I3317" s="1" t="s">
        <v>29</v>
      </c>
      <c r="J3317" s="1" t="n">
        <v>10</v>
      </c>
      <c r="K3317" s="1" t="n">
        <v>2.8</v>
      </c>
      <c r="L3317" s="15" t="n">
        <v>2257.96</v>
      </c>
      <c r="M3317" s="15" t="n">
        <f aca="false">F3317*G3317</f>
        <v>3051.3</v>
      </c>
      <c r="N3317" s="15" t="n">
        <f aca="false">M3317-L3317</f>
        <v>793.34</v>
      </c>
      <c r="O3317" s="1" t="n">
        <f aca="false">YEAR(B3317)</f>
        <v>2031</v>
      </c>
      <c r="P3317" s="1" t="n">
        <f aca="false">MONTH(B3317)</f>
        <v>1</v>
      </c>
      <c r="Q3317" s="1" t="str">
        <f aca="false">TEXT(B3317,"mmm")</f>
        <v>Jan</v>
      </c>
      <c r="R3317" s="1" t="str">
        <f aca="false">"Q"&amp;ROUNDUP(MONTH(B3317)/3,0)</f>
        <v>Q1</v>
      </c>
    </row>
    <row r="3318" customFormat="false" ht="15" hidden="false" customHeight="true" outlineLevel="0" collapsed="false">
      <c r="A3318" s="1" t="n">
        <v>13317</v>
      </c>
      <c r="B3318" s="14" t="n">
        <v>47878</v>
      </c>
      <c r="C3318" s="1" t="n">
        <v>1652</v>
      </c>
      <c r="D3318" s="1" t="s">
        <v>30</v>
      </c>
      <c r="E3318" s="1" t="s">
        <v>28</v>
      </c>
      <c r="F3318" s="1" t="n">
        <v>1</v>
      </c>
      <c r="G3318" s="15" t="n">
        <v>178.96</v>
      </c>
      <c r="H3318" s="16" t="n">
        <v>0.28</v>
      </c>
      <c r="I3318" s="1" t="s">
        <v>29</v>
      </c>
      <c r="J3318" s="1" t="n">
        <v>8</v>
      </c>
      <c r="K3318" s="1" t="n">
        <v>1.5</v>
      </c>
      <c r="L3318" s="15" t="n">
        <v>128.85</v>
      </c>
      <c r="M3318" s="15" t="n">
        <f aca="false">F3318*G3318</f>
        <v>178.96</v>
      </c>
      <c r="N3318" s="15" t="n">
        <f aca="false">M3318-L3318</f>
        <v>50.11</v>
      </c>
      <c r="O3318" s="1" t="n">
        <f aca="false">YEAR(B3318)</f>
        <v>2031</v>
      </c>
      <c r="P3318" s="1" t="n">
        <f aca="false">MONTH(B3318)</f>
        <v>1</v>
      </c>
      <c r="Q3318" s="1" t="str">
        <f aca="false">TEXT(B3318,"mmm")</f>
        <v>Jan</v>
      </c>
      <c r="R3318" s="1" t="str">
        <f aca="false">"Q"&amp;ROUNDUP(MONTH(B3318)/3,0)</f>
        <v>Q1</v>
      </c>
    </row>
    <row r="3319" customFormat="false" ht="15" hidden="false" customHeight="true" outlineLevel="0" collapsed="false">
      <c r="A3319" s="1" t="n">
        <v>13318</v>
      </c>
      <c r="B3319" s="14" t="n">
        <v>47879</v>
      </c>
      <c r="C3319" s="1" t="n">
        <v>1542</v>
      </c>
      <c r="D3319" s="1" t="s">
        <v>30</v>
      </c>
      <c r="E3319" s="1" t="s">
        <v>35</v>
      </c>
      <c r="F3319" s="1" t="n">
        <v>4</v>
      </c>
      <c r="G3319" s="15" t="n">
        <v>432.98</v>
      </c>
      <c r="H3319" s="16" t="n">
        <v>0.25</v>
      </c>
      <c r="I3319" s="1" t="s">
        <v>29</v>
      </c>
      <c r="J3319" s="1" t="n">
        <v>1</v>
      </c>
      <c r="K3319" s="1" t="n">
        <v>1.3</v>
      </c>
      <c r="L3319" s="15" t="n">
        <v>1298.94</v>
      </c>
      <c r="M3319" s="15" t="n">
        <f aca="false">F3319*G3319</f>
        <v>1731.92</v>
      </c>
      <c r="N3319" s="15" t="n">
        <f aca="false">M3319-L3319</f>
        <v>432.98</v>
      </c>
      <c r="O3319" s="1" t="n">
        <f aca="false">YEAR(B3319)</f>
        <v>2031</v>
      </c>
      <c r="P3319" s="1" t="n">
        <f aca="false">MONTH(B3319)</f>
        <v>1</v>
      </c>
      <c r="Q3319" s="1" t="str">
        <f aca="false">TEXT(B3319,"mmm")</f>
        <v>Jan</v>
      </c>
      <c r="R3319" s="1" t="str">
        <f aca="false">"Q"&amp;ROUNDUP(MONTH(B3319)/3,0)</f>
        <v>Q1</v>
      </c>
    </row>
    <row r="3320" customFormat="false" ht="15" hidden="false" customHeight="true" outlineLevel="0" collapsed="false">
      <c r="A3320" s="1" t="n">
        <v>13319</v>
      </c>
      <c r="B3320" s="14" t="n">
        <v>47880</v>
      </c>
      <c r="C3320" s="1" t="n">
        <v>1845</v>
      </c>
      <c r="D3320" s="1" t="s">
        <v>27</v>
      </c>
      <c r="E3320" s="1" t="s">
        <v>35</v>
      </c>
      <c r="F3320" s="1" t="n">
        <v>3</v>
      </c>
      <c r="G3320" s="15" t="n">
        <v>339.72</v>
      </c>
      <c r="H3320" s="16" t="n">
        <v>0.07</v>
      </c>
      <c r="I3320" s="1" t="s">
        <v>29</v>
      </c>
      <c r="J3320" s="1" t="n">
        <v>8</v>
      </c>
      <c r="K3320" s="1" t="n">
        <v>1.7</v>
      </c>
      <c r="L3320" s="15" t="n">
        <v>947.82</v>
      </c>
      <c r="M3320" s="15" t="n">
        <f aca="false">F3320*G3320</f>
        <v>1019.16</v>
      </c>
      <c r="N3320" s="15" t="n">
        <f aca="false">M3320-L3320</f>
        <v>71.34</v>
      </c>
      <c r="O3320" s="1" t="n">
        <f aca="false">YEAR(B3320)</f>
        <v>2031</v>
      </c>
      <c r="P3320" s="1" t="n">
        <f aca="false">MONTH(B3320)</f>
        <v>2</v>
      </c>
      <c r="Q3320" s="1" t="str">
        <f aca="false">TEXT(B3320,"mmm")</f>
        <v>Feb</v>
      </c>
      <c r="R3320" s="1" t="str">
        <f aca="false">"Q"&amp;ROUNDUP(MONTH(B3320)/3,0)</f>
        <v>Q1</v>
      </c>
    </row>
    <row r="3321" customFormat="false" ht="15" hidden="false" customHeight="true" outlineLevel="0" collapsed="false">
      <c r="A3321" s="1" t="n">
        <v>13320</v>
      </c>
      <c r="B3321" s="14" t="n">
        <v>47881</v>
      </c>
      <c r="C3321" s="1" t="n">
        <v>1531</v>
      </c>
      <c r="D3321" s="1" t="s">
        <v>37</v>
      </c>
      <c r="E3321" s="1" t="s">
        <v>32</v>
      </c>
      <c r="F3321" s="1" t="n">
        <v>5</v>
      </c>
      <c r="G3321" s="15" t="n">
        <v>78.65</v>
      </c>
      <c r="H3321" s="16" t="n">
        <v>0.24</v>
      </c>
      <c r="I3321" s="1" t="s">
        <v>31</v>
      </c>
      <c r="J3321" s="1" t="n">
        <v>11</v>
      </c>
      <c r="K3321" s="1" t="n">
        <v>2</v>
      </c>
      <c r="L3321" s="15" t="n">
        <v>298.87</v>
      </c>
      <c r="M3321" s="15" t="n">
        <f aca="false">F3321*G3321</f>
        <v>393.25</v>
      </c>
      <c r="N3321" s="15" t="n">
        <f aca="false">M3321-L3321</f>
        <v>94.38</v>
      </c>
      <c r="O3321" s="1" t="n">
        <f aca="false">YEAR(B3321)</f>
        <v>2031</v>
      </c>
      <c r="P3321" s="1" t="n">
        <f aca="false">MONTH(B3321)</f>
        <v>2</v>
      </c>
      <c r="Q3321" s="1" t="str">
        <f aca="false">TEXT(B3321,"mmm")</f>
        <v>Feb</v>
      </c>
      <c r="R3321" s="1" t="str">
        <f aca="false">"Q"&amp;ROUNDUP(MONTH(B3321)/3,0)</f>
        <v>Q1</v>
      </c>
    </row>
    <row r="3322" customFormat="false" ht="15" hidden="false" customHeight="true" outlineLevel="0" collapsed="false">
      <c r="A3322" s="1" t="n">
        <v>13321</v>
      </c>
      <c r="B3322" s="14" t="n">
        <v>47882</v>
      </c>
      <c r="C3322" s="1" t="n">
        <v>1657</v>
      </c>
      <c r="D3322" s="1" t="s">
        <v>30</v>
      </c>
      <c r="E3322" s="1" t="s">
        <v>36</v>
      </c>
      <c r="F3322" s="1" t="n">
        <v>4</v>
      </c>
      <c r="G3322" s="15" t="n">
        <v>560.3</v>
      </c>
      <c r="H3322" s="16" t="n">
        <v>0</v>
      </c>
      <c r="I3322" s="1" t="s">
        <v>29</v>
      </c>
      <c r="J3322" s="1" t="n">
        <v>2</v>
      </c>
      <c r="K3322" s="1" t="n">
        <v>4.9</v>
      </c>
      <c r="L3322" s="15" t="n">
        <v>2241.2</v>
      </c>
      <c r="M3322" s="15" t="n">
        <f aca="false">F3322*G3322</f>
        <v>2241.2</v>
      </c>
      <c r="N3322" s="15" t="n">
        <f aca="false">M3322-L3322</f>
        <v>0</v>
      </c>
      <c r="O3322" s="1" t="n">
        <f aca="false">YEAR(B3322)</f>
        <v>2031</v>
      </c>
      <c r="P3322" s="1" t="n">
        <f aca="false">MONTH(B3322)</f>
        <v>2</v>
      </c>
      <c r="Q3322" s="1" t="str">
        <f aca="false">TEXT(B3322,"mmm")</f>
        <v>Feb</v>
      </c>
      <c r="R3322" s="1" t="str">
        <f aca="false">"Q"&amp;ROUNDUP(MONTH(B3322)/3,0)</f>
        <v>Q1</v>
      </c>
    </row>
    <row r="3323" customFormat="false" ht="15" hidden="false" customHeight="true" outlineLevel="0" collapsed="false">
      <c r="A3323" s="1" t="n">
        <v>13322</v>
      </c>
      <c r="B3323" s="14" t="n">
        <v>47883</v>
      </c>
      <c r="C3323" s="1" t="n">
        <v>1988</v>
      </c>
      <c r="D3323" s="1" t="s">
        <v>37</v>
      </c>
      <c r="E3323" s="1" t="s">
        <v>36</v>
      </c>
      <c r="F3323" s="1" t="n">
        <v>7</v>
      </c>
      <c r="G3323" s="15" t="n">
        <v>279.6</v>
      </c>
      <c r="H3323" s="16" t="n">
        <v>0.11</v>
      </c>
      <c r="I3323" s="1" t="s">
        <v>31</v>
      </c>
      <c r="J3323" s="1" t="n">
        <v>2</v>
      </c>
      <c r="K3323" s="1" t="n">
        <v>2.9</v>
      </c>
      <c r="L3323" s="15" t="n">
        <v>1741.91</v>
      </c>
      <c r="M3323" s="15" t="n">
        <f aca="false">F3323*G3323</f>
        <v>1957.2</v>
      </c>
      <c r="N3323" s="15" t="n">
        <f aca="false">M3323-L3323</f>
        <v>215.29</v>
      </c>
      <c r="O3323" s="1" t="n">
        <f aca="false">YEAR(B3323)</f>
        <v>2031</v>
      </c>
      <c r="P3323" s="1" t="n">
        <f aca="false">MONTH(B3323)</f>
        <v>2</v>
      </c>
      <c r="Q3323" s="1" t="str">
        <f aca="false">TEXT(B3323,"mmm")</f>
        <v>Feb</v>
      </c>
      <c r="R3323" s="1" t="str">
        <f aca="false">"Q"&amp;ROUNDUP(MONTH(B3323)/3,0)</f>
        <v>Q1</v>
      </c>
    </row>
    <row r="3324" customFormat="false" ht="15" hidden="false" customHeight="true" outlineLevel="0" collapsed="false">
      <c r="A3324" s="1" t="n">
        <v>13323</v>
      </c>
      <c r="B3324" s="14" t="n">
        <v>47884</v>
      </c>
      <c r="C3324" s="1" t="n">
        <v>1827</v>
      </c>
      <c r="D3324" s="1" t="s">
        <v>30</v>
      </c>
      <c r="E3324" s="1" t="s">
        <v>28</v>
      </c>
      <c r="F3324" s="1" t="n">
        <v>4</v>
      </c>
      <c r="G3324" s="15" t="n">
        <v>444.65</v>
      </c>
      <c r="H3324" s="16" t="n">
        <v>0.14</v>
      </c>
      <c r="I3324" s="1" t="s">
        <v>29</v>
      </c>
      <c r="J3324" s="1" t="n">
        <v>8</v>
      </c>
      <c r="K3324" s="1" t="n">
        <v>3</v>
      </c>
      <c r="L3324" s="15" t="n">
        <v>1529.6</v>
      </c>
      <c r="M3324" s="15" t="n">
        <f aca="false">F3324*G3324</f>
        <v>1778.6</v>
      </c>
      <c r="N3324" s="15" t="n">
        <f aca="false">M3324-L3324</f>
        <v>249</v>
      </c>
      <c r="O3324" s="1" t="n">
        <f aca="false">YEAR(B3324)</f>
        <v>2031</v>
      </c>
      <c r="P3324" s="1" t="n">
        <f aca="false">MONTH(B3324)</f>
        <v>2</v>
      </c>
      <c r="Q3324" s="1" t="str">
        <f aca="false">TEXT(B3324,"mmm")</f>
        <v>Feb</v>
      </c>
      <c r="R3324" s="1" t="str">
        <f aca="false">"Q"&amp;ROUNDUP(MONTH(B3324)/3,0)</f>
        <v>Q1</v>
      </c>
    </row>
    <row r="3325" customFormat="false" ht="15" hidden="false" customHeight="true" outlineLevel="0" collapsed="false">
      <c r="A3325" s="1" t="n">
        <v>13324</v>
      </c>
      <c r="B3325" s="14" t="n">
        <v>47885</v>
      </c>
      <c r="C3325" s="1" t="n">
        <v>1446</v>
      </c>
      <c r="D3325" s="1" t="s">
        <v>30</v>
      </c>
      <c r="E3325" s="1" t="s">
        <v>32</v>
      </c>
      <c r="F3325" s="1" t="n">
        <v>1</v>
      </c>
      <c r="G3325" s="15" t="n">
        <v>308.1</v>
      </c>
      <c r="H3325" s="16" t="n">
        <v>0.29</v>
      </c>
      <c r="I3325" s="1" t="s">
        <v>31</v>
      </c>
      <c r="J3325" s="1" t="n">
        <v>2</v>
      </c>
      <c r="K3325" s="1" t="n">
        <v>3.8</v>
      </c>
      <c r="L3325" s="15" t="n">
        <v>218.75</v>
      </c>
      <c r="M3325" s="15" t="n">
        <f aca="false">F3325*G3325</f>
        <v>308.1</v>
      </c>
      <c r="N3325" s="15" t="n">
        <f aca="false">M3325-L3325</f>
        <v>89.35</v>
      </c>
      <c r="O3325" s="1" t="n">
        <f aca="false">YEAR(B3325)</f>
        <v>2031</v>
      </c>
      <c r="P3325" s="1" t="n">
        <f aca="false">MONTH(B3325)</f>
        <v>2</v>
      </c>
      <c r="Q3325" s="1" t="str">
        <f aca="false">TEXT(B3325,"mmm")</f>
        <v>Feb</v>
      </c>
      <c r="R3325" s="1" t="str">
        <f aca="false">"Q"&amp;ROUNDUP(MONTH(B3325)/3,0)</f>
        <v>Q1</v>
      </c>
    </row>
    <row r="3326" customFormat="false" ht="15" hidden="false" customHeight="true" outlineLevel="0" collapsed="false">
      <c r="A3326" s="1" t="n">
        <v>13325</v>
      </c>
      <c r="B3326" s="14" t="n">
        <v>47886</v>
      </c>
      <c r="C3326" s="1" t="n">
        <v>1389</v>
      </c>
      <c r="D3326" s="1" t="s">
        <v>34</v>
      </c>
      <c r="E3326" s="1" t="s">
        <v>32</v>
      </c>
      <c r="F3326" s="1" t="n">
        <v>5</v>
      </c>
      <c r="G3326" s="15" t="n">
        <v>368.55</v>
      </c>
      <c r="H3326" s="16" t="n">
        <v>0.14</v>
      </c>
      <c r="I3326" s="1" t="s">
        <v>33</v>
      </c>
      <c r="J3326" s="1" t="n">
        <v>8</v>
      </c>
      <c r="K3326" s="1" t="n">
        <v>3.7</v>
      </c>
      <c r="L3326" s="15" t="n">
        <v>1584.76</v>
      </c>
      <c r="M3326" s="15" t="n">
        <f aca="false">F3326*G3326</f>
        <v>1842.75</v>
      </c>
      <c r="N3326" s="15" t="n">
        <f aca="false">M3326-L3326</f>
        <v>257.99</v>
      </c>
      <c r="O3326" s="1" t="n">
        <f aca="false">YEAR(B3326)</f>
        <v>2031</v>
      </c>
      <c r="P3326" s="1" t="n">
        <f aca="false">MONTH(B3326)</f>
        <v>2</v>
      </c>
      <c r="Q3326" s="1" t="str">
        <f aca="false">TEXT(B3326,"mmm")</f>
        <v>Feb</v>
      </c>
      <c r="R3326" s="1" t="str">
        <f aca="false">"Q"&amp;ROUNDUP(MONTH(B3326)/3,0)</f>
        <v>Q1</v>
      </c>
    </row>
    <row r="3327" customFormat="false" ht="15" hidden="false" customHeight="true" outlineLevel="0" collapsed="false">
      <c r="A3327" s="1" t="n">
        <v>13326</v>
      </c>
      <c r="B3327" s="14" t="n">
        <v>47887</v>
      </c>
      <c r="C3327" s="1" t="n">
        <v>1671</v>
      </c>
      <c r="D3327" s="1" t="s">
        <v>30</v>
      </c>
      <c r="E3327" s="1" t="s">
        <v>35</v>
      </c>
      <c r="F3327" s="1" t="n">
        <v>2</v>
      </c>
      <c r="G3327" s="15" t="n">
        <v>192.12</v>
      </c>
      <c r="H3327" s="16" t="n">
        <v>0</v>
      </c>
      <c r="I3327" s="1" t="s">
        <v>31</v>
      </c>
      <c r="J3327" s="1" t="n">
        <v>5</v>
      </c>
      <c r="K3327" s="1" t="n">
        <v>3</v>
      </c>
      <c r="L3327" s="15" t="n">
        <v>384.24</v>
      </c>
      <c r="M3327" s="15" t="n">
        <f aca="false">F3327*G3327</f>
        <v>384.24</v>
      </c>
      <c r="N3327" s="15" t="n">
        <f aca="false">M3327-L3327</f>
        <v>0</v>
      </c>
      <c r="O3327" s="1" t="n">
        <f aca="false">YEAR(B3327)</f>
        <v>2031</v>
      </c>
      <c r="P3327" s="1" t="n">
        <f aca="false">MONTH(B3327)</f>
        <v>2</v>
      </c>
      <c r="Q3327" s="1" t="str">
        <f aca="false">TEXT(B3327,"mmm")</f>
        <v>Feb</v>
      </c>
      <c r="R3327" s="1" t="str">
        <f aca="false">"Q"&amp;ROUNDUP(MONTH(B3327)/3,0)</f>
        <v>Q1</v>
      </c>
    </row>
    <row r="3328" customFormat="false" ht="15" hidden="false" customHeight="true" outlineLevel="0" collapsed="false">
      <c r="A3328" s="1" t="n">
        <v>13327</v>
      </c>
      <c r="B3328" s="14" t="n">
        <v>47888</v>
      </c>
      <c r="C3328" s="1" t="n">
        <v>1860</v>
      </c>
      <c r="D3328" s="1" t="s">
        <v>34</v>
      </c>
      <c r="E3328" s="1" t="s">
        <v>35</v>
      </c>
      <c r="F3328" s="1" t="n">
        <v>1</v>
      </c>
      <c r="G3328" s="15" t="n">
        <v>132.21</v>
      </c>
      <c r="H3328" s="16" t="n">
        <v>0.12</v>
      </c>
      <c r="I3328" s="1" t="s">
        <v>33</v>
      </c>
      <c r="J3328" s="1" t="n">
        <v>9</v>
      </c>
      <c r="K3328" s="1" t="n">
        <v>2.4</v>
      </c>
      <c r="L3328" s="15" t="n">
        <v>116.34</v>
      </c>
      <c r="M3328" s="15" t="n">
        <f aca="false">F3328*G3328</f>
        <v>132.21</v>
      </c>
      <c r="N3328" s="15" t="n">
        <f aca="false">M3328-L3328</f>
        <v>15.87</v>
      </c>
      <c r="O3328" s="1" t="n">
        <f aca="false">YEAR(B3328)</f>
        <v>2031</v>
      </c>
      <c r="P3328" s="1" t="n">
        <f aca="false">MONTH(B3328)</f>
        <v>2</v>
      </c>
      <c r="Q3328" s="1" t="str">
        <f aca="false">TEXT(B3328,"mmm")</f>
        <v>Feb</v>
      </c>
      <c r="R3328" s="1" t="str">
        <f aca="false">"Q"&amp;ROUNDUP(MONTH(B3328)/3,0)</f>
        <v>Q1</v>
      </c>
    </row>
    <row r="3329" customFormat="false" ht="15" hidden="false" customHeight="true" outlineLevel="0" collapsed="false">
      <c r="A3329" s="1" t="n">
        <v>13328</v>
      </c>
      <c r="B3329" s="14" t="n">
        <v>47889</v>
      </c>
      <c r="C3329" s="1" t="n">
        <v>1042</v>
      </c>
      <c r="D3329" s="1" t="s">
        <v>27</v>
      </c>
      <c r="E3329" s="1" t="s">
        <v>32</v>
      </c>
      <c r="F3329" s="1" t="n">
        <v>1</v>
      </c>
      <c r="G3329" s="15" t="n">
        <v>332.4</v>
      </c>
      <c r="H3329" s="16" t="n">
        <v>0.17</v>
      </c>
      <c r="I3329" s="1" t="s">
        <v>31</v>
      </c>
      <c r="J3329" s="1" t="n">
        <v>9</v>
      </c>
      <c r="K3329" s="1" t="n">
        <v>2.3</v>
      </c>
      <c r="L3329" s="15" t="n">
        <v>275.89</v>
      </c>
      <c r="M3329" s="15" t="n">
        <f aca="false">F3329*G3329</f>
        <v>332.4</v>
      </c>
      <c r="N3329" s="15" t="n">
        <f aca="false">M3329-L3329</f>
        <v>56.51</v>
      </c>
      <c r="O3329" s="1" t="n">
        <f aca="false">YEAR(B3329)</f>
        <v>2031</v>
      </c>
      <c r="P3329" s="1" t="n">
        <f aca="false">MONTH(B3329)</f>
        <v>2</v>
      </c>
      <c r="Q3329" s="1" t="str">
        <f aca="false">TEXT(B3329,"mmm")</f>
        <v>Feb</v>
      </c>
      <c r="R3329" s="1" t="str">
        <f aca="false">"Q"&amp;ROUNDUP(MONTH(B3329)/3,0)</f>
        <v>Q1</v>
      </c>
    </row>
    <row r="3330" customFormat="false" ht="15" hidden="false" customHeight="true" outlineLevel="0" collapsed="false">
      <c r="A3330" s="1" t="n">
        <v>13329</v>
      </c>
      <c r="B3330" s="14" t="n">
        <v>47890</v>
      </c>
      <c r="C3330" s="1" t="n">
        <v>1253</v>
      </c>
      <c r="D3330" s="1" t="s">
        <v>34</v>
      </c>
      <c r="E3330" s="1" t="s">
        <v>35</v>
      </c>
      <c r="F3330" s="1" t="n">
        <v>2</v>
      </c>
      <c r="G3330" s="15" t="n">
        <v>272.53</v>
      </c>
      <c r="H3330" s="16" t="n">
        <v>0.33</v>
      </c>
      <c r="I3330" s="1" t="s">
        <v>31</v>
      </c>
      <c r="J3330" s="1" t="n">
        <v>8</v>
      </c>
      <c r="K3330" s="1" t="n">
        <v>1.2</v>
      </c>
      <c r="L3330" s="15" t="n">
        <v>365.19</v>
      </c>
      <c r="M3330" s="15" t="n">
        <f aca="false">F3330*G3330</f>
        <v>545.06</v>
      </c>
      <c r="N3330" s="15" t="n">
        <f aca="false">M3330-L3330</f>
        <v>179.87</v>
      </c>
      <c r="O3330" s="1" t="n">
        <f aca="false">YEAR(B3330)</f>
        <v>2031</v>
      </c>
      <c r="P3330" s="1" t="n">
        <f aca="false">MONTH(B3330)</f>
        <v>2</v>
      </c>
      <c r="Q3330" s="1" t="str">
        <f aca="false">TEXT(B3330,"mmm")</f>
        <v>Feb</v>
      </c>
      <c r="R3330" s="1" t="str">
        <f aca="false">"Q"&amp;ROUNDUP(MONTH(B3330)/3,0)</f>
        <v>Q1</v>
      </c>
    </row>
    <row r="3331" customFormat="false" ht="15" hidden="false" customHeight="true" outlineLevel="0" collapsed="false">
      <c r="A3331" s="1" t="n">
        <v>13330</v>
      </c>
      <c r="B3331" s="14" t="n">
        <v>47891</v>
      </c>
      <c r="C3331" s="1" t="n">
        <v>1129</v>
      </c>
      <c r="D3331" s="1" t="s">
        <v>27</v>
      </c>
      <c r="E3331" s="1" t="s">
        <v>32</v>
      </c>
      <c r="F3331" s="1" t="n">
        <v>2</v>
      </c>
      <c r="G3331" s="15" t="n">
        <v>243.22</v>
      </c>
      <c r="H3331" s="16" t="n">
        <v>0.33</v>
      </c>
      <c r="I3331" s="1" t="s">
        <v>29</v>
      </c>
      <c r="J3331" s="1" t="n">
        <v>9</v>
      </c>
      <c r="K3331" s="1" t="n">
        <v>4.6</v>
      </c>
      <c r="L3331" s="15" t="n">
        <v>325.91</v>
      </c>
      <c r="M3331" s="15" t="n">
        <f aca="false">F3331*G3331</f>
        <v>486.44</v>
      </c>
      <c r="N3331" s="15" t="n">
        <f aca="false">M3331-L3331</f>
        <v>160.53</v>
      </c>
      <c r="O3331" s="1" t="n">
        <f aca="false">YEAR(B3331)</f>
        <v>2031</v>
      </c>
      <c r="P3331" s="1" t="n">
        <f aca="false">MONTH(B3331)</f>
        <v>2</v>
      </c>
      <c r="Q3331" s="1" t="str">
        <f aca="false">TEXT(B3331,"mmm")</f>
        <v>Feb</v>
      </c>
      <c r="R3331" s="1" t="str">
        <f aca="false">"Q"&amp;ROUNDUP(MONTH(B3331)/3,0)</f>
        <v>Q1</v>
      </c>
    </row>
    <row r="3332" customFormat="false" ht="15" hidden="false" customHeight="true" outlineLevel="0" collapsed="false">
      <c r="A3332" s="1" t="n">
        <v>13331</v>
      </c>
      <c r="B3332" s="14" t="n">
        <v>47892</v>
      </c>
      <c r="C3332" s="1" t="n">
        <v>1059</v>
      </c>
      <c r="D3332" s="1" t="s">
        <v>30</v>
      </c>
      <c r="E3332" s="1" t="s">
        <v>28</v>
      </c>
      <c r="F3332" s="1" t="n">
        <v>7</v>
      </c>
      <c r="G3332" s="15" t="n">
        <v>408.45</v>
      </c>
      <c r="H3332" s="16" t="n">
        <v>0.06</v>
      </c>
      <c r="I3332" s="1" t="s">
        <v>33</v>
      </c>
      <c r="J3332" s="1" t="n">
        <v>7</v>
      </c>
      <c r="K3332" s="1" t="n">
        <v>4.1</v>
      </c>
      <c r="L3332" s="15" t="n">
        <v>2687.6</v>
      </c>
      <c r="M3332" s="15" t="n">
        <f aca="false">F3332*G3332</f>
        <v>2859.15</v>
      </c>
      <c r="N3332" s="15" t="n">
        <f aca="false">M3332-L3332</f>
        <v>171.55</v>
      </c>
      <c r="O3332" s="1" t="n">
        <f aca="false">YEAR(B3332)</f>
        <v>2031</v>
      </c>
      <c r="P3332" s="1" t="n">
        <f aca="false">MONTH(B3332)</f>
        <v>2</v>
      </c>
      <c r="Q3332" s="1" t="str">
        <f aca="false">TEXT(B3332,"mmm")</f>
        <v>Feb</v>
      </c>
      <c r="R3332" s="1" t="str">
        <f aca="false">"Q"&amp;ROUNDUP(MONTH(B3332)/3,0)</f>
        <v>Q1</v>
      </c>
    </row>
    <row r="3333" customFormat="false" ht="15" hidden="false" customHeight="true" outlineLevel="0" collapsed="false">
      <c r="A3333" s="1" t="n">
        <v>13332</v>
      </c>
      <c r="B3333" s="14" t="n">
        <v>47893</v>
      </c>
      <c r="C3333" s="1" t="n">
        <v>1662</v>
      </c>
      <c r="D3333" s="1" t="s">
        <v>30</v>
      </c>
      <c r="E3333" s="1" t="s">
        <v>35</v>
      </c>
      <c r="F3333" s="1" t="n">
        <v>7</v>
      </c>
      <c r="G3333" s="15" t="n">
        <v>418.95</v>
      </c>
      <c r="H3333" s="16" t="n">
        <v>0.06</v>
      </c>
      <c r="I3333" s="1" t="s">
        <v>31</v>
      </c>
      <c r="J3333" s="1" t="n">
        <v>8</v>
      </c>
      <c r="K3333" s="1" t="n">
        <v>3.5</v>
      </c>
      <c r="L3333" s="15" t="n">
        <v>2756.69</v>
      </c>
      <c r="M3333" s="15" t="n">
        <f aca="false">F3333*G3333</f>
        <v>2932.65</v>
      </c>
      <c r="N3333" s="15" t="n">
        <f aca="false">M3333-L3333</f>
        <v>175.96</v>
      </c>
      <c r="O3333" s="1" t="n">
        <f aca="false">YEAR(B3333)</f>
        <v>2031</v>
      </c>
      <c r="P3333" s="1" t="n">
        <f aca="false">MONTH(B3333)</f>
        <v>2</v>
      </c>
      <c r="Q3333" s="1" t="str">
        <f aca="false">TEXT(B3333,"mmm")</f>
        <v>Feb</v>
      </c>
      <c r="R3333" s="1" t="str">
        <f aca="false">"Q"&amp;ROUNDUP(MONTH(B3333)/3,0)</f>
        <v>Q1</v>
      </c>
    </row>
    <row r="3334" customFormat="false" ht="15" hidden="false" customHeight="true" outlineLevel="0" collapsed="false">
      <c r="A3334" s="1" t="n">
        <v>13333</v>
      </c>
      <c r="B3334" s="14" t="n">
        <v>47894</v>
      </c>
      <c r="C3334" s="1" t="n">
        <v>1466</v>
      </c>
      <c r="D3334" s="1" t="s">
        <v>30</v>
      </c>
      <c r="E3334" s="1" t="s">
        <v>32</v>
      </c>
      <c r="F3334" s="1" t="n">
        <v>1</v>
      </c>
      <c r="G3334" s="15" t="n">
        <v>41.86</v>
      </c>
      <c r="H3334" s="16" t="n">
        <v>0.06</v>
      </c>
      <c r="I3334" s="1" t="s">
        <v>31</v>
      </c>
      <c r="J3334" s="1" t="n">
        <v>6</v>
      </c>
      <c r="K3334" s="1" t="n">
        <v>2.6</v>
      </c>
      <c r="L3334" s="15" t="n">
        <v>39.35</v>
      </c>
      <c r="M3334" s="15" t="n">
        <f aca="false">F3334*G3334</f>
        <v>41.86</v>
      </c>
      <c r="N3334" s="15" t="n">
        <f aca="false">M3334-L3334</f>
        <v>2.51</v>
      </c>
      <c r="O3334" s="1" t="n">
        <f aca="false">YEAR(B3334)</f>
        <v>2031</v>
      </c>
      <c r="P3334" s="1" t="n">
        <f aca="false">MONTH(B3334)</f>
        <v>2</v>
      </c>
      <c r="Q3334" s="1" t="str">
        <f aca="false">TEXT(B3334,"mmm")</f>
        <v>Feb</v>
      </c>
      <c r="R3334" s="1" t="str">
        <f aca="false">"Q"&amp;ROUNDUP(MONTH(B3334)/3,0)</f>
        <v>Q1</v>
      </c>
    </row>
    <row r="3335" customFormat="false" ht="15" hidden="false" customHeight="true" outlineLevel="0" collapsed="false">
      <c r="A3335" s="1" t="n">
        <v>13334</v>
      </c>
      <c r="B3335" s="14" t="n">
        <v>47895</v>
      </c>
      <c r="C3335" s="1" t="n">
        <v>1286</v>
      </c>
      <c r="D3335" s="1" t="s">
        <v>34</v>
      </c>
      <c r="E3335" s="1" t="s">
        <v>35</v>
      </c>
      <c r="F3335" s="1" t="n">
        <v>4</v>
      </c>
      <c r="G3335" s="15" t="n">
        <v>213.17</v>
      </c>
      <c r="H3335" s="16" t="n">
        <v>0.28</v>
      </c>
      <c r="I3335" s="1" t="s">
        <v>31</v>
      </c>
      <c r="J3335" s="1" t="n">
        <v>9</v>
      </c>
      <c r="K3335" s="1" t="n">
        <v>3.3</v>
      </c>
      <c r="L3335" s="15" t="n">
        <v>613.93</v>
      </c>
      <c r="M3335" s="15" t="n">
        <f aca="false">F3335*G3335</f>
        <v>852.68</v>
      </c>
      <c r="N3335" s="15" t="n">
        <f aca="false">M3335-L3335</f>
        <v>238.75</v>
      </c>
      <c r="O3335" s="1" t="n">
        <f aca="false">YEAR(B3335)</f>
        <v>2031</v>
      </c>
      <c r="P3335" s="1" t="n">
        <f aca="false">MONTH(B3335)</f>
        <v>2</v>
      </c>
      <c r="Q3335" s="1" t="str">
        <f aca="false">TEXT(B3335,"mmm")</f>
        <v>Feb</v>
      </c>
      <c r="R3335" s="1" t="str">
        <f aca="false">"Q"&amp;ROUNDUP(MONTH(B3335)/3,0)</f>
        <v>Q1</v>
      </c>
    </row>
    <row r="3336" customFormat="false" ht="15" hidden="false" customHeight="true" outlineLevel="0" collapsed="false">
      <c r="A3336" s="1" t="n">
        <v>13335</v>
      </c>
      <c r="B3336" s="14" t="n">
        <v>47896</v>
      </c>
      <c r="C3336" s="1" t="n">
        <v>1516</v>
      </c>
      <c r="D3336" s="1" t="s">
        <v>30</v>
      </c>
      <c r="E3336" s="1" t="s">
        <v>28</v>
      </c>
      <c r="F3336" s="1" t="n">
        <v>3</v>
      </c>
      <c r="G3336" s="15" t="n">
        <v>255.88</v>
      </c>
      <c r="H3336" s="16" t="n">
        <v>0</v>
      </c>
      <c r="I3336" s="1" t="s">
        <v>33</v>
      </c>
      <c r="J3336" s="1" t="n">
        <v>2</v>
      </c>
      <c r="K3336" s="1" t="n">
        <v>2.9</v>
      </c>
      <c r="L3336" s="15" t="n">
        <v>767.64</v>
      </c>
      <c r="M3336" s="15" t="n">
        <f aca="false">F3336*G3336</f>
        <v>767.64</v>
      </c>
      <c r="N3336" s="15" t="n">
        <f aca="false">M3336-L3336</f>
        <v>0</v>
      </c>
      <c r="O3336" s="1" t="n">
        <f aca="false">YEAR(B3336)</f>
        <v>2031</v>
      </c>
      <c r="P3336" s="1" t="n">
        <f aca="false">MONTH(B3336)</f>
        <v>2</v>
      </c>
      <c r="Q3336" s="1" t="str">
        <f aca="false">TEXT(B3336,"mmm")</f>
        <v>Feb</v>
      </c>
      <c r="R3336" s="1" t="str">
        <f aca="false">"Q"&amp;ROUNDUP(MONTH(B3336)/3,0)</f>
        <v>Q1</v>
      </c>
    </row>
    <row r="3337" customFormat="false" ht="15" hidden="false" customHeight="true" outlineLevel="0" collapsed="false">
      <c r="A3337" s="1" t="n">
        <v>13336</v>
      </c>
      <c r="B3337" s="14" t="n">
        <v>47897</v>
      </c>
      <c r="C3337" s="1" t="n">
        <v>1466</v>
      </c>
      <c r="D3337" s="1" t="s">
        <v>34</v>
      </c>
      <c r="E3337" s="1" t="s">
        <v>35</v>
      </c>
      <c r="F3337" s="1" t="n">
        <v>3</v>
      </c>
      <c r="G3337" s="15" t="n">
        <v>71.68</v>
      </c>
      <c r="H3337" s="16" t="n">
        <v>0.04</v>
      </c>
      <c r="I3337" s="1" t="s">
        <v>29</v>
      </c>
      <c r="J3337" s="1" t="n">
        <v>3</v>
      </c>
      <c r="K3337" s="1" t="n">
        <v>2.1</v>
      </c>
      <c r="L3337" s="15" t="n">
        <v>206.44</v>
      </c>
      <c r="M3337" s="15" t="n">
        <f aca="false">F3337*G3337</f>
        <v>215.04</v>
      </c>
      <c r="N3337" s="15" t="n">
        <f aca="false">M3337-L3337</f>
        <v>8.60000000000002</v>
      </c>
      <c r="O3337" s="1" t="n">
        <f aca="false">YEAR(B3337)</f>
        <v>2031</v>
      </c>
      <c r="P3337" s="1" t="n">
        <f aca="false">MONTH(B3337)</f>
        <v>2</v>
      </c>
      <c r="Q3337" s="1" t="str">
        <f aca="false">TEXT(B3337,"mmm")</f>
        <v>Feb</v>
      </c>
      <c r="R3337" s="1" t="str">
        <f aca="false">"Q"&amp;ROUNDUP(MONTH(B3337)/3,0)</f>
        <v>Q1</v>
      </c>
    </row>
    <row r="3338" customFormat="false" ht="15" hidden="false" customHeight="true" outlineLevel="0" collapsed="false">
      <c r="A3338" s="1" t="n">
        <v>13337</v>
      </c>
      <c r="B3338" s="14" t="n">
        <v>47898</v>
      </c>
      <c r="C3338" s="1" t="n">
        <v>1929</v>
      </c>
      <c r="D3338" s="1" t="s">
        <v>30</v>
      </c>
      <c r="E3338" s="1" t="s">
        <v>32</v>
      </c>
      <c r="F3338" s="1" t="n">
        <v>1</v>
      </c>
      <c r="G3338" s="15" t="n">
        <v>153</v>
      </c>
      <c r="H3338" s="16" t="n">
        <v>0.19</v>
      </c>
      <c r="I3338" s="1" t="s">
        <v>33</v>
      </c>
      <c r="J3338" s="1" t="n">
        <v>2</v>
      </c>
      <c r="K3338" s="1" t="n">
        <v>2.2</v>
      </c>
      <c r="L3338" s="15" t="n">
        <v>123.93</v>
      </c>
      <c r="M3338" s="15" t="n">
        <f aca="false">F3338*G3338</f>
        <v>153</v>
      </c>
      <c r="N3338" s="15" t="n">
        <f aca="false">M3338-L3338</f>
        <v>29.07</v>
      </c>
      <c r="O3338" s="1" t="n">
        <f aca="false">YEAR(B3338)</f>
        <v>2031</v>
      </c>
      <c r="P3338" s="1" t="n">
        <f aca="false">MONTH(B3338)</f>
        <v>2</v>
      </c>
      <c r="Q3338" s="1" t="str">
        <f aca="false">TEXT(B3338,"mmm")</f>
        <v>Feb</v>
      </c>
      <c r="R3338" s="1" t="str">
        <f aca="false">"Q"&amp;ROUNDUP(MONTH(B3338)/3,0)</f>
        <v>Q1</v>
      </c>
    </row>
    <row r="3339" customFormat="false" ht="15" hidden="false" customHeight="true" outlineLevel="0" collapsed="false">
      <c r="A3339" s="1" t="n">
        <v>13338</v>
      </c>
      <c r="B3339" s="14" t="n">
        <v>47899</v>
      </c>
      <c r="C3339" s="1" t="n">
        <v>1777</v>
      </c>
      <c r="D3339" s="1" t="s">
        <v>30</v>
      </c>
      <c r="E3339" s="1" t="s">
        <v>35</v>
      </c>
      <c r="F3339" s="1" t="n">
        <v>4</v>
      </c>
      <c r="G3339" s="15" t="n">
        <v>45.21</v>
      </c>
      <c r="H3339" s="16" t="n">
        <v>0.09</v>
      </c>
      <c r="I3339" s="1" t="s">
        <v>31</v>
      </c>
      <c r="J3339" s="1" t="n">
        <v>6</v>
      </c>
      <c r="K3339" s="1" t="n">
        <v>4.5</v>
      </c>
      <c r="L3339" s="15" t="n">
        <v>164.56</v>
      </c>
      <c r="M3339" s="15" t="n">
        <f aca="false">F3339*G3339</f>
        <v>180.84</v>
      </c>
      <c r="N3339" s="15" t="n">
        <f aca="false">M3339-L3339</f>
        <v>16.28</v>
      </c>
      <c r="O3339" s="1" t="n">
        <f aca="false">YEAR(B3339)</f>
        <v>2031</v>
      </c>
      <c r="P3339" s="1" t="n">
        <f aca="false">MONTH(B3339)</f>
        <v>2</v>
      </c>
      <c r="Q3339" s="1" t="str">
        <f aca="false">TEXT(B3339,"mmm")</f>
        <v>Feb</v>
      </c>
      <c r="R3339" s="1" t="str">
        <f aca="false">"Q"&amp;ROUNDUP(MONTH(B3339)/3,0)</f>
        <v>Q1</v>
      </c>
    </row>
    <row r="3340" customFormat="false" ht="15" hidden="false" customHeight="true" outlineLevel="0" collapsed="false">
      <c r="A3340" s="1" t="n">
        <v>13339</v>
      </c>
      <c r="B3340" s="14" t="n">
        <v>47900</v>
      </c>
      <c r="C3340" s="1" t="n">
        <v>1344</v>
      </c>
      <c r="D3340" s="1" t="s">
        <v>37</v>
      </c>
      <c r="E3340" s="1" t="s">
        <v>35</v>
      </c>
      <c r="F3340" s="1" t="n">
        <v>2</v>
      </c>
      <c r="G3340" s="15" t="n">
        <v>597.8</v>
      </c>
      <c r="H3340" s="16" t="n">
        <v>0.03</v>
      </c>
      <c r="I3340" s="1" t="s">
        <v>31</v>
      </c>
      <c r="J3340" s="1" t="n">
        <v>3</v>
      </c>
      <c r="K3340" s="1" t="n">
        <v>3.5</v>
      </c>
      <c r="L3340" s="15" t="n">
        <v>1159.73</v>
      </c>
      <c r="M3340" s="15" t="n">
        <f aca="false">F3340*G3340</f>
        <v>1195.6</v>
      </c>
      <c r="N3340" s="15" t="n">
        <f aca="false">M3340-L3340</f>
        <v>35.8699999999999</v>
      </c>
      <c r="O3340" s="1" t="n">
        <f aca="false">YEAR(B3340)</f>
        <v>2031</v>
      </c>
      <c r="P3340" s="1" t="n">
        <f aca="false">MONTH(B3340)</f>
        <v>2</v>
      </c>
      <c r="Q3340" s="1" t="str">
        <f aca="false">TEXT(B3340,"mmm")</f>
        <v>Feb</v>
      </c>
      <c r="R3340" s="1" t="str">
        <f aca="false">"Q"&amp;ROUNDUP(MONTH(B3340)/3,0)</f>
        <v>Q1</v>
      </c>
    </row>
    <row r="3341" customFormat="false" ht="15" hidden="false" customHeight="true" outlineLevel="0" collapsed="false">
      <c r="A3341" s="1" t="n">
        <v>13340</v>
      </c>
      <c r="B3341" s="14" t="n">
        <v>47901</v>
      </c>
      <c r="C3341" s="1" t="n">
        <v>1641</v>
      </c>
      <c r="D3341" s="1" t="s">
        <v>34</v>
      </c>
      <c r="E3341" s="1" t="s">
        <v>32</v>
      </c>
      <c r="F3341" s="1" t="n">
        <v>6</v>
      </c>
      <c r="G3341" s="15" t="n">
        <v>445.89</v>
      </c>
      <c r="H3341" s="16" t="n">
        <v>0.13</v>
      </c>
      <c r="I3341" s="1" t="s">
        <v>29</v>
      </c>
      <c r="J3341" s="1" t="n">
        <v>11</v>
      </c>
      <c r="K3341" s="1" t="n">
        <v>1</v>
      </c>
      <c r="L3341" s="15" t="n">
        <v>2327.55</v>
      </c>
      <c r="M3341" s="15" t="n">
        <f aca="false">F3341*G3341</f>
        <v>2675.34</v>
      </c>
      <c r="N3341" s="15" t="n">
        <f aca="false">M3341-L3341</f>
        <v>347.79</v>
      </c>
      <c r="O3341" s="1" t="n">
        <f aca="false">YEAR(B3341)</f>
        <v>2031</v>
      </c>
      <c r="P3341" s="1" t="n">
        <f aca="false">MONTH(B3341)</f>
        <v>2</v>
      </c>
      <c r="Q3341" s="1" t="str">
        <f aca="false">TEXT(B3341,"mmm")</f>
        <v>Feb</v>
      </c>
      <c r="R3341" s="1" t="str">
        <f aca="false">"Q"&amp;ROUNDUP(MONTH(B3341)/3,0)</f>
        <v>Q1</v>
      </c>
    </row>
    <row r="3342" customFormat="false" ht="15" hidden="false" customHeight="true" outlineLevel="0" collapsed="false">
      <c r="A3342" s="1" t="n">
        <v>13341</v>
      </c>
      <c r="B3342" s="14" t="n">
        <v>47902</v>
      </c>
      <c r="C3342" s="1" t="n">
        <v>1381</v>
      </c>
      <c r="D3342" s="1" t="s">
        <v>34</v>
      </c>
      <c r="E3342" s="1" t="s">
        <v>36</v>
      </c>
      <c r="F3342" s="1" t="n">
        <v>1</v>
      </c>
      <c r="G3342" s="15" t="n">
        <v>66.16</v>
      </c>
      <c r="H3342" s="16" t="n">
        <v>0.1</v>
      </c>
      <c r="I3342" s="1" t="s">
        <v>31</v>
      </c>
      <c r="J3342" s="1" t="n">
        <v>1</v>
      </c>
      <c r="K3342" s="1" t="n">
        <v>2.3</v>
      </c>
      <c r="L3342" s="15" t="n">
        <v>59.54</v>
      </c>
      <c r="M3342" s="15" t="n">
        <f aca="false">F3342*G3342</f>
        <v>66.16</v>
      </c>
      <c r="N3342" s="15" t="n">
        <f aca="false">M3342-L3342</f>
        <v>6.62</v>
      </c>
      <c r="O3342" s="1" t="n">
        <f aca="false">YEAR(B3342)</f>
        <v>2031</v>
      </c>
      <c r="P3342" s="1" t="n">
        <f aca="false">MONTH(B3342)</f>
        <v>2</v>
      </c>
      <c r="Q3342" s="1" t="str">
        <f aca="false">TEXT(B3342,"mmm")</f>
        <v>Feb</v>
      </c>
      <c r="R3342" s="1" t="str">
        <f aca="false">"Q"&amp;ROUNDUP(MONTH(B3342)/3,0)</f>
        <v>Q1</v>
      </c>
    </row>
    <row r="3343" customFormat="false" ht="15" hidden="false" customHeight="true" outlineLevel="0" collapsed="false">
      <c r="A3343" s="1" t="n">
        <v>13342</v>
      </c>
      <c r="B3343" s="14" t="n">
        <v>47903</v>
      </c>
      <c r="C3343" s="1" t="n">
        <v>1778</v>
      </c>
      <c r="D3343" s="1" t="s">
        <v>30</v>
      </c>
      <c r="E3343" s="1" t="s">
        <v>35</v>
      </c>
      <c r="F3343" s="1" t="n">
        <v>5</v>
      </c>
      <c r="G3343" s="15" t="n">
        <v>26.85</v>
      </c>
      <c r="H3343" s="16" t="n">
        <v>0.18</v>
      </c>
      <c r="I3343" s="1" t="s">
        <v>33</v>
      </c>
      <c r="J3343" s="1" t="n">
        <v>4</v>
      </c>
      <c r="K3343" s="1" t="n">
        <v>2.4</v>
      </c>
      <c r="L3343" s="15" t="n">
        <v>110.08</v>
      </c>
      <c r="M3343" s="15" t="n">
        <f aca="false">F3343*G3343</f>
        <v>134.25</v>
      </c>
      <c r="N3343" s="15" t="n">
        <f aca="false">M3343-L3343</f>
        <v>24.17</v>
      </c>
      <c r="O3343" s="1" t="n">
        <f aca="false">YEAR(B3343)</f>
        <v>2031</v>
      </c>
      <c r="P3343" s="1" t="n">
        <f aca="false">MONTH(B3343)</f>
        <v>2</v>
      </c>
      <c r="Q3343" s="1" t="str">
        <f aca="false">TEXT(B3343,"mmm")</f>
        <v>Feb</v>
      </c>
      <c r="R3343" s="1" t="str">
        <f aca="false">"Q"&amp;ROUNDUP(MONTH(B3343)/3,0)</f>
        <v>Q1</v>
      </c>
    </row>
    <row r="3344" customFormat="false" ht="15" hidden="false" customHeight="true" outlineLevel="0" collapsed="false">
      <c r="A3344" s="1" t="n">
        <v>13343</v>
      </c>
      <c r="B3344" s="14" t="n">
        <v>47904</v>
      </c>
      <c r="C3344" s="1" t="n">
        <v>1689</v>
      </c>
      <c r="D3344" s="1" t="s">
        <v>27</v>
      </c>
      <c r="E3344" s="1" t="s">
        <v>35</v>
      </c>
      <c r="F3344" s="1" t="n">
        <v>4</v>
      </c>
      <c r="G3344" s="15" t="n">
        <v>435.78</v>
      </c>
      <c r="H3344" s="16" t="n">
        <v>0.34</v>
      </c>
      <c r="I3344" s="1" t="s">
        <v>31</v>
      </c>
      <c r="J3344" s="1" t="n">
        <v>5</v>
      </c>
      <c r="K3344" s="1" t="n">
        <v>3.8</v>
      </c>
      <c r="L3344" s="15" t="n">
        <v>1150.46</v>
      </c>
      <c r="M3344" s="15" t="n">
        <f aca="false">F3344*G3344</f>
        <v>1743.12</v>
      </c>
      <c r="N3344" s="15" t="n">
        <f aca="false">M3344-L3344</f>
        <v>592.66</v>
      </c>
      <c r="O3344" s="1" t="n">
        <f aca="false">YEAR(B3344)</f>
        <v>2031</v>
      </c>
      <c r="P3344" s="1" t="n">
        <f aca="false">MONTH(B3344)</f>
        <v>2</v>
      </c>
      <c r="Q3344" s="1" t="str">
        <f aca="false">TEXT(B3344,"mmm")</f>
        <v>Feb</v>
      </c>
      <c r="R3344" s="1" t="str">
        <f aca="false">"Q"&amp;ROUNDUP(MONTH(B3344)/3,0)</f>
        <v>Q1</v>
      </c>
    </row>
    <row r="3345" customFormat="false" ht="15" hidden="false" customHeight="true" outlineLevel="0" collapsed="false">
      <c r="A3345" s="1" t="n">
        <v>13344</v>
      </c>
      <c r="B3345" s="14" t="n">
        <v>47905</v>
      </c>
      <c r="C3345" s="1" t="n">
        <v>1252</v>
      </c>
      <c r="D3345" s="1" t="s">
        <v>37</v>
      </c>
      <c r="E3345" s="1" t="s">
        <v>28</v>
      </c>
      <c r="F3345" s="1" t="n">
        <v>5</v>
      </c>
      <c r="G3345" s="15" t="n">
        <v>271.93</v>
      </c>
      <c r="H3345" s="16" t="n">
        <v>0.04</v>
      </c>
      <c r="I3345" s="1" t="s">
        <v>33</v>
      </c>
      <c r="J3345" s="1" t="n">
        <v>11</v>
      </c>
      <c r="K3345" s="1" t="n">
        <v>3.8</v>
      </c>
      <c r="L3345" s="15" t="n">
        <v>1305.26</v>
      </c>
      <c r="M3345" s="15" t="n">
        <f aca="false">F3345*G3345</f>
        <v>1359.65</v>
      </c>
      <c r="N3345" s="15" t="n">
        <f aca="false">M3345-L3345</f>
        <v>54.3900000000001</v>
      </c>
      <c r="O3345" s="1" t="n">
        <f aca="false">YEAR(B3345)</f>
        <v>2031</v>
      </c>
      <c r="P3345" s="1" t="n">
        <f aca="false">MONTH(B3345)</f>
        <v>2</v>
      </c>
      <c r="Q3345" s="1" t="str">
        <f aca="false">TEXT(B3345,"mmm")</f>
        <v>Feb</v>
      </c>
      <c r="R3345" s="1" t="str">
        <f aca="false">"Q"&amp;ROUNDUP(MONTH(B3345)/3,0)</f>
        <v>Q1</v>
      </c>
    </row>
    <row r="3346" customFormat="false" ht="15" hidden="false" customHeight="true" outlineLevel="0" collapsed="false">
      <c r="A3346" s="1" t="n">
        <v>13345</v>
      </c>
      <c r="B3346" s="14" t="n">
        <v>47906</v>
      </c>
      <c r="C3346" s="1" t="n">
        <v>1926</v>
      </c>
      <c r="D3346" s="1" t="s">
        <v>30</v>
      </c>
      <c r="E3346" s="1" t="s">
        <v>36</v>
      </c>
      <c r="F3346" s="1" t="n">
        <v>5</v>
      </c>
      <c r="G3346" s="15" t="n">
        <v>475.28</v>
      </c>
      <c r="H3346" s="16" t="n">
        <v>0.13</v>
      </c>
      <c r="I3346" s="1" t="s">
        <v>29</v>
      </c>
      <c r="J3346" s="1" t="n">
        <v>4</v>
      </c>
      <c r="K3346" s="1" t="n">
        <v>2.9</v>
      </c>
      <c r="L3346" s="15" t="n">
        <v>2067.47</v>
      </c>
      <c r="M3346" s="15" t="n">
        <f aca="false">F3346*G3346</f>
        <v>2376.4</v>
      </c>
      <c r="N3346" s="15" t="n">
        <f aca="false">M3346-L3346</f>
        <v>308.93</v>
      </c>
      <c r="O3346" s="1" t="n">
        <f aca="false">YEAR(B3346)</f>
        <v>2031</v>
      </c>
      <c r="P3346" s="1" t="n">
        <f aca="false">MONTH(B3346)</f>
        <v>2</v>
      </c>
      <c r="Q3346" s="1" t="str">
        <f aca="false">TEXT(B3346,"mmm")</f>
        <v>Feb</v>
      </c>
      <c r="R3346" s="1" t="str">
        <f aca="false">"Q"&amp;ROUNDUP(MONTH(B3346)/3,0)</f>
        <v>Q1</v>
      </c>
    </row>
    <row r="3347" customFormat="false" ht="15" hidden="false" customHeight="true" outlineLevel="0" collapsed="false">
      <c r="A3347" s="1" t="n">
        <v>13346</v>
      </c>
      <c r="B3347" s="14" t="n">
        <v>47907</v>
      </c>
      <c r="C3347" s="1" t="n">
        <v>1055</v>
      </c>
      <c r="D3347" s="1" t="s">
        <v>30</v>
      </c>
      <c r="E3347" s="1" t="s">
        <v>28</v>
      </c>
      <c r="F3347" s="1" t="n">
        <v>1</v>
      </c>
      <c r="G3347" s="15" t="n">
        <v>555.23</v>
      </c>
      <c r="H3347" s="16" t="n">
        <v>0.33</v>
      </c>
      <c r="I3347" s="1" t="s">
        <v>31</v>
      </c>
      <c r="J3347" s="1" t="n">
        <v>6</v>
      </c>
      <c r="K3347" s="1" t="n">
        <v>4.8</v>
      </c>
      <c r="L3347" s="15" t="n">
        <v>372</v>
      </c>
      <c r="M3347" s="15" t="n">
        <f aca="false">F3347*G3347</f>
        <v>555.23</v>
      </c>
      <c r="N3347" s="15" t="n">
        <f aca="false">M3347-L3347</f>
        <v>183.23</v>
      </c>
      <c r="O3347" s="1" t="n">
        <f aca="false">YEAR(B3347)</f>
        <v>2031</v>
      </c>
      <c r="P3347" s="1" t="n">
        <f aca="false">MONTH(B3347)</f>
        <v>2</v>
      </c>
      <c r="Q3347" s="1" t="str">
        <f aca="false">TEXT(B3347,"mmm")</f>
        <v>Feb</v>
      </c>
      <c r="R3347" s="1" t="str">
        <f aca="false">"Q"&amp;ROUNDUP(MONTH(B3347)/3,0)</f>
        <v>Q1</v>
      </c>
    </row>
    <row r="3348" customFormat="false" ht="15" hidden="false" customHeight="true" outlineLevel="0" collapsed="false">
      <c r="A3348" s="1" t="n">
        <v>13347</v>
      </c>
      <c r="B3348" s="14" t="n">
        <v>47908</v>
      </c>
      <c r="C3348" s="1" t="n">
        <v>1462</v>
      </c>
      <c r="D3348" s="1" t="s">
        <v>34</v>
      </c>
      <c r="E3348" s="1" t="s">
        <v>32</v>
      </c>
      <c r="F3348" s="1" t="n">
        <v>4</v>
      </c>
      <c r="G3348" s="15" t="n">
        <v>365.59</v>
      </c>
      <c r="H3348" s="16" t="n">
        <v>0.31</v>
      </c>
      <c r="I3348" s="1" t="s">
        <v>33</v>
      </c>
      <c r="J3348" s="1" t="n">
        <v>3</v>
      </c>
      <c r="K3348" s="1" t="n">
        <v>4.5</v>
      </c>
      <c r="L3348" s="15" t="n">
        <v>1009.03</v>
      </c>
      <c r="M3348" s="15" t="n">
        <f aca="false">F3348*G3348</f>
        <v>1462.36</v>
      </c>
      <c r="N3348" s="15" t="n">
        <f aca="false">M3348-L3348</f>
        <v>453.33</v>
      </c>
      <c r="O3348" s="1" t="n">
        <f aca="false">YEAR(B3348)</f>
        <v>2031</v>
      </c>
      <c r="P3348" s="1" t="n">
        <f aca="false">MONTH(B3348)</f>
        <v>3</v>
      </c>
      <c r="Q3348" s="1" t="str">
        <f aca="false">TEXT(B3348,"mmm")</f>
        <v>Mar</v>
      </c>
      <c r="R3348" s="1" t="str">
        <f aca="false">"Q"&amp;ROUNDUP(MONTH(B3348)/3,0)</f>
        <v>Q1</v>
      </c>
    </row>
    <row r="3349" customFormat="false" ht="15" hidden="false" customHeight="true" outlineLevel="0" collapsed="false">
      <c r="A3349" s="1" t="n">
        <v>13348</v>
      </c>
      <c r="B3349" s="14" t="n">
        <v>47909</v>
      </c>
      <c r="C3349" s="1" t="n">
        <v>1456</v>
      </c>
      <c r="D3349" s="1" t="s">
        <v>27</v>
      </c>
      <c r="E3349" s="1" t="s">
        <v>32</v>
      </c>
      <c r="F3349" s="1" t="n">
        <v>5</v>
      </c>
      <c r="G3349" s="15" t="n">
        <v>124.46</v>
      </c>
      <c r="H3349" s="16" t="n">
        <v>0.14</v>
      </c>
      <c r="I3349" s="1" t="s">
        <v>33</v>
      </c>
      <c r="J3349" s="1" t="n">
        <v>10</v>
      </c>
      <c r="K3349" s="1" t="n">
        <v>4.5</v>
      </c>
      <c r="L3349" s="15" t="n">
        <v>535.18</v>
      </c>
      <c r="M3349" s="15" t="n">
        <f aca="false">F3349*G3349</f>
        <v>622.3</v>
      </c>
      <c r="N3349" s="15" t="n">
        <f aca="false">M3349-L3349</f>
        <v>87.12</v>
      </c>
      <c r="O3349" s="1" t="n">
        <f aca="false">YEAR(B3349)</f>
        <v>2031</v>
      </c>
      <c r="P3349" s="1" t="n">
        <f aca="false">MONTH(B3349)</f>
        <v>3</v>
      </c>
      <c r="Q3349" s="1" t="str">
        <f aca="false">TEXT(B3349,"mmm")</f>
        <v>Mar</v>
      </c>
      <c r="R3349" s="1" t="str">
        <f aca="false">"Q"&amp;ROUNDUP(MONTH(B3349)/3,0)</f>
        <v>Q1</v>
      </c>
    </row>
    <row r="3350" customFormat="false" ht="15" hidden="false" customHeight="true" outlineLevel="0" collapsed="false">
      <c r="A3350" s="1" t="n">
        <v>13349</v>
      </c>
      <c r="B3350" s="14" t="n">
        <v>47910</v>
      </c>
      <c r="C3350" s="1" t="n">
        <v>1982</v>
      </c>
      <c r="D3350" s="1" t="s">
        <v>37</v>
      </c>
      <c r="E3350" s="1" t="s">
        <v>28</v>
      </c>
      <c r="F3350" s="1" t="n">
        <v>7</v>
      </c>
      <c r="G3350" s="15" t="n">
        <v>472.58</v>
      </c>
      <c r="H3350" s="16" t="n">
        <v>0.24</v>
      </c>
      <c r="I3350" s="1" t="s">
        <v>31</v>
      </c>
      <c r="J3350" s="1" t="n">
        <v>6</v>
      </c>
      <c r="K3350" s="1" t="n">
        <v>2.4</v>
      </c>
      <c r="L3350" s="15" t="n">
        <v>2514.13</v>
      </c>
      <c r="M3350" s="15" t="n">
        <f aca="false">F3350*G3350</f>
        <v>3308.06</v>
      </c>
      <c r="N3350" s="15" t="n">
        <f aca="false">M3350-L3350</f>
        <v>793.93</v>
      </c>
      <c r="O3350" s="1" t="n">
        <f aca="false">YEAR(B3350)</f>
        <v>2031</v>
      </c>
      <c r="P3350" s="1" t="n">
        <f aca="false">MONTH(B3350)</f>
        <v>3</v>
      </c>
      <c r="Q3350" s="1" t="str">
        <f aca="false">TEXT(B3350,"mmm")</f>
        <v>Mar</v>
      </c>
      <c r="R3350" s="1" t="str">
        <f aca="false">"Q"&amp;ROUNDUP(MONTH(B3350)/3,0)</f>
        <v>Q1</v>
      </c>
    </row>
    <row r="3351" customFormat="false" ht="15" hidden="false" customHeight="true" outlineLevel="0" collapsed="false">
      <c r="A3351" s="1" t="n">
        <v>13350</v>
      </c>
      <c r="B3351" s="14" t="n">
        <v>47911</v>
      </c>
      <c r="C3351" s="1" t="n">
        <v>1082</v>
      </c>
      <c r="D3351" s="1" t="s">
        <v>34</v>
      </c>
      <c r="E3351" s="1" t="s">
        <v>35</v>
      </c>
      <c r="F3351" s="1" t="n">
        <v>7</v>
      </c>
      <c r="G3351" s="15" t="n">
        <v>574.15</v>
      </c>
      <c r="H3351" s="16" t="n">
        <v>0.03</v>
      </c>
      <c r="I3351" s="1" t="s">
        <v>31</v>
      </c>
      <c r="J3351" s="1" t="n">
        <v>10</v>
      </c>
      <c r="K3351" s="1" t="n">
        <v>2.7</v>
      </c>
      <c r="L3351" s="15" t="n">
        <v>3898.48</v>
      </c>
      <c r="M3351" s="15" t="n">
        <f aca="false">F3351*G3351</f>
        <v>4019.05</v>
      </c>
      <c r="N3351" s="15" t="n">
        <f aca="false">M3351-L3351</f>
        <v>120.57</v>
      </c>
      <c r="O3351" s="1" t="n">
        <f aca="false">YEAR(B3351)</f>
        <v>2031</v>
      </c>
      <c r="P3351" s="1" t="n">
        <f aca="false">MONTH(B3351)</f>
        <v>3</v>
      </c>
      <c r="Q3351" s="1" t="str">
        <f aca="false">TEXT(B3351,"mmm")</f>
        <v>Mar</v>
      </c>
      <c r="R3351" s="1" t="str">
        <f aca="false">"Q"&amp;ROUNDUP(MONTH(B3351)/3,0)</f>
        <v>Q1</v>
      </c>
    </row>
    <row r="3352" customFormat="false" ht="15" hidden="false" customHeight="true" outlineLevel="0" collapsed="false">
      <c r="A3352" s="1" t="n">
        <v>13351</v>
      </c>
      <c r="B3352" s="14" t="n">
        <v>47912</v>
      </c>
      <c r="C3352" s="1" t="n">
        <v>1904</v>
      </c>
      <c r="D3352" s="1" t="s">
        <v>30</v>
      </c>
      <c r="E3352" s="1" t="s">
        <v>36</v>
      </c>
      <c r="F3352" s="1" t="n">
        <v>4</v>
      </c>
      <c r="G3352" s="15" t="n">
        <v>354.44</v>
      </c>
      <c r="H3352" s="16" t="n">
        <v>0.25</v>
      </c>
      <c r="I3352" s="1" t="s">
        <v>33</v>
      </c>
      <c r="J3352" s="1" t="n">
        <v>1</v>
      </c>
      <c r="K3352" s="1" t="n">
        <v>2.7</v>
      </c>
      <c r="L3352" s="15" t="n">
        <v>1063.32</v>
      </c>
      <c r="M3352" s="15" t="n">
        <f aca="false">F3352*G3352</f>
        <v>1417.76</v>
      </c>
      <c r="N3352" s="15" t="n">
        <f aca="false">M3352-L3352</f>
        <v>354.44</v>
      </c>
      <c r="O3352" s="1" t="n">
        <f aca="false">YEAR(B3352)</f>
        <v>2031</v>
      </c>
      <c r="P3352" s="1" t="n">
        <f aca="false">MONTH(B3352)</f>
        <v>3</v>
      </c>
      <c r="Q3352" s="1" t="str">
        <f aca="false">TEXT(B3352,"mmm")</f>
        <v>Mar</v>
      </c>
      <c r="R3352" s="1" t="str">
        <f aca="false">"Q"&amp;ROUNDUP(MONTH(B3352)/3,0)</f>
        <v>Q1</v>
      </c>
    </row>
    <row r="3353" customFormat="false" ht="15" hidden="false" customHeight="true" outlineLevel="0" collapsed="false">
      <c r="A3353" s="1" t="n">
        <v>13352</v>
      </c>
      <c r="B3353" s="14" t="n">
        <v>47913</v>
      </c>
      <c r="C3353" s="1" t="n">
        <v>1098</v>
      </c>
      <c r="D3353" s="1" t="s">
        <v>34</v>
      </c>
      <c r="E3353" s="1" t="s">
        <v>28</v>
      </c>
      <c r="F3353" s="1" t="n">
        <v>3</v>
      </c>
      <c r="G3353" s="15" t="n">
        <v>413.97</v>
      </c>
      <c r="H3353" s="16" t="n">
        <v>0.34</v>
      </c>
      <c r="I3353" s="1" t="s">
        <v>31</v>
      </c>
      <c r="J3353" s="1" t="n">
        <v>6</v>
      </c>
      <c r="K3353" s="1" t="n">
        <v>2.8</v>
      </c>
      <c r="L3353" s="15" t="n">
        <v>819.66</v>
      </c>
      <c r="M3353" s="15" t="n">
        <f aca="false">F3353*G3353</f>
        <v>1241.91</v>
      </c>
      <c r="N3353" s="15" t="n">
        <f aca="false">M3353-L3353</f>
        <v>422.25</v>
      </c>
      <c r="O3353" s="1" t="n">
        <f aca="false">YEAR(B3353)</f>
        <v>2031</v>
      </c>
      <c r="P3353" s="1" t="n">
        <f aca="false">MONTH(B3353)</f>
        <v>3</v>
      </c>
      <c r="Q3353" s="1" t="str">
        <f aca="false">TEXT(B3353,"mmm")</f>
        <v>Mar</v>
      </c>
      <c r="R3353" s="1" t="str">
        <f aca="false">"Q"&amp;ROUNDUP(MONTH(B3353)/3,0)</f>
        <v>Q1</v>
      </c>
    </row>
    <row r="3354" customFormat="false" ht="15" hidden="false" customHeight="true" outlineLevel="0" collapsed="false">
      <c r="A3354" s="1" t="n">
        <v>13353</v>
      </c>
      <c r="B3354" s="14" t="n">
        <v>47914</v>
      </c>
      <c r="C3354" s="1" t="n">
        <v>1148</v>
      </c>
      <c r="D3354" s="1" t="s">
        <v>27</v>
      </c>
      <c r="E3354" s="1" t="s">
        <v>28</v>
      </c>
      <c r="F3354" s="1" t="n">
        <v>6</v>
      </c>
      <c r="G3354" s="15" t="n">
        <v>212.42</v>
      </c>
      <c r="H3354" s="16" t="n">
        <v>0.19</v>
      </c>
      <c r="I3354" s="1" t="s">
        <v>29</v>
      </c>
      <c r="J3354" s="1" t="n">
        <v>8</v>
      </c>
      <c r="K3354" s="1" t="n">
        <v>4.6</v>
      </c>
      <c r="L3354" s="15" t="n">
        <v>1032.36</v>
      </c>
      <c r="M3354" s="15" t="n">
        <f aca="false">F3354*G3354</f>
        <v>1274.52</v>
      </c>
      <c r="N3354" s="15" t="n">
        <f aca="false">M3354-L3354</f>
        <v>242.16</v>
      </c>
      <c r="O3354" s="1" t="n">
        <f aca="false">YEAR(B3354)</f>
        <v>2031</v>
      </c>
      <c r="P3354" s="1" t="n">
        <f aca="false">MONTH(B3354)</f>
        <v>3</v>
      </c>
      <c r="Q3354" s="1" t="str">
        <f aca="false">TEXT(B3354,"mmm")</f>
        <v>Mar</v>
      </c>
      <c r="R3354" s="1" t="str">
        <f aca="false">"Q"&amp;ROUNDUP(MONTH(B3354)/3,0)</f>
        <v>Q1</v>
      </c>
    </row>
    <row r="3355" customFormat="false" ht="15" hidden="false" customHeight="true" outlineLevel="0" collapsed="false">
      <c r="A3355" s="1" t="n">
        <v>13354</v>
      </c>
      <c r="B3355" s="14" t="n">
        <v>47915</v>
      </c>
      <c r="C3355" s="1" t="n">
        <v>1328</v>
      </c>
      <c r="D3355" s="1" t="s">
        <v>34</v>
      </c>
      <c r="E3355" s="1" t="s">
        <v>32</v>
      </c>
      <c r="F3355" s="1" t="n">
        <v>5</v>
      </c>
      <c r="G3355" s="15" t="n">
        <v>238.19</v>
      </c>
      <c r="H3355" s="16" t="n">
        <v>0.17</v>
      </c>
      <c r="I3355" s="1" t="s">
        <v>31</v>
      </c>
      <c r="J3355" s="1" t="n">
        <v>10</v>
      </c>
      <c r="K3355" s="1" t="n">
        <v>2</v>
      </c>
      <c r="L3355" s="15" t="n">
        <v>988.49</v>
      </c>
      <c r="M3355" s="15" t="n">
        <f aca="false">F3355*G3355</f>
        <v>1190.95</v>
      </c>
      <c r="N3355" s="15" t="n">
        <f aca="false">M3355-L3355</f>
        <v>202.46</v>
      </c>
      <c r="O3355" s="1" t="n">
        <f aca="false">YEAR(B3355)</f>
        <v>2031</v>
      </c>
      <c r="P3355" s="1" t="n">
        <f aca="false">MONTH(B3355)</f>
        <v>3</v>
      </c>
      <c r="Q3355" s="1" t="str">
        <f aca="false">TEXT(B3355,"mmm")</f>
        <v>Mar</v>
      </c>
      <c r="R3355" s="1" t="str">
        <f aca="false">"Q"&amp;ROUNDUP(MONTH(B3355)/3,0)</f>
        <v>Q1</v>
      </c>
    </row>
    <row r="3356" customFormat="false" ht="15" hidden="false" customHeight="true" outlineLevel="0" collapsed="false">
      <c r="A3356" s="1" t="n">
        <v>13355</v>
      </c>
      <c r="B3356" s="14" t="n">
        <v>47916</v>
      </c>
      <c r="C3356" s="1" t="n">
        <v>1155</v>
      </c>
      <c r="D3356" s="1" t="s">
        <v>30</v>
      </c>
      <c r="E3356" s="1" t="s">
        <v>35</v>
      </c>
      <c r="F3356" s="1" t="n">
        <v>5</v>
      </c>
      <c r="G3356" s="15" t="n">
        <v>444.77</v>
      </c>
      <c r="H3356" s="16" t="n">
        <v>0.07</v>
      </c>
      <c r="I3356" s="1" t="s">
        <v>31</v>
      </c>
      <c r="J3356" s="1" t="n">
        <v>8</v>
      </c>
      <c r="K3356" s="1" t="n">
        <v>4.2</v>
      </c>
      <c r="L3356" s="15" t="n">
        <v>2068.18</v>
      </c>
      <c r="M3356" s="15" t="n">
        <f aca="false">F3356*G3356</f>
        <v>2223.85</v>
      </c>
      <c r="N3356" s="15" t="n">
        <f aca="false">M3356-L3356</f>
        <v>155.67</v>
      </c>
      <c r="O3356" s="1" t="n">
        <f aca="false">YEAR(B3356)</f>
        <v>2031</v>
      </c>
      <c r="P3356" s="1" t="n">
        <f aca="false">MONTH(B3356)</f>
        <v>3</v>
      </c>
      <c r="Q3356" s="1" t="str">
        <f aca="false">TEXT(B3356,"mmm")</f>
        <v>Mar</v>
      </c>
      <c r="R3356" s="1" t="str">
        <f aca="false">"Q"&amp;ROUNDUP(MONTH(B3356)/3,0)</f>
        <v>Q1</v>
      </c>
    </row>
    <row r="3357" customFormat="false" ht="15" hidden="false" customHeight="true" outlineLevel="0" collapsed="false">
      <c r="A3357" s="1" t="n">
        <v>13356</v>
      </c>
      <c r="B3357" s="14" t="n">
        <v>47917</v>
      </c>
      <c r="C3357" s="1" t="n">
        <v>1189</v>
      </c>
      <c r="D3357" s="1" t="s">
        <v>34</v>
      </c>
      <c r="E3357" s="1" t="s">
        <v>36</v>
      </c>
      <c r="F3357" s="1" t="n">
        <v>4</v>
      </c>
      <c r="G3357" s="15" t="n">
        <v>557.75</v>
      </c>
      <c r="H3357" s="16" t="n">
        <v>0.22</v>
      </c>
      <c r="I3357" s="1" t="s">
        <v>31</v>
      </c>
      <c r="J3357" s="1" t="n">
        <v>1</v>
      </c>
      <c r="K3357" s="1" t="n">
        <v>3.1</v>
      </c>
      <c r="L3357" s="15" t="n">
        <v>1740.18</v>
      </c>
      <c r="M3357" s="15" t="n">
        <f aca="false">F3357*G3357</f>
        <v>2231</v>
      </c>
      <c r="N3357" s="15" t="n">
        <f aca="false">M3357-L3357</f>
        <v>490.82</v>
      </c>
      <c r="O3357" s="1" t="n">
        <f aca="false">YEAR(B3357)</f>
        <v>2031</v>
      </c>
      <c r="P3357" s="1" t="n">
        <f aca="false">MONTH(B3357)</f>
        <v>3</v>
      </c>
      <c r="Q3357" s="1" t="str">
        <f aca="false">TEXT(B3357,"mmm")</f>
        <v>Mar</v>
      </c>
      <c r="R3357" s="1" t="str">
        <f aca="false">"Q"&amp;ROUNDUP(MONTH(B3357)/3,0)</f>
        <v>Q1</v>
      </c>
    </row>
    <row r="3358" customFormat="false" ht="15" hidden="false" customHeight="true" outlineLevel="0" collapsed="false">
      <c r="A3358" s="1" t="n">
        <v>13357</v>
      </c>
      <c r="B3358" s="14" t="n">
        <v>47918</v>
      </c>
      <c r="C3358" s="1" t="n">
        <v>1493</v>
      </c>
      <c r="D3358" s="1" t="s">
        <v>37</v>
      </c>
      <c r="E3358" s="1" t="s">
        <v>28</v>
      </c>
      <c r="F3358" s="1" t="n">
        <v>7</v>
      </c>
      <c r="G3358" s="15" t="n">
        <v>382.96</v>
      </c>
      <c r="H3358" s="16" t="n">
        <v>0.21</v>
      </c>
      <c r="I3358" s="1" t="s">
        <v>31</v>
      </c>
      <c r="J3358" s="1" t="n">
        <v>7</v>
      </c>
      <c r="K3358" s="1" t="n">
        <v>2</v>
      </c>
      <c r="L3358" s="15" t="n">
        <v>2117.77</v>
      </c>
      <c r="M3358" s="15" t="n">
        <f aca="false">F3358*G3358</f>
        <v>2680.72</v>
      </c>
      <c r="N3358" s="15" t="n">
        <f aca="false">M3358-L3358</f>
        <v>562.95</v>
      </c>
      <c r="O3358" s="1" t="n">
        <f aca="false">YEAR(B3358)</f>
        <v>2031</v>
      </c>
      <c r="P3358" s="1" t="n">
        <f aca="false">MONTH(B3358)</f>
        <v>3</v>
      </c>
      <c r="Q3358" s="1" t="str">
        <f aca="false">TEXT(B3358,"mmm")</f>
        <v>Mar</v>
      </c>
      <c r="R3358" s="1" t="str">
        <f aca="false">"Q"&amp;ROUNDUP(MONTH(B3358)/3,0)</f>
        <v>Q1</v>
      </c>
    </row>
    <row r="3359" customFormat="false" ht="15" hidden="false" customHeight="true" outlineLevel="0" collapsed="false">
      <c r="A3359" s="1" t="n">
        <v>13358</v>
      </c>
      <c r="B3359" s="14" t="n">
        <v>47919</v>
      </c>
      <c r="C3359" s="1" t="n">
        <v>1882</v>
      </c>
      <c r="D3359" s="1" t="s">
        <v>37</v>
      </c>
      <c r="E3359" s="1" t="s">
        <v>36</v>
      </c>
      <c r="F3359" s="1" t="n">
        <v>6</v>
      </c>
      <c r="G3359" s="15" t="n">
        <v>477.06</v>
      </c>
      <c r="H3359" s="16" t="n">
        <v>0.23</v>
      </c>
      <c r="I3359" s="1" t="s">
        <v>33</v>
      </c>
      <c r="J3359" s="1" t="n">
        <v>10</v>
      </c>
      <c r="K3359" s="1" t="n">
        <v>3.1</v>
      </c>
      <c r="L3359" s="15" t="n">
        <v>2204.02</v>
      </c>
      <c r="M3359" s="15" t="n">
        <f aca="false">F3359*G3359</f>
        <v>2862.36</v>
      </c>
      <c r="N3359" s="15" t="n">
        <f aca="false">M3359-L3359</f>
        <v>658.34</v>
      </c>
      <c r="O3359" s="1" t="n">
        <f aca="false">YEAR(B3359)</f>
        <v>2031</v>
      </c>
      <c r="P3359" s="1" t="n">
        <f aca="false">MONTH(B3359)</f>
        <v>3</v>
      </c>
      <c r="Q3359" s="1" t="str">
        <f aca="false">TEXT(B3359,"mmm")</f>
        <v>Mar</v>
      </c>
      <c r="R3359" s="1" t="str">
        <f aca="false">"Q"&amp;ROUNDUP(MONTH(B3359)/3,0)</f>
        <v>Q1</v>
      </c>
    </row>
    <row r="3360" customFormat="false" ht="15" hidden="false" customHeight="true" outlineLevel="0" collapsed="false">
      <c r="A3360" s="1" t="n">
        <v>13359</v>
      </c>
      <c r="B3360" s="14" t="n">
        <v>47920</v>
      </c>
      <c r="C3360" s="1" t="n">
        <v>1262</v>
      </c>
      <c r="D3360" s="1" t="s">
        <v>37</v>
      </c>
      <c r="E3360" s="1" t="s">
        <v>36</v>
      </c>
      <c r="F3360" s="1" t="n">
        <v>3</v>
      </c>
      <c r="G3360" s="15" t="n">
        <v>115.41</v>
      </c>
      <c r="H3360" s="16" t="n">
        <v>0.01</v>
      </c>
      <c r="I3360" s="1" t="s">
        <v>31</v>
      </c>
      <c r="J3360" s="1" t="n">
        <v>10</v>
      </c>
      <c r="K3360" s="1" t="n">
        <v>1.8</v>
      </c>
      <c r="L3360" s="15" t="n">
        <v>342.77</v>
      </c>
      <c r="M3360" s="15" t="n">
        <f aca="false">F3360*G3360</f>
        <v>346.23</v>
      </c>
      <c r="N3360" s="15" t="n">
        <f aca="false">M3360-L3360</f>
        <v>3.46000000000004</v>
      </c>
      <c r="O3360" s="1" t="n">
        <f aca="false">YEAR(B3360)</f>
        <v>2031</v>
      </c>
      <c r="P3360" s="1" t="n">
        <f aca="false">MONTH(B3360)</f>
        <v>3</v>
      </c>
      <c r="Q3360" s="1" t="str">
        <f aca="false">TEXT(B3360,"mmm")</f>
        <v>Mar</v>
      </c>
      <c r="R3360" s="1" t="str">
        <f aca="false">"Q"&amp;ROUNDUP(MONTH(B3360)/3,0)</f>
        <v>Q1</v>
      </c>
    </row>
    <row r="3361" customFormat="false" ht="15" hidden="false" customHeight="true" outlineLevel="0" collapsed="false">
      <c r="A3361" s="1" t="n">
        <v>13360</v>
      </c>
      <c r="B3361" s="14" t="n">
        <v>47921</v>
      </c>
      <c r="C3361" s="1" t="n">
        <v>1079</v>
      </c>
      <c r="D3361" s="1" t="s">
        <v>30</v>
      </c>
      <c r="E3361" s="1" t="s">
        <v>28</v>
      </c>
      <c r="F3361" s="1" t="n">
        <v>5</v>
      </c>
      <c r="G3361" s="15" t="n">
        <v>139</v>
      </c>
      <c r="H3361" s="16" t="n">
        <v>0.19</v>
      </c>
      <c r="I3361" s="1" t="s">
        <v>33</v>
      </c>
      <c r="J3361" s="1" t="n">
        <v>4</v>
      </c>
      <c r="K3361" s="1" t="n">
        <v>1.4</v>
      </c>
      <c r="L3361" s="15" t="n">
        <v>562.95</v>
      </c>
      <c r="M3361" s="15" t="n">
        <f aca="false">F3361*G3361</f>
        <v>695</v>
      </c>
      <c r="N3361" s="15" t="n">
        <f aca="false">M3361-L3361</f>
        <v>132.05</v>
      </c>
      <c r="O3361" s="1" t="n">
        <f aca="false">YEAR(B3361)</f>
        <v>2031</v>
      </c>
      <c r="P3361" s="1" t="n">
        <f aca="false">MONTH(B3361)</f>
        <v>3</v>
      </c>
      <c r="Q3361" s="1" t="str">
        <f aca="false">TEXT(B3361,"mmm")</f>
        <v>Mar</v>
      </c>
      <c r="R3361" s="1" t="str">
        <f aca="false">"Q"&amp;ROUNDUP(MONTH(B3361)/3,0)</f>
        <v>Q1</v>
      </c>
    </row>
    <row r="3362" customFormat="false" ht="15" hidden="false" customHeight="true" outlineLevel="0" collapsed="false">
      <c r="A3362" s="1" t="n">
        <v>13361</v>
      </c>
      <c r="B3362" s="14" t="n">
        <v>47922</v>
      </c>
      <c r="C3362" s="1" t="n">
        <v>1399</v>
      </c>
      <c r="D3362" s="1" t="s">
        <v>27</v>
      </c>
      <c r="E3362" s="1" t="s">
        <v>36</v>
      </c>
      <c r="F3362" s="1" t="n">
        <v>1</v>
      </c>
      <c r="G3362" s="15" t="n">
        <v>326.24</v>
      </c>
      <c r="H3362" s="16" t="n">
        <v>0.21</v>
      </c>
      <c r="I3362" s="1" t="s">
        <v>29</v>
      </c>
      <c r="J3362" s="1" t="n">
        <v>6</v>
      </c>
      <c r="K3362" s="1" t="n">
        <v>4.4</v>
      </c>
      <c r="L3362" s="15" t="n">
        <v>257.73</v>
      </c>
      <c r="M3362" s="15" t="n">
        <f aca="false">F3362*G3362</f>
        <v>326.24</v>
      </c>
      <c r="N3362" s="15" t="n">
        <f aca="false">M3362-L3362</f>
        <v>68.51</v>
      </c>
      <c r="O3362" s="1" t="n">
        <f aca="false">YEAR(B3362)</f>
        <v>2031</v>
      </c>
      <c r="P3362" s="1" t="n">
        <f aca="false">MONTH(B3362)</f>
        <v>3</v>
      </c>
      <c r="Q3362" s="1" t="str">
        <f aca="false">TEXT(B3362,"mmm")</f>
        <v>Mar</v>
      </c>
      <c r="R3362" s="1" t="str">
        <f aca="false">"Q"&amp;ROUNDUP(MONTH(B3362)/3,0)</f>
        <v>Q1</v>
      </c>
    </row>
    <row r="3363" customFormat="false" ht="15" hidden="false" customHeight="true" outlineLevel="0" collapsed="false">
      <c r="A3363" s="1" t="n">
        <v>13362</v>
      </c>
      <c r="B3363" s="14" t="n">
        <v>47923</v>
      </c>
      <c r="C3363" s="1" t="n">
        <v>1763</v>
      </c>
      <c r="D3363" s="1" t="s">
        <v>34</v>
      </c>
      <c r="E3363" s="1" t="s">
        <v>32</v>
      </c>
      <c r="F3363" s="1" t="n">
        <v>7</v>
      </c>
      <c r="G3363" s="15" t="n">
        <v>118.28</v>
      </c>
      <c r="H3363" s="16" t="n">
        <v>0.07</v>
      </c>
      <c r="I3363" s="1" t="s">
        <v>33</v>
      </c>
      <c r="J3363" s="1" t="n">
        <v>6</v>
      </c>
      <c r="K3363" s="1" t="n">
        <v>3.8</v>
      </c>
      <c r="L3363" s="15" t="n">
        <v>770</v>
      </c>
      <c r="M3363" s="15" t="n">
        <f aca="false">F3363*G3363</f>
        <v>827.96</v>
      </c>
      <c r="N3363" s="15" t="n">
        <f aca="false">M3363-L3363</f>
        <v>57.96</v>
      </c>
      <c r="O3363" s="1" t="n">
        <f aca="false">YEAR(B3363)</f>
        <v>2031</v>
      </c>
      <c r="P3363" s="1" t="n">
        <f aca="false">MONTH(B3363)</f>
        <v>3</v>
      </c>
      <c r="Q3363" s="1" t="str">
        <f aca="false">TEXT(B3363,"mmm")</f>
        <v>Mar</v>
      </c>
      <c r="R3363" s="1" t="str">
        <f aca="false">"Q"&amp;ROUNDUP(MONTH(B3363)/3,0)</f>
        <v>Q1</v>
      </c>
    </row>
    <row r="3364" customFormat="false" ht="15" hidden="false" customHeight="true" outlineLevel="0" collapsed="false">
      <c r="A3364" s="1" t="n">
        <v>13363</v>
      </c>
      <c r="B3364" s="14" t="n">
        <v>47924</v>
      </c>
      <c r="C3364" s="1" t="n">
        <v>1608</v>
      </c>
      <c r="D3364" s="1" t="s">
        <v>34</v>
      </c>
      <c r="E3364" s="1" t="s">
        <v>35</v>
      </c>
      <c r="F3364" s="1" t="n">
        <v>4</v>
      </c>
      <c r="G3364" s="15" t="n">
        <v>386.47</v>
      </c>
      <c r="H3364" s="16" t="n">
        <v>0.07</v>
      </c>
      <c r="I3364" s="1" t="s">
        <v>31</v>
      </c>
      <c r="J3364" s="1" t="n">
        <v>5</v>
      </c>
      <c r="K3364" s="1" t="n">
        <v>1.8</v>
      </c>
      <c r="L3364" s="15" t="n">
        <v>1437.67</v>
      </c>
      <c r="M3364" s="15" t="n">
        <f aca="false">F3364*G3364</f>
        <v>1545.88</v>
      </c>
      <c r="N3364" s="15" t="n">
        <f aca="false">M3364-L3364</f>
        <v>108.21</v>
      </c>
      <c r="O3364" s="1" t="n">
        <f aca="false">YEAR(B3364)</f>
        <v>2031</v>
      </c>
      <c r="P3364" s="1" t="n">
        <f aca="false">MONTH(B3364)</f>
        <v>3</v>
      </c>
      <c r="Q3364" s="1" t="str">
        <f aca="false">TEXT(B3364,"mmm")</f>
        <v>Mar</v>
      </c>
      <c r="R3364" s="1" t="str">
        <f aca="false">"Q"&amp;ROUNDUP(MONTH(B3364)/3,0)</f>
        <v>Q1</v>
      </c>
    </row>
    <row r="3365" customFormat="false" ht="15" hidden="false" customHeight="true" outlineLevel="0" collapsed="false">
      <c r="A3365" s="1" t="n">
        <v>13364</v>
      </c>
      <c r="B3365" s="14" t="n">
        <v>47925</v>
      </c>
      <c r="C3365" s="1" t="n">
        <v>1259</v>
      </c>
      <c r="D3365" s="1" t="s">
        <v>34</v>
      </c>
      <c r="E3365" s="1" t="s">
        <v>35</v>
      </c>
      <c r="F3365" s="1" t="n">
        <v>4</v>
      </c>
      <c r="G3365" s="15" t="n">
        <v>185.62</v>
      </c>
      <c r="H3365" s="16" t="n">
        <v>0.1</v>
      </c>
      <c r="I3365" s="1" t="s">
        <v>29</v>
      </c>
      <c r="J3365" s="1" t="n">
        <v>10</v>
      </c>
      <c r="K3365" s="1" t="n">
        <v>4.8</v>
      </c>
      <c r="L3365" s="15" t="n">
        <v>668.23</v>
      </c>
      <c r="M3365" s="15" t="n">
        <f aca="false">F3365*G3365</f>
        <v>742.48</v>
      </c>
      <c r="N3365" s="15" t="n">
        <f aca="false">M3365-L3365</f>
        <v>74.25</v>
      </c>
      <c r="O3365" s="1" t="n">
        <f aca="false">YEAR(B3365)</f>
        <v>2031</v>
      </c>
      <c r="P3365" s="1" t="n">
        <f aca="false">MONTH(B3365)</f>
        <v>3</v>
      </c>
      <c r="Q3365" s="1" t="str">
        <f aca="false">TEXT(B3365,"mmm")</f>
        <v>Mar</v>
      </c>
      <c r="R3365" s="1" t="str">
        <f aca="false">"Q"&amp;ROUNDUP(MONTH(B3365)/3,0)</f>
        <v>Q1</v>
      </c>
    </row>
    <row r="3366" customFormat="false" ht="15" hidden="false" customHeight="true" outlineLevel="0" collapsed="false">
      <c r="A3366" s="1" t="n">
        <v>13365</v>
      </c>
      <c r="B3366" s="14" t="n">
        <v>47926</v>
      </c>
      <c r="C3366" s="1" t="n">
        <v>1771</v>
      </c>
      <c r="D3366" s="1" t="s">
        <v>27</v>
      </c>
      <c r="E3366" s="1" t="s">
        <v>35</v>
      </c>
      <c r="F3366" s="1" t="n">
        <v>7</v>
      </c>
      <c r="G3366" s="15" t="n">
        <v>478.05</v>
      </c>
      <c r="H3366" s="16" t="n">
        <v>0.25</v>
      </c>
      <c r="I3366" s="1" t="s">
        <v>31</v>
      </c>
      <c r="J3366" s="1" t="n">
        <v>9</v>
      </c>
      <c r="K3366" s="1" t="n">
        <v>1.1</v>
      </c>
      <c r="L3366" s="15" t="n">
        <v>2509.76</v>
      </c>
      <c r="M3366" s="15" t="n">
        <f aca="false">F3366*G3366</f>
        <v>3346.35</v>
      </c>
      <c r="N3366" s="15" t="n">
        <f aca="false">M3366-L3366</f>
        <v>836.59</v>
      </c>
      <c r="O3366" s="1" t="n">
        <f aca="false">YEAR(B3366)</f>
        <v>2031</v>
      </c>
      <c r="P3366" s="1" t="n">
        <f aca="false">MONTH(B3366)</f>
        <v>3</v>
      </c>
      <c r="Q3366" s="1" t="str">
        <f aca="false">TEXT(B3366,"mmm")</f>
        <v>Mar</v>
      </c>
      <c r="R3366" s="1" t="str">
        <f aca="false">"Q"&amp;ROUNDUP(MONTH(B3366)/3,0)</f>
        <v>Q1</v>
      </c>
    </row>
    <row r="3367" customFormat="false" ht="15" hidden="false" customHeight="true" outlineLevel="0" collapsed="false">
      <c r="A3367" s="1" t="n">
        <v>13366</v>
      </c>
      <c r="B3367" s="14" t="n">
        <v>47927</v>
      </c>
      <c r="C3367" s="1" t="n">
        <v>1614</v>
      </c>
      <c r="D3367" s="1" t="s">
        <v>30</v>
      </c>
      <c r="E3367" s="1" t="s">
        <v>32</v>
      </c>
      <c r="F3367" s="1" t="n">
        <v>5</v>
      </c>
      <c r="G3367" s="15" t="n">
        <v>487.74</v>
      </c>
      <c r="H3367" s="16" t="n">
        <v>0.21</v>
      </c>
      <c r="I3367" s="1" t="s">
        <v>33</v>
      </c>
      <c r="J3367" s="1" t="n">
        <v>11</v>
      </c>
      <c r="K3367" s="1" t="n">
        <v>2.3</v>
      </c>
      <c r="L3367" s="15" t="n">
        <v>1926.57</v>
      </c>
      <c r="M3367" s="15" t="n">
        <f aca="false">F3367*G3367</f>
        <v>2438.7</v>
      </c>
      <c r="N3367" s="15" t="n">
        <f aca="false">M3367-L3367</f>
        <v>512.13</v>
      </c>
      <c r="O3367" s="1" t="n">
        <f aca="false">YEAR(B3367)</f>
        <v>2031</v>
      </c>
      <c r="P3367" s="1" t="n">
        <f aca="false">MONTH(B3367)</f>
        <v>3</v>
      </c>
      <c r="Q3367" s="1" t="str">
        <f aca="false">TEXT(B3367,"mmm")</f>
        <v>Mar</v>
      </c>
      <c r="R3367" s="1" t="str">
        <f aca="false">"Q"&amp;ROUNDUP(MONTH(B3367)/3,0)</f>
        <v>Q1</v>
      </c>
    </row>
    <row r="3368" customFormat="false" ht="15" hidden="false" customHeight="true" outlineLevel="0" collapsed="false">
      <c r="A3368" s="1" t="n">
        <v>13367</v>
      </c>
      <c r="B3368" s="14" t="n">
        <v>47928</v>
      </c>
      <c r="C3368" s="1" t="n">
        <v>1551</v>
      </c>
      <c r="D3368" s="1" t="s">
        <v>37</v>
      </c>
      <c r="E3368" s="1" t="s">
        <v>32</v>
      </c>
      <c r="F3368" s="1" t="n">
        <v>3</v>
      </c>
      <c r="G3368" s="15" t="n">
        <v>286.32</v>
      </c>
      <c r="H3368" s="16" t="n">
        <v>0.3</v>
      </c>
      <c r="I3368" s="1" t="s">
        <v>31</v>
      </c>
      <c r="J3368" s="1" t="n">
        <v>10</v>
      </c>
      <c r="K3368" s="1" t="n">
        <v>1.1</v>
      </c>
      <c r="L3368" s="15" t="n">
        <v>601.27</v>
      </c>
      <c r="M3368" s="15" t="n">
        <f aca="false">F3368*G3368</f>
        <v>858.96</v>
      </c>
      <c r="N3368" s="15" t="n">
        <f aca="false">M3368-L3368</f>
        <v>257.69</v>
      </c>
      <c r="O3368" s="1" t="n">
        <f aca="false">YEAR(B3368)</f>
        <v>2031</v>
      </c>
      <c r="P3368" s="1" t="n">
        <f aca="false">MONTH(B3368)</f>
        <v>3</v>
      </c>
      <c r="Q3368" s="1" t="str">
        <f aca="false">TEXT(B3368,"mmm")</f>
        <v>Mar</v>
      </c>
      <c r="R3368" s="1" t="str">
        <f aca="false">"Q"&amp;ROUNDUP(MONTH(B3368)/3,0)</f>
        <v>Q1</v>
      </c>
    </row>
    <row r="3369" customFormat="false" ht="15" hidden="false" customHeight="true" outlineLevel="0" collapsed="false">
      <c r="A3369" s="1" t="n">
        <v>13368</v>
      </c>
      <c r="B3369" s="14" t="n">
        <v>47929</v>
      </c>
      <c r="C3369" s="1" t="n">
        <v>1784</v>
      </c>
      <c r="D3369" s="1" t="s">
        <v>37</v>
      </c>
      <c r="E3369" s="1" t="s">
        <v>32</v>
      </c>
      <c r="F3369" s="1" t="n">
        <v>5</v>
      </c>
      <c r="G3369" s="15" t="n">
        <v>120.77</v>
      </c>
      <c r="H3369" s="16" t="n">
        <v>0.1</v>
      </c>
      <c r="I3369" s="1" t="s">
        <v>31</v>
      </c>
      <c r="J3369" s="1" t="n">
        <v>8</v>
      </c>
      <c r="K3369" s="1" t="n">
        <v>1.6</v>
      </c>
      <c r="L3369" s="15" t="n">
        <v>543.46</v>
      </c>
      <c r="M3369" s="15" t="n">
        <f aca="false">F3369*G3369</f>
        <v>603.85</v>
      </c>
      <c r="N3369" s="15" t="n">
        <f aca="false">M3369-L3369</f>
        <v>60.39</v>
      </c>
      <c r="O3369" s="1" t="n">
        <f aca="false">YEAR(B3369)</f>
        <v>2031</v>
      </c>
      <c r="P3369" s="1" t="n">
        <f aca="false">MONTH(B3369)</f>
        <v>3</v>
      </c>
      <c r="Q3369" s="1" t="str">
        <f aca="false">TEXT(B3369,"mmm")</f>
        <v>Mar</v>
      </c>
      <c r="R3369" s="1" t="str">
        <f aca="false">"Q"&amp;ROUNDUP(MONTH(B3369)/3,0)</f>
        <v>Q1</v>
      </c>
    </row>
    <row r="3370" customFormat="false" ht="15" hidden="false" customHeight="true" outlineLevel="0" collapsed="false">
      <c r="A3370" s="1" t="n">
        <v>13369</v>
      </c>
      <c r="B3370" s="14" t="n">
        <v>47930</v>
      </c>
      <c r="C3370" s="1" t="n">
        <v>1100</v>
      </c>
      <c r="D3370" s="1" t="s">
        <v>34</v>
      </c>
      <c r="E3370" s="1" t="s">
        <v>35</v>
      </c>
      <c r="F3370" s="1" t="n">
        <v>7</v>
      </c>
      <c r="G3370" s="15" t="n">
        <v>393.36</v>
      </c>
      <c r="H3370" s="16" t="n">
        <v>0.32</v>
      </c>
      <c r="I3370" s="1" t="s">
        <v>29</v>
      </c>
      <c r="J3370" s="1" t="n">
        <v>6</v>
      </c>
      <c r="K3370" s="1" t="n">
        <v>1.7</v>
      </c>
      <c r="L3370" s="15" t="n">
        <v>1872.39</v>
      </c>
      <c r="M3370" s="15" t="n">
        <f aca="false">F3370*G3370</f>
        <v>2753.52</v>
      </c>
      <c r="N3370" s="15" t="n">
        <f aca="false">M3370-L3370</f>
        <v>881.13</v>
      </c>
      <c r="O3370" s="1" t="n">
        <f aca="false">YEAR(B3370)</f>
        <v>2031</v>
      </c>
      <c r="P3370" s="1" t="n">
        <f aca="false">MONTH(B3370)</f>
        <v>3</v>
      </c>
      <c r="Q3370" s="1" t="str">
        <f aca="false">TEXT(B3370,"mmm")</f>
        <v>Mar</v>
      </c>
      <c r="R3370" s="1" t="str">
        <f aca="false">"Q"&amp;ROUNDUP(MONTH(B3370)/3,0)</f>
        <v>Q1</v>
      </c>
    </row>
    <row r="3371" customFormat="false" ht="15" hidden="false" customHeight="true" outlineLevel="0" collapsed="false">
      <c r="A3371" s="1" t="n">
        <v>13370</v>
      </c>
      <c r="B3371" s="14" t="n">
        <v>47931</v>
      </c>
      <c r="C3371" s="1" t="n">
        <v>1358</v>
      </c>
      <c r="D3371" s="1" t="s">
        <v>34</v>
      </c>
      <c r="E3371" s="1" t="s">
        <v>36</v>
      </c>
      <c r="F3371" s="1" t="n">
        <v>2</v>
      </c>
      <c r="G3371" s="15" t="n">
        <v>595.78</v>
      </c>
      <c r="H3371" s="16" t="n">
        <v>0.26</v>
      </c>
      <c r="I3371" s="1" t="s">
        <v>31</v>
      </c>
      <c r="J3371" s="1" t="n">
        <v>4</v>
      </c>
      <c r="K3371" s="1" t="n">
        <v>4.2</v>
      </c>
      <c r="L3371" s="15" t="n">
        <v>881.75</v>
      </c>
      <c r="M3371" s="15" t="n">
        <f aca="false">F3371*G3371</f>
        <v>1191.56</v>
      </c>
      <c r="N3371" s="15" t="n">
        <f aca="false">M3371-L3371</f>
        <v>309.81</v>
      </c>
      <c r="O3371" s="1" t="n">
        <f aca="false">YEAR(B3371)</f>
        <v>2031</v>
      </c>
      <c r="P3371" s="1" t="n">
        <f aca="false">MONTH(B3371)</f>
        <v>3</v>
      </c>
      <c r="Q3371" s="1" t="str">
        <f aca="false">TEXT(B3371,"mmm")</f>
        <v>Mar</v>
      </c>
      <c r="R3371" s="1" t="str">
        <f aca="false">"Q"&amp;ROUNDUP(MONTH(B3371)/3,0)</f>
        <v>Q1</v>
      </c>
    </row>
    <row r="3372" customFormat="false" ht="15" hidden="false" customHeight="true" outlineLevel="0" collapsed="false">
      <c r="A3372" s="1" t="n">
        <v>13371</v>
      </c>
      <c r="B3372" s="14" t="n">
        <v>47932</v>
      </c>
      <c r="C3372" s="1" t="n">
        <v>1379</v>
      </c>
      <c r="D3372" s="1" t="s">
        <v>34</v>
      </c>
      <c r="E3372" s="1" t="s">
        <v>32</v>
      </c>
      <c r="F3372" s="1" t="n">
        <v>5</v>
      </c>
      <c r="G3372" s="15" t="n">
        <v>379.22</v>
      </c>
      <c r="H3372" s="16" t="n">
        <v>0.14</v>
      </c>
      <c r="I3372" s="1" t="s">
        <v>33</v>
      </c>
      <c r="J3372" s="1" t="n">
        <v>4</v>
      </c>
      <c r="K3372" s="1" t="n">
        <v>5</v>
      </c>
      <c r="L3372" s="15" t="n">
        <v>1630.65</v>
      </c>
      <c r="M3372" s="15" t="n">
        <f aca="false">F3372*G3372</f>
        <v>1896.1</v>
      </c>
      <c r="N3372" s="15" t="n">
        <f aca="false">M3372-L3372</f>
        <v>265.45</v>
      </c>
      <c r="O3372" s="1" t="n">
        <f aca="false">YEAR(B3372)</f>
        <v>2031</v>
      </c>
      <c r="P3372" s="1" t="n">
        <f aca="false">MONTH(B3372)</f>
        <v>3</v>
      </c>
      <c r="Q3372" s="1" t="str">
        <f aca="false">TEXT(B3372,"mmm")</f>
        <v>Mar</v>
      </c>
      <c r="R3372" s="1" t="str">
        <f aca="false">"Q"&amp;ROUNDUP(MONTH(B3372)/3,0)</f>
        <v>Q1</v>
      </c>
    </row>
    <row r="3373" customFormat="false" ht="15" hidden="false" customHeight="true" outlineLevel="0" collapsed="false">
      <c r="A3373" s="1" t="n">
        <v>13372</v>
      </c>
      <c r="B3373" s="14" t="n">
        <v>47933</v>
      </c>
      <c r="C3373" s="1" t="n">
        <v>1819</v>
      </c>
      <c r="D3373" s="1" t="s">
        <v>30</v>
      </c>
      <c r="E3373" s="1" t="s">
        <v>28</v>
      </c>
      <c r="F3373" s="1" t="n">
        <v>6</v>
      </c>
      <c r="G3373" s="15" t="n">
        <v>35.93</v>
      </c>
      <c r="H3373" s="16" t="n">
        <v>0.03</v>
      </c>
      <c r="I3373" s="1" t="s">
        <v>31</v>
      </c>
      <c r="J3373" s="1" t="n">
        <v>9</v>
      </c>
      <c r="K3373" s="1" t="n">
        <v>4.5</v>
      </c>
      <c r="L3373" s="15" t="n">
        <v>209.11</v>
      </c>
      <c r="M3373" s="15" t="n">
        <f aca="false">F3373*G3373</f>
        <v>215.58</v>
      </c>
      <c r="N3373" s="15" t="n">
        <f aca="false">M3373-L3373</f>
        <v>6.46999999999997</v>
      </c>
      <c r="O3373" s="1" t="n">
        <f aca="false">YEAR(B3373)</f>
        <v>2031</v>
      </c>
      <c r="P3373" s="1" t="n">
        <f aca="false">MONTH(B3373)</f>
        <v>3</v>
      </c>
      <c r="Q3373" s="1" t="str">
        <f aca="false">TEXT(B3373,"mmm")</f>
        <v>Mar</v>
      </c>
      <c r="R3373" s="1" t="str">
        <f aca="false">"Q"&amp;ROUNDUP(MONTH(B3373)/3,0)</f>
        <v>Q1</v>
      </c>
    </row>
    <row r="3374" customFormat="false" ht="15" hidden="false" customHeight="true" outlineLevel="0" collapsed="false">
      <c r="A3374" s="1" t="n">
        <v>13373</v>
      </c>
      <c r="B3374" s="14" t="n">
        <v>47934</v>
      </c>
      <c r="C3374" s="1" t="n">
        <v>1220</v>
      </c>
      <c r="D3374" s="1" t="s">
        <v>34</v>
      </c>
      <c r="E3374" s="1" t="s">
        <v>32</v>
      </c>
      <c r="F3374" s="1" t="n">
        <v>7</v>
      </c>
      <c r="G3374" s="15" t="n">
        <v>25.12</v>
      </c>
      <c r="H3374" s="16" t="n">
        <v>0.09</v>
      </c>
      <c r="I3374" s="1" t="s">
        <v>33</v>
      </c>
      <c r="J3374" s="1" t="n">
        <v>4</v>
      </c>
      <c r="K3374" s="1" t="n">
        <v>3.5</v>
      </c>
      <c r="L3374" s="15" t="n">
        <v>160.01</v>
      </c>
      <c r="M3374" s="15" t="n">
        <f aca="false">F3374*G3374</f>
        <v>175.84</v>
      </c>
      <c r="N3374" s="15" t="n">
        <f aca="false">M3374-L3374</f>
        <v>15.83</v>
      </c>
      <c r="O3374" s="1" t="n">
        <f aca="false">YEAR(B3374)</f>
        <v>2031</v>
      </c>
      <c r="P3374" s="1" t="n">
        <f aca="false">MONTH(B3374)</f>
        <v>3</v>
      </c>
      <c r="Q3374" s="1" t="str">
        <f aca="false">TEXT(B3374,"mmm")</f>
        <v>Mar</v>
      </c>
      <c r="R3374" s="1" t="str">
        <f aca="false">"Q"&amp;ROUNDUP(MONTH(B3374)/3,0)</f>
        <v>Q1</v>
      </c>
    </row>
    <row r="3375" customFormat="false" ht="15" hidden="false" customHeight="true" outlineLevel="0" collapsed="false">
      <c r="A3375" s="1" t="n">
        <v>13374</v>
      </c>
      <c r="B3375" s="14" t="n">
        <v>47935</v>
      </c>
      <c r="C3375" s="1" t="n">
        <v>1819</v>
      </c>
      <c r="D3375" s="1" t="s">
        <v>34</v>
      </c>
      <c r="E3375" s="1" t="s">
        <v>28</v>
      </c>
      <c r="F3375" s="1" t="n">
        <v>6</v>
      </c>
      <c r="G3375" s="15" t="n">
        <v>202.41</v>
      </c>
      <c r="H3375" s="16" t="n">
        <v>0.33</v>
      </c>
      <c r="I3375" s="1" t="s">
        <v>33</v>
      </c>
      <c r="J3375" s="1" t="n">
        <v>7</v>
      </c>
      <c r="K3375" s="1" t="n">
        <v>3.9</v>
      </c>
      <c r="L3375" s="15" t="n">
        <v>813.69</v>
      </c>
      <c r="M3375" s="15" t="n">
        <f aca="false">F3375*G3375</f>
        <v>1214.46</v>
      </c>
      <c r="N3375" s="15" t="n">
        <f aca="false">M3375-L3375</f>
        <v>400.77</v>
      </c>
      <c r="O3375" s="1" t="n">
        <f aca="false">YEAR(B3375)</f>
        <v>2031</v>
      </c>
      <c r="P3375" s="1" t="n">
        <f aca="false">MONTH(B3375)</f>
        <v>3</v>
      </c>
      <c r="Q3375" s="1" t="str">
        <f aca="false">TEXT(B3375,"mmm")</f>
        <v>Mar</v>
      </c>
      <c r="R3375" s="1" t="str">
        <f aca="false">"Q"&amp;ROUNDUP(MONTH(B3375)/3,0)</f>
        <v>Q1</v>
      </c>
    </row>
    <row r="3376" customFormat="false" ht="15" hidden="false" customHeight="true" outlineLevel="0" collapsed="false">
      <c r="A3376" s="1" t="n">
        <v>13375</v>
      </c>
      <c r="B3376" s="14" t="n">
        <v>47936</v>
      </c>
      <c r="C3376" s="1" t="n">
        <v>1419</v>
      </c>
      <c r="D3376" s="1" t="s">
        <v>27</v>
      </c>
      <c r="E3376" s="1" t="s">
        <v>35</v>
      </c>
      <c r="F3376" s="1" t="n">
        <v>7</v>
      </c>
      <c r="G3376" s="15" t="n">
        <v>129.53</v>
      </c>
      <c r="H3376" s="16" t="n">
        <v>0.11</v>
      </c>
      <c r="I3376" s="1" t="s">
        <v>31</v>
      </c>
      <c r="J3376" s="1" t="n">
        <v>6</v>
      </c>
      <c r="K3376" s="1" t="n">
        <v>3.1</v>
      </c>
      <c r="L3376" s="15" t="n">
        <v>806.97</v>
      </c>
      <c r="M3376" s="15" t="n">
        <f aca="false">F3376*G3376</f>
        <v>906.71</v>
      </c>
      <c r="N3376" s="15" t="n">
        <f aca="false">M3376-L3376</f>
        <v>99.74</v>
      </c>
      <c r="O3376" s="1" t="n">
        <f aca="false">YEAR(B3376)</f>
        <v>2031</v>
      </c>
      <c r="P3376" s="1" t="n">
        <f aca="false">MONTH(B3376)</f>
        <v>3</v>
      </c>
      <c r="Q3376" s="1" t="str">
        <f aca="false">TEXT(B3376,"mmm")</f>
        <v>Mar</v>
      </c>
      <c r="R3376" s="1" t="str">
        <f aca="false">"Q"&amp;ROUNDUP(MONTH(B3376)/3,0)</f>
        <v>Q1</v>
      </c>
    </row>
    <row r="3377" customFormat="false" ht="15" hidden="false" customHeight="true" outlineLevel="0" collapsed="false">
      <c r="A3377" s="1" t="n">
        <v>13376</v>
      </c>
      <c r="B3377" s="14" t="n">
        <v>47937</v>
      </c>
      <c r="C3377" s="1" t="n">
        <v>1123</v>
      </c>
      <c r="D3377" s="1" t="s">
        <v>27</v>
      </c>
      <c r="E3377" s="1" t="s">
        <v>28</v>
      </c>
      <c r="F3377" s="1" t="n">
        <v>2</v>
      </c>
      <c r="G3377" s="15" t="n">
        <v>490.63</v>
      </c>
      <c r="H3377" s="16" t="n">
        <v>0.12</v>
      </c>
      <c r="I3377" s="1" t="s">
        <v>33</v>
      </c>
      <c r="J3377" s="1" t="n">
        <v>2</v>
      </c>
      <c r="K3377" s="1" t="n">
        <v>2.7</v>
      </c>
      <c r="L3377" s="15" t="n">
        <v>863.51</v>
      </c>
      <c r="M3377" s="15" t="n">
        <f aca="false">F3377*G3377</f>
        <v>981.26</v>
      </c>
      <c r="N3377" s="15" t="n">
        <f aca="false">M3377-L3377</f>
        <v>117.75</v>
      </c>
      <c r="O3377" s="1" t="n">
        <f aca="false">YEAR(B3377)</f>
        <v>2031</v>
      </c>
      <c r="P3377" s="1" t="n">
        <f aca="false">MONTH(B3377)</f>
        <v>3</v>
      </c>
      <c r="Q3377" s="1" t="str">
        <f aca="false">TEXT(B3377,"mmm")</f>
        <v>Mar</v>
      </c>
      <c r="R3377" s="1" t="str">
        <f aca="false">"Q"&amp;ROUNDUP(MONTH(B3377)/3,0)</f>
        <v>Q1</v>
      </c>
    </row>
    <row r="3378" customFormat="false" ht="15" hidden="false" customHeight="true" outlineLevel="0" collapsed="false">
      <c r="A3378" s="1" t="n">
        <v>13377</v>
      </c>
      <c r="B3378" s="14" t="n">
        <v>47938</v>
      </c>
      <c r="C3378" s="1" t="n">
        <v>1421</v>
      </c>
      <c r="D3378" s="1" t="s">
        <v>34</v>
      </c>
      <c r="E3378" s="1" t="s">
        <v>32</v>
      </c>
      <c r="F3378" s="1" t="n">
        <v>6</v>
      </c>
      <c r="G3378" s="15" t="n">
        <v>509.21</v>
      </c>
      <c r="H3378" s="16" t="n">
        <v>0.07</v>
      </c>
      <c r="I3378" s="1" t="s">
        <v>33</v>
      </c>
      <c r="J3378" s="1" t="n">
        <v>5</v>
      </c>
      <c r="K3378" s="1" t="n">
        <v>3.8</v>
      </c>
      <c r="L3378" s="15" t="n">
        <v>2841.39</v>
      </c>
      <c r="M3378" s="15" t="n">
        <f aca="false">F3378*G3378</f>
        <v>3055.26</v>
      </c>
      <c r="N3378" s="15" t="n">
        <f aca="false">M3378-L3378</f>
        <v>213.87</v>
      </c>
      <c r="O3378" s="1" t="n">
        <f aca="false">YEAR(B3378)</f>
        <v>2031</v>
      </c>
      <c r="P3378" s="1" t="n">
        <f aca="false">MONTH(B3378)</f>
        <v>3</v>
      </c>
      <c r="Q3378" s="1" t="str">
        <f aca="false">TEXT(B3378,"mmm")</f>
        <v>Mar</v>
      </c>
      <c r="R3378" s="1" t="str">
        <f aca="false">"Q"&amp;ROUNDUP(MONTH(B3378)/3,0)</f>
        <v>Q1</v>
      </c>
    </row>
    <row r="3379" customFormat="false" ht="15" hidden="false" customHeight="true" outlineLevel="0" collapsed="false">
      <c r="A3379" s="1" t="n">
        <v>13378</v>
      </c>
      <c r="B3379" s="14" t="n">
        <v>47939</v>
      </c>
      <c r="C3379" s="1" t="n">
        <v>1230</v>
      </c>
      <c r="D3379" s="1" t="s">
        <v>34</v>
      </c>
      <c r="E3379" s="1" t="s">
        <v>32</v>
      </c>
      <c r="F3379" s="1" t="n">
        <v>6</v>
      </c>
      <c r="G3379" s="15" t="n">
        <v>166.29</v>
      </c>
      <c r="H3379" s="16" t="n">
        <v>0.28</v>
      </c>
      <c r="I3379" s="1" t="s">
        <v>33</v>
      </c>
      <c r="J3379" s="1" t="n">
        <v>3</v>
      </c>
      <c r="K3379" s="1" t="n">
        <v>4.9</v>
      </c>
      <c r="L3379" s="15" t="n">
        <v>718.37</v>
      </c>
      <c r="M3379" s="15" t="n">
        <f aca="false">F3379*G3379</f>
        <v>997.74</v>
      </c>
      <c r="N3379" s="15" t="n">
        <f aca="false">M3379-L3379</f>
        <v>279.37</v>
      </c>
      <c r="O3379" s="1" t="n">
        <f aca="false">YEAR(B3379)</f>
        <v>2031</v>
      </c>
      <c r="P3379" s="1" t="n">
        <f aca="false">MONTH(B3379)</f>
        <v>4</v>
      </c>
      <c r="Q3379" s="1" t="str">
        <f aca="false">TEXT(B3379,"mmm")</f>
        <v>Apr</v>
      </c>
      <c r="R3379" s="1" t="str">
        <f aca="false">"Q"&amp;ROUNDUP(MONTH(B3379)/3,0)</f>
        <v>Q2</v>
      </c>
    </row>
    <row r="3380" customFormat="false" ht="15" hidden="false" customHeight="true" outlineLevel="0" collapsed="false">
      <c r="A3380" s="1" t="n">
        <v>13379</v>
      </c>
      <c r="B3380" s="14" t="n">
        <v>47940</v>
      </c>
      <c r="C3380" s="1" t="n">
        <v>1689</v>
      </c>
      <c r="D3380" s="1" t="s">
        <v>34</v>
      </c>
      <c r="E3380" s="1" t="s">
        <v>36</v>
      </c>
      <c r="F3380" s="1" t="n">
        <v>1</v>
      </c>
      <c r="G3380" s="15" t="n">
        <v>205.5</v>
      </c>
      <c r="H3380" s="16" t="n">
        <v>0.1</v>
      </c>
      <c r="I3380" s="1" t="s">
        <v>33</v>
      </c>
      <c r="J3380" s="1" t="n">
        <v>9</v>
      </c>
      <c r="K3380" s="1" t="n">
        <v>1.1</v>
      </c>
      <c r="L3380" s="15" t="n">
        <v>184.95</v>
      </c>
      <c r="M3380" s="15" t="n">
        <f aca="false">F3380*G3380</f>
        <v>205.5</v>
      </c>
      <c r="N3380" s="15" t="n">
        <f aca="false">M3380-L3380</f>
        <v>20.55</v>
      </c>
      <c r="O3380" s="1" t="n">
        <f aca="false">YEAR(B3380)</f>
        <v>2031</v>
      </c>
      <c r="P3380" s="1" t="n">
        <f aca="false">MONTH(B3380)</f>
        <v>4</v>
      </c>
      <c r="Q3380" s="1" t="str">
        <f aca="false">TEXT(B3380,"mmm")</f>
        <v>Apr</v>
      </c>
      <c r="R3380" s="1" t="str">
        <f aca="false">"Q"&amp;ROUNDUP(MONTH(B3380)/3,0)</f>
        <v>Q2</v>
      </c>
    </row>
    <row r="3381" customFormat="false" ht="15" hidden="false" customHeight="true" outlineLevel="0" collapsed="false">
      <c r="A3381" s="1" t="n">
        <v>13380</v>
      </c>
      <c r="B3381" s="14" t="n">
        <v>47941</v>
      </c>
      <c r="C3381" s="1" t="n">
        <v>1062</v>
      </c>
      <c r="D3381" s="1" t="s">
        <v>37</v>
      </c>
      <c r="E3381" s="1" t="s">
        <v>35</v>
      </c>
      <c r="F3381" s="1" t="n">
        <v>4</v>
      </c>
      <c r="G3381" s="15" t="n">
        <v>153.2</v>
      </c>
      <c r="H3381" s="16" t="n">
        <v>0.12</v>
      </c>
      <c r="I3381" s="1" t="s">
        <v>33</v>
      </c>
      <c r="J3381" s="1" t="n">
        <v>10</v>
      </c>
      <c r="K3381" s="1" t="n">
        <v>2.3</v>
      </c>
      <c r="L3381" s="15" t="n">
        <v>539.26</v>
      </c>
      <c r="M3381" s="15" t="n">
        <f aca="false">F3381*G3381</f>
        <v>612.8</v>
      </c>
      <c r="N3381" s="15" t="n">
        <f aca="false">M3381-L3381</f>
        <v>73.54</v>
      </c>
      <c r="O3381" s="1" t="n">
        <f aca="false">YEAR(B3381)</f>
        <v>2031</v>
      </c>
      <c r="P3381" s="1" t="n">
        <f aca="false">MONTH(B3381)</f>
        <v>4</v>
      </c>
      <c r="Q3381" s="1" t="str">
        <f aca="false">TEXT(B3381,"mmm")</f>
        <v>Apr</v>
      </c>
      <c r="R3381" s="1" t="str">
        <f aca="false">"Q"&amp;ROUNDUP(MONTH(B3381)/3,0)</f>
        <v>Q2</v>
      </c>
    </row>
    <row r="3382" customFormat="false" ht="15" hidden="false" customHeight="true" outlineLevel="0" collapsed="false">
      <c r="A3382" s="1" t="n">
        <v>13381</v>
      </c>
      <c r="B3382" s="14" t="n">
        <v>47942</v>
      </c>
      <c r="C3382" s="1" t="n">
        <v>1484</v>
      </c>
      <c r="D3382" s="1" t="s">
        <v>37</v>
      </c>
      <c r="E3382" s="1" t="s">
        <v>28</v>
      </c>
      <c r="F3382" s="1" t="n">
        <v>6</v>
      </c>
      <c r="G3382" s="15" t="n">
        <v>546.4</v>
      </c>
      <c r="H3382" s="16" t="n">
        <v>0.15</v>
      </c>
      <c r="I3382" s="1" t="s">
        <v>31</v>
      </c>
      <c r="J3382" s="1" t="n">
        <v>1</v>
      </c>
      <c r="K3382" s="1" t="n">
        <v>2.3</v>
      </c>
      <c r="L3382" s="15" t="n">
        <v>2786.64</v>
      </c>
      <c r="M3382" s="15" t="n">
        <f aca="false">F3382*G3382</f>
        <v>3278.4</v>
      </c>
      <c r="N3382" s="15" t="n">
        <f aca="false">M3382-L3382</f>
        <v>491.76</v>
      </c>
      <c r="O3382" s="1" t="n">
        <f aca="false">YEAR(B3382)</f>
        <v>2031</v>
      </c>
      <c r="P3382" s="1" t="n">
        <f aca="false">MONTH(B3382)</f>
        <v>4</v>
      </c>
      <c r="Q3382" s="1" t="str">
        <f aca="false">TEXT(B3382,"mmm")</f>
        <v>Apr</v>
      </c>
      <c r="R3382" s="1" t="str">
        <f aca="false">"Q"&amp;ROUNDUP(MONTH(B3382)/3,0)</f>
        <v>Q2</v>
      </c>
    </row>
    <row r="3383" customFormat="false" ht="15" hidden="false" customHeight="true" outlineLevel="0" collapsed="false">
      <c r="A3383" s="1" t="n">
        <v>13382</v>
      </c>
      <c r="B3383" s="14" t="n">
        <v>47943</v>
      </c>
      <c r="C3383" s="1" t="n">
        <v>1627</v>
      </c>
      <c r="D3383" s="1" t="s">
        <v>34</v>
      </c>
      <c r="E3383" s="1" t="s">
        <v>35</v>
      </c>
      <c r="F3383" s="1" t="n">
        <v>4</v>
      </c>
      <c r="G3383" s="15" t="n">
        <v>309.05</v>
      </c>
      <c r="H3383" s="16" t="n">
        <v>0.15</v>
      </c>
      <c r="I3383" s="1" t="s">
        <v>33</v>
      </c>
      <c r="J3383" s="1" t="n">
        <v>10</v>
      </c>
      <c r="K3383" s="1" t="n">
        <v>2.7</v>
      </c>
      <c r="L3383" s="15" t="n">
        <v>1050.77</v>
      </c>
      <c r="M3383" s="15" t="n">
        <f aca="false">F3383*G3383</f>
        <v>1236.2</v>
      </c>
      <c r="N3383" s="15" t="n">
        <f aca="false">M3383-L3383</f>
        <v>185.43</v>
      </c>
      <c r="O3383" s="1" t="n">
        <f aca="false">YEAR(B3383)</f>
        <v>2031</v>
      </c>
      <c r="P3383" s="1" t="n">
        <f aca="false">MONTH(B3383)</f>
        <v>4</v>
      </c>
      <c r="Q3383" s="1" t="str">
        <f aca="false">TEXT(B3383,"mmm")</f>
        <v>Apr</v>
      </c>
      <c r="R3383" s="1" t="str">
        <f aca="false">"Q"&amp;ROUNDUP(MONTH(B3383)/3,0)</f>
        <v>Q2</v>
      </c>
    </row>
    <row r="3384" customFormat="false" ht="15" hidden="false" customHeight="true" outlineLevel="0" collapsed="false">
      <c r="A3384" s="1" t="n">
        <v>13383</v>
      </c>
      <c r="B3384" s="14" t="n">
        <v>47944</v>
      </c>
      <c r="C3384" s="1" t="n">
        <v>1702</v>
      </c>
      <c r="D3384" s="1" t="s">
        <v>34</v>
      </c>
      <c r="E3384" s="1" t="s">
        <v>32</v>
      </c>
      <c r="F3384" s="1" t="n">
        <v>7</v>
      </c>
      <c r="G3384" s="15" t="n">
        <v>398.84</v>
      </c>
      <c r="H3384" s="16" t="n">
        <v>0.14</v>
      </c>
      <c r="I3384" s="1" t="s">
        <v>33</v>
      </c>
      <c r="J3384" s="1" t="n">
        <v>4</v>
      </c>
      <c r="K3384" s="1" t="n">
        <v>3.5</v>
      </c>
      <c r="L3384" s="15" t="n">
        <v>2401.02</v>
      </c>
      <c r="M3384" s="15" t="n">
        <f aca="false">F3384*G3384</f>
        <v>2791.88</v>
      </c>
      <c r="N3384" s="15" t="n">
        <f aca="false">M3384-L3384</f>
        <v>390.86</v>
      </c>
      <c r="O3384" s="1" t="n">
        <f aca="false">YEAR(B3384)</f>
        <v>2031</v>
      </c>
      <c r="P3384" s="1" t="n">
        <f aca="false">MONTH(B3384)</f>
        <v>4</v>
      </c>
      <c r="Q3384" s="1" t="str">
        <f aca="false">TEXT(B3384,"mmm")</f>
        <v>Apr</v>
      </c>
      <c r="R3384" s="1" t="str">
        <f aca="false">"Q"&amp;ROUNDUP(MONTH(B3384)/3,0)</f>
        <v>Q2</v>
      </c>
    </row>
    <row r="3385" customFormat="false" ht="15" hidden="false" customHeight="true" outlineLevel="0" collapsed="false">
      <c r="A3385" s="1" t="n">
        <v>13384</v>
      </c>
      <c r="B3385" s="14" t="n">
        <v>47945</v>
      </c>
      <c r="C3385" s="1" t="n">
        <v>1573</v>
      </c>
      <c r="D3385" s="1" t="s">
        <v>37</v>
      </c>
      <c r="E3385" s="1" t="s">
        <v>36</v>
      </c>
      <c r="F3385" s="1" t="n">
        <v>3</v>
      </c>
      <c r="G3385" s="15" t="n">
        <v>258.06</v>
      </c>
      <c r="H3385" s="16" t="n">
        <v>0.18</v>
      </c>
      <c r="I3385" s="1" t="s">
        <v>31</v>
      </c>
      <c r="J3385" s="1" t="n">
        <v>4</v>
      </c>
      <c r="K3385" s="1" t="n">
        <v>3.1</v>
      </c>
      <c r="L3385" s="15" t="n">
        <v>634.83</v>
      </c>
      <c r="M3385" s="15" t="n">
        <f aca="false">F3385*G3385</f>
        <v>774.18</v>
      </c>
      <c r="N3385" s="15" t="n">
        <f aca="false">M3385-L3385</f>
        <v>139.35</v>
      </c>
      <c r="O3385" s="1" t="n">
        <f aca="false">YEAR(B3385)</f>
        <v>2031</v>
      </c>
      <c r="P3385" s="1" t="n">
        <f aca="false">MONTH(B3385)</f>
        <v>4</v>
      </c>
      <c r="Q3385" s="1" t="str">
        <f aca="false">TEXT(B3385,"mmm")</f>
        <v>Apr</v>
      </c>
      <c r="R3385" s="1" t="str">
        <f aca="false">"Q"&amp;ROUNDUP(MONTH(B3385)/3,0)</f>
        <v>Q2</v>
      </c>
    </row>
    <row r="3386" customFormat="false" ht="15" hidden="false" customHeight="true" outlineLevel="0" collapsed="false">
      <c r="A3386" s="1" t="n">
        <v>13385</v>
      </c>
      <c r="B3386" s="14" t="n">
        <v>47946</v>
      </c>
      <c r="C3386" s="1" t="n">
        <v>1767</v>
      </c>
      <c r="D3386" s="1" t="s">
        <v>30</v>
      </c>
      <c r="E3386" s="1" t="s">
        <v>32</v>
      </c>
      <c r="F3386" s="1" t="n">
        <v>5</v>
      </c>
      <c r="G3386" s="15" t="n">
        <v>384.14</v>
      </c>
      <c r="H3386" s="16" t="n">
        <v>0.29</v>
      </c>
      <c r="I3386" s="1" t="s">
        <v>29</v>
      </c>
      <c r="J3386" s="1" t="n">
        <v>9</v>
      </c>
      <c r="K3386" s="1" t="n">
        <v>1.1</v>
      </c>
      <c r="L3386" s="15" t="n">
        <v>1363.7</v>
      </c>
      <c r="M3386" s="15" t="n">
        <f aca="false">F3386*G3386</f>
        <v>1920.7</v>
      </c>
      <c r="N3386" s="15" t="n">
        <f aca="false">M3386-L3386</f>
        <v>557</v>
      </c>
      <c r="O3386" s="1" t="n">
        <f aca="false">YEAR(B3386)</f>
        <v>2031</v>
      </c>
      <c r="P3386" s="1" t="n">
        <f aca="false">MONTH(B3386)</f>
        <v>4</v>
      </c>
      <c r="Q3386" s="1" t="str">
        <f aca="false">TEXT(B3386,"mmm")</f>
        <v>Apr</v>
      </c>
      <c r="R3386" s="1" t="str">
        <f aca="false">"Q"&amp;ROUNDUP(MONTH(B3386)/3,0)</f>
        <v>Q2</v>
      </c>
    </row>
    <row r="3387" customFormat="false" ht="15" hidden="false" customHeight="true" outlineLevel="0" collapsed="false">
      <c r="A3387" s="1" t="n">
        <v>13386</v>
      </c>
      <c r="B3387" s="14" t="n">
        <v>47947</v>
      </c>
      <c r="C3387" s="1" t="n">
        <v>1482</v>
      </c>
      <c r="D3387" s="1" t="s">
        <v>34</v>
      </c>
      <c r="E3387" s="1" t="s">
        <v>32</v>
      </c>
      <c r="F3387" s="1" t="n">
        <v>1</v>
      </c>
      <c r="G3387" s="15" t="n">
        <v>240.73</v>
      </c>
      <c r="H3387" s="16" t="n">
        <v>0.29</v>
      </c>
      <c r="I3387" s="1" t="s">
        <v>31</v>
      </c>
      <c r="J3387" s="1" t="n">
        <v>1</v>
      </c>
      <c r="K3387" s="1" t="n">
        <v>2.6</v>
      </c>
      <c r="L3387" s="15" t="n">
        <v>170.92</v>
      </c>
      <c r="M3387" s="15" t="n">
        <f aca="false">F3387*G3387</f>
        <v>240.73</v>
      </c>
      <c r="N3387" s="15" t="n">
        <f aca="false">M3387-L3387</f>
        <v>69.81</v>
      </c>
      <c r="O3387" s="1" t="n">
        <f aca="false">YEAR(B3387)</f>
        <v>2031</v>
      </c>
      <c r="P3387" s="1" t="n">
        <f aca="false">MONTH(B3387)</f>
        <v>4</v>
      </c>
      <c r="Q3387" s="1" t="str">
        <f aca="false">TEXT(B3387,"mmm")</f>
        <v>Apr</v>
      </c>
      <c r="R3387" s="1" t="str">
        <f aca="false">"Q"&amp;ROUNDUP(MONTH(B3387)/3,0)</f>
        <v>Q2</v>
      </c>
    </row>
    <row r="3388" customFormat="false" ht="15" hidden="false" customHeight="true" outlineLevel="0" collapsed="false">
      <c r="A3388" s="1" t="n">
        <v>13387</v>
      </c>
      <c r="B3388" s="14" t="n">
        <v>47948</v>
      </c>
      <c r="C3388" s="1" t="n">
        <v>1518</v>
      </c>
      <c r="D3388" s="1" t="s">
        <v>30</v>
      </c>
      <c r="E3388" s="1" t="s">
        <v>32</v>
      </c>
      <c r="F3388" s="1" t="n">
        <v>7</v>
      </c>
      <c r="G3388" s="15" t="n">
        <v>213.71</v>
      </c>
      <c r="H3388" s="16" t="n">
        <v>0.28</v>
      </c>
      <c r="I3388" s="1" t="s">
        <v>31</v>
      </c>
      <c r="J3388" s="1" t="n">
        <v>2</v>
      </c>
      <c r="K3388" s="1" t="n">
        <v>3.5</v>
      </c>
      <c r="L3388" s="15" t="n">
        <v>1077.1</v>
      </c>
      <c r="M3388" s="15" t="n">
        <f aca="false">F3388*G3388</f>
        <v>1495.97</v>
      </c>
      <c r="N3388" s="15" t="n">
        <f aca="false">M3388-L3388</f>
        <v>418.87</v>
      </c>
      <c r="O3388" s="1" t="n">
        <f aca="false">YEAR(B3388)</f>
        <v>2031</v>
      </c>
      <c r="P3388" s="1" t="n">
        <f aca="false">MONTH(B3388)</f>
        <v>4</v>
      </c>
      <c r="Q3388" s="1" t="str">
        <f aca="false">TEXT(B3388,"mmm")</f>
        <v>Apr</v>
      </c>
      <c r="R3388" s="1" t="str">
        <f aca="false">"Q"&amp;ROUNDUP(MONTH(B3388)/3,0)</f>
        <v>Q2</v>
      </c>
    </row>
    <row r="3389" customFormat="false" ht="15" hidden="false" customHeight="true" outlineLevel="0" collapsed="false">
      <c r="A3389" s="1" t="n">
        <v>13388</v>
      </c>
      <c r="B3389" s="14" t="n">
        <v>47949</v>
      </c>
      <c r="C3389" s="1" t="n">
        <v>1154</v>
      </c>
      <c r="D3389" s="1" t="s">
        <v>34</v>
      </c>
      <c r="E3389" s="1" t="s">
        <v>28</v>
      </c>
      <c r="F3389" s="1" t="n">
        <v>2</v>
      </c>
      <c r="G3389" s="15" t="n">
        <v>386.17</v>
      </c>
      <c r="H3389" s="16" t="n">
        <v>0.04</v>
      </c>
      <c r="I3389" s="1" t="s">
        <v>31</v>
      </c>
      <c r="J3389" s="1" t="n">
        <v>1</v>
      </c>
      <c r="K3389" s="1" t="n">
        <v>3</v>
      </c>
      <c r="L3389" s="15" t="n">
        <v>741.45</v>
      </c>
      <c r="M3389" s="15" t="n">
        <f aca="false">F3389*G3389</f>
        <v>772.34</v>
      </c>
      <c r="N3389" s="15" t="n">
        <f aca="false">M3389-L3389</f>
        <v>30.89</v>
      </c>
      <c r="O3389" s="1" t="n">
        <f aca="false">YEAR(B3389)</f>
        <v>2031</v>
      </c>
      <c r="P3389" s="1" t="n">
        <f aca="false">MONTH(B3389)</f>
        <v>4</v>
      </c>
      <c r="Q3389" s="1" t="str">
        <f aca="false">TEXT(B3389,"mmm")</f>
        <v>Apr</v>
      </c>
      <c r="R3389" s="1" t="str">
        <f aca="false">"Q"&amp;ROUNDUP(MONTH(B3389)/3,0)</f>
        <v>Q2</v>
      </c>
    </row>
    <row r="3390" customFormat="false" ht="15" hidden="false" customHeight="true" outlineLevel="0" collapsed="false">
      <c r="A3390" s="1" t="n">
        <v>13389</v>
      </c>
      <c r="B3390" s="14" t="n">
        <v>47950</v>
      </c>
      <c r="C3390" s="1" t="n">
        <v>1091</v>
      </c>
      <c r="D3390" s="1" t="s">
        <v>30</v>
      </c>
      <c r="E3390" s="1" t="s">
        <v>32</v>
      </c>
      <c r="F3390" s="1" t="n">
        <v>3</v>
      </c>
      <c r="G3390" s="15" t="n">
        <v>360.77</v>
      </c>
      <c r="H3390" s="16" t="n">
        <v>0.28</v>
      </c>
      <c r="I3390" s="1" t="s">
        <v>31</v>
      </c>
      <c r="J3390" s="1" t="n">
        <v>1</v>
      </c>
      <c r="K3390" s="1" t="n">
        <v>4.5</v>
      </c>
      <c r="L3390" s="15" t="n">
        <v>779.26</v>
      </c>
      <c r="M3390" s="15" t="n">
        <f aca="false">F3390*G3390</f>
        <v>1082.31</v>
      </c>
      <c r="N3390" s="15" t="n">
        <f aca="false">M3390-L3390</f>
        <v>303.05</v>
      </c>
      <c r="O3390" s="1" t="n">
        <f aca="false">YEAR(B3390)</f>
        <v>2031</v>
      </c>
      <c r="P3390" s="1" t="n">
        <f aca="false">MONTH(B3390)</f>
        <v>4</v>
      </c>
      <c r="Q3390" s="1" t="str">
        <f aca="false">TEXT(B3390,"mmm")</f>
        <v>Apr</v>
      </c>
      <c r="R3390" s="1" t="str">
        <f aca="false">"Q"&amp;ROUNDUP(MONTH(B3390)/3,0)</f>
        <v>Q2</v>
      </c>
    </row>
    <row r="3391" customFormat="false" ht="15" hidden="false" customHeight="true" outlineLevel="0" collapsed="false">
      <c r="A3391" s="1" t="n">
        <v>13390</v>
      </c>
      <c r="B3391" s="14" t="n">
        <v>47951</v>
      </c>
      <c r="C3391" s="1" t="n">
        <v>1981</v>
      </c>
      <c r="D3391" s="1" t="s">
        <v>37</v>
      </c>
      <c r="E3391" s="1" t="s">
        <v>35</v>
      </c>
      <c r="F3391" s="1" t="n">
        <v>1</v>
      </c>
      <c r="G3391" s="15" t="n">
        <v>186.71</v>
      </c>
      <c r="H3391" s="16" t="n">
        <v>0.04</v>
      </c>
      <c r="I3391" s="1" t="s">
        <v>31</v>
      </c>
      <c r="J3391" s="1" t="n">
        <v>1</v>
      </c>
      <c r="K3391" s="1" t="n">
        <v>2.6</v>
      </c>
      <c r="L3391" s="15" t="n">
        <v>179.24</v>
      </c>
      <c r="M3391" s="15" t="n">
        <f aca="false">F3391*G3391</f>
        <v>186.71</v>
      </c>
      <c r="N3391" s="15" t="n">
        <f aca="false">M3391-L3391</f>
        <v>7.47</v>
      </c>
      <c r="O3391" s="1" t="n">
        <f aca="false">YEAR(B3391)</f>
        <v>2031</v>
      </c>
      <c r="P3391" s="1" t="n">
        <f aca="false">MONTH(B3391)</f>
        <v>4</v>
      </c>
      <c r="Q3391" s="1" t="str">
        <f aca="false">TEXT(B3391,"mmm")</f>
        <v>Apr</v>
      </c>
      <c r="R3391" s="1" t="str">
        <f aca="false">"Q"&amp;ROUNDUP(MONTH(B3391)/3,0)</f>
        <v>Q2</v>
      </c>
    </row>
    <row r="3392" customFormat="false" ht="15" hidden="false" customHeight="true" outlineLevel="0" collapsed="false">
      <c r="A3392" s="1" t="n">
        <v>13391</v>
      </c>
      <c r="B3392" s="14" t="n">
        <v>47952</v>
      </c>
      <c r="C3392" s="1" t="n">
        <v>1525</v>
      </c>
      <c r="D3392" s="1" t="s">
        <v>37</v>
      </c>
      <c r="E3392" s="1" t="s">
        <v>35</v>
      </c>
      <c r="F3392" s="1" t="n">
        <v>1</v>
      </c>
      <c r="G3392" s="15" t="n">
        <v>102.37</v>
      </c>
      <c r="H3392" s="16" t="n">
        <v>0.04</v>
      </c>
      <c r="I3392" s="1" t="s">
        <v>29</v>
      </c>
      <c r="J3392" s="1" t="n">
        <v>3</v>
      </c>
      <c r="K3392" s="1" t="n">
        <v>1.1</v>
      </c>
      <c r="L3392" s="15" t="n">
        <v>98.28</v>
      </c>
      <c r="M3392" s="15" t="n">
        <f aca="false">F3392*G3392</f>
        <v>102.37</v>
      </c>
      <c r="N3392" s="15" t="n">
        <f aca="false">M3392-L3392</f>
        <v>4.09</v>
      </c>
      <c r="O3392" s="1" t="n">
        <f aca="false">YEAR(B3392)</f>
        <v>2031</v>
      </c>
      <c r="P3392" s="1" t="n">
        <f aca="false">MONTH(B3392)</f>
        <v>4</v>
      </c>
      <c r="Q3392" s="1" t="str">
        <f aca="false">TEXT(B3392,"mmm")</f>
        <v>Apr</v>
      </c>
      <c r="R3392" s="1" t="str">
        <f aca="false">"Q"&amp;ROUNDUP(MONTH(B3392)/3,0)</f>
        <v>Q2</v>
      </c>
    </row>
    <row r="3393" customFormat="false" ht="15" hidden="false" customHeight="true" outlineLevel="0" collapsed="false">
      <c r="A3393" s="1" t="n">
        <v>13392</v>
      </c>
      <c r="B3393" s="14" t="n">
        <v>47953</v>
      </c>
      <c r="C3393" s="1" t="n">
        <v>1454</v>
      </c>
      <c r="D3393" s="1" t="s">
        <v>30</v>
      </c>
      <c r="E3393" s="1" t="s">
        <v>36</v>
      </c>
      <c r="F3393" s="1" t="n">
        <v>7</v>
      </c>
      <c r="G3393" s="15" t="n">
        <v>230.62</v>
      </c>
      <c r="H3393" s="16" t="n">
        <v>0.33</v>
      </c>
      <c r="I3393" s="1" t="s">
        <v>31</v>
      </c>
      <c r="J3393" s="1" t="n">
        <v>11</v>
      </c>
      <c r="K3393" s="1" t="n">
        <v>2.1</v>
      </c>
      <c r="L3393" s="15" t="n">
        <v>1081.61</v>
      </c>
      <c r="M3393" s="15" t="n">
        <f aca="false">F3393*G3393</f>
        <v>1614.34</v>
      </c>
      <c r="N3393" s="15" t="n">
        <f aca="false">M3393-L3393</f>
        <v>532.73</v>
      </c>
      <c r="O3393" s="1" t="n">
        <f aca="false">YEAR(B3393)</f>
        <v>2031</v>
      </c>
      <c r="P3393" s="1" t="n">
        <f aca="false">MONTH(B3393)</f>
        <v>4</v>
      </c>
      <c r="Q3393" s="1" t="str">
        <f aca="false">TEXT(B3393,"mmm")</f>
        <v>Apr</v>
      </c>
      <c r="R3393" s="1" t="str">
        <f aca="false">"Q"&amp;ROUNDUP(MONTH(B3393)/3,0)</f>
        <v>Q2</v>
      </c>
    </row>
    <row r="3394" customFormat="false" ht="15" hidden="false" customHeight="true" outlineLevel="0" collapsed="false">
      <c r="A3394" s="1" t="n">
        <v>13393</v>
      </c>
      <c r="B3394" s="14" t="n">
        <v>47954</v>
      </c>
      <c r="C3394" s="1" t="n">
        <v>1740</v>
      </c>
      <c r="D3394" s="1" t="s">
        <v>27</v>
      </c>
      <c r="E3394" s="1" t="s">
        <v>35</v>
      </c>
      <c r="F3394" s="1" t="n">
        <v>2</v>
      </c>
      <c r="G3394" s="15" t="n">
        <v>257.89</v>
      </c>
      <c r="H3394" s="16" t="n">
        <v>0.29</v>
      </c>
      <c r="I3394" s="1" t="s">
        <v>33</v>
      </c>
      <c r="J3394" s="1" t="n">
        <v>4</v>
      </c>
      <c r="K3394" s="1" t="n">
        <v>1.5</v>
      </c>
      <c r="L3394" s="15" t="n">
        <v>366.2</v>
      </c>
      <c r="M3394" s="15" t="n">
        <f aca="false">F3394*G3394</f>
        <v>515.78</v>
      </c>
      <c r="N3394" s="15" t="n">
        <f aca="false">M3394-L3394</f>
        <v>149.58</v>
      </c>
      <c r="O3394" s="1" t="n">
        <f aca="false">YEAR(B3394)</f>
        <v>2031</v>
      </c>
      <c r="P3394" s="1" t="n">
        <f aca="false">MONTH(B3394)</f>
        <v>4</v>
      </c>
      <c r="Q3394" s="1" t="str">
        <f aca="false">TEXT(B3394,"mmm")</f>
        <v>Apr</v>
      </c>
      <c r="R3394" s="1" t="str">
        <f aca="false">"Q"&amp;ROUNDUP(MONTH(B3394)/3,0)</f>
        <v>Q2</v>
      </c>
    </row>
    <row r="3395" customFormat="false" ht="15" hidden="false" customHeight="true" outlineLevel="0" collapsed="false">
      <c r="A3395" s="1" t="n">
        <v>13394</v>
      </c>
      <c r="B3395" s="14" t="n">
        <v>47955</v>
      </c>
      <c r="C3395" s="1" t="n">
        <v>1597</v>
      </c>
      <c r="D3395" s="1" t="s">
        <v>30</v>
      </c>
      <c r="E3395" s="1" t="s">
        <v>32</v>
      </c>
      <c r="F3395" s="1" t="n">
        <v>2</v>
      </c>
      <c r="G3395" s="15" t="n">
        <v>382.78</v>
      </c>
      <c r="H3395" s="16" t="n">
        <v>0.19</v>
      </c>
      <c r="I3395" s="1" t="s">
        <v>31</v>
      </c>
      <c r="J3395" s="1" t="n">
        <v>10</v>
      </c>
      <c r="K3395" s="1" t="n">
        <v>2</v>
      </c>
      <c r="L3395" s="15" t="n">
        <v>620.1</v>
      </c>
      <c r="M3395" s="15" t="n">
        <f aca="false">F3395*G3395</f>
        <v>765.56</v>
      </c>
      <c r="N3395" s="15" t="n">
        <f aca="false">M3395-L3395</f>
        <v>145.46</v>
      </c>
      <c r="O3395" s="1" t="n">
        <f aca="false">YEAR(B3395)</f>
        <v>2031</v>
      </c>
      <c r="P3395" s="1" t="n">
        <f aca="false">MONTH(B3395)</f>
        <v>4</v>
      </c>
      <c r="Q3395" s="1" t="str">
        <f aca="false">TEXT(B3395,"mmm")</f>
        <v>Apr</v>
      </c>
      <c r="R3395" s="1" t="str">
        <f aca="false">"Q"&amp;ROUNDUP(MONTH(B3395)/3,0)</f>
        <v>Q2</v>
      </c>
    </row>
    <row r="3396" customFormat="false" ht="15" hidden="false" customHeight="true" outlineLevel="0" collapsed="false">
      <c r="A3396" s="1" t="n">
        <v>13395</v>
      </c>
      <c r="B3396" s="14" t="n">
        <v>47956</v>
      </c>
      <c r="C3396" s="1" t="n">
        <v>1644</v>
      </c>
      <c r="D3396" s="1" t="s">
        <v>37</v>
      </c>
      <c r="E3396" s="1" t="s">
        <v>32</v>
      </c>
      <c r="F3396" s="1" t="n">
        <v>4</v>
      </c>
      <c r="G3396" s="15" t="n">
        <v>550</v>
      </c>
      <c r="H3396" s="16" t="n">
        <v>0.31</v>
      </c>
      <c r="I3396" s="1" t="s">
        <v>33</v>
      </c>
      <c r="J3396" s="1" t="n">
        <v>2</v>
      </c>
      <c r="K3396" s="1" t="n">
        <v>2.4</v>
      </c>
      <c r="L3396" s="15" t="n">
        <v>1518</v>
      </c>
      <c r="M3396" s="15" t="n">
        <f aca="false">F3396*G3396</f>
        <v>2200</v>
      </c>
      <c r="N3396" s="15" t="n">
        <f aca="false">M3396-L3396</f>
        <v>682</v>
      </c>
      <c r="O3396" s="1" t="n">
        <f aca="false">YEAR(B3396)</f>
        <v>2031</v>
      </c>
      <c r="P3396" s="1" t="n">
        <f aca="false">MONTH(B3396)</f>
        <v>4</v>
      </c>
      <c r="Q3396" s="1" t="str">
        <f aca="false">TEXT(B3396,"mmm")</f>
        <v>Apr</v>
      </c>
      <c r="R3396" s="1" t="str">
        <f aca="false">"Q"&amp;ROUNDUP(MONTH(B3396)/3,0)</f>
        <v>Q2</v>
      </c>
    </row>
    <row r="3397" customFormat="false" ht="15" hidden="false" customHeight="true" outlineLevel="0" collapsed="false">
      <c r="A3397" s="1" t="n">
        <v>13396</v>
      </c>
      <c r="B3397" s="14" t="n">
        <v>47957</v>
      </c>
      <c r="C3397" s="1" t="n">
        <v>1509</v>
      </c>
      <c r="D3397" s="1" t="s">
        <v>30</v>
      </c>
      <c r="E3397" s="1" t="s">
        <v>35</v>
      </c>
      <c r="F3397" s="1" t="n">
        <v>5</v>
      </c>
      <c r="G3397" s="15" t="n">
        <v>36.17</v>
      </c>
      <c r="H3397" s="16" t="n">
        <v>0.35</v>
      </c>
      <c r="I3397" s="1" t="s">
        <v>29</v>
      </c>
      <c r="J3397" s="1" t="n">
        <v>1</v>
      </c>
      <c r="K3397" s="1" t="n">
        <v>3.7</v>
      </c>
      <c r="L3397" s="15" t="n">
        <v>117.55</v>
      </c>
      <c r="M3397" s="15" t="n">
        <f aca="false">F3397*G3397</f>
        <v>180.85</v>
      </c>
      <c r="N3397" s="15" t="n">
        <f aca="false">M3397-L3397</f>
        <v>63.3</v>
      </c>
      <c r="O3397" s="1" t="n">
        <f aca="false">YEAR(B3397)</f>
        <v>2031</v>
      </c>
      <c r="P3397" s="1" t="n">
        <f aca="false">MONTH(B3397)</f>
        <v>4</v>
      </c>
      <c r="Q3397" s="1" t="str">
        <f aca="false">TEXT(B3397,"mmm")</f>
        <v>Apr</v>
      </c>
      <c r="R3397" s="1" t="str">
        <f aca="false">"Q"&amp;ROUNDUP(MONTH(B3397)/3,0)</f>
        <v>Q2</v>
      </c>
    </row>
    <row r="3398" customFormat="false" ht="15" hidden="false" customHeight="true" outlineLevel="0" collapsed="false">
      <c r="A3398" s="1" t="n">
        <v>13397</v>
      </c>
      <c r="B3398" s="14" t="n">
        <v>47958</v>
      </c>
      <c r="C3398" s="1" t="n">
        <v>1182</v>
      </c>
      <c r="D3398" s="1" t="s">
        <v>27</v>
      </c>
      <c r="E3398" s="1" t="s">
        <v>36</v>
      </c>
      <c r="F3398" s="1" t="n">
        <v>7</v>
      </c>
      <c r="G3398" s="15" t="n">
        <v>157.54</v>
      </c>
      <c r="H3398" s="16" t="n">
        <v>0.21</v>
      </c>
      <c r="I3398" s="1" t="s">
        <v>31</v>
      </c>
      <c r="J3398" s="1" t="n">
        <v>5</v>
      </c>
      <c r="K3398" s="1" t="n">
        <v>2.3</v>
      </c>
      <c r="L3398" s="15" t="n">
        <v>871.2</v>
      </c>
      <c r="M3398" s="15" t="n">
        <f aca="false">F3398*G3398</f>
        <v>1102.78</v>
      </c>
      <c r="N3398" s="15" t="n">
        <f aca="false">M3398-L3398</f>
        <v>231.58</v>
      </c>
      <c r="O3398" s="1" t="n">
        <f aca="false">YEAR(B3398)</f>
        <v>2031</v>
      </c>
      <c r="P3398" s="1" t="n">
        <f aca="false">MONTH(B3398)</f>
        <v>4</v>
      </c>
      <c r="Q3398" s="1" t="str">
        <f aca="false">TEXT(B3398,"mmm")</f>
        <v>Apr</v>
      </c>
      <c r="R3398" s="1" t="str">
        <f aca="false">"Q"&amp;ROUNDUP(MONTH(B3398)/3,0)</f>
        <v>Q2</v>
      </c>
    </row>
    <row r="3399" customFormat="false" ht="15" hidden="false" customHeight="true" outlineLevel="0" collapsed="false">
      <c r="A3399" s="1" t="n">
        <v>13398</v>
      </c>
      <c r="B3399" s="14" t="n">
        <v>47959</v>
      </c>
      <c r="C3399" s="1" t="n">
        <v>1385</v>
      </c>
      <c r="D3399" s="1" t="s">
        <v>27</v>
      </c>
      <c r="E3399" s="1" t="s">
        <v>36</v>
      </c>
      <c r="F3399" s="1" t="n">
        <v>3</v>
      </c>
      <c r="G3399" s="15" t="n">
        <v>128.32</v>
      </c>
      <c r="H3399" s="16" t="n">
        <v>0.21</v>
      </c>
      <c r="I3399" s="1" t="s">
        <v>29</v>
      </c>
      <c r="J3399" s="1" t="n">
        <v>6</v>
      </c>
      <c r="K3399" s="1" t="n">
        <v>4.5</v>
      </c>
      <c r="L3399" s="15" t="n">
        <v>304.12</v>
      </c>
      <c r="M3399" s="15" t="n">
        <f aca="false">F3399*G3399</f>
        <v>384.96</v>
      </c>
      <c r="N3399" s="15" t="n">
        <f aca="false">M3399-L3399</f>
        <v>80.84</v>
      </c>
      <c r="O3399" s="1" t="n">
        <f aca="false">YEAR(B3399)</f>
        <v>2031</v>
      </c>
      <c r="P3399" s="1" t="n">
        <f aca="false">MONTH(B3399)</f>
        <v>4</v>
      </c>
      <c r="Q3399" s="1" t="str">
        <f aca="false">TEXT(B3399,"mmm")</f>
        <v>Apr</v>
      </c>
      <c r="R3399" s="1" t="str">
        <f aca="false">"Q"&amp;ROUNDUP(MONTH(B3399)/3,0)</f>
        <v>Q2</v>
      </c>
    </row>
    <row r="3400" customFormat="false" ht="15" hidden="false" customHeight="true" outlineLevel="0" collapsed="false">
      <c r="A3400" s="1" t="n">
        <v>13399</v>
      </c>
      <c r="B3400" s="14" t="n">
        <v>47960</v>
      </c>
      <c r="C3400" s="1" t="n">
        <v>1573</v>
      </c>
      <c r="D3400" s="1" t="s">
        <v>34</v>
      </c>
      <c r="E3400" s="1" t="s">
        <v>35</v>
      </c>
      <c r="F3400" s="1" t="n">
        <v>5</v>
      </c>
      <c r="G3400" s="15" t="n">
        <v>308.84</v>
      </c>
      <c r="H3400" s="16" t="n">
        <v>0.26</v>
      </c>
      <c r="I3400" s="1" t="s">
        <v>29</v>
      </c>
      <c r="J3400" s="1" t="n">
        <v>2</v>
      </c>
      <c r="K3400" s="1" t="n">
        <v>2.2</v>
      </c>
      <c r="L3400" s="15" t="n">
        <v>1142.71</v>
      </c>
      <c r="M3400" s="15" t="n">
        <f aca="false">F3400*G3400</f>
        <v>1544.2</v>
      </c>
      <c r="N3400" s="15" t="n">
        <f aca="false">M3400-L3400</f>
        <v>401.49</v>
      </c>
      <c r="O3400" s="1" t="n">
        <f aca="false">YEAR(B3400)</f>
        <v>2031</v>
      </c>
      <c r="P3400" s="1" t="n">
        <f aca="false">MONTH(B3400)</f>
        <v>4</v>
      </c>
      <c r="Q3400" s="1" t="str">
        <f aca="false">TEXT(B3400,"mmm")</f>
        <v>Apr</v>
      </c>
      <c r="R3400" s="1" t="str">
        <f aca="false">"Q"&amp;ROUNDUP(MONTH(B3400)/3,0)</f>
        <v>Q2</v>
      </c>
    </row>
    <row r="3401" customFormat="false" ht="15" hidden="false" customHeight="true" outlineLevel="0" collapsed="false">
      <c r="A3401" s="1" t="n">
        <v>13400</v>
      </c>
      <c r="B3401" s="14" t="n">
        <v>47961</v>
      </c>
      <c r="C3401" s="1" t="n">
        <v>1730</v>
      </c>
      <c r="D3401" s="1" t="s">
        <v>27</v>
      </c>
      <c r="E3401" s="1" t="s">
        <v>28</v>
      </c>
      <c r="F3401" s="1" t="n">
        <v>3</v>
      </c>
      <c r="G3401" s="15" t="n">
        <v>266.37</v>
      </c>
      <c r="H3401" s="16" t="n">
        <v>0.08</v>
      </c>
      <c r="I3401" s="1" t="s">
        <v>33</v>
      </c>
      <c r="J3401" s="1" t="n">
        <v>3</v>
      </c>
      <c r="K3401" s="1" t="n">
        <v>1.5</v>
      </c>
      <c r="L3401" s="15" t="n">
        <v>735.18</v>
      </c>
      <c r="M3401" s="15" t="n">
        <f aca="false">F3401*G3401</f>
        <v>799.11</v>
      </c>
      <c r="N3401" s="15" t="n">
        <f aca="false">M3401-L3401</f>
        <v>63.9300000000001</v>
      </c>
      <c r="O3401" s="1" t="n">
        <f aca="false">YEAR(B3401)</f>
        <v>2031</v>
      </c>
      <c r="P3401" s="1" t="n">
        <f aca="false">MONTH(B3401)</f>
        <v>4</v>
      </c>
      <c r="Q3401" s="1" t="str">
        <f aca="false">TEXT(B3401,"mmm")</f>
        <v>Apr</v>
      </c>
      <c r="R3401" s="1" t="str">
        <f aca="false">"Q"&amp;ROUNDUP(MONTH(B3401)/3,0)</f>
        <v>Q2</v>
      </c>
    </row>
    <row r="3402" customFormat="false" ht="15" hidden="false" customHeight="true" outlineLevel="0" collapsed="false">
      <c r="A3402" s="1" t="n">
        <v>13401</v>
      </c>
      <c r="B3402" s="14" t="n">
        <v>47962</v>
      </c>
      <c r="C3402" s="1" t="n">
        <v>1404</v>
      </c>
      <c r="D3402" s="1" t="s">
        <v>37</v>
      </c>
      <c r="E3402" s="1" t="s">
        <v>28</v>
      </c>
      <c r="F3402" s="1" t="n">
        <v>1</v>
      </c>
      <c r="G3402" s="15" t="n">
        <v>441.49</v>
      </c>
      <c r="H3402" s="16" t="n">
        <v>0.06</v>
      </c>
      <c r="I3402" s="1" t="s">
        <v>31</v>
      </c>
      <c r="J3402" s="1" t="n">
        <v>10</v>
      </c>
      <c r="K3402" s="1" t="n">
        <v>1.7</v>
      </c>
      <c r="L3402" s="15" t="n">
        <v>415</v>
      </c>
      <c r="M3402" s="15" t="n">
        <f aca="false">F3402*G3402</f>
        <v>441.49</v>
      </c>
      <c r="N3402" s="15" t="n">
        <f aca="false">M3402-L3402</f>
        <v>26.49</v>
      </c>
      <c r="O3402" s="1" t="n">
        <f aca="false">YEAR(B3402)</f>
        <v>2031</v>
      </c>
      <c r="P3402" s="1" t="n">
        <f aca="false">MONTH(B3402)</f>
        <v>4</v>
      </c>
      <c r="Q3402" s="1" t="str">
        <f aca="false">TEXT(B3402,"mmm")</f>
        <v>Apr</v>
      </c>
      <c r="R3402" s="1" t="str">
        <f aca="false">"Q"&amp;ROUNDUP(MONTH(B3402)/3,0)</f>
        <v>Q2</v>
      </c>
    </row>
    <row r="3403" customFormat="false" ht="15" hidden="false" customHeight="true" outlineLevel="0" collapsed="false">
      <c r="A3403" s="1" t="n">
        <v>13402</v>
      </c>
      <c r="B3403" s="14" t="n">
        <v>47963</v>
      </c>
      <c r="C3403" s="1" t="n">
        <v>1245</v>
      </c>
      <c r="D3403" s="1" t="s">
        <v>37</v>
      </c>
      <c r="E3403" s="1" t="s">
        <v>28</v>
      </c>
      <c r="F3403" s="1" t="n">
        <v>6</v>
      </c>
      <c r="G3403" s="15" t="n">
        <v>156.81</v>
      </c>
      <c r="H3403" s="16" t="n">
        <v>0.27</v>
      </c>
      <c r="I3403" s="1" t="s">
        <v>33</v>
      </c>
      <c r="J3403" s="1" t="n">
        <v>3</v>
      </c>
      <c r="K3403" s="1" t="n">
        <v>4.7</v>
      </c>
      <c r="L3403" s="15" t="n">
        <v>686.83</v>
      </c>
      <c r="M3403" s="15" t="n">
        <f aca="false">F3403*G3403</f>
        <v>940.86</v>
      </c>
      <c r="N3403" s="15" t="n">
        <f aca="false">M3403-L3403</f>
        <v>254.03</v>
      </c>
      <c r="O3403" s="1" t="n">
        <f aca="false">YEAR(B3403)</f>
        <v>2031</v>
      </c>
      <c r="P3403" s="1" t="n">
        <f aca="false">MONTH(B3403)</f>
        <v>4</v>
      </c>
      <c r="Q3403" s="1" t="str">
        <f aca="false">TEXT(B3403,"mmm")</f>
        <v>Apr</v>
      </c>
      <c r="R3403" s="1" t="str">
        <f aca="false">"Q"&amp;ROUNDUP(MONTH(B3403)/3,0)</f>
        <v>Q2</v>
      </c>
    </row>
    <row r="3404" customFormat="false" ht="15" hidden="false" customHeight="true" outlineLevel="0" collapsed="false">
      <c r="A3404" s="1" t="n">
        <v>13403</v>
      </c>
      <c r="B3404" s="14" t="n">
        <v>47964</v>
      </c>
      <c r="C3404" s="1" t="n">
        <v>1741</v>
      </c>
      <c r="D3404" s="1" t="s">
        <v>34</v>
      </c>
      <c r="E3404" s="1" t="s">
        <v>28</v>
      </c>
      <c r="F3404" s="1" t="n">
        <v>6</v>
      </c>
      <c r="G3404" s="15" t="n">
        <v>362.78</v>
      </c>
      <c r="H3404" s="16" t="n">
        <v>0.12</v>
      </c>
      <c r="I3404" s="1" t="s">
        <v>29</v>
      </c>
      <c r="J3404" s="1" t="n">
        <v>2</v>
      </c>
      <c r="K3404" s="1" t="n">
        <v>2.8</v>
      </c>
      <c r="L3404" s="15" t="n">
        <v>1915.48</v>
      </c>
      <c r="M3404" s="15" t="n">
        <f aca="false">F3404*G3404</f>
        <v>2176.68</v>
      </c>
      <c r="N3404" s="15" t="n">
        <f aca="false">M3404-L3404</f>
        <v>261.2</v>
      </c>
      <c r="O3404" s="1" t="n">
        <f aca="false">YEAR(B3404)</f>
        <v>2031</v>
      </c>
      <c r="P3404" s="1" t="n">
        <f aca="false">MONTH(B3404)</f>
        <v>4</v>
      </c>
      <c r="Q3404" s="1" t="str">
        <f aca="false">TEXT(B3404,"mmm")</f>
        <v>Apr</v>
      </c>
      <c r="R3404" s="1" t="str">
        <f aca="false">"Q"&amp;ROUNDUP(MONTH(B3404)/3,0)</f>
        <v>Q2</v>
      </c>
    </row>
    <row r="3405" customFormat="false" ht="15" hidden="false" customHeight="true" outlineLevel="0" collapsed="false">
      <c r="A3405" s="1" t="n">
        <v>13404</v>
      </c>
      <c r="B3405" s="14" t="n">
        <v>47965</v>
      </c>
      <c r="C3405" s="1" t="n">
        <v>1590</v>
      </c>
      <c r="D3405" s="1" t="s">
        <v>37</v>
      </c>
      <c r="E3405" s="1" t="s">
        <v>35</v>
      </c>
      <c r="F3405" s="1" t="n">
        <v>7</v>
      </c>
      <c r="G3405" s="15" t="n">
        <v>532.06</v>
      </c>
      <c r="H3405" s="16" t="n">
        <v>0.05</v>
      </c>
      <c r="I3405" s="1" t="s">
        <v>31</v>
      </c>
      <c r="J3405" s="1" t="n">
        <v>4</v>
      </c>
      <c r="K3405" s="1" t="n">
        <v>2.6</v>
      </c>
      <c r="L3405" s="15" t="n">
        <v>3538.2</v>
      </c>
      <c r="M3405" s="15" t="n">
        <f aca="false">F3405*G3405</f>
        <v>3724.42</v>
      </c>
      <c r="N3405" s="15" t="n">
        <f aca="false">M3405-L3405</f>
        <v>186.22</v>
      </c>
      <c r="O3405" s="1" t="n">
        <f aca="false">YEAR(B3405)</f>
        <v>2031</v>
      </c>
      <c r="P3405" s="1" t="n">
        <f aca="false">MONTH(B3405)</f>
        <v>4</v>
      </c>
      <c r="Q3405" s="1" t="str">
        <f aca="false">TEXT(B3405,"mmm")</f>
        <v>Apr</v>
      </c>
      <c r="R3405" s="1" t="str">
        <f aca="false">"Q"&amp;ROUNDUP(MONTH(B3405)/3,0)</f>
        <v>Q2</v>
      </c>
    </row>
    <row r="3406" customFormat="false" ht="15" hidden="false" customHeight="true" outlineLevel="0" collapsed="false">
      <c r="A3406" s="1" t="n">
        <v>13405</v>
      </c>
      <c r="B3406" s="14" t="n">
        <v>47966</v>
      </c>
      <c r="C3406" s="1" t="n">
        <v>1660</v>
      </c>
      <c r="D3406" s="1" t="s">
        <v>27</v>
      </c>
      <c r="E3406" s="1" t="s">
        <v>36</v>
      </c>
      <c r="F3406" s="1" t="n">
        <v>2</v>
      </c>
      <c r="G3406" s="15" t="n">
        <v>547.75</v>
      </c>
      <c r="H3406" s="16" t="n">
        <v>0.11</v>
      </c>
      <c r="I3406" s="1" t="s">
        <v>33</v>
      </c>
      <c r="J3406" s="1" t="n">
        <v>5</v>
      </c>
      <c r="K3406" s="1" t="n">
        <v>1.3</v>
      </c>
      <c r="L3406" s="15" t="n">
        <v>975</v>
      </c>
      <c r="M3406" s="15" t="n">
        <f aca="false">F3406*G3406</f>
        <v>1095.5</v>
      </c>
      <c r="N3406" s="15" t="n">
        <f aca="false">M3406-L3406</f>
        <v>120.5</v>
      </c>
      <c r="O3406" s="1" t="n">
        <f aca="false">YEAR(B3406)</f>
        <v>2031</v>
      </c>
      <c r="P3406" s="1" t="n">
        <f aca="false">MONTH(B3406)</f>
        <v>4</v>
      </c>
      <c r="Q3406" s="1" t="str">
        <f aca="false">TEXT(B3406,"mmm")</f>
        <v>Apr</v>
      </c>
      <c r="R3406" s="1" t="str">
        <f aca="false">"Q"&amp;ROUNDUP(MONTH(B3406)/3,0)</f>
        <v>Q2</v>
      </c>
    </row>
    <row r="3407" customFormat="false" ht="15" hidden="false" customHeight="true" outlineLevel="0" collapsed="false">
      <c r="A3407" s="1" t="n">
        <v>13406</v>
      </c>
      <c r="B3407" s="14" t="n">
        <v>47967</v>
      </c>
      <c r="C3407" s="1" t="n">
        <v>1649</v>
      </c>
      <c r="D3407" s="1" t="s">
        <v>34</v>
      </c>
      <c r="E3407" s="1" t="s">
        <v>32</v>
      </c>
      <c r="F3407" s="1" t="n">
        <v>2</v>
      </c>
      <c r="G3407" s="15" t="n">
        <v>575.89</v>
      </c>
      <c r="H3407" s="16" t="n">
        <v>0.13</v>
      </c>
      <c r="I3407" s="1" t="s">
        <v>31</v>
      </c>
      <c r="J3407" s="1" t="n">
        <v>8</v>
      </c>
      <c r="K3407" s="1" t="n">
        <v>3.9</v>
      </c>
      <c r="L3407" s="15" t="n">
        <v>1002.05</v>
      </c>
      <c r="M3407" s="15" t="n">
        <f aca="false">F3407*G3407</f>
        <v>1151.78</v>
      </c>
      <c r="N3407" s="15" t="n">
        <f aca="false">M3407-L3407</f>
        <v>149.73</v>
      </c>
      <c r="O3407" s="1" t="n">
        <f aca="false">YEAR(B3407)</f>
        <v>2031</v>
      </c>
      <c r="P3407" s="1" t="n">
        <f aca="false">MONTH(B3407)</f>
        <v>4</v>
      </c>
      <c r="Q3407" s="1" t="str">
        <f aca="false">TEXT(B3407,"mmm")</f>
        <v>Apr</v>
      </c>
      <c r="R3407" s="1" t="str">
        <f aca="false">"Q"&amp;ROUNDUP(MONTH(B3407)/3,0)</f>
        <v>Q2</v>
      </c>
    </row>
    <row r="3408" customFormat="false" ht="15" hidden="false" customHeight="true" outlineLevel="0" collapsed="false">
      <c r="A3408" s="1" t="n">
        <v>13407</v>
      </c>
      <c r="B3408" s="14" t="n">
        <v>47968</v>
      </c>
      <c r="C3408" s="1" t="n">
        <v>1470</v>
      </c>
      <c r="D3408" s="1" t="s">
        <v>27</v>
      </c>
      <c r="E3408" s="1" t="s">
        <v>32</v>
      </c>
      <c r="F3408" s="1" t="n">
        <v>1</v>
      </c>
      <c r="G3408" s="15" t="n">
        <v>467.36</v>
      </c>
      <c r="H3408" s="16" t="n">
        <v>0.34</v>
      </c>
      <c r="I3408" s="1" t="s">
        <v>31</v>
      </c>
      <c r="J3408" s="1" t="n">
        <v>6</v>
      </c>
      <c r="K3408" s="1" t="n">
        <v>3.8</v>
      </c>
      <c r="L3408" s="15" t="n">
        <v>308.46</v>
      </c>
      <c r="M3408" s="15" t="n">
        <f aca="false">F3408*G3408</f>
        <v>467.36</v>
      </c>
      <c r="N3408" s="15" t="n">
        <f aca="false">M3408-L3408</f>
        <v>158.9</v>
      </c>
      <c r="O3408" s="1" t="n">
        <f aca="false">YEAR(B3408)</f>
        <v>2031</v>
      </c>
      <c r="P3408" s="1" t="n">
        <f aca="false">MONTH(B3408)</f>
        <v>4</v>
      </c>
      <c r="Q3408" s="1" t="str">
        <f aca="false">TEXT(B3408,"mmm")</f>
        <v>Apr</v>
      </c>
      <c r="R3408" s="1" t="str">
        <f aca="false">"Q"&amp;ROUNDUP(MONTH(B3408)/3,0)</f>
        <v>Q2</v>
      </c>
    </row>
    <row r="3409" customFormat="false" ht="15" hidden="false" customHeight="true" outlineLevel="0" collapsed="false">
      <c r="A3409" s="1" t="n">
        <v>13408</v>
      </c>
      <c r="B3409" s="14" t="n">
        <v>47969</v>
      </c>
      <c r="C3409" s="1" t="n">
        <v>1825</v>
      </c>
      <c r="D3409" s="1" t="s">
        <v>34</v>
      </c>
      <c r="E3409" s="1" t="s">
        <v>35</v>
      </c>
      <c r="F3409" s="1" t="n">
        <v>1</v>
      </c>
      <c r="G3409" s="15" t="n">
        <v>545</v>
      </c>
      <c r="H3409" s="16" t="n">
        <v>0.24</v>
      </c>
      <c r="I3409" s="1" t="s">
        <v>29</v>
      </c>
      <c r="J3409" s="1" t="n">
        <v>9</v>
      </c>
      <c r="K3409" s="1" t="n">
        <v>2.5</v>
      </c>
      <c r="L3409" s="15" t="n">
        <v>414.2</v>
      </c>
      <c r="M3409" s="15" t="n">
        <f aca="false">F3409*G3409</f>
        <v>545</v>
      </c>
      <c r="N3409" s="15" t="n">
        <f aca="false">M3409-L3409</f>
        <v>130.8</v>
      </c>
      <c r="O3409" s="1" t="n">
        <f aca="false">YEAR(B3409)</f>
        <v>2031</v>
      </c>
      <c r="P3409" s="1" t="n">
        <f aca="false">MONTH(B3409)</f>
        <v>5</v>
      </c>
      <c r="Q3409" s="1" t="str">
        <f aca="false">TEXT(B3409,"mmm")</f>
        <v>May</v>
      </c>
      <c r="R3409" s="1" t="str">
        <f aca="false">"Q"&amp;ROUNDUP(MONTH(B3409)/3,0)</f>
        <v>Q2</v>
      </c>
    </row>
    <row r="3410" customFormat="false" ht="15" hidden="false" customHeight="true" outlineLevel="0" collapsed="false">
      <c r="A3410" s="1" t="n">
        <v>13409</v>
      </c>
      <c r="B3410" s="14" t="n">
        <v>47970</v>
      </c>
      <c r="C3410" s="1" t="n">
        <v>1887</v>
      </c>
      <c r="D3410" s="1" t="s">
        <v>34</v>
      </c>
      <c r="E3410" s="1" t="s">
        <v>32</v>
      </c>
      <c r="F3410" s="1" t="n">
        <v>3</v>
      </c>
      <c r="G3410" s="15" t="n">
        <v>152.2</v>
      </c>
      <c r="H3410" s="16" t="n">
        <v>0.19</v>
      </c>
      <c r="I3410" s="1" t="s">
        <v>31</v>
      </c>
      <c r="J3410" s="1" t="n">
        <v>3</v>
      </c>
      <c r="K3410" s="1" t="n">
        <v>3.8</v>
      </c>
      <c r="L3410" s="15" t="n">
        <v>369.85</v>
      </c>
      <c r="M3410" s="15" t="n">
        <f aca="false">F3410*G3410</f>
        <v>456.6</v>
      </c>
      <c r="N3410" s="15" t="n">
        <f aca="false">M3410-L3410</f>
        <v>86.7499999999999</v>
      </c>
      <c r="O3410" s="1" t="n">
        <f aca="false">YEAR(B3410)</f>
        <v>2031</v>
      </c>
      <c r="P3410" s="1" t="n">
        <f aca="false">MONTH(B3410)</f>
        <v>5</v>
      </c>
      <c r="Q3410" s="1" t="str">
        <f aca="false">TEXT(B3410,"mmm")</f>
        <v>May</v>
      </c>
      <c r="R3410" s="1" t="str">
        <f aca="false">"Q"&amp;ROUNDUP(MONTH(B3410)/3,0)</f>
        <v>Q2</v>
      </c>
    </row>
    <row r="3411" customFormat="false" ht="15" hidden="false" customHeight="true" outlineLevel="0" collapsed="false">
      <c r="A3411" s="1" t="n">
        <v>13410</v>
      </c>
      <c r="B3411" s="14" t="n">
        <v>47971</v>
      </c>
      <c r="C3411" s="1" t="n">
        <v>1422</v>
      </c>
      <c r="D3411" s="1" t="s">
        <v>30</v>
      </c>
      <c r="E3411" s="1" t="s">
        <v>28</v>
      </c>
      <c r="F3411" s="1" t="n">
        <v>1</v>
      </c>
      <c r="G3411" s="15" t="n">
        <v>130.58</v>
      </c>
      <c r="H3411" s="16" t="n">
        <v>0.34</v>
      </c>
      <c r="I3411" s="1" t="s">
        <v>31</v>
      </c>
      <c r="J3411" s="1" t="n">
        <v>10</v>
      </c>
      <c r="K3411" s="1" t="n">
        <v>2.5</v>
      </c>
      <c r="L3411" s="15" t="n">
        <v>86.18</v>
      </c>
      <c r="M3411" s="15" t="n">
        <f aca="false">F3411*G3411</f>
        <v>130.58</v>
      </c>
      <c r="N3411" s="15" t="n">
        <f aca="false">M3411-L3411</f>
        <v>44.4</v>
      </c>
      <c r="O3411" s="1" t="n">
        <f aca="false">YEAR(B3411)</f>
        <v>2031</v>
      </c>
      <c r="P3411" s="1" t="n">
        <f aca="false">MONTH(B3411)</f>
        <v>5</v>
      </c>
      <c r="Q3411" s="1" t="str">
        <f aca="false">TEXT(B3411,"mmm")</f>
        <v>May</v>
      </c>
      <c r="R3411" s="1" t="str">
        <f aca="false">"Q"&amp;ROUNDUP(MONTH(B3411)/3,0)</f>
        <v>Q2</v>
      </c>
    </row>
    <row r="3412" customFormat="false" ht="15" hidden="false" customHeight="true" outlineLevel="0" collapsed="false">
      <c r="A3412" s="1" t="n">
        <v>13411</v>
      </c>
      <c r="B3412" s="14" t="n">
        <v>47972</v>
      </c>
      <c r="C3412" s="1" t="n">
        <v>1900</v>
      </c>
      <c r="D3412" s="1" t="s">
        <v>30</v>
      </c>
      <c r="E3412" s="1" t="s">
        <v>36</v>
      </c>
      <c r="F3412" s="1" t="n">
        <v>7</v>
      </c>
      <c r="G3412" s="15" t="n">
        <v>18.8</v>
      </c>
      <c r="H3412" s="16" t="n">
        <v>0.32</v>
      </c>
      <c r="I3412" s="1" t="s">
        <v>33</v>
      </c>
      <c r="J3412" s="1" t="n">
        <v>9</v>
      </c>
      <c r="K3412" s="1" t="n">
        <v>1.3</v>
      </c>
      <c r="L3412" s="15" t="n">
        <v>89.49</v>
      </c>
      <c r="M3412" s="15" t="n">
        <f aca="false">F3412*G3412</f>
        <v>131.6</v>
      </c>
      <c r="N3412" s="15" t="n">
        <f aca="false">M3412-L3412</f>
        <v>42.11</v>
      </c>
      <c r="O3412" s="1" t="n">
        <f aca="false">YEAR(B3412)</f>
        <v>2031</v>
      </c>
      <c r="P3412" s="1" t="n">
        <f aca="false">MONTH(B3412)</f>
        <v>5</v>
      </c>
      <c r="Q3412" s="1" t="str">
        <f aca="false">TEXT(B3412,"mmm")</f>
        <v>May</v>
      </c>
      <c r="R3412" s="1" t="str">
        <f aca="false">"Q"&amp;ROUNDUP(MONTH(B3412)/3,0)</f>
        <v>Q2</v>
      </c>
    </row>
    <row r="3413" customFormat="false" ht="15" hidden="false" customHeight="true" outlineLevel="0" collapsed="false">
      <c r="A3413" s="1" t="n">
        <v>13412</v>
      </c>
      <c r="B3413" s="14" t="n">
        <v>47973</v>
      </c>
      <c r="C3413" s="1" t="n">
        <v>1064</v>
      </c>
      <c r="D3413" s="1" t="s">
        <v>30</v>
      </c>
      <c r="E3413" s="1" t="s">
        <v>35</v>
      </c>
      <c r="F3413" s="1" t="n">
        <v>3</v>
      </c>
      <c r="G3413" s="15" t="n">
        <v>428.5</v>
      </c>
      <c r="H3413" s="16" t="n">
        <v>0.18</v>
      </c>
      <c r="I3413" s="1" t="s">
        <v>31</v>
      </c>
      <c r="J3413" s="1" t="n">
        <v>11</v>
      </c>
      <c r="K3413" s="1" t="n">
        <v>4</v>
      </c>
      <c r="L3413" s="15" t="n">
        <v>1054.11</v>
      </c>
      <c r="M3413" s="15" t="n">
        <f aca="false">F3413*G3413</f>
        <v>1285.5</v>
      </c>
      <c r="N3413" s="15" t="n">
        <f aca="false">M3413-L3413</f>
        <v>231.39</v>
      </c>
      <c r="O3413" s="1" t="n">
        <f aca="false">YEAR(B3413)</f>
        <v>2031</v>
      </c>
      <c r="P3413" s="1" t="n">
        <f aca="false">MONTH(B3413)</f>
        <v>5</v>
      </c>
      <c r="Q3413" s="1" t="str">
        <f aca="false">TEXT(B3413,"mmm")</f>
        <v>May</v>
      </c>
      <c r="R3413" s="1" t="str">
        <f aca="false">"Q"&amp;ROUNDUP(MONTH(B3413)/3,0)</f>
        <v>Q2</v>
      </c>
    </row>
    <row r="3414" customFormat="false" ht="15" hidden="false" customHeight="true" outlineLevel="0" collapsed="false">
      <c r="A3414" s="1" t="n">
        <v>13413</v>
      </c>
      <c r="B3414" s="14" t="n">
        <v>47974</v>
      </c>
      <c r="C3414" s="1" t="n">
        <v>1012</v>
      </c>
      <c r="D3414" s="1" t="s">
        <v>34</v>
      </c>
      <c r="E3414" s="1" t="s">
        <v>36</v>
      </c>
      <c r="F3414" s="1" t="n">
        <v>5</v>
      </c>
      <c r="G3414" s="15" t="n">
        <v>563.42</v>
      </c>
      <c r="H3414" s="16" t="n">
        <v>0.32</v>
      </c>
      <c r="I3414" s="1" t="s">
        <v>31</v>
      </c>
      <c r="J3414" s="1" t="n">
        <v>11</v>
      </c>
      <c r="K3414" s="1" t="n">
        <v>4.9</v>
      </c>
      <c r="L3414" s="15" t="n">
        <v>1915.63</v>
      </c>
      <c r="M3414" s="15" t="n">
        <f aca="false">F3414*G3414</f>
        <v>2817.1</v>
      </c>
      <c r="N3414" s="15" t="n">
        <f aca="false">M3414-L3414</f>
        <v>901.47</v>
      </c>
      <c r="O3414" s="1" t="n">
        <f aca="false">YEAR(B3414)</f>
        <v>2031</v>
      </c>
      <c r="P3414" s="1" t="n">
        <f aca="false">MONTH(B3414)</f>
        <v>5</v>
      </c>
      <c r="Q3414" s="1" t="str">
        <f aca="false">TEXT(B3414,"mmm")</f>
        <v>May</v>
      </c>
      <c r="R3414" s="1" t="str">
        <f aca="false">"Q"&amp;ROUNDUP(MONTH(B3414)/3,0)</f>
        <v>Q2</v>
      </c>
    </row>
    <row r="3415" customFormat="false" ht="15" hidden="false" customHeight="true" outlineLevel="0" collapsed="false">
      <c r="A3415" s="1" t="n">
        <v>13414</v>
      </c>
      <c r="B3415" s="14" t="n">
        <v>47975</v>
      </c>
      <c r="C3415" s="1" t="n">
        <v>1212</v>
      </c>
      <c r="D3415" s="1" t="s">
        <v>27</v>
      </c>
      <c r="E3415" s="1" t="s">
        <v>35</v>
      </c>
      <c r="F3415" s="1" t="n">
        <v>2</v>
      </c>
      <c r="G3415" s="15" t="n">
        <v>124.36</v>
      </c>
      <c r="H3415" s="16" t="n">
        <v>0.14</v>
      </c>
      <c r="I3415" s="1" t="s">
        <v>33</v>
      </c>
      <c r="J3415" s="1" t="n">
        <v>4</v>
      </c>
      <c r="K3415" s="1" t="n">
        <v>3.6</v>
      </c>
      <c r="L3415" s="15" t="n">
        <v>213.9</v>
      </c>
      <c r="M3415" s="15" t="n">
        <f aca="false">F3415*G3415</f>
        <v>248.72</v>
      </c>
      <c r="N3415" s="15" t="n">
        <f aca="false">M3415-L3415</f>
        <v>34.82</v>
      </c>
      <c r="O3415" s="1" t="n">
        <f aca="false">YEAR(B3415)</f>
        <v>2031</v>
      </c>
      <c r="P3415" s="1" t="n">
        <f aca="false">MONTH(B3415)</f>
        <v>5</v>
      </c>
      <c r="Q3415" s="1" t="str">
        <f aca="false">TEXT(B3415,"mmm")</f>
        <v>May</v>
      </c>
      <c r="R3415" s="1" t="str">
        <f aca="false">"Q"&amp;ROUNDUP(MONTH(B3415)/3,0)</f>
        <v>Q2</v>
      </c>
    </row>
    <row r="3416" customFormat="false" ht="15" hidden="false" customHeight="true" outlineLevel="0" collapsed="false">
      <c r="A3416" s="1" t="n">
        <v>13415</v>
      </c>
      <c r="B3416" s="14" t="n">
        <v>47976</v>
      </c>
      <c r="C3416" s="1" t="n">
        <v>1985</v>
      </c>
      <c r="D3416" s="1" t="s">
        <v>34</v>
      </c>
      <c r="E3416" s="1" t="s">
        <v>35</v>
      </c>
      <c r="F3416" s="1" t="n">
        <v>2</v>
      </c>
      <c r="G3416" s="15" t="n">
        <v>387.61</v>
      </c>
      <c r="H3416" s="16" t="n">
        <v>0.08</v>
      </c>
      <c r="I3416" s="1" t="s">
        <v>31</v>
      </c>
      <c r="J3416" s="1" t="n">
        <v>8</v>
      </c>
      <c r="K3416" s="1" t="n">
        <v>2.1</v>
      </c>
      <c r="L3416" s="15" t="n">
        <v>713.2</v>
      </c>
      <c r="M3416" s="15" t="n">
        <f aca="false">F3416*G3416</f>
        <v>775.22</v>
      </c>
      <c r="N3416" s="15" t="n">
        <f aca="false">M3416-L3416</f>
        <v>62.02</v>
      </c>
      <c r="O3416" s="1" t="n">
        <f aca="false">YEAR(B3416)</f>
        <v>2031</v>
      </c>
      <c r="P3416" s="1" t="n">
        <f aca="false">MONTH(B3416)</f>
        <v>5</v>
      </c>
      <c r="Q3416" s="1" t="str">
        <f aca="false">TEXT(B3416,"mmm")</f>
        <v>May</v>
      </c>
      <c r="R3416" s="1" t="str">
        <f aca="false">"Q"&amp;ROUNDUP(MONTH(B3416)/3,0)</f>
        <v>Q2</v>
      </c>
    </row>
    <row r="3417" customFormat="false" ht="15" hidden="false" customHeight="true" outlineLevel="0" collapsed="false">
      <c r="A3417" s="1" t="n">
        <v>13416</v>
      </c>
      <c r="B3417" s="14" t="n">
        <v>47977</v>
      </c>
      <c r="C3417" s="1" t="n">
        <v>1241</v>
      </c>
      <c r="D3417" s="1" t="s">
        <v>34</v>
      </c>
      <c r="E3417" s="1" t="s">
        <v>35</v>
      </c>
      <c r="F3417" s="1" t="n">
        <v>6</v>
      </c>
      <c r="G3417" s="15" t="n">
        <v>451.68</v>
      </c>
      <c r="H3417" s="16" t="n">
        <v>0.08</v>
      </c>
      <c r="I3417" s="1" t="s">
        <v>31</v>
      </c>
      <c r="J3417" s="1" t="n">
        <v>10</v>
      </c>
      <c r="K3417" s="1" t="n">
        <v>2.1</v>
      </c>
      <c r="L3417" s="15" t="n">
        <v>2493.27</v>
      </c>
      <c r="M3417" s="15" t="n">
        <f aca="false">F3417*G3417</f>
        <v>2710.08</v>
      </c>
      <c r="N3417" s="15" t="n">
        <f aca="false">M3417-L3417</f>
        <v>216.81</v>
      </c>
      <c r="O3417" s="1" t="n">
        <f aca="false">YEAR(B3417)</f>
        <v>2031</v>
      </c>
      <c r="P3417" s="1" t="n">
        <f aca="false">MONTH(B3417)</f>
        <v>5</v>
      </c>
      <c r="Q3417" s="1" t="str">
        <f aca="false">TEXT(B3417,"mmm")</f>
        <v>May</v>
      </c>
      <c r="R3417" s="1" t="str">
        <f aca="false">"Q"&amp;ROUNDUP(MONTH(B3417)/3,0)</f>
        <v>Q2</v>
      </c>
    </row>
    <row r="3418" customFormat="false" ht="15" hidden="false" customHeight="true" outlineLevel="0" collapsed="false">
      <c r="A3418" s="1" t="n">
        <v>13417</v>
      </c>
      <c r="B3418" s="14" t="n">
        <v>47978</v>
      </c>
      <c r="C3418" s="1" t="n">
        <v>1492</v>
      </c>
      <c r="D3418" s="1" t="s">
        <v>34</v>
      </c>
      <c r="E3418" s="1" t="s">
        <v>35</v>
      </c>
      <c r="F3418" s="1" t="n">
        <v>6</v>
      </c>
      <c r="G3418" s="15" t="n">
        <v>557.65</v>
      </c>
      <c r="H3418" s="16" t="n">
        <v>0.23</v>
      </c>
      <c r="I3418" s="1" t="s">
        <v>31</v>
      </c>
      <c r="J3418" s="1" t="n">
        <v>7</v>
      </c>
      <c r="K3418" s="1" t="n">
        <v>4.7</v>
      </c>
      <c r="L3418" s="15" t="n">
        <v>2576.34</v>
      </c>
      <c r="M3418" s="15" t="n">
        <f aca="false">F3418*G3418</f>
        <v>3345.9</v>
      </c>
      <c r="N3418" s="15" t="n">
        <f aca="false">M3418-L3418</f>
        <v>769.56</v>
      </c>
      <c r="O3418" s="1" t="n">
        <f aca="false">YEAR(B3418)</f>
        <v>2031</v>
      </c>
      <c r="P3418" s="1" t="n">
        <f aca="false">MONTH(B3418)</f>
        <v>5</v>
      </c>
      <c r="Q3418" s="1" t="str">
        <f aca="false">TEXT(B3418,"mmm")</f>
        <v>May</v>
      </c>
      <c r="R3418" s="1" t="str">
        <f aca="false">"Q"&amp;ROUNDUP(MONTH(B3418)/3,0)</f>
        <v>Q2</v>
      </c>
    </row>
    <row r="3419" customFormat="false" ht="15" hidden="false" customHeight="true" outlineLevel="0" collapsed="false">
      <c r="A3419" s="1" t="n">
        <v>13418</v>
      </c>
      <c r="B3419" s="14" t="n">
        <v>47979</v>
      </c>
      <c r="C3419" s="1" t="n">
        <v>1212</v>
      </c>
      <c r="D3419" s="1" t="s">
        <v>30</v>
      </c>
      <c r="E3419" s="1" t="s">
        <v>36</v>
      </c>
      <c r="F3419" s="1" t="n">
        <v>7</v>
      </c>
      <c r="G3419" s="15" t="n">
        <v>393.41</v>
      </c>
      <c r="H3419" s="16" t="n">
        <v>0.18</v>
      </c>
      <c r="I3419" s="1" t="s">
        <v>33</v>
      </c>
      <c r="J3419" s="1" t="n">
        <v>7</v>
      </c>
      <c r="K3419" s="1" t="n">
        <v>2.2</v>
      </c>
      <c r="L3419" s="15" t="n">
        <v>2258.17</v>
      </c>
      <c r="M3419" s="15" t="n">
        <f aca="false">F3419*G3419</f>
        <v>2753.87</v>
      </c>
      <c r="N3419" s="15" t="n">
        <f aca="false">M3419-L3419</f>
        <v>495.7</v>
      </c>
      <c r="O3419" s="1" t="n">
        <f aca="false">YEAR(B3419)</f>
        <v>2031</v>
      </c>
      <c r="P3419" s="1" t="n">
        <f aca="false">MONTH(B3419)</f>
        <v>5</v>
      </c>
      <c r="Q3419" s="1" t="str">
        <f aca="false">TEXT(B3419,"mmm")</f>
        <v>May</v>
      </c>
      <c r="R3419" s="1" t="str">
        <f aca="false">"Q"&amp;ROUNDUP(MONTH(B3419)/3,0)</f>
        <v>Q2</v>
      </c>
    </row>
    <row r="3420" customFormat="false" ht="15" hidden="false" customHeight="true" outlineLevel="0" collapsed="false">
      <c r="A3420" s="1" t="n">
        <v>13419</v>
      </c>
      <c r="B3420" s="14" t="n">
        <v>47980</v>
      </c>
      <c r="C3420" s="1" t="n">
        <v>1692</v>
      </c>
      <c r="D3420" s="1" t="s">
        <v>27</v>
      </c>
      <c r="E3420" s="1" t="s">
        <v>32</v>
      </c>
      <c r="F3420" s="1" t="n">
        <v>2</v>
      </c>
      <c r="G3420" s="15" t="n">
        <v>582.62</v>
      </c>
      <c r="H3420" s="16" t="n">
        <v>0.23</v>
      </c>
      <c r="I3420" s="1" t="s">
        <v>29</v>
      </c>
      <c r="J3420" s="1" t="n">
        <v>9</v>
      </c>
      <c r="K3420" s="1" t="n">
        <v>4.1</v>
      </c>
      <c r="L3420" s="15" t="n">
        <v>897.23</v>
      </c>
      <c r="M3420" s="15" t="n">
        <f aca="false">F3420*G3420</f>
        <v>1165.24</v>
      </c>
      <c r="N3420" s="15" t="n">
        <f aca="false">M3420-L3420</f>
        <v>268.01</v>
      </c>
      <c r="O3420" s="1" t="n">
        <f aca="false">YEAR(B3420)</f>
        <v>2031</v>
      </c>
      <c r="P3420" s="1" t="n">
        <f aca="false">MONTH(B3420)</f>
        <v>5</v>
      </c>
      <c r="Q3420" s="1" t="str">
        <f aca="false">TEXT(B3420,"mmm")</f>
        <v>May</v>
      </c>
      <c r="R3420" s="1" t="str">
        <f aca="false">"Q"&amp;ROUNDUP(MONTH(B3420)/3,0)</f>
        <v>Q2</v>
      </c>
    </row>
    <row r="3421" customFormat="false" ht="15" hidden="false" customHeight="true" outlineLevel="0" collapsed="false">
      <c r="A3421" s="1" t="n">
        <v>13420</v>
      </c>
      <c r="B3421" s="14" t="n">
        <v>47981</v>
      </c>
      <c r="C3421" s="1" t="n">
        <v>1337</v>
      </c>
      <c r="D3421" s="1" t="s">
        <v>37</v>
      </c>
      <c r="E3421" s="1" t="s">
        <v>35</v>
      </c>
      <c r="F3421" s="1" t="n">
        <v>7</v>
      </c>
      <c r="G3421" s="15" t="n">
        <v>216.63</v>
      </c>
      <c r="H3421" s="16" t="n">
        <v>0.24</v>
      </c>
      <c r="I3421" s="1" t="s">
        <v>29</v>
      </c>
      <c r="J3421" s="1" t="n">
        <v>10</v>
      </c>
      <c r="K3421" s="1" t="n">
        <v>3.6</v>
      </c>
      <c r="L3421" s="15" t="n">
        <v>1152.47</v>
      </c>
      <c r="M3421" s="15" t="n">
        <f aca="false">F3421*G3421</f>
        <v>1516.41</v>
      </c>
      <c r="N3421" s="15" t="n">
        <f aca="false">M3421-L3421</f>
        <v>363.94</v>
      </c>
      <c r="O3421" s="1" t="n">
        <f aca="false">YEAR(B3421)</f>
        <v>2031</v>
      </c>
      <c r="P3421" s="1" t="n">
        <f aca="false">MONTH(B3421)</f>
        <v>5</v>
      </c>
      <c r="Q3421" s="1" t="str">
        <f aca="false">TEXT(B3421,"mmm")</f>
        <v>May</v>
      </c>
      <c r="R3421" s="1" t="str">
        <f aca="false">"Q"&amp;ROUNDUP(MONTH(B3421)/3,0)</f>
        <v>Q2</v>
      </c>
    </row>
    <row r="3422" customFormat="false" ht="15" hidden="false" customHeight="true" outlineLevel="0" collapsed="false">
      <c r="A3422" s="1" t="n">
        <v>13421</v>
      </c>
      <c r="B3422" s="14" t="n">
        <v>47982</v>
      </c>
      <c r="C3422" s="1" t="n">
        <v>1996</v>
      </c>
      <c r="D3422" s="1" t="s">
        <v>37</v>
      </c>
      <c r="E3422" s="1" t="s">
        <v>28</v>
      </c>
      <c r="F3422" s="1" t="n">
        <v>5</v>
      </c>
      <c r="G3422" s="15" t="n">
        <v>219.71</v>
      </c>
      <c r="H3422" s="16" t="n">
        <v>0.01</v>
      </c>
      <c r="I3422" s="1" t="s">
        <v>31</v>
      </c>
      <c r="J3422" s="1" t="n">
        <v>2</v>
      </c>
      <c r="K3422" s="1" t="n">
        <v>3.4</v>
      </c>
      <c r="L3422" s="15" t="n">
        <v>1087.56</v>
      </c>
      <c r="M3422" s="15" t="n">
        <f aca="false">F3422*G3422</f>
        <v>1098.55</v>
      </c>
      <c r="N3422" s="15" t="n">
        <f aca="false">M3422-L3422</f>
        <v>10.99</v>
      </c>
      <c r="O3422" s="1" t="n">
        <f aca="false">YEAR(B3422)</f>
        <v>2031</v>
      </c>
      <c r="P3422" s="1" t="n">
        <f aca="false">MONTH(B3422)</f>
        <v>5</v>
      </c>
      <c r="Q3422" s="1" t="str">
        <f aca="false">TEXT(B3422,"mmm")</f>
        <v>May</v>
      </c>
      <c r="R3422" s="1" t="str">
        <f aca="false">"Q"&amp;ROUNDUP(MONTH(B3422)/3,0)</f>
        <v>Q2</v>
      </c>
    </row>
    <row r="3423" customFormat="false" ht="15" hidden="false" customHeight="true" outlineLevel="0" collapsed="false">
      <c r="A3423" s="1" t="n">
        <v>13422</v>
      </c>
      <c r="B3423" s="14" t="n">
        <v>47983</v>
      </c>
      <c r="C3423" s="1" t="n">
        <v>1172</v>
      </c>
      <c r="D3423" s="1" t="s">
        <v>34</v>
      </c>
      <c r="E3423" s="1" t="s">
        <v>35</v>
      </c>
      <c r="F3423" s="1" t="n">
        <v>5</v>
      </c>
      <c r="G3423" s="15" t="n">
        <v>332.66</v>
      </c>
      <c r="H3423" s="16" t="n">
        <v>0.02</v>
      </c>
      <c r="I3423" s="1" t="s">
        <v>33</v>
      </c>
      <c r="J3423" s="1" t="n">
        <v>5</v>
      </c>
      <c r="K3423" s="1" t="n">
        <v>1.7</v>
      </c>
      <c r="L3423" s="15" t="n">
        <v>1630.03</v>
      </c>
      <c r="M3423" s="15" t="n">
        <f aca="false">F3423*G3423</f>
        <v>1663.3</v>
      </c>
      <c r="N3423" s="15" t="n">
        <f aca="false">M3423-L3423</f>
        <v>33.2700000000002</v>
      </c>
      <c r="O3423" s="1" t="n">
        <f aca="false">YEAR(B3423)</f>
        <v>2031</v>
      </c>
      <c r="P3423" s="1" t="n">
        <f aca="false">MONTH(B3423)</f>
        <v>5</v>
      </c>
      <c r="Q3423" s="1" t="str">
        <f aca="false">TEXT(B3423,"mmm")</f>
        <v>May</v>
      </c>
      <c r="R3423" s="1" t="str">
        <f aca="false">"Q"&amp;ROUNDUP(MONTH(B3423)/3,0)</f>
        <v>Q2</v>
      </c>
    </row>
    <row r="3424" customFormat="false" ht="15" hidden="false" customHeight="true" outlineLevel="0" collapsed="false">
      <c r="A3424" s="1" t="n">
        <v>13423</v>
      </c>
      <c r="B3424" s="14" t="n">
        <v>47984</v>
      </c>
      <c r="C3424" s="1" t="n">
        <v>1671</v>
      </c>
      <c r="D3424" s="1" t="s">
        <v>30</v>
      </c>
      <c r="E3424" s="1" t="s">
        <v>36</v>
      </c>
      <c r="F3424" s="1" t="n">
        <v>4</v>
      </c>
      <c r="G3424" s="15" t="n">
        <v>239.35</v>
      </c>
      <c r="H3424" s="16" t="n">
        <v>0.19</v>
      </c>
      <c r="I3424" s="1" t="s">
        <v>29</v>
      </c>
      <c r="J3424" s="1" t="n">
        <v>3</v>
      </c>
      <c r="K3424" s="1" t="n">
        <v>1.1</v>
      </c>
      <c r="L3424" s="15" t="n">
        <v>775.49</v>
      </c>
      <c r="M3424" s="15" t="n">
        <f aca="false">F3424*G3424</f>
        <v>957.4</v>
      </c>
      <c r="N3424" s="15" t="n">
        <f aca="false">M3424-L3424</f>
        <v>181.91</v>
      </c>
      <c r="O3424" s="1" t="n">
        <f aca="false">YEAR(B3424)</f>
        <v>2031</v>
      </c>
      <c r="P3424" s="1" t="n">
        <f aca="false">MONTH(B3424)</f>
        <v>5</v>
      </c>
      <c r="Q3424" s="1" t="str">
        <f aca="false">TEXT(B3424,"mmm")</f>
        <v>May</v>
      </c>
      <c r="R3424" s="1" t="str">
        <f aca="false">"Q"&amp;ROUNDUP(MONTH(B3424)/3,0)</f>
        <v>Q2</v>
      </c>
    </row>
    <row r="3425" customFormat="false" ht="15" hidden="false" customHeight="true" outlineLevel="0" collapsed="false">
      <c r="A3425" s="1" t="n">
        <v>13424</v>
      </c>
      <c r="B3425" s="14" t="n">
        <v>47985</v>
      </c>
      <c r="C3425" s="1" t="n">
        <v>1163</v>
      </c>
      <c r="D3425" s="1" t="s">
        <v>30</v>
      </c>
      <c r="E3425" s="1" t="s">
        <v>35</v>
      </c>
      <c r="F3425" s="1" t="n">
        <v>3</v>
      </c>
      <c r="G3425" s="15" t="n">
        <v>15.83</v>
      </c>
      <c r="H3425" s="16" t="n">
        <v>0.07</v>
      </c>
      <c r="I3425" s="1" t="s">
        <v>31</v>
      </c>
      <c r="J3425" s="1" t="n">
        <v>7</v>
      </c>
      <c r="K3425" s="1" t="n">
        <v>3</v>
      </c>
      <c r="L3425" s="15" t="n">
        <v>44.17</v>
      </c>
      <c r="M3425" s="15" t="n">
        <f aca="false">F3425*G3425</f>
        <v>47.49</v>
      </c>
      <c r="N3425" s="15" t="n">
        <f aca="false">M3425-L3425</f>
        <v>3.32</v>
      </c>
      <c r="O3425" s="1" t="n">
        <f aca="false">YEAR(B3425)</f>
        <v>2031</v>
      </c>
      <c r="P3425" s="1" t="n">
        <f aca="false">MONTH(B3425)</f>
        <v>5</v>
      </c>
      <c r="Q3425" s="1" t="str">
        <f aca="false">TEXT(B3425,"mmm")</f>
        <v>May</v>
      </c>
      <c r="R3425" s="1" t="str">
        <f aca="false">"Q"&amp;ROUNDUP(MONTH(B3425)/3,0)</f>
        <v>Q2</v>
      </c>
    </row>
    <row r="3426" customFormat="false" ht="15" hidden="false" customHeight="true" outlineLevel="0" collapsed="false">
      <c r="A3426" s="1" t="n">
        <v>13425</v>
      </c>
      <c r="B3426" s="14" t="n">
        <v>47986</v>
      </c>
      <c r="C3426" s="1" t="n">
        <v>1464</v>
      </c>
      <c r="D3426" s="1" t="s">
        <v>30</v>
      </c>
      <c r="E3426" s="1" t="s">
        <v>28</v>
      </c>
      <c r="F3426" s="1" t="n">
        <v>6</v>
      </c>
      <c r="G3426" s="15" t="n">
        <v>443.09</v>
      </c>
      <c r="H3426" s="16" t="n">
        <v>0.22</v>
      </c>
      <c r="I3426" s="1" t="s">
        <v>29</v>
      </c>
      <c r="J3426" s="1" t="n">
        <v>3</v>
      </c>
      <c r="K3426" s="1" t="n">
        <v>5</v>
      </c>
      <c r="L3426" s="15" t="n">
        <v>2073.66</v>
      </c>
      <c r="M3426" s="15" t="n">
        <f aca="false">F3426*G3426</f>
        <v>2658.54</v>
      </c>
      <c r="N3426" s="15" t="n">
        <f aca="false">M3426-L3426</f>
        <v>584.88</v>
      </c>
      <c r="O3426" s="1" t="n">
        <f aca="false">YEAR(B3426)</f>
        <v>2031</v>
      </c>
      <c r="P3426" s="1" t="n">
        <f aca="false">MONTH(B3426)</f>
        <v>5</v>
      </c>
      <c r="Q3426" s="1" t="str">
        <f aca="false">TEXT(B3426,"mmm")</f>
        <v>May</v>
      </c>
      <c r="R3426" s="1" t="str">
        <f aca="false">"Q"&amp;ROUNDUP(MONTH(B3426)/3,0)</f>
        <v>Q2</v>
      </c>
    </row>
    <row r="3427" customFormat="false" ht="15" hidden="false" customHeight="true" outlineLevel="0" collapsed="false">
      <c r="A3427" s="1" t="n">
        <v>13426</v>
      </c>
      <c r="B3427" s="14" t="n">
        <v>47987</v>
      </c>
      <c r="C3427" s="1" t="n">
        <v>1994</v>
      </c>
      <c r="D3427" s="1" t="s">
        <v>34</v>
      </c>
      <c r="E3427" s="1" t="s">
        <v>36</v>
      </c>
      <c r="F3427" s="1" t="n">
        <v>3</v>
      </c>
      <c r="G3427" s="15" t="n">
        <v>454.75</v>
      </c>
      <c r="H3427" s="16" t="n">
        <v>0.19</v>
      </c>
      <c r="I3427" s="1" t="s">
        <v>29</v>
      </c>
      <c r="J3427" s="1" t="n">
        <v>5</v>
      </c>
      <c r="K3427" s="1" t="n">
        <v>1.8</v>
      </c>
      <c r="L3427" s="15" t="n">
        <v>1105.04</v>
      </c>
      <c r="M3427" s="15" t="n">
        <f aca="false">F3427*G3427</f>
        <v>1364.25</v>
      </c>
      <c r="N3427" s="15" t="n">
        <f aca="false">M3427-L3427</f>
        <v>259.21</v>
      </c>
      <c r="O3427" s="1" t="n">
        <f aca="false">YEAR(B3427)</f>
        <v>2031</v>
      </c>
      <c r="P3427" s="1" t="n">
        <f aca="false">MONTH(B3427)</f>
        <v>5</v>
      </c>
      <c r="Q3427" s="1" t="str">
        <f aca="false">TEXT(B3427,"mmm")</f>
        <v>May</v>
      </c>
      <c r="R3427" s="1" t="str">
        <f aca="false">"Q"&amp;ROUNDUP(MONTH(B3427)/3,0)</f>
        <v>Q2</v>
      </c>
    </row>
    <row r="3428" customFormat="false" ht="15" hidden="false" customHeight="true" outlineLevel="0" collapsed="false">
      <c r="A3428" s="1" t="n">
        <v>13427</v>
      </c>
      <c r="B3428" s="14" t="n">
        <v>47988</v>
      </c>
      <c r="C3428" s="1" t="n">
        <v>1496</v>
      </c>
      <c r="D3428" s="1" t="s">
        <v>37</v>
      </c>
      <c r="E3428" s="1" t="s">
        <v>35</v>
      </c>
      <c r="F3428" s="1" t="n">
        <v>6</v>
      </c>
      <c r="G3428" s="15" t="n">
        <v>451.98</v>
      </c>
      <c r="H3428" s="16" t="n">
        <v>0.21</v>
      </c>
      <c r="I3428" s="1" t="s">
        <v>31</v>
      </c>
      <c r="J3428" s="1" t="n">
        <v>5</v>
      </c>
      <c r="K3428" s="1" t="n">
        <v>3.1</v>
      </c>
      <c r="L3428" s="15" t="n">
        <v>2142.39</v>
      </c>
      <c r="M3428" s="15" t="n">
        <f aca="false">F3428*G3428</f>
        <v>2711.88</v>
      </c>
      <c r="N3428" s="15" t="n">
        <f aca="false">M3428-L3428</f>
        <v>569.49</v>
      </c>
      <c r="O3428" s="1" t="n">
        <f aca="false">YEAR(B3428)</f>
        <v>2031</v>
      </c>
      <c r="P3428" s="1" t="n">
        <f aca="false">MONTH(B3428)</f>
        <v>5</v>
      </c>
      <c r="Q3428" s="1" t="str">
        <f aca="false">TEXT(B3428,"mmm")</f>
        <v>May</v>
      </c>
      <c r="R3428" s="1" t="str">
        <f aca="false">"Q"&amp;ROUNDUP(MONTH(B3428)/3,0)</f>
        <v>Q2</v>
      </c>
    </row>
    <row r="3429" customFormat="false" ht="15" hidden="false" customHeight="true" outlineLevel="0" collapsed="false">
      <c r="A3429" s="1" t="n">
        <v>13428</v>
      </c>
      <c r="B3429" s="14" t="n">
        <v>47989</v>
      </c>
      <c r="C3429" s="1" t="n">
        <v>1699</v>
      </c>
      <c r="D3429" s="1" t="s">
        <v>30</v>
      </c>
      <c r="E3429" s="1" t="s">
        <v>28</v>
      </c>
      <c r="F3429" s="1" t="n">
        <v>4</v>
      </c>
      <c r="G3429" s="15" t="n">
        <v>216.84</v>
      </c>
      <c r="H3429" s="16" t="n">
        <v>0.11</v>
      </c>
      <c r="I3429" s="1" t="s">
        <v>31</v>
      </c>
      <c r="J3429" s="1" t="n">
        <v>2</v>
      </c>
      <c r="K3429" s="1" t="n">
        <v>3.7</v>
      </c>
      <c r="L3429" s="15" t="n">
        <v>771.95</v>
      </c>
      <c r="M3429" s="15" t="n">
        <f aca="false">F3429*G3429</f>
        <v>867.36</v>
      </c>
      <c r="N3429" s="15" t="n">
        <f aca="false">M3429-L3429</f>
        <v>95.41</v>
      </c>
      <c r="O3429" s="1" t="n">
        <f aca="false">YEAR(B3429)</f>
        <v>2031</v>
      </c>
      <c r="P3429" s="1" t="n">
        <f aca="false">MONTH(B3429)</f>
        <v>5</v>
      </c>
      <c r="Q3429" s="1" t="str">
        <f aca="false">TEXT(B3429,"mmm")</f>
        <v>May</v>
      </c>
      <c r="R3429" s="1" t="str">
        <f aca="false">"Q"&amp;ROUNDUP(MONTH(B3429)/3,0)</f>
        <v>Q2</v>
      </c>
    </row>
    <row r="3430" customFormat="false" ht="15" hidden="false" customHeight="true" outlineLevel="0" collapsed="false">
      <c r="A3430" s="1" t="n">
        <v>13429</v>
      </c>
      <c r="B3430" s="14" t="n">
        <v>47990</v>
      </c>
      <c r="C3430" s="1" t="n">
        <v>1394</v>
      </c>
      <c r="D3430" s="1" t="s">
        <v>37</v>
      </c>
      <c r="E3430" s="1" t="s">
        <v>36</v>
      </c>
      <c r="F3430" s="1" t="n">
        <v>2</v>
      </c>
      <c r="G3430" s="15" t="n">
        <v>320.54</v>
      </c>
      <c r="H3430" s="16" t="n">
        <v>0.22</v>
      </c>
      <c r="I3430" s="1" t="s">
        <v>31</v>
      </c>
      <c r="J3430" s="1" t="n">
        <v>11</v>
      </c>
      <c r="K3430" s="1" t="n">
        <v>2.9</v>
      </c>
      <c r="L3430" s="15" t="n">
        <v>500.04</v>
      </c>
      <c r="M3430" s="15" t="n">
        <f aca="false">F3430*G3430</f>
        <v>641.08</v>
      </c>
      <c r="N3430" s="15" t="n">
        <f aca="false">M3430-L3430</f>
        <v>141.04</v>
      </c>
      <c r="O3430" s="1" t="n">
        <f aca="false">YEAR(B3430)</f>
        <v>2031</v>
      </c>
      <c r="P3430" s="1" t="n">
        <f aca="false">MONTH(B3430)</f>
        <v>5</v>
      </c>
      <c r="Q3430" s="1" t="str">
        <f aca="false">TEXT(B3430,"mmm")</f>
        <v>May</v>
      </c>
      <c r="R3430" s="1" t="str">
        <f aca="false">"Q"&amp;ROUNDUP(MONTH(B3430)/3,0)</f>
        <v>Q2</v>
      </c>
    </row>
    <row r="3431" customFormat="false" ht="15" hidden="false" customHeight="true" outlineLevel="0" collapsed="false">
      <c r="A3431" s="1" t="n">
        <v>13430</v>
      </c>
      <c r="B3431" s="14" t="n">
        <v>47991</v>
      </c>
      <c r="C3431" s="1" t="n">
        <v>1702</v>
      </c>
      <c r="D3431" s="1" t="s">
        <v>30</v>
      </c>
      <c r="E3431" s="1" t="s">
        <v>35</v>
      </c>
      <c r="F3431" s="1" t="n">
        <v>7</v>
      </c>
      <c r="G3431" s="15" t="n">
        <v>225.58</v>
      </c>
      <c r="H3431" s="16" t="n">
        <v>0.29</v>
      </c>
      <c r="I3431" s="1" t="s">
        <v>31</v>
      </c>
      <c r="J3431" s="1" t="n">
        <v>1</v>
      </c>
      <c r="K3431" s="1" t="n">
        <v>3</v>
      </c>
      <c r="L3431" s="15" t="n">
        <v>1121.13</v>
      </c>
      <c r="M3431" s="15" t="n">
        <f aca="false">F3431*G3431</f>
        <v>1579.06</v>
      </c>
      <c r="N3431" s="15" t="n">
        <f aca="false">M3431-L3431</f>
        <v>457.93</v>
      </c>
      <c r="O3431" s="1" t="n">
        <f aca="false">YEAR(B3431)</f>
        <v>2031</v>
      </c>
      <c r="P3431" s="1" t="n">
        <f aca="false">MONTH(B3431)</f>
        <v>5</v>
      </c>
      <c r="Q3431" s="1" t="str">
        <f aca="false">TEXT(B3431,"mmm")</f>
        <v>May</v>
      </c>
      <c r="R3431" s="1" t="str">
        <f aca="false">"Q"&amp;ROUNDUP(MONTH(B3431)/3,0)</f>
        <v>Q2</v>
      </c>
    </row>
    <row r="3432" customFormat="false" ht="15" hidden="false" customHeight="true" outlineLevel="0" collapsed="false">
      <c r="A3432" s="1" t="n">
        <v>13431</v>
      </c>
      <c r="B3432" s="14" t="n">
        <v>47992</v>
      </c>
      <c r="C3432" s="1" t="n">
        <v>1916</v>
      </c>
      <c r="D3432" s="1" t="s">
        <v>34</v>
      </c>
      <c r="E3432" s="1" t="s">
        <v>28</v>
      </c>
      <c r="F3432" s="1" t="n">
        <v>3</v>
      </c>
      <c r="G3432" s="15" t="n">
        <v>24.38</v>
      </c>
      <c r="H3432" s="16" t="n">
        <v>0.35</v>
      </c>
      <c r="I3432" s="1" t="s">
        <v>29</v>
      </c>
      <c r="J3432" s="1" t="n">
        <v>6</v>
      </c>
      <c r="K3432" s="1" t="n">
        <v>3.6</v>
      </c>
      <c r="L3432" s="15" t="n">
        <v>47.54</v>
      </c>
      <c r="M3432" s="15" t="n">
        <f aca="false">F3432*G3432</f>
        <v>73.14</v>
      </c>
      <c r="N3432" s="15" t="n">
        <f aca="false">M3432-L3432</f>
        <v>25.6</v>
      </c>
      <c r="O3432" s="1" t="n">
        <f aca="false">YEAR(B3432)</f>
        <v>2031</v>
      </c>
      <c r="P3432" s="1" t="n">
        <f aca="false">MONTH(B3432)</f>
        <v>5</v>
      </c>
      <c r="Q3432" s="1" t="str">
        <f aca="false">TEXT(B3432,"mmm")</f>
        <v>May</v>
      </c>
      <c r="R3432" s="1" t="str">
        <f aca="false">"Q"&amp;ROUNDUP(MONTH(B3432)/3,0)</f>
        <v>Q2</v>
      </c>
    </row>
    <row r="3433" customFormat="false" ht="15" hidden="false" customHeight="true" outlineLevel="0" collapsed="false">
      <c r="A3433" s="1" t="n">
        <v>13432</v>
      </c>
      <c r="B3433" s="14" t="n">
        <v>47993</v>
      </c>
      <c r="C3433" s="1" t="n">
        <v>1307</v>
      </c>
      <c r="D3433" s="1" t="s">
        <v>30</v>
      </c>
      <c r="E3433" s="1" t="s">
        <v>36</v>
      </c>
      <c r="F3433" s="1" t="n">
        <v>6</v>
      </c>
      <c r="G3433" s="15" t="n">
        <v>344.03</v>
      </c>
      <c r="H3433" s="16" t="n">
        <v>0.29</v>
      </c>
      <c r="I3433" s="1" t="s">
        <v>29</v>
      </c>
      <c r="J3433" s="1" t="n">
        <v>1</v>
      </c>
      <c r="K3433" s="1" t="n">
        <v>4.3</v>
      </c>
      <c r="L3433" s="15" t="n">
        <v>1465.57</v>
      </c>
      <c r="M3433" s="15" t="n">
        <f aca="false">F3433*G3433</f>
        <v>2064.18</v>
      </c>
      <c r="N3433" s="15" t="n">
        <f aca="false">M3433-L3433</f>
        <v>598.61</v>
      </c>
      <c r="O3433" s="1" t="n">
        <f aca="false">YEAR(B3433)</f>
        <v>2031</v>
      </c>
      <c r="P3433" s="1" t="n">
        <f aca="false">MONTH(B3433)</f>
        <v>5</v>
      </c>
      <c r="Q3433" s="1" t="str">
        <f aca="false">TEXT(B3433,"mmm")</f>
        <v>May</v>
      </c>
      <c r="R3433" s="1" t="str">
        <f aca="false">"Q"&amp;ROUNDUP(MONTH(B3433)/3,0)</f>
        <v>Q2</v>
      </c>
    </row>
    <row r="3434" customFormat="false" ht="15" hidden="false" customHeight="true" outlineLevel="0" collapsed="false">
      <c r="A3434" s="1" t="n">
        <v>13433</v>
      </c>
      <c r="B3434" s="14" t="n">
        <v>47994</v>
      </c>
      <c r="C3434" s="1" t="n">
        <v>1767</v>
      </c>
      <c r="D3434" s="1" t="s">
        <v>34</v>
      </c>
      <c r="E3434" s="1" t="s">
        <v>35</v>
      </c>
      <c r="F3434" s="1" t="n">
        <v>3</v>
      </c>
      <c r="G3434" s="15" t="n">
        <v>87.4</v>
      </c>
      <c r="H3434" s="16" t="n">
        <v>0.2</v>
      </c>
      <c r="I3434" s="1" t="s">
        <v>31</v>
      </c>
      <c r="J3434" s="1" t="n">
        <v>9</v>
      </c>
      <c r="K3434" s="1" t="n">
        <v>2.3</v>
      </c>
      <c r="L3434" s="15" t="n">
        <v>209.76</v>
      </c>
      <c r="M3434" s="15" t="n">
        <f aca="false">F3434*G3434</f>
        <v>262.2</v>
      </c>
      <c r="N3434" s="15" t="n">
        <f aca="false">M3434-L3434</f>
        <v>52.4400000000001</v>
      </c>
      <c r="O3434" s="1" t="n">
        <f aca="false">YEAR(B3434)</f>
        <v>2031</v>
      </c>
      <c r="P3434" s="1" t="n">
        <f aca="false">MONTH(B3434)</f>
        <v>5</v>
      </c>
      <c r="Q3434" s="1" t="str">
        <f aca="false">TEXT(B3434,"mmm")</f>
        <v>May</v>
      </c>
      <c r="R3434" s="1" t="str">
        <f aca="false">"Q"&amp;ROUNDUP(MONTH(B3434)/3,0)</f>
        <v>Q2</v>
      </c>
    </row>
    <row r="3435" customFormat="false" ht="15" hidden="false" customHeight="true" outlineLevel="0" collapsed="false">
      <c r="A3435" s="1" t="n">
        <v>13434</v>
      </c>
      <c r="B3435" s="14" t="n">
        <v>47995</v>
      </c>
      <c r="C3435" s="1" t="n">
        <v>1182</v>
      </c>
      <c r="D3435" s="1" t="s">
        <v>27</v>
      </c>
      <c r="E3435" s="1" t="s">
        <v>36</v>
      </c>
      <c r="F3435" s="1" t="n">
        <v>2</v>
      </c>
      <c r="G3435" s="15" t="n">
        <v>61.82</v>
      </c>
      <c r="H3435" s="16" t="n">
        <v>0.07</v>
      </c>
      <c r="I3435" s="1" t="s">
        <v>33</v>
      </c>
      <c r="J3435" s="1" t="n">
        <v>10</v>
      </c>
      <c r="K3435" s="1" t="n">
        <v>4.6</v>
      </c>
      <c r="L3435" s="15" t="n">
        <v>114.99</v>
      </c>
      <c r="M3435" s="15" t="n">
        <f aca="false">F3435*G3435</f>
        <v>123.64</v>
      </c>
      <c r="N3435" s="15" t="n">
        <f aca="false">M3435-L3435</f>
        <v>8.65000000000001</v>
      </c>
      <c r="O3435" s="1" t="n">
        <f aca="false">YEAR(B3435)</f>
        <v>2031</v>
      </c>
      <c r="P3435" s="1" t="n">
        <f aca="false">MONTH(B3435)</f>
        <v>5</v>
      </c>
      <c r="Q3435" s="1" t="str">
        <f aca="false">TEXT(B3435,"mmm")</f>
        <v>May</v>
      </c>
      <c r="R3435" s="1" t="str">
        <f aca="false">"Q"&amp;ROUNDUP(MONTH(B3435)/3,0)</f>
        <v>Q2</v>
      </c>
    </row>
    <row r="3436" customFormat="false" ht="15" hidden="false" customHeight="true" outlineLevel="0" collapsed="false">
      <c r="A3436" s="1" t="n">
        <v>13435</v>
      </c>
      <c r="B3436" s="14" t="n">
        <v>47996</v>
      </c>
      <c r="C3436" s="1" t="n">
        <v>1628</v>
      </c>
      <c r="D3436" s="1" t="s">
        <v>30</v>
      </c>
      <c r="E3436" s="1" t="s">
        <v>28</v>
      </c>
      <c r="F3436" s="1" t="n">
        <v>7</v>
      </c>
      <c r="G3436" s="15" t="n">
        <v>456.97</v>
      </c>
      <c r="H3436" s="16" t="n">
        <v>0.24</v>
      </c>
      <c r="I3436" s="1" t="s">
        <v>33</v>
      </c>
      <c r="J3436" s="1" t="n">
        <v>5</v>
      </c>
      <c r="K3436" s="1" t="n">
        <v>2.9</v>
      </c>
      <c r="L3436" s="15" t="n">
        <v>2431.08</v>
      </c>
      <c r="M3436" s="15" t="n">
        <f aca="false">F3436*G3436</f>
        <v>3198.79</v>
      </c>
      <c r="N3436" s="15" t="n">
        <f aca="false">M3436-L3436</f>
        <v>767.71</v>
      </c>
      <c r="O3436" s="1" t="n">
        <f aca="false">YEAR(B3436)</f>
        <v>2031</v>
      </c>
      <c r="P3436" s="1" t="n">
        <f aca="false">MONTH(B3436)</f>
        <v>5</v>
      </c>
      <c r="Q3436" s="1" t="str">
        <f aca="false">TEXT(B3436,"mmm")</f>
        <v>May</v>
      </c>
      <c r="R3436" s="1" t="str">
        <f aca="false">"Q"&amp;ROUNDUP(MONTH(B3436)/3,0)</f>
        <v>Q2</v>
      </c>
    </row>
    <row r="3437" customFormat="false" ht="15" hidden="false" customHeight="true" outlineLevel="0" collapsed="false">
      <c r="A3437" s="1" t="n">
        <v>13436</v>
      </c>
      <c r="B3437" s="14" t="n">
        <v>47997</v>
      </c>
      <c r="C3437" s="1" t="n">
        <v>1793</v>
      </c>
      <c r="D3437" s="1" t="s">
        <v>34</v>
      </c>
      <c r="E3437" s="1" t="s">
        <v>35</v>
      </c>
      <c r="F3437" s="1" t="n">
        <v>1</v>
      </c>
      <c r="G3437" s="15" t="n">
        <v>20.56</v>
      </c>
      <c r="H3437" s="16" t="n">
        <v>0.33</v>
      </c>
      <c r="I3437" s="1" t="s">
        <v>31</v>
      </c>
      <c r="J3437" s="1" t="n">
        <v>1</v>
      </c>
      <c r="K3437" s="1" t="n">
        <v>3.6</v>
      </c>
      <c r="L3437" s="15" t="n">
        <v>13.78</v>
      </c>
      <c r="M3437" s="15" t="n">
        <f aca="false">F3437*G3437</f>
        <v>20.56</v>
      </c>
      <c r="N3437" s="15" t="n">
        <f aca="false">M3437-L3437</f>
        <v>6.78</v>
      </c>
      <c r="O3437" s="1" t="n">
        <f aca="false">YEAR(B3437)</f>
        <v>2031</v>
      </c>
      <c r="P3437" s="1" t="n">
        <f aca="false">MONTH(B3437)</f>
        <v>5</v>
      </c>
      <c r="Q3437" s="1" t="str">
        <f aca="false">TEXT(B3437,"mmm")</f>
        <v>May</v>
      </c>
      <c r="R3437" s="1" t="str">
        <f aca="false">"Q"&amp;ROUNDUP(MONTH(B3437)/3,0)</f>
        <v>Q2</v>
      </c>
    </row>
    <row r="3438" customFormat="false" ht="15" hidden="false" customHeight="true" outlineLevel="0" collapsed="false">
      <c r="A3438" s="1" t="n">
        <v>13437</v>
      </c>
      <c r="B3438" s="14" t="n">
        <v>47998</v>
      </c>
      <c r="C3438" s="1" t="n">
        <v>1509</v>
      </c>
      <c r="D3438" s="1" t="s">
        <v>27</v>
      </c>
      <c r="E3438" s="1" t="s">
        <v>35</v>
      </c>
      <c r="F3438" s="1" t="n">
        <v>6</v>
      </c>
      <c r="G3438" s="15" t="n">
        <v>576.02</v>
      </c>
      <c r="H3438" s="16" t="n">
        <v>0.07</v>
      </c>
      <c r="I3438" s="1" t="s">
        <v>33</v>
      </c>
      <c r="J3438" s="1" t="n">
        <v>8</v>
      </c>
      <c r="K3438" s="1" t="n">
        <v>1.4</v>
      </c>
      <c r="L3438" s="15" t="n">
        <v>3214.19</v>
      </c>
      <c r="M3438" s="15" t="n">
        <f aca="false">F3438*G3438</f>
        <v>3456.12</v>
      </c>
      <c r="N3438" s="15" t="n">
        <f aca="false">M3438-L3438</f>
        <v>241.93</v>
      </c>
      <c r="O3438" s="1" t="n">
        <f aca="false">YEAR(B3438)</f>
        <v>2031</v>
      </c>
      <c r="P3438" s="1" t="n">
        <f aca="false">MONTH(B3438)</f>
        <v>5</v>
      </c>
      <c r="Q3438" s="1" t="str">
        <f aca="false">TEXT(B3438,"mmm")</f>
        <v>May</v>
      </c>
      <c r="R3438" s="1" t="str">
        <f aca="false">"Q"&amp;ROUNDUP(MONTH(B3438)/3,0)</f>
        <v>Q2</v>
      </c>
    </row>
    <row r="3439" customFormat="false" ht="15" hidden="false" customHeight="true" outlineLevel="0" collapsed="false">
      <c r="A3439" s="1" t="n">
        <v>13438</v>
      </c>
      <c r="B3439" s="14" t="n">
        <v>47999</v>
      </c>
      <c r="C3439" s="1" t="n">
        <v>1707</v>
      </c>
      <c r="D3439" s="1" t="s">
        <v>30</v>
      </c>
      <c r="E3439" s="1" t="s">
        <v>35</v>
      </c>
      <c r="F3439" s="1" t="n">
        <v>1</v>
      </c>
      <c r="G3439" s="15" t="n">
        <v>316.42</v>
      </c>
      <c r="H3439" s="16" t="n">
        <v>0.09</v>
      </c>
      <c r="I3439" s="1" t="s">
        <v>29</v>
      </c>
      <c r="J3439" s="1" t="n">
        <v>1</v>
      </c>
      <c r="K3439" s="1" t="n">
        <v>3</v>
      </c>
      <c r="L3439" s="15" t="n">
        <v>287.94</v>
      </c>
      <c r="M3439" s="15" t="n">
        <f aca="false">F3439*G3439</f>
        <v>316.42</v>
      </c>
      <c r="N3439" s="15" t="n">
        <f aca="false">M3439-L3439</f>
        <v>28.48</v>
      </c>
      <c r="O3439" s="1" t="n">
        <f aca="false">YEAR(B3439)</f>
        <v>2031</v>
      </c>
      <c r="P3439" s="1" t="n">
        <f aca="false">MONTH(B3439)</f>
        <v>5</v>
      </c>
      <c r="Q3439" s="1" t="str">
        <f aca="false">TEXT(B3439,"mmm")</f>
        <v>May</v>
      </c>
      <c r="R3439" s="1" t="str">
        <f aca="false">"Q"&amp;ROUNDUP(MONTH(B3439)/3,0)</f>
        <v>Q2</v>
      </c>
    </row>
    <row r="3440" customFormat="false" ht="15" hidden="false" customHeight="true" outlineLevel="0" collapsed="false">
      <c r="A3440" s="1" t="n">
        <v>13439</v>
      </c>
      <c r="B3440" s="14" t="n">
        <v>48000</v>
      </c>
      <c r="C3440" s="1" t="n">
        <v>1545</v>
      </c>
      <c r="D3440" s="1" t="s">
        <v>34</v>
      </c>
      <c r="E3440" s="1" t="s">
        <v>28</v>
      </c>
      <c r="F3440" s="1" t="n">
        <v>4</v>
      </c>
      <c r="G3440" s="15" t="n">
        <v>590.06</v>
      </c>
      <c r="H3440" s="16" t="n">
        <v>0.05</v>
      </c>
      <c r="I3440" s="1" t="s">
        <v>31</v>
      </c>
      <c r="J3440" s="1" t="n">
        <v>4</v>
      </c>
      <c r="K3440" s="1" t="n">
        <v>1.1</v>
      </c>
      <c r="L3440" s="15" t="n">
        <v>2242.23</v>
      </c>
      <c r="M3440" s="15" t="n">
        <f aca="false">F3440*G3440</f>
        <v>2360.24</v>
      </c>
      <c r="N3440" s="15" t="n">
        <f aca="false">M3440-L3440</f>
        <v>118.01</v>
      </c>
      <c r="O3440" s="1" t="n">
        <f aca="false">YEAR(B3440)</f>
        <v>2031</v>
      </c>
      <c r="P3440" s="1" t="n">
        <f aca="false">MONTH(B3440)</f>
        <v>6</v>
      </c>
      <c r="Q3440" s="1" t="str">
        <f aca="false">TEXT(B3440,"mmm")</f>
        <v>Jun</v>
      </c>
      <c r="R3440" s="1" t="str">
        <f aca="false">"Q"&amp;ROUNDUP(MONTH(B3440)/3,0)</f>
        <v>Q2</v>
      </c>
    </row>
    <row r="3441" customFormat="false" ht="15" hidden="false" customHeight="true" outlineLevel="0" collapsed="false">
      <c r="A3441" s="1" t="n">
        <v>13440</v>
      </c>
      <c r="B3441" s="14" t="n">
        <v>48001</v>
      </c>
      <c r="C3441" s="1" t="n">
        <v>1563</v>
      </c>
      <c r="D3441" s="1" t="s">
        <v>30</v>
      </c>
      <c r="E3441" s="1" t="s">
        <v>32</v>
      </c>
      <c r="F3441" s="1" t="n">
        <v>7</v>
      </c>
      <c r="G3441" s="15" t="n">
        <v>48.93</v>
      </c>
      <c r="H3441" s="16" t="n">
        <v>0.26</v>
      </c>
      <c r="I3441" s="1" t="s">
        <v>31</v>
      </c>
      <c r="J3441" s="1" t="n">
        <v>7</v>
      </c>
      <c r="K3441" s="1" t="n">
        <v>2.6</v>
      </c>
      <c r="L3441" s="15" t="n">
        <v>253.46</v>
      </c>
      <c r="M3441" s="15" t="n">
        <f aca="false">F3441*G3441</f>
        <v>342.51</v>
      </c>
      <c r="N3441" s="15" t="n">
        <f aca="false">M3441-L3441</f>
        <v>89.05</v>
      </c>
      <c r="O3441" s="1" t="n">
        <f aca="false">YEAR(B3441)</f>
        <v>2031</v>
      </c>
      <c r="P3441" s="1" t="n">
        <f aca="false">MONTH(B3441)</f>
        <v>6</v>
      </c>
      <c r="Q3441" s="1" t="str">
        <f aca="false">TEXT(B3441,"mmm")</f>
        <v>Jun</v>
      </c>
      <c r="R3441" s="1" t="str">
        <f aca="false">"Q"&amp;ROUNDUP(MONTH(B3441)/3,0)</f>
        <v>Q2</v>
      </c>
    </row>
    <row r="3442" customFormat="false" ht="15" hidden="false" customHeight="true" outlineLevel="0" collapsed="false">
      <c r="A3442" s="1" t="n">
        <v>13441</v>
      </c>
      <c r="B3442" s="14" t="n">
        <v>48002</v>
      </c>
      <c r="C3442" s="1" t="n">
        <v>1623</v>
      </c>
      <c r="D3442" s="1" t="s">
        <v>34</v>
      </c>
      <c r="E3442" s="1" t="s">
        <v>35</v>
      </c>
      <c r="F3442" s="1" t="n">
        <v>5</v>
      </c>
      <c r="G3442" s="15" t="n">
        <v>356.36</v>
      </c>
      <c r="H3442" s="16" t="n">
        <v>0.14</v>
      </c>
      <c r="I3442" s="1" t="s">
        <v>31</v>
      </c>
      <c r="J3442" s="1" t="n">
        <v>4</v>
      </c>
      <c r="K3442" s="1" t="n">
        <v>1.2</v>
      </c>
      <c r="L3442" s="15" t="n">
        <v>1532.35</v>
      </c>
      <c r="M3442" s="15" t="n">
        <f aca="false">F3442*G3442</f>
        <v>1781.8</v>
      </c>
      <c r="N3442" s="15" t="n">
        <f aca="false">M3442-L3442</f>
        <v>249.45</v>
      </c>
      <c r="O3442" s="1" t="n">
        <f aca="false">YEAR(B3442)</f>
        <v>2031</v>
      </c>
      <c r="P3442" s="1" t="n">
        <f aca="false">MONTH(B3442)</f>
        <v>6</v>
      </c>
      <c r="Q3442" s="1" t="str">
        <f aca="false">TEXT(B3442,"mmm")</f>
        <v>Jun</v>
      </c>
      <c r="R3442" s="1" t="str">
        <f aca="false">"Q"&amp;ROUNDUP(MONTH(B3442)/3,0)</f>
        <v>Q2</v>
      </c>
    </row>
    <row r="3443" customFormat="false" ht="15" hidden="false" customHeight="true" outlineLevel="0" collapsed="false">
      <c r="A3443" s="1" t="n">
        <v>13442</v>
      </c>
      <c r="B3443" s="14" t="n">
        <v>48003</v>
      </c>
      <c r="C3443" s="1" t="n">
        <v>1763</v>
      </c>
      <c r="D3443" s="1" t="s">
        <v>37</v>
      </c>
      <c r="E3443" s="1" t="s">
        <v>28</v>
      </c>
      <c r="F3443" s="1" t="n">
        <v>3</v>
      </c>
      <c r="G3443" s="15" t="n">
        <v>219.36</v>
      </c>
      <c r="H3443" s="16" t="n">
        <v>0.02</v>
      </c>
      <c r="I3443" s="1" t="s">
        <v>31</v>
      </c>
      <c r="J3443" s="1" t="n">
        <v>5</v>
      </c>
      <c r="K3443" s="1" t="n">
        <v>4.6</v>
      </c>
      <c r="L3443" s="15" t="n">
        <v>644.92</v>
      </c>
      <c r="M3443" s="15" t="n">
        <f aca="false">F3443*G3443</f>
        <v>658.08</v>
      </c>
      <c r="N3443" s="15" t="n">
        <f aca="false">M3443-L3443</f>
        <v>13.1600000000001</v>
      </c>
      <c r="O3443" s="1" t="n">
        <f aca="false">YEAR(B3443)</f>
        <v>2031</v>
      </c>
      <c r="P3443" s="1" t="n">
        <f aca="false">MONTH(B3443)</f>
        <v>6</v>
      </c>
      <c r="Q3443" s="1" t="str">
        <f aca="false">TEXT(B3443,"mmm")</f>
        <v>Jun</v>
      </c>
      <c r="R3443" s="1" t="str">
        <f aca="false">"Q"&amp;ROUNDUP(MONTH(B3443)/3,0)</f>
        <v>Q2</v>
      </c>
    </row>
    <row r="3444" customFormat="false" ht="15" hidden="false" customHeight="true" outlineLevel="0" collapsed="false">
      <c r="A3444" s="1" t="n">
        <v>13443</v>
      </c>
      <c r="B3444" s="14" t="n">
        <v>48004</v>
      </c>
      <c r="C3444" s="1" t="n">
        <v>1593</v>
      </c>
      <c r="D3444" s="1" t="s">
        <v>37</v>
      </c>
      <c r="E3444" s="1" t="s">
        <v>36</v>
      </c>
      <c r="F3444" s="1" t="n">
        <v>6</v>
      </c>
      <c r="G3444" s="15" t="n">
        <v>508.44</v>
      </c>
      <c r="H3444" s="16" t="n">
        <v>0.31</v>
      </c>
      <c r="I3444" s="1" t="s">
        <v>31</v>
      </c>
      <c r="J3444" s="1" t="n">
        <v>7</v>
      </c>
      <c r="K3444" s="1" t="n">
        <v>3.7</v>
      </c>
      <c r="L3444" s="15" t="n">
        <v>2104.94</v>
      </c>
      <c r="M3444" s="15" t="n">
        <f aca="false">F3444*G3444</f>
        <v>3050.64</v>
      </c>
      <c r="N3444" s="15" t="n">
        <f aca="false">M3444-L3444</f>
        <v>945.7</v>
      </c>
      <c r="O3444" s="1" t="n">
        <f aca="false">YEAR(B3444)</f>
        <v>2031</v>
      </c>
      <c r="P3444" s="1" t="n">
        <f aca="false">MONTH(B3444)</f>
        <v>6</v>
      </c>
      <c r="Q3444" s="1" t="str">
        <f aca="false">TEXT(B3444,"mmm")</f>
        <v>Jun</v>
      </c>
      <c r="R3444" s="1" t="str">
        <f aca="false">"Q"&amp;ROUNDUP(MONTH(B3444)/3,0)</f>
        <v>Q2</v>
      </c>
    </row>
    <row r="3445" customFormat="false" ht="15" hidden="false" customHeight="true" outlineLevel="0" collapsed="false">
      <c r="A3445" s="1" t="n">
        <v>13444</v>
      </c>
      <c r="B3445" s="14" t="n">
        <v>48005</v>
      </c>
      <c r="C3445" s="1" t="n">
        <v>1743</v>
      </c>
      <c r="D3445" s="1" t="s">
        <v>27</v>
      </c>
      <c r="E3445" s="1" t="s">
        <v>36</v>
      </c>
      <c r="F3445" s="1" t="n">
        <v>3</v>
      </c>
      <c r="G3445" s="15" t="n">
        <v>226.32</v>
      </c>
      <c r="H3445" s="16" t="n">
        <v>0.2</v>
      </c>
      <c r="I3445" s="1" t="s">
        <v>31</v>
      </c>
      <c r="J3445" s="1" t="n">
        <v>4</v>
      </c>
      <c r="K3445" s="1" t="n">
        <v>4.2</v>
      </c>
      <c r="L3445" s="15" t="n">
        <v>543.17</v>
      </c>
      <c r="M3445" s="15" t="n">
        <f aca="false">F3445*G3445</f>
        <v>678.96</v>
      </c>
      <c r="N3445" s="15" t="n">
        <f aca="false">M3445-L3445</f>
        <v>135.79</v>
      </c>
      <c r="O3445" s="1" t="n">
        <f aca="false">YEAR(B3445)</f>
        <v>2031</v>
      </c>
      <c r="P3445" s="1" t="n">
        <f aca="false">MONTH(B3445)</f>
        <v>6</v>
      </c>
      <c r="Q3445" s="1" t="str">
        <f aca="false">TEXT(B3445,"mmm")</f>
        <v>Jun</v>
      </c>
      <c r="R3445" s="1" t="str">
        <f aca="false">"Q"&amp;ROUNDUP(MONTH(B3445)/3,0)</f>
        <v>Q2</v>
      </c>
    </row>
    <row r="3446" customFormat="false" ht="15" hidden="false" customHeight="true" outlineLevel="0" collapsed="false">
      <c r="A3446" s="1" t="n">
        <v>13445</v>
      </c>
      <c r="B3446" s="14" t="n">
        <v>48006</v>
      </c>
      <c r="C3446" s="1" t="n">
        <v>1226</v>
      </c>
      <c r="D3446" s="1" t="s">
        <v>30</v>
      </c>
      <c r="E3446" s="1" t="s">
        <v>28</v>
      </c>
      <c r="F3446" s="1" t="n">
        <v>4</v>
      </c>
      <c r="G3446" s="15" t="n">
        <v>167.39</v>
      </c>
      <c r="H3446" s="16" t="n">
        <v>0.12</v>
      </c>
      <c r="I3446" s="1" t="s">
        <v>33</v>
      </c>
      <c r="J3446" s="1" t="n">
        <v>5</v>
      </c>
      <c r="K3446" s="1" t="n">
        <v>2.9</v>
      </c>
      <c r="L3446" s="15" t="n">
        <v>589.21</v>
      </c>
      <c r="M3446" s="15" t="n">
        <f aca="false">F3446*G3446</f>
        <v>669.56</v>
      </c>
      <c r="N3446" s="15" t="n">
        <f aca="false">M3446-L3446</f>
        <v>80.3499999999999</v>
      </c>
      <c r="O3446" s="1" t="n">
        <f aca="false">YEAR(B3446)</f>
        <v>2031</v>
      </c>
      <c r="P3446" s="1" t="n">
        <f aca="false">MONTH(B3446)</f>
        <v>6</v>
      </c>
      <c r="Q3446" s="1" t="str">
        <f aca="false">TEXT(B3446,"mmm")</f>
        <v>Jun</v>
      </c>
      <c r="R3446" s="1" t="str">
        <f aca="false">"Q"&amp;ROUNDUP(MONTH(B3446)/3,0)</f>
        <v>Q2</v>
      </c>
    </row>
    <row r="3447" customFormat="false" ht="15" hidden="false" customHeight="true" outlineLevel="0" collapsed="false">
      <c r="A3447" s="1" t="n">
        <v>13446</v>
      </c>
      <c r="B3447" s="14" t="n">
        <v>48007</v>
      </c>
      <c r="C3447" s="1" t="n">
        <v>1744</v>
      </c>
      <c r="D3447" s="1" t="s">
        <v>30</v>
      </c>
      <c r="E3447" s="1" t="s">
        <v>32</v>
      </c>
      <c r="F3447" s="1" t="n">
        <v>4</v>
      </c>
      <c r="G3447" s="15" t="n">
        <v>516.67</v>
      </c>
      <c r="H3447" s="16" t="n">
        <v>0.12</v>
      </c>
      <c r="I3447" s="1" t="s">
        <v>33</v>
      </c>
      <c r="J3447" s="1" t="n">
        <v>7</v>
      </c>
      <c r="K3447" s="1" t="n">
        <v>4.4</v>
      </c>
      <c r="L3447" s="15" t="n">
        <v>1818.68</v>
      </c>
      <c r="M3447" s="15" t="n">
        <f aca="false">F3447*G3447</f>
        <v>2066.68</v>
      </c>
      <c r="N3447" s="15" t="n">
        <f aca="false">M3447-L3447</f>
        <v>248</v>
      </c>
      <c r="O3447" s="1" t="n">
        <f aca="false">YEAR(B3447)</f>
        <v>2031</v>
      </c>
      <c r="P3447" s="1" t="n">
        <f aca="false">MONTH(B3447)</f>
        <v>6</v>
      </c>
      <c r="Q3447" s="1" t="str">
        <f aca="false">TEXT(B3447,"mmm")</f>
        <v>Jun</v>
      </c>
      <c r="R3447" s="1" t="str">
        <f aca="false">"Q"&amp;ROUNDUP(MONTH(B3447)/3,0)</f>
        <v>Q2</v>
      </c>
    </row>
    <row r="3448" customFormat="false" ht="15" hidden="false" customHeight="true" outlineLevel="0" collapsed="false">
      <c r="A3448" s="1" t="n">
        <v>13447</v>
      </c>
      <c r="B3448" s="14" t="n">
        <v>48008</v>
      </c>
      <c r="C3448" s="1" t="n">
        <v>1732</v>
      </c>
      <c r="D3448" s="1" t="s">
        <v>37</v>
      </c>
      <c r="E3448" s="1" t="s">
        <v>28</v>
      </c>
      <c r="F3448" s="1" t="n">
        <v>3</v>
      </c>
      <c r="G3448" s="15" t="n">
        <v>234.17</v>
      </c>
      <c r="H3448" s="16" t="n">
        <v>0.1</v>
      </c>
      <c r="I3448" s="1" t="s">
        <v>31</v>
      </c>
      <c r="J3448" s="1" t="n">
        <v>1</v>
      </c>
      <c r="K3448" s="1" t="n">
        <v>4.5</v>
      </c>
      <c r="L3448" s="15" t="n">
        <v>632.26</v>
      </c>
      <c r="M3448" s="15" t="n">
        <f aca="false">F3448*G3448</f>
        <v>702.51</v>
      </c>
      <c r="N3448" s="15" t="n">
        <f aca="false">M3448-L3448</f>
        <v>70.25</v>
      </c>
      <c r="O3448" s="1" t="n">
        <f aca="false">YEAR(B3448)</f>
        <v>2031</v>
      </c>
      <c r="P3448" s="1" t="n">
        <f aca="false">MONTH(B3448)</f>
        <v>6</v>
      </c>
      <c r="Q3448" s="1" t="str">
        <f aca="false">TEXT(B3448,"mmm")</f>
        <v>Jun</v>
      </c>
      <c r="R3448" s="1" t="str">
        <f aca="false">"Q"&amp;ROUNDUP(MONTH(B3448)/3,0)</f>
        <v>Q2</v>
      </c>
    </row>
    <row r="3449" customFormat="false" ht="15" hidden="false" customHeight="true" outlineLevel="0" collapsed="false">
      <c r="A3449" s="1" t="n">
        <v>13448</v>
      </c>
      <c r="B3449" s="14" t="n">
        <v>48009</v>
      </c>
      <c r="C3449" s="1" t="n">
        <v>1435</v>
      </c>
      <c r="D3449" s="1" t="s">
        <v>34</v>
      </c>
      <c r="E3449" s="1" t="s">
        <v>36</v>
      </c>
      <c r="F3449" s="1" t="n">
        <v>6</v>
      </c>
      <c r="G3449" s="15" t="n">
        <v>24.85</v>
      </c>
      <c r="H3449" s="16" t="n">
        <v>0.16</v>
      </c>
      <c r="I3449" s="1" t="s">
        <v>31</v>
      </c>
      <c r="J3449" s="1" t="n">
        <v>3</v>
      </c>
      <c r="K3449" s="1" t="n">
        <v>2.4</v>
      </c>
      <c r="L3449" s="15" t="n">
        <v>125.24</v>
      </c>
      <c r="M3449" s="15" t="n">
        <f aca="false">F3449*G3449</f>
        <v>149.1</v>
      </c>
      <c r="N3449" s="15" t="n">
        <f aca="false">M3449-L3449</f>
        <v>23.86</v>
      </c>
      <c r="O3449" s="1" t="n">
        <f aca="false">YEAR(B3449)</f>
        <v>2031</v>
      </c>
      <c r="P3449" s="1" t="n">
        <f aca="false">MONTH(B3449)</f>
        <v>6</v>
      </c>
      <c r="Q3449" s="1" t="str">
        <f aca="false">TEXT(B3449,"mmm")</f>
        <v>Jun</v>
      </c>
      <c r="R3449" s="1" t="str">
        <f aca="false">"Q"&amp;ROUNDUP(MONTH(B3449)/3,0)</f>
        <v>Q2</v>
      </c>
    </row>
    <row r="3450" customFormat="false" ht="15" hidden="false" customHeight="true" outlineLevel="0" collapsed="false">
      <c r="A3450" s="1" t="n">
        <v>13449</v>
      </c>
      <c r="B3450" s="14" t="n">
        <v>48010</v>
      </c>
      <c r="C3450" s="1" t="n">
        <v>1924</v>
      </c>
      <c r="D3450" s="1" t="s">
        <v>30</v>
      </c>
      <c r="E3450" s="1" t="s">
        <v>36</v>
      </c>
      <c r="F3450" s="1" t="n">
        <v>7</v>
      </c>
      <c r="G3450" s="15" t="n">
        <v>243.32</v>
      </c>
      <c r="H3450" s="16" t="n">
        <v>0.12</v>
      </c>
      <c r="I3450" s="1" t="s">
        <v>29</v>
      </c>
      <c r="J3450" s="1" t="n">
        <v>1</v>
      </c>
      <c r="K3450" s="1" t="n">
        <v>2.5</v>
      </c>
      <c r="L3450" s="15" t="n">
        <v>1498.85</v>
      </c>
      <c r="M3450" s="15" t="n">
        <f aca="false">F3450*G3450</f>
        <v>1703.24</v>
      </c>
      <c r="N3450" s="15" t="n">
        <f aca="false">M3450-L3450</f>
        <v>204.39</v>
      </c>
      <c r="O3450" s="1" t="n">
        <f aca="false">YEAR(B3450)</f>
        <v>2031</v>
      </c>
      <c r="P3450" s="1" t="n">
        <f aca="false">MONTH(B3450)</f>
        <v>6</v>
      </c>
      <c r="Q3450" s="1" t="str">
        <f aca="false">TEXT(B3450,"mmm")</f>
        <v>Jun</v>
      </c>
      <c r="R3450" s="1" t="str">
        <f aca="false">"Q"&amp;ROUNDUP(MONTH(B3450)/3,0)</f>
        <v>Q2</v>
      </c>
    </row>
    <row r="3451" customFormat="false" ht="15" hidden="false" customHeight="true" outlineLevel="0" collapsed="false">
      <c r="A3451" s="1" t="n">
        <v>13450</v>
      </c>
      <c r="B3451" s="14" t="n">
        <v>48011</v>
      </c>
      <c r="C3451" s="1" t="n">
        <v>1421</v>
      </c>
      <c r="D3451" s="1" t="s">
        <v>30</v>
      </c>
      <c r="E3451" s="1" t="s">
        <v>35</v>
      </c>
      <c r="F3451" s="1" t="n">
        <v>2</v>
      </c>
      <c r="G3451" s="15" t="n">
        <v>397.9</v>
      </c>
      <c r="H3451" s="16" t="n">
        <v>0.19</v>
      </c>
      <c r="I3451" s="1" t="s">
        <v>29</v>
      </c>
      <c r="J3451" s="1" t="n">
        <v>3</v>
      </c>
      <c r="K3451" s="1" t="n">
        <v>3</v>
      </c>
      <c r="L3451" s="15" t="n">
        <v>644.6</v>
      </c>
      <c r="M3451" s="15" t="n">
        <f aca="false">F3451*G3451</f>
        <v>795.8</v>
      </c>
      <c r="N3451" s="15" t="n">
        <f aca="false">M3451-L3451</f>
        <v>151.2</v>
      </c>
      <c r="O3451" s="1" t="n">
        <f aca="false">YEAR(B3451)</f>
        <v>2031</v>
      </c>
      <c r="P3451" s="1" t="n">
        <f aca="false">MONTH(B3451)</f>
        <v>6</v>
      </c>
      <c r="Q3451" s="1" t="str">
        <f aca="false">TEXT(B3451,"mmm")</f>
        <v>Jun</v>
      </c>
      <c r="R3451" s="1" t="str">
        <f aca="false">"Q"&amp;ROUNDUP(MONTH(B3451)/3,0)</f>
        <v>Q2</v>
      </c>
    </row>
    <row r="3452" customFormat="false" ht="15" hidden="false" customHeight="true" outlineLevel="0" collapsed="false">
      <c r="A3452" s="1" t="n">
        <v>13451</v>
      </c>
      <c r="B3452" s="14" t="n">
        <v>48012</v>
      </c>
      <c r="C3452" s="1" t="n">
        <v>1553</v>
      </c>
      <c r="D3452" s="1" t="s">
        <v>34</v>
      </c>
      <c r="E3452" s="1" t="s">
        <v>32</v>
      </c>
      <c r="F3452" s="1" t="n">
        <v>7</v>
      </c>
      <c r="G3452" s="15" t="n">
        <v>163.8</v>
      </c>
      <c r="H3452" s="16" t="n">
        <v>0.27</v>
      </c>
      <c r="I3452" s="1" t="s">
        <v>31</v>
      </c>
      <c r="J3452" s="1" t="n">
        <v>11</v>
      </c>
      <c r="K3452" s="1" t="n">
        <v>1.2</v>
      </c>
      <c r="L3452" s="15" t="n">
        <v>837.02</v>
      </c>
      <c r="M3452" s="15" t="n">
        <f aca="false">F3452*G3452</f>
        <v>1146.6</v>
      </c>
      <c r="N3452" s="15" t="n">
        <f aca="false">M3452-L3452</f>
        <v>309.58</v>
      </c>
      <c r="O3452" s="1" t="n">
        <f aca="false">YEAR(B3452)</f>
        <v>2031</v>
      </c>
      <c r="P3452" s="1" t="n">
        <f aca="false">MONTH(B3452)</f>
        <v>6</v>
      </c>
      <c r="Q3452" s="1" t="str">
        <f aca="false">TEXT(B3452,"mmm")</f>
        <v>Jun</v>
      </c>
      <c r="R3452" s="1" t="str">
        <f aca="false">"Q"&amp;ROUNDUP(MONTH(B3452)/3,0)</f>
        <v>Q2</v>
      </c>
    </row>
    <row r="3453" customFormat="false" ht="15" hidden="false" customHeight="true" outlineLevel="0" collapsed="false">
      <c r="A3453" s="1" t="n">
        <v>13452</v>
      </c>
      <c r="B3453" s="14" t="n">
        <v>48013</v>
      </c>
      <c r="C3453" s="1" t="n">
        <v>1020</v>
      </c>
      <c r="D3453" s="1" t="s">
        <v>30</v>
      </c>
      <c r="E3453" s="1" t="s">
        <v>28</v>
      </c>
      <c r="F3453" s="1" t="n">
        <v>2</v>
      </c>
      <c r="G3453" s="15" t="n">
        <v>267.71</v>
      </c>
      <c r="H3453" s="16" t="n">
        <v>0.24</v>
      </c>
      <c r="I3453" s="1" t="s">
        <v>31</v>
      </c>
      <c r="J3453" s="1" t="n">
        <v>2</v>
      </c>
      <c r="K3453" s="1" t="n">
        <v>5</v>
      </c>
      <c r="L3453" s="15" t="n">
        <v>406.92</v>
      </c>
      <c r="M3453" s="15" t="n">
        <f aca="false">F3453*G3453</f>
        <v>535.42</v>
      </c>
      <c r="N3453" s="15" t="n">
        <f aca="false">M3453-L3453</f>
        <v>128.5</v>
      </c>
      <c r="O3453" s="1" t="n">
        <f aca="false">YEAR(B3453)</f>
        <v>2031</v>
      </c>
      <c r="P3453" s="1" t="n">
        <f aca="false">MONTH(B3453)</f>
        <v>6</v>
      </c>
      <c r="Q3453" s="1" t="str">
        <f aca="false">TEXT(B3453,"mmm")</f>
        <v>Jun</v>
      </c>
      <c r="R3453" s="1" t="str">
        <f aca="false">"Q"&amp;ROUNDUP(MONTH(B3453)/3,0)</f>
        <v>Q2</v>
      </c>
    </row>
    <row r="3454" customFormat="false" ht="15" hidden="false" customHeight="true" outlineLevel="0" collapsed="false">
      <c r="A3454" s="1" t="n">
        <v>13453</v>
      </c>
      <c r="B3454" s="14" t="n">
        <v>48014</v>
      </c>
      <c r="C3454" s="1" t="n">
        <v>1553</v>
      </c>
      <c r="D3454" s="1" t="s">
        <v>27</v>
      </c>
      <c r="E3454" s="1" t="s">
        <v>36</v>
      </c>
      <c r="F3454" s="1" t="n">
        <v>5</v>
      </c>
      <c r="G3454" s="15" t="n">
        <v>48.18</v>
      </c>
      <c r="H3454" s="16" t="n">
        <v>0.1</v>
      </c>
      <c r="I3454" s="1" t="s">
        <v>29</v>
      </c>
      <c r="J3454" s="1" t="n">
        <v>5</v>
      </c>
      <c r="K3454" s="1" t="n">
        <v>2.4</v>
      </c>
      <c r="L3454" s="15" t="n">
        <v>216.81</v>
      </c>
      <c r="M3454" s="15" t="n">
        <f aca="false">F3454*G3454</f>
        <v>240.9</v>
      </c>
      <c r="N3454" s="15" t="n">
        <f aca="false">M3454-L3454</f>
        <v>24.09</v>
      </c>
      <c r="O3454" s="1" t="n">
        <f aca="false">YEAR(B3454)</f>
        <v>2031</v>
      </c>
      <c r="P3454" s="1" t="n">
        <f aca="false">MONTH(B3454)</f>
        <v>6</v>
      </c>
      <c r="Q3454" s="1" t="str">
        <f aca="false">TEXT(B3454,"mmm")</f>
        <v>Jun</v>
      </c>
      <c r="R3454" s="1" t="str">
        <f aca="false">"Q"&amp;ROUNDUP(MONTH(B3454)/3,0)</f>
        <v>Q2</v>
      </c>
    </row>
    <row r="3455" customFormat="false" ht="15" hidden="false" customHeight="true" outlineLevel="0" collapsed="false">
      <c r="A3455" s="1" t="n">
        <v>13454</v>
      </c>
      <c r="B3455" s="14" t="n">
        <v>48015</v>
      </c>
      <c r="C3455" s="1" t="n">
        <v>1396</v>
      </c>
      <c r="D3455" s="1" t="s">
        <v>27</v>
      </c>
      <c r="E3455" s="1" t="s">
        <v>36</v>
      </c>
      <c r="F3455" s="1" t="n">
        <v>7</v>
      </c>
      <c r="G3455" s="15" t="n">
        <v>359.03</v>
      </c>
      <c r="H3455" s="16" t="n">
        <v>0.19</v>
      </c>
      <c r="I3455" s="1" t="s">
        <v>31</v>
      </c>
      <c r="J3455" s="1" t="n">
        <v>10</v>
      </c>
      <c r="K3455" s="1" t="n">
        <v>2.9</v>
      </c>
      <c r="L3455" s="15" t="n">
        <v>2035.7</v>
      </c>
      <c r="M3455" s="15" t="n">
        <f aca="false">F3455*G3455</f>
        <v>2513.21</v>
      </c>
      <c r="N3455" s="15" t="n">
        <f aca="false">M3455-L3455</f>
        <v>477.51</v>
      </c>
      <c r="O3455" s="1" t="n">
        <f aca="false">YEAR(B3455)</f>
        <v>2031</v>
      </c>
      <c r="P3455" s="1" t="n">
        <f aca="false">MONTH(B3455)</f>
        <v>6</v>
      </c>
      <c r="Q3455" s="1" t="str">
        <f aca="false">TEXT(B3455,"mmm")</f>
        <v>Jun</v>
      </c>
      <c r="R3455" s="1" t="str">
        <f aca="false">"Q"&amp;ROUNDUP(MONTH(B3455)/3,0)</f>
        <v>Q2</v>
      </c>
    </row>
    <row r="3456" customFormat="false" ht="15" hidden="false" customHeight="true" outlineLevel="0" collapsed="false">
      <c r="A3456" s="1" t="n">
        <v>13455</v>
      </c>
      <c r="B3456" s="14" t="n">
        <v>48016</v>
      </c>
      <c r="C3456" s="1" t="n">
        <v>1624</v>
      </c>
      <c r="D3456" s="1" t="s">
        <v>34</v>
      </c>
      <c r="E3456" s="1" t="s">
        <v>36</v>
      </c>
      <c r="F3456" s="1" t="n">
        <v>3</v>
      </c>
      <c r="G3456" s="15" t="n">
        <v>457.43</v>
      </c>
      <c r="H3456" s="16" t="n">
        <v>0.29</v>
      </c>
      <c r="I3456" s="1" t="s">
        <v>31</v>
      </c>
      <c r="J3456" s="1" t="n">
        <v>5</v>
      </c>
      <c r="K3456" s="1" t="n">
        <v>4</v>
      </c>
      <c r="L3456" s="15" t="n">
        <v>974.33</v>
      </c>
      <c r="M3456" s="15" t="n">
        <f aca="false">F3456*G3456</f>
        <v>1372.29</v>
      </c>
      <c r="N3456" s="15" t="n">
        <f aca="false">M3456-L3456</f>
        <v>397.96</v>
      </c>
      <c r="O3456" s="1" t="n">
        <f aca="false">YEAR(B3456)</f>
        <v>2031</v>
      </c>
      <c r="P3456" s="1" t="n">
        <f aca="false">MONTH(B3456)</f>
        <v>6</v>
      </c>
      <c r="Q3456" s="1" t="str">
        <f aca="false">TEXT(B3456,"mmm")</f>
        <v>Jun</v>
      </c>
      <c r="R3456" s="1" t="str">
        <f aca="false">"Q"&amp;ROUNDUP(MONTH(B3456)/3,0)</f>
        <v>Q2</v>
      </c>
    </row>
    <row r="3457" customFormat="false" ht="15" hidden="false" customHeight="true" outlineLevel="0" collapsed="false">
      <c r="A3457" s="1" t="n">
        <v>13456</v>
      </c>
      <c r="B3457" s="14" t="n">
        <v>48017</v>
      </c>
      <c r="C3457" s="1" t="n">
        <v>1104</v>
      </c>
      <c r="D3457" s="1" t="s">
        <v>34</v>
      </c>
      <c r="E3457" s="1" t="s">
        <v>28</v>
      </c>
      <c r="F3457" s="1" t="n">
        <v>3</v>
      </c>
      <c r="G3457" s="15" t="n">
        <v>256.79</v>
      </c>
      <c r="H3457" s="16" t="n">
        <v>0.02</v>
      </c>
      <c r="I3457" s="1" t="s">
        <v>31</v>
      </c>
      <c r="J3457" s="1" t="n">
        <v>10</v>
      </c>
      <c r="K3457" s="1" t="n">
        <v>2.2</v>
      </c>
      <c r="L3457" s="15" t="n">
        <v>754.96</v>
      </c>
      <c r="M3457" s="15" t="n">
        <f aca="false">F3457*G3457</f>
        <v>770.37</v>
      </c>
      <c r="N3457" s="15" t="n">
        <f aca="false">M3457-L3457</f>
        <v>15.4100000000001</v>
      </c>
      <c r="O3457" s="1" t="n">
        <f aca="false">YEAR(B3457)</f>
        <v>2031</v>
      </c>
      <c r="P3457" s="1" t="n">
        <f aca="false">MONTH(B3457)</f>
        <v>6</v>
      </c>
      <c r="Q3457" s="1" t="str">
        <f aca="false">TEXT(B3457,"mmm")</f>
        <v>Jun</v>
      </c>
      <c r="R3457" s="1" t="str">
        <f aca="false">"Q"&amp;ROUNDUP(MONTH(B3457)/3,0)</f>
        <v>Q2</v>
      </c>
    </row>
    <row r="3458" customFormat="false" ht="15" hidden="false" customHeight="true" outlineLevel="0" collapsed="false">
      <c r="A3458" s="1" t="n">
        <v>13457</v>
      </c>
      <c r="B3458" s="14" t="n">
        <v>48018</v>
      </c>
      <c r="C3458" s="1" t="n">
        <v>1191</v>
      </c>
      <c r="D3458" s="1" t="s">
        <v>34</v>
      </c>
      <c r="E3458" s="1" t="s">
        <v>28</v>
      </c>
      <c r="F3458" s="1" t="n">
        <v>6</v>
      </c>
      <c r="G3458" s="15" t="n">
        <v>260.84</v>
      </c>
      <c r="H3458" s="16" t="n">
        <v>0.03</v>
      </c>
      <c r="I3458" s="1" t="s">
        <v>31</v>
      </c>
      <c r="J3458" s="1" t="n">
        <v>9</v>
      </c>
      <c r="K3458" s="1" t="n">
        <v>1.8</v>
      </c>
      <c r="L3458" s="15" t="n">
        <v>1518.09</v>
      </c>
      <c r="M3458" s="15" t="n">
        <f aca="false">F3458*G3458</f>
        <v>1565.04</v>
      </c>
      <c r="N3458" s="15" t="n">
        <f aca="false">M3458-L3458</f>
        <v>46.95</v>
      </c>
      <c r="O3458" s="1" t="n">
        <f aca="false">YEAR(B3458)</f>
        <v>2031</v>
      </c>
      <c r="P3458" s="1" t="n">
        <f aca="false">MONTH(B3458)</f>
        <v>6</v>
      </c>
      <c r="Q3458" s="1" t="str">
        <f aca="false">TEXT(B3458,"mmm")</f>
        <v>Jun</v>
      </c>
      <c r="R3458" s="1" t="str">
        <f aca="false">"Q"&amp;ROUNDUP(MONTH(B3458)/3,0)</f>
        <v>Q2</v>
      </c>
    </row>
    <row r="3459" customFormat="false" ht="15" hidden="false" customHeight="true" outlineLevel="0" collapsed="false">
      <c r="A3459" s="1" t="n">
        <v>13458</v>
      </c>
      <c r="B3459" s="14" t="n">
        <v>48019</v>
      </c>
      <c r="C3459" s="1" t="n">
        <v>1016</v>
      </c>
      <c r="D3459" s="1" t="s">
        <v>27</v>
      </c>
      <c r="E3459" s="1" t="s">
        <v>32</v>
      </c>
      <c r="F3459" s="1" t="n">
        <v>3</v>
      </c>
      <c r="G3459" s="15" t="n">
        <v>66.65</v>
      </c>
      <c r="H3459" s="16" t="n">
        <v>0.19</v>
      </c>
      <c r="I3459" s="1" t="s">
        <v>31</v>
      </c>
      <c r="J3459" s="1" t="n">
        <v>8</v>
      </c>
      <c r="K3459" s="1" t="n">
        <v>1.5</v>
      </c>
      <c r="L3459" s="15" t="n">
        <v>161.96</v>
      </c>
      <c r="M3459" s="15" t="n">
        <f aca="false">F3459*G3459</f>
        <v>199.95</v>
      </c>
      <c r="N3459" s="15" t="n">
        <f aca="false">M3459-L3459</f>
        <v>37.99</v>
      </c>
      <c r="O3459" s="1" t="n">
        <f aca="false">YEAR(B3459)</f>
        <v>2031</v>
      </c>
      <c r="P3459" s="1" t="n">
        <f aca="false">MONTH(B3459)</f>
        <v>6</v>
      </c>
      <c r="Q3459" s="1" t="str">
        <f aca="false">TEXT(B3459,"mmm")</f>
        <v>Jun</v>
      </c>
      <c r="R3459" s="1" t="str">
        <f aca="false">"Q"&amp;ROUNDUP(MONTH(B3459)/3,0)</f>
        <v>Q2</v>
      </c>
    </row>
    <row r="3460" customFormat="false" ht="15" hidden="false" customHeight="true" outlineLevel="0" collapsed="false">
      <c r="A3460" s="1" t="n">
        <v>13459</v>
      </c>
      <c r="B3460" s="14" t="n">
        <v>48020</v>
      </c>
      <c r="C3460" s="1" t="n">
        <v>1119</v>
      </c>
      <c r="D3460" s="1" t="s">
        <v>34</v>
      </c>
      <c r="E3460" s="1" t="s">
        <v>35</v>
      </c>
      <c r="F3460" s="1" t="n">
        <v>6</v>
      </c>
      <c r="G3460" s="15" t="n">
        <v>133.14</v>
      </c>
      <c r="H3460" s="16" t="n">
        <v>0.22</v>
      </c>
      <c r="I3460" s="1" t="s">
        <v>31</v>
      </c>
      <c r="J3460" s="1" t="n">
        <v>3</v>
      </c>
      <c r="K3460" s="1" t="n">
        <v>3.1</v>
      </c>
      <c r="L3460" s="15" t="n">
        <v>623.1</v>
      </c>
      <c r="M3460" s="15" t="n">
        <f aca="false">F3460*G3460</f>
        <v>798.84</v>
      </c>
      <c r="N3460" s="15" t="n">
        <f aca="false">M3460-L3460</f>
        <v>175.74</v>
      </c>
      <c r="O3460" s="1" t="n">
        <f aca="false">YEAR(B3460)</f>
        <v>2031</v>
      </c>
      <c r="P3460" s="1" t="n">
        <f aca="false">MONTH(B3460)</f>
        <v>6</v>
      </c>
      <c r="Q3460" s="1" t="str">
        <f aca="false">TEXT(B3460,"mmm")</f>
        <v>Jun</v>
      </c>
      <c r="R3460" s="1" t="str">
        <f aca="false">"Q"&amp;ROUNDUP(MONTH(B3460)/3,0)</f>
        <v>Q2</v>
      </c>
    </row>
    <row r="3461" customFormat="false" ht="15" hidden="false" customHeight="true" outlineLevel="0" collapsed="false">
      <c r="A3461" s="1" t="n">
        <v>13460</v>
      </c>
      <c r="B3461" s="14" t="n">
        <v>48021</v>
      </c>
      <c r="C3461" s="1" t="n">
        <v>1392</v>
      </c>
      <c r="D3461" s="1" t="s">
        <v>37</v>
      </c>
      <c r="E3461" s="1" t="s">
        <v>35</v>
      </c>
      <c r="F3461" s="1" t="n">
        <v>3</v>
      </c>
      <c r="G3461" s="15" t="n">
        <v>105.49</v>
      </c>
      <c r="H3461" s="16" t="n">
        <v>0.07</v>
      </c>
      <c r="I3461" s="1" t="s">
        <v>33</v>
      </c>
      <c r="J3461" s="1" t="n">
        <v>1</v>
      </c>
      <c r="K3461" s="1" t="n">
        <v>1</v>
      </c>
      <c r="L3461" s="15" t="n">
        <v>294.32</v>
      </c>
      <c r="M3461" s="15" t="n">
        <f aca="false">F3461*G3461</f>
        <v>316.47</v>
      </c>
      <c r="N3461" s="15" t="n">
        <f aca="false">M3461-L3461</f>
        <v>22.15</v>
      </c>
      <c r="O3461" s="1" t="n">
        <f aca="false">YEAR(B3461)</f>
        <v>2031</v>
      </c>
      <c r="P3461" s="1" t="n">
        <f aca="false">MONTH(B3461)</f>
        <v>6</v>
      </c>
      <c r="Q3461" s="1" t="str">
        <f aca="false">TEXT(B3461,"mmm")</f>
        <v>Jun</v>
      </c>
      <c r="R3461" s="1" t="str">
        <f aca="false">"Q"&amp;ROUNDUP(MONTH(B3461)/3,0)</f>
        <v>Q2</v>
      </c>
    </row>
    <row r="3462" customFormat="false" ht="15" hidden="false" customHeight="true" outlineLevel="0" collapsed="false">
      <c r="A3462" s="1" t="n">
        <v>13461</v>
      </c>
      <c r="B3462" s="14" t="n">
        <v>48022</v>
      </c>
      <c r="C3462" s="1" t="n">
        <v>1424</v>
      </c>
      <c r="D3462" s="1" t="s">
        <v>34</v>
      </c>
      <c r="E3462" s="1" t="s">
        <v>35</v>
      </c>
      <c r="F3462" s="1" t="n">
        <v>4</v>
      </c>
      <c r="G3462" s="15" t="n">
        <v>296.79</v>
      </c>
      <c r="H3462" s="16" t="n">
        <v>0.26</v>
      </c>
      <c r="I3462" s="1" t="s">
        <v>29</v>
      </c>
      <c r="J3462" s="1" t="n">
        <v>5</v>
      </c>
      <c r="K3462" s="1" t="n">
        <v>3.8</v>
      </c>
      <c r="L3462" s="15" t="n">
        <v>878.5</v>
      </c>
      <c r="M3462" s="15" t="n">
        <f aca="false">F3462*G3462</f>
        <v>1187.16</v>
      </c>
      <c r="N3462" s="15" t="n">
        <f aca="false">M3462-L3462</f>
        <v>308.66</v>
      </c>
      <c r="O3462" s="1" t="n">
        <f aca="false">YEAR(B3462)</f>
        <v>2031</v>
      </c>
      <c r="P3462" s="1" t="n">
        <f aca="false">MONTH(B3462)</f>
        <v>6</v>
      </c>
      <c r="Q3462" s="1" t="str">
        <f aca="false">TEXT(B3462,"mmm")</f>
        <v>Jun</v>
      </c>
      <c r="R3462" s="1" t="str">
        <f aca="false">"Q"&amp;ROUNDUP(MONTH(B3462)/3,0)</f>
        <v>Q2</v>
      </c>
    </row>
    <row r="3463" customFormat="false" ht="15" hidden="false" customHeight="true" outlineLevel="0" collapsed="false">
      <c r="A3463" s="1" t="n">
        <v>13462</v>
      </c>
      <c r="B3463" s="14" t="n">
        <v>48023</v>
      </c>
      <c r="C3463" s="1" t="n">
        <v>1128</v>
      </c>
      <c r="D3463" s="1" t="s">
        <v>30</v>
      </c>
      <c r="E3463" s="1" t="s">
        <v>36</v>
      </c>
      <c r="F3463" s="1" t="n">
        <v>1</v>
      </c>
      <c r="G3463" s="15" t="n">
        <v>324.61</v>
      </c>
      <c r="H3463" s="16" t="n">
        <v>0.23</v>
      </c>
      <c r="I3463" s="1" t="s">
        <v>29</v>
      </c>
      <c r="J3463" s="1" t="n">
        <v>11</v>
      </c>
      <c r="K3463" s="1" t="n">
        <v>2.8</v>
      </c>
      <c r="L3463" s="15" t="n">
        <v>249.95</v>
      </c>
      <c r="M3463" s="15" t="n">
        <f aca="false">F3463*G3463</f>
        <v>324.61</v>
      </c>
      <c r="N3463" s="15" t="n">
        <f aca="false">M3463-L3463</f>
        <v>74.66</v>
      </c>
      <c r="O3463" s="1" t="n">
        <f aca="false">YEAR(B3463)</f>
        <v>2031</v>
      </c>
      <c r="P3463" s="1" t="n">
        <f aca="false">MONTH(B3463)</f>
        <v>6</v>
      </c>
      <c r="Q3463" s="1" t="str">
        <f aca="false">TEXT(B3463,"mmm")</f>
        <v>Jun</v>
      </c>
      <c r="R3463" s="1" t="str">
        <f aca="false">"Q"&amp;ROUNDUP(MONTH(B3463)/3,0)</f>
        <v>Q2</v>
      </c>
    </row>
    <row r="3464" customFormat="false" ht="15" hidden="false" customHeight="true" outlineLevel="0" collapsed="false">
      <c r="A3464" s="1" t="n">
        <v>13463</v>
      </c>
      <c r="B3464" s="14" t="n">
        <v>48024</v>
      </c>
      <c r="C3464" s="1" t="n">
        <v>1129</v>
      </c>
      <c r="D3464" s="1" t="s">
        <v>30</v>
      </c>
      <c r="E3464" s="1" t="s">
        <v>35</v>
      </c>
      <c r="F3464" s="1" t="n">
        <v>3</v>
      </c>
      <c r="G3464" s="15" t="n">
        <v>570.13</v>
      </c>
      <c r="H3464" s="16" t="n">
        <v>0.32</v>
      </c>
      <c r="I3464" s="1" t="s">
        <v>31</v>
      </c>
      <c r="J3464" s="1" t="n">
        <v>3</v>
      </c>
      <c r="K3464" s="1" t="n">
        <v>3.1</v>
      </c>
      <c r="L3464" s="15" t="n">
        <v>1163.07</v>
      </c>
      <c r="M3464" s="15" t="n">
        <f aca="false">F3464*G3464</f>
        <v>1710.39</v>
      </c>
      <c r="N3464" s="15" t="n">
        <f aca="false">M3464-L3464</f>
        <v>547.32</v>
      </c>
      <c r="O3464" s="1" t="n">
        <f aca="false">YEAR(B3464)</f>
        <v>2031</v>
      </c>
      <c r="P3464" s="1" t="n">
        <f aca="false">MONTH(B3464)</f>
        <v>6</v>
      </c>
      <c r="Q3464" s="1" t="str">
        <f aca="false">TEXT(B3464,"mmm")</f>
        <v>Jun</v>
      </c>
      <c r="R3464" s="1" t="str">
        <f aca="false">"Q"&amp;ROUNDUP(MONTH(B3464)/3,0)</f>
        <v>Q2</v>
      </c>
    </row>
    <row r="3465" customFormat="false" ht="15" hidden="false" customHeight="true" outlineLevel="0" collapsed="false">
      <c r="A3465" s="1" t="n">
        <v>13464</v>
      </c>
      <c r="B3465" s="14" t="n">
        <v>48025</v>
      </c>
      <c r="C3465" s="1" t="n">
        <v>1571</v>
      </c>
      <c r="D3465" s="1" t="s">
        <v>37</v>
      </c>
      <c r="E3465" s="1" t="s">
        <v>36</v>
      </c>
      <c r="F3465" s="1" t="n">
        <v>1</v>
      </c>
      <c r="G3465" s="15" t="n">
        <v>57.84</v>
      </c>
      <c r="H3465" s="16" t="n">
        <v>0.06</v>
      </c>
      <c r="I3465" s="1" t="s">
        <v>31</v>
      </c>
      <c r="J3465" s="1" t="n">
        <v>5</v>
      </c>
      <c r="K3465" s="1" t="n">
        <v>2.1</v>
      </c>
      <c r="L3465" s="15" t="n">
        <v>54.37</v>
      </c>
      <c r="M3465" s="15" t="n">
        <f aca="false">F3465*G3465</f>
        <v>57.84</v>
      </c>
      <c r="N3465" s="15" t="n">
        <f aca="false">M3465-L3465</f>
        <v>3.47000000000001</v>
      </c>
      <c r="O3465" s="1" t="n">
        <f aca="false">YEAR(B3465)</f>
        <v>2031</v>
      </c>
      <c r="P3465" s="1" t="n">
        <f aca="false">MONTH(B3465)</f>
        <v>6</v>
      </c>
      <c r="Q3465" s="1" t="str">
        <f aca="false">TEXT(B3465,"mmm")</f>
        <v>Jun</v>
      </c>
      <c r="R3465" s="1" t="str">
        <f aca="false">"Q"&amp;ROUNDUP(MONTH(B3465)/3,0)</f>
        <v>Q2</v>
      </c>
    </row>
    <row r="3466" customFormat="false" ht="15" hidden="false" customHeight="true" outlineLevel="0" collapsed="false">
      <c r="A3466" s="1" t="n">
        <v>13465</v>
      </c>
      <c r="B3466" s="14" t="n">
        <v>48026</v>
      </c>
      <c r="C3466" s="1" t="n">
        <v>1559</v>
      </c>
      <c r="D3466" s="1" t="s">
        <v>34</v>
      </c>
      <c r="E3466" s="1" t="s">
        <v>32</v>
      </c>
      <c r="F3466" s="1" t="n">
        <v>2</v>
      </c>
      <c r="G3466" s="15" t="n">
        <v>365.92</v>
      </c>
      <c r="H3466" s="16" t="n">
        <v>0.26</v>
      </c>
      <c r="I3466" s="1" t="s">
        <v>33</v>
      </c>
      <c r="J3466" s="1" t="n">
        <v>9</v>
      </c>
      <c r="K3466" s="1" t="n">
        <v>1.7</v>
      </c>
      <c r="L3466" s="15" t="n">
        <v>541.56</v>
      </c>
      <c r="M3466" s="15" t="n">
        <f aca="false">F3466*G3466</f>
        <v>731.84</v>
      </c>
      <c r="N3466" s="15" t="n">
        <f aca="false">M3466-L3466</f>
        <v>190.28</v>
      </c>
      <c r="O3466" s="1" t="n">
        <f aca="false">YEAR(B3466)</f>
        <v>2031</v>
      </c>
      <c r="P3466" s="1" t="n">
        <f aca="false">MONTH(B3466)</f>
        <v>6</v>
      </c>
      <c r="Q3466" s="1" t="str">
        <f aca="false">TEXT(B3466,"mmm")</f>
        <v>Jun</v>
      </c>
      <c r="R3466" s="1" t="str">
        <f aca="false">"Q"&amp;ROUNDUP(MONTH(B3466)/3,0)</f>
        <v>Q2</v>
      </c>
    </row>
    <row r="3467" customFormat="false" ht="15" hidden="false" customHeight="true" outlineLevel="0" collapsed="false">
      <c r="A3467" s="1" t="n">
        <v>13466</v>
      </c>
      <c r="B3467" s="14" t="n">
        <v>48027</v>
      </c>
      <c r="C3467" s="1" t="n">
        <v>1028</v>
      </c>
      <c r="D3467" s="1" t="s">
        <v>30</v>
      </c>
      <c r="E3467" s="1" t="s">
        <v>36</v>
      </c>
      <c r="F3467" s="1" t="n">
        <v>5</v>
      </c>
      <c r="G3467" s="15" t="n">
        <v>323</v>
      </c>
      <c r="H3467" s="16" t="n">
        <v>0.03</v>
      </c>
      <c r="I3467" s="1" t="s">
        <v>33</v>
      </c>
      <c r="J3467" s="1" t="n">
        <v>11</v>
      </c>
      <c r="K3467" s="1" t="n">
        <v>3.8</v>
      </c>
      <c r="L3467" s="15" t="n">
        <v>1566.55</v>
      </c>
      <c r="M3467" s="15" t="n">
        <f aca="false">F3467*G3467</f>
        <v>1615</v>
      </c>
      <c r="N3467" s="15" t="n">
        <f aca="false">M3467-L3467</f>
        <v>48.45</v>
      </c>
      <c r="O3467" s="1" t="n">
        <f aca="false">YEAR(B3467)</f>
        <v>2031</v>
      </c>
      <c r="P3467" s="1" t="n">
        <f aca="false">MONTH(B3467)</f>
        <v>6</v>
      </c>
      <c r="Q3467" s="1" t="str">
        <f aca="false">TEXT(B3467,"mmm")</f>
        <v>Jun</v>
      </c>
      <c r="R3467" s="1" t="str">
        <f aca="false">"Q"&amp;ROUNDUP(MONTH(B3467)/3,0)</f>
        <v>Q2</v>
      </c>
    </row>
    <row r="3468" customFormat="false" ht="15" hidden="false" customHeight="true" outlineLevel="0" collapsed="false">
      <c r="A3468" s="1" t="n">
        <v>13467</v>
      </c>
      <c r="B3468" s="14" t="n">
        <v>48028</v>
      </c>
      <c r="C3468" s="1" t="n">
        <v>1096</v>
      </c>
      <c r="D3468" s="1" t="s">
        <v>34</v>
      </c>
      <c r="E3468" s="1" t="s">
        <v>32</v>
      </c>
      <c r="F3468" s="1" t="n">
        <v>7</v>
      </c>
      <c r="G3468" s="15" t="n">
        <v>317</v>
      </c>
      <c r="H3468" s="16" t="n">
        <v>0.2</v>
      </c>
      <c r="I3468" s="1" t="s">
        <v>31</v>
      </c>
      <c r="J3468" s="1" t="n">
        <v>1</v>
      </c>
      <c r="K3468" s="1" t="n">
        <v>1.8</v>
      </c>
      <c r="L3468" s="15" t="n">
        <v>1775.2</v>
      </c>
      <c r="M3468" s="15" t="n">
        <f aca="false">F3468*G3468</f>
        <v>2219</v>
      </c>
      <c r="N3468" s="15" t="n">
        <f aca="false">M3468-L3468</f>
        <v>443.8</v>
      </c>
      <c r="O3468" s="1" t="n">
        <f aca="false">YEAR(B3468)</f>
        <v>2031</v>
      </c>
      <c r="P3468" s="1" t="n">
        <f aca="false">MONTH(B3468)</f>
        <v>6</v>
      </c>
      <c r="Q3468" s="1" t="str">
        <f aca="false">TEXT(B3468,"mmm")</f>
        <v>Jun</v>
      </c>
      <c r="R3468" s="1" t="str">
        <f aca="false">"Q"&amp;ROUNDUP(MONTH(B3468)/3,0)</f>
        <v>Q2</v>
      </c>
    </row>
    <row r="3469" customFormat="false" ht="15" hidden="false" customHeight="true" outlineLevel="0" collapsed="false">
      <c r="A3469" s="1" t="n">
        <v>13468</v>
      </c>
      <c r="B3469" s="14" t="n">
        <v>48029</v>
      </c>
      <c r="C3469" s="1" t="n">
        <v>1009</v>
      </c>
      <c r="D3469" s="1" t="s">
        <v>37</v>
      </c>
      <c r="E3469" s="1" t="s">
        <v>32</v>
      </c>
      <c r="F3469" s="1" t="n">
        <v>7</v>
      </c>
      <c r="G3469" s="15" t="n">
        <v>525.8</v>
      </c>
      <c r="H3469" s="16" t="n">
        <v>0.19</v>
      </c>
      <c r="I3469" s="1" t="s">
        <v>31</v>
      </c>
      <c r="J3469" s="1" t="n">
        <v>1</v>
      </c>
      <c r="K3469" s="1" t="n">
        <v>4.1</v>
      </c>
      <c r="L3469" s="15" t="n">
        <v>2981.29</v>
      </c>
      <c r="M3469" s="15" t="n">
        <f aca="false">F3469*G3469</f>
        <v>3680.6</v>
      </c>
      <c r="N3469" s="15" t="n">
        <f aca="false">M3469-L3469</f>
        <v>699.31</v>
      </c>
      <c r="O3469" s="1" t="n">
        <f aca="false">YEAR(B3469)</f>
        <v>2031</v>
      </c>
      <c r="P3469" s="1" t="n">
        <f aca="false">MONTH(B3469)</f>
        <v>6</v>
      </c>
      <c r="Q3469" s="1" t="str">
        <f aca="false">TEXT(B3469,"mmm")</f>
        <v>Jun</v>
      </c>
      <c r="R3469" s="1" t="str">
        <f aca="false">"Q"&amp;ROUNDUP(MONTH(B3469)/3,0)</f>
        <v>Q2</v>
      </c>
    </row>
    <row r="3470" customFormat="false" ht="15" hidden="false" customHeight="true" outlineLevel="0" collapsed="false">
      <c r="A3470" s="1" t="n">
        <v>13469</v>
      </c>
      <c r="B3470" s="14" t="n">
        <v>48030</v>
      </c>
      <c r="C3470" s="1" t="n">
        <v>1241</v>
      </c>
      <c r="D3470" s="1" t="s">
        <v>27</v>
      </c>
      <c r="E3470" s="1" t="s">
        <v>35</v>
      </c>
      <c r="F3470" s="1" t="n">
        <v>2</v>
      </c>
      <c r="G3470" s="15" t="n">
        <v>135.24</v>
      </c>
      <c r="H3470" s="16" t="n">
        <v>0.14</v>
      </c>
      <c r="I3470" s="1" t="s">
        <v>31</v>
      </c>
      <c r="J3470" s="1" t="n">
        <v>9</v>
      </c>
      <c r="K3470" s="1" t="n">
        <v>1.8</v>
      </c>
      <c r="L3470" s="15" t="n">
        <v>232.61</v>
      </c>
      <c r="M3470" s="15" t="n">
        <f aca="false">F3470*G3470</f>
        <v>270.48</v>
      </c>
      <c r="N3470" s="15" t="n">
        <f aca="false">M3470-L3470</f>
        <v>37.87</v>
      </c>
      <c r="O3470" s="1" t="n">
        <f aca="false">YEAR(B3470)</f>
        <v>2031</v>
      </c>
      <c r="P3470" s="1" t="n">
        <f aca="false">MONTH(B3470)</f>
        <v>7</v>
      </c>
      <c r="Q3470" s="1" t="str">
        <f aca="false">TEXT(B3470,"mmm")</f>
        <v>Jul</v>
      </c>
      <c r="R3470" s="1" t="str">
        <f aca="false">"Q"&amp;ROUNDUP(MONTH(B3470)/3,0)</f>
        <v>Q3</v>
      </c>
    </row>
    <row r="3471" customFormat="false" ht="15" hidden="false" customHeight="true" outlineLevel="0" collapsed="false">
      <c r="A3471" s="1" t="n">
        <v>13470</v>
      </c>
      <c r="B3471" s="14" t="n">
        <v>48031</v>
      </c>
      <c r="C3471" s="1" t="n">
        <v>1825</v>
      </c>
      <c r="D3471" s="1" t="s">
        <v>34</v>
      </c>
      <c r="E3471" s="1" t="s">
        <v>35</v>
      </c>
      <c r="F3471" s="1" t="n">
        <v>3</v>
      </c>
      <c r="G3471" s="15" t="n">
        <v>38.85</v>
      </c>
      <c r="H3471" s="16" t="n">
        <v>0.3</v>
      </c>
      <c r="I3471" s="1" t="s">
        <v>31</v>
      </c>
      <c r="J3471" s="1" t="n">
        <v>3</v>
      </c>
      <c r="K3471" s="1" t="n">
        <v>3.5</v>
      </c>
      <c r="L3471" s="15" t="n">
        <v>81.59</v>
      </c>
      <c r="M3471" s="15" t="n">
        <f aca="false">F3471*G3471</f>
        <v>116.55</v>
      </c>
      <c r="N3471" s="15" t="n">
        <f aca="false">M3471-L3471</f>
        <v>34.96</v>
      </c>
      <c r="O3471" s="1" t="n">
        <f aca="false">YEAR(B3471)</f>
        <v>2031</v>
      </c>
      <c r="P3471" s="1" t="n">
        <f aca="false">MONTH(B3471)</f>
        <v>7</v>
      </c>
      <c r="Q3471" s="1" t="str">
        <f aca="false">TEXT(B3471,"mmm")</f>
        <v>Jul</v>
      </c>
      <c r="R3471" s="1" t="str">
        <f aca="false">"Q"&amp;ROUNDUP(MONTH(B3471)/3,0)</f>
        <v>Q3</v>
      </c>
    </row>
    <row r="3472" customFormat="false" ht="15" hidden="false" customHeight="true" outlineLevel="0" collapsed="false">
      <c r="A3472" s="1" t="n">
        <v>13471</v>
      </c>
      <c r="B3472" s="14" t="n">
        <v>48032</v>
      </c>
      <c r="C3472" s="1" t="n">
        <v>1955</v>
      </c>
      <c r="D3472" s="1" t="s">
        <v>27</v>
      </c>
      <c r="E3472" s="1" t="s">
        <v>36</v>
      </c>
      <c r="F3472" s="1" t="n">
        <v>7</v>
      </c>
      <c r="G3472" s="15" t="n">
        <v>408.28</v>
      </c>
      <c r="H3472" s="16" t="n">
        <v>0</v>
      </c>
      <c r="I3472" s="1" t="s">
        <v>31</v>
      </c>
      <c r="J3472" s="1" t="n">
        <v>10</v>
      </c>
      <c r="K3472" s="1" t="n">
        <v>3.6</v>
      </c>
      <c r="L3472" s="15" t="n">
        <v>2857.96</v>
      </c>
      <c r="M3472" s="15" t="n">
        <f aca="false">F3472*G3472</f>
        <v>2857.96</v>
      </c>
      <c r="N3472" s="15" t="n">
        <f aca="false">M3472-L3472</f>
        <v>0</v>
      </c>
      <c r="O3472" s="1" t="n">
        <f aca="false">YEAR(B3472)</f>
        <v>2031</v>
      </c>
      <c r="P3472" s="1" t="n">
        <f aca="false">MONTH(B3472)</f>
        <v>7</v>
      </c>
      <c r="Q3472" s="1" t="str">
        <f aca="false">TEXT(B3472,"mmm")</f>
        <v>Jul</v>
      </c>
      <c r="R3472" s="1" t="str">
        <f aca="false">"Q"&amp;ROUNDUP(MONTH(B3472)/3,0)</f>
        <v>Q3</v>
      </c>
    </row>
    <row r="3473" customFormat="false" ht="15" hidden="false" customHeight="true" outlineLevel="0" collapsed="false">
      <c r="A3473" s="1" t="n">
        <v>13472</v>
      </c>
      <c r="B3473" s="14" t="n">
        <v>48033</v>
      </c>
      <c r="C3473" s="1" t="n">
        <v>1231</v>
      </c>
      <c r="D3473" s="1" t="s">
        <v>30</v>
      </c>
      <c r="E3473" s="1" t="s">
        <v>28</v>
      </c>
      <c r="F3473" s="1" t="n">
        <v>6</v>
      </c>
      <c r="G3473" s="15" t="n">
        <v>216.92</v>
      </c>
      <c r="H3473" s="16" t="n">
        <v>0.18</v>
      </c>
      <c r="I3473" s="1" t="s">
        <v>29</v>
      </c>
      <c r="J3473" s="1" t="n">
        <v>5</v>
      </c>
      <c r="K3473" s="1" t="n">
        <v>3</v>
      </c>
      <c r="L3473" s="15" t="n">
        <v>1067.25</v>
      </c>
      <c r="M3473" s="15" t="n">
        <f aca="false">F3473*G3473</f>
        <v>1301.52</v>
      </c>
      <c r="N3473" s="15" t="n">
        <f aca="false">M3473-L3473</f>
        <v>234.27</v>
      </c>
      <c r="O3473" s="1" t="n">
        <f aca="false">YEAR(B3473)</f>
        <v>2031</v>
      </c>
      <c r="P3473" s="1" t="n">
        <f aca="false">MONTH(B3473)</f>
        <v>7</v>
      </c>
      <c r="Q3473" s="1" t="str">
        <f aca="false">TEXT(B3473,"mmm")</f>
        <v>Jul</v>
      </c>
      <c r="R3473" s="1" t="str">
        <f aca="false">"Q"&amp;ROUNDUP(MONTH(B3473)/3,0)</f>
        <v>Q3</v>
      </c>
    </row>
    <row r="3474" customFormat="false" ht="15" hidden="false" customHeight="true" outlineLevel="0" collapsed="false">
      <c r="A3474" s="1" t="n">
        <v>13473</v>
      </c>
      <c r="B3474" s="14" t="n">
        <v>48034</v>
      </c>
      <c r="C3474" s="1" t="n">
        <v>1788</v>
      </c>
      <c r="D3474" s="1" t="s">
        <v>34</v>
      </c>
      <c r="E3474" s="1" t="s">
        <v>35</v>
      </c>
      <c r="F3474" s="1" t="n">
        <v>2</v>
      </c>
      <c r="G3474" s="15" t="n">
        <v>25.29</v>
      </c>
      <c r="H3474" s="16" t="n">
        <v>0.08</v>
      </c>
      <c r="I3474" s="1" t="s">
        <v>31</v>
      </c>
      <c r="J3474" s="1" t="n">
        <v>9</v>
      </c>
      <c r="K3474" s="1" t="n">
        <v>5</v>
      </c>
      <c r="L3474" s="15" t="n">
        <v>46.53</v>
      </c>
      <c r="M3474" s="15" t="n">
        <f aca="false">F3474*G3474</f>
        <v>50.58</v>
      </c>
      <c r="N3474" s="15" t="n">
        <f aca="false">M3474-L3474</f>
        <v>4.05</v>
      </c>
      <c r="O3474" s="1" t="n">
        <f aca="false">YEAR(B3474)</f>
        <v>2031</v>
      </c>
      <c r="P3474" s="1" t="n">
        <f aca="false">MONTH(B3474)</f>
        <v>7</v>
      </c>
      <c r="Q3474" s="1" t="str">
        <f aca="false">TEXT(B3474,"mmm")</f>
        <v>Jul</v>
      </c>
      <c r="R3474" s="1" t="str">
        <f aca="false">"Q"&amp;ROUNDUP(MONTH(B3474)/3,0)</f>
        <v>Q3</v>
      </c>
    </row>
    <row r="3475" customFormat="false" ht="15" hidden="false" customHeight="true" outlineLevel="0" collapsed="false">
      <c r="A3475" s="1" t="n">
        <v>13474</v>
      </c>
      <c r="B3475" s="14" t="n">
        <v>48035</v>
      </c>
      <c r="C3475" s="1" t="n">
        <v>1283</v>
      </c>
      <c r="D3475" s="1" t="s">
        <v>30</v>
      </c>
      <c r="E3475" s="1" t="s">
        <v>35</v>
      </c>
      <c r="F3475" s="1" t="n">
        <v>4</v>
      </c>
      <c r="G3475" s="15" t="n">
        <v>162.05</v>
      </c>
      <c r="H3475" s="16" t="n">
        <v>0.26</v>
      </c>
      <c r="I3475" s="1" t="s">
        <v>29</v>
      </c>
      <c r="J3475" s="1" t="n">
        <v>11</v>
      </c>
      <c r="K3475" s="1" t="n">
        <v>2.5</v>
      </c>
      <c r="L3475" s="15" t="n">
        <v>479.67</v>
      </c>
      <c r="M3475" s="15" t="n">
        <f aca="false">F3475*G3475</f>
        <v>648.2</v>
      </c>
      <c r="N3475" s="15" t="n">
        <f aca="false">M3475-L3475</f>
        <v>168.53</v>
      </c>
      <c r="O3475" s="1" t="n">
        <f aca="false">YEAR(B3475)</f>
        <v>2031</v>
      </c>
      <c r="P3475" s="1" t="n">
        <f aca="false">MONTH(B3475)</f>
        <v>7</v>
      </c>
      <c r="Q3475" s="1" t="str">
        <f aca="false">TEXT(B3475,"mmm")</f>
        <v>Jul</v>
      </c>
      <c r="R3475" s="1" t="str">
        <f aca="false">"Q"&amp;ROUNDUP(MONTH(B3475)/3,0)</f>
        <v>Q3</v>
      </c>
    </row>
    <row r="3476" customFormat="false" ht="15" hidden="false" customHeight="true" outlineLevel="0" collapsed="false">
      <c r="A3476" s="1" t="n">
        <v>13475</v>
      </c>
      <c r="B3476" s="14" t="n">
        <v>48036</v>
      </c>
      <c r="C3476" s="1" t="n">
        <v>1714</v>
      </c>
      <c r="D3476" s="1" t="s">
        <v>34</v>
      </c>
      <c r="E3476" s="1" t="s">
        <v>28</v>
      </c>
      <c r="F3476" s="1" t="n">
        <v>1</v>
      </c>
      <c r="G3476" s="15" t="n">
        <v>195.96</v>
      </c>
      <c r="H3476" s="16" t="n">
        <v>0.02</v>
      </c>
      <c r="I3476" s="1" t="s">
        <v>29</v>
      </c>
      <c r="J3476" s="1" t="n">
        <v>5</v>
      </c>
      <c r="K3476" s="1" t="n">
        <v>4.5</v>
      </c>
      <c r="L3476" s="15" t="n">
        <v>192.04</v>
      </c>
      <c r="M3476" s="15" t="n">
        <f aca="false">F3476*G3476</f>
        <v>195.96</v>
      </c>
      <c r="N3476" s="15" t="n">
        <f aca="false">M3476-L3476</f>
        <v>3.92000000000002</v>
      </c>
      <c r="O3476" s="1" t="n">
        <f aca="false">YEAR(B3476)</f>
        <v>2031</v>
      </c>
      <c r="P3476" s="1" t="n">
        <f aca="false">MONTH(B3476)</f>
        <v>7</v>
      </c>
      <c r="Q3476" s="1" t="str">
        <f aca="false">TEXT(B3476,"mmm")</f>
        <v>Jul</v>
      </c>
      <c r="R3476" s="1" t="str">
        <f aca="false">"Q"&amp;ROUNDUP(MONTH(B3476)/3,0)</f>
        <v>Q3</v>
      </c>
    </row>
    <row r="3477" customFormat="false" ht="15" hidden="false" customHeight="true" outlineLevel="0" collapsed="false">
      <c r="A3477" s="1" t="n">
        <v>13476</v>
      </c>
      <c r="B3477" s="14" t="n">
        <v>48037</v>
      </c>
      <c r="C3477" s="1" t="n">
        <v>1758</v>
      </c>
      <c r="D3477" s="1" t="s">
        <v>37</v>
      </c>
      <c r="E3477" s="1" t="s">
        <v>28</v>
      </c>
      <c r="F3477" s="1" t="n">
        <v>6</v>
      </c>
      <c r="G3477" s="15" t="n">
        <v>375.85</v>
      </c>
      <c r="H3477" s="16" t="n">
        <v>0.29</v>
      </c>
      <c r="I3477" s="1" t="s">
        <v>31</v>
      </c>
      <c r="J3477" s="1" t="n">
        <v>3</v>
      </c>
      <c r="K3477" s="1" t="n">
        <v>1.7</v>
      </c>
      <c r="L3477" s="15" t="n">
        <v>1601.12</v>
      </c>
      <c r="M3477" s="15" t="n">
        <f aca="false">F3477*G3477</f>
        <v>2255.1</v>
      </c>
      <c r="N3477" s="15" t="n">
        <f aca="false">M3477-L3477</f>
        <v>653.980000000001</v>
      </c>
      <c r="O3477" s="1" t="n">
        <f aca="false">YEAR(B3477)</f>
        <v>2031</v>
      </c>
      <c r="P3477" s="1" t="n">
        <f aca="false">MONTH(B3477)</f>
        <v>7</v>
      </c>
      <c r="Q3477" s="1" t="str">
        <f aca="false">TEXT(B3477,"mmm")</f>
        <v>Jul</v>
      </c>
      <c r="R3477" s="1" t="str">
        <f aca="false">"Q"&amp;ROUNDUP(MONTH(B3477)/3,0)</f>
        <v>Q3</v>
      </c>
    </row>
    <row r="3478" customFormat="false" ht="15" hidden="false" customHeight="true" outlineLevel="0" collapsed="false">
      <c r="A3478" s="1" t="n">
        <v>13477</v>
      </c>
      <c r="B3478" s="14" t="n">
        <v>48038</v>
      </c>
      <c r="C3478" s="1" t="n">
        <v>1801</v>
      </c>
      <c r="D3478" s="1" t="s">
        <v>37</v>
      </c>
      <c r="E3478" s="1" t="s">
        <v>35</v>
      </c>
      <c r="F3478" s="1" t="n">
        <v>7</v>
      </c>
      <c r="G3478" s="15" t="n">
        <v>115.96</v>
      </c>
      <c r="H3478" s="16" t="n">
        <v>0.29</v>
      </c>
      <c r="I3478" s="1" t="s">
        <v>33</v>
      </c>
      <c r="J3478" s="1" t="n">
        <v>9</v>
      </c>
      <c r="K3478" s="1" t="n">
        <v>2.3</v>
      </c>
      <c r="L3478" s="15" t="n">
        <v>576.32</v>
      </c>
      <c r="M3478" s="15" t="n">
        <f aca="false">F3478*G3478</f>
        <v>811.72</v>
      </c>
      <c r="N3478" s="15" t="n">
        <f aca="false">M3478-L3478</f>
        <v>235.4</v>
      </c>
      <c r="O3478" s="1" t="n">
        <f aca="false">YEAR(B3478)</f>
        <v>2031</v>
      </c>
      <c r="P3478" s="1" t="n">
        <f aca="false">MONTH(B3478)</f>
        <v>7</v>
      </c>
      <c r="Q3478" s="1" t="str">
        <f aca="false">TEXT(B3478,"mmm")</f>
        <v>Jul</v>
      </c>
      <c r="R3478" s="1" t="str">
        <f aca="false">"Q"&amp;ROUNDUP(MONTH(B3478)/3,0)</f>
        <v>Q3</v>
      </c>
    </row>
    <row r="3479" customFormat="false" ht="15" hidden="false" customHeight="true" outlineLevel="0" collapsed="false">
      <c r="A3479" s="1" t="n">
        <v>13478</v>
      </c>
      <c r="B3479" s="14" t="n">
        <v>48039</v>
      </c>
      <c r="C3479" s="1" t="n">
        <v>1775</v>
      </c>
      <c r="D3479" s="1" t="s">
        <v>34</v>
      </c>
      <c r="E3479" s="1" t="s">
        <v>28</v>
      </c>
      <c r="F3479" s="1" t="n">
        <v>6</v>
      </c>
      <c r="G3479" s="15" t="n">
        <v>256.64</v>
      </c>
      <c r="H3479" s="16" t="n">
        <v>0.29</v>
      </c>
      <c r="I3479" s="1" t="s">
        <v>33</v>
      </c>
      <c r="J3479" s="1" t="n">
        <v>7</v>
      </c>
      <c r="K3479" s="1" t="n">
        <v>1.6</v>
      </c>
      <c r="L3479" s="15" t="n">
        <v>1093.29</v>
      </c>
      <c r="M3479" s="15" t="n">
        <f aca="false">F3479*G3479</f>
        <v>1539.84</v>
      </c>
      <c r="N3479" s="15" t="n">
        <f aca="false">M3479-L3479</f>
        <v>446.55</v>
      </c>
      <c r="O3479" s="1" t="n">
        <f aca="false">YEAR(B3479)</f>
        <v>2031</v>
      </c>
      <c r="P3479" s="1" t="n">
        <f aca="false">MONTH(B3479)</f>
        <v>7</v>
      </c>
      <c r="Q3479" s="1" t="str">
        <f aca="false">TEXT(B3479,"mmm")</f>
        <v>Jul</v>
      </c>
      <c r="R3479" s="1" t="str">
        <f aca="false">"Q"&amp;ROUNDUP(MONTH(B3479)/3,0)</f>
        <v>Q3</v>
      </c>
    </row>
    <row r="3480" customFormat="false" ht="15" hidden="false" customHeight="true" outlineLevel="0" collapsed="false">
      <c r="A3480" s="1" t="n">
        <v>13479</v>
      </c>
      <c r="B3480" s="14" t="n">
        <v>48040</v>
      </c>
      <c r="C3480" s="1" t="n">
        <v>1954</v>
      </c>
      <c r="D3480" s="1" t="s">
        <v>30</v>
      </c>
      <c r="E3480" s="1" t="s">
        <v>36</v>
      </c>
      <c r="F3480" s="1" t="n">
        <v>3</v>
      </c>
      <c r="G3480" s="15" t="n">
        <v>297.25</v>
      </c>
      <c r="H3480" s="16" t="n">
        <v>0.05</v>
      </c>
      <c r="I3480" s="1" t="s">
        <v>31</v>
      </c>
      <c r="J3480" s="1" t="n">
        <v>7</v>
      </c>
      <c r="K3480" s="1" t="n">
        <v>3.4</v>
      </c>
      <c r="L3480" s="15" t="n">
        <v>847.16</v>
      </c>
      <c r="M3480" s="15" t="n">
        <f aca="false">F3480*G3480</f>
        <v>891.75</v>
      </c>
      <c r="N3480" s="15" t="n">
        <f aca="false">M3480-L3480</f>
        <v>44.59</v>
      </c>
      <c r="O3480" s="1" t="n">
        <f aca="false">YEAR(B3480)</f>
        <v>2031</v>
      </c>
      <c r="P3480" s="1" t="n">
        <f aca="false">MONTH(B3480)</f>
        <v>7</v>
      </c>
      <c r="Q3480" s="1" t="str">
        <f aca="false">TEXT(B3480,"mmm")</f>
        <v>Jul</v>
      </c>
      <c r="R3480" s="1" t="str">
        <f aca="false">"Q"&amp;ROUNDUP(MONTH(B3480)/3,0)</f>
        <v>Q3</v>
      </c>
    </row>
    <row r="3481" customFormat="false" ht="15" hidden="false" customHeight="true" outlineLevel="0" collapsed="false">
      <c r="A3481" s="1" t="n">
        <v>13480</v>
      </c>
      <c r="B3481" s="14" t="n">
        <v>48041</v>
      </c>
      <c r="C3481" s="1" t="n">
        <v>1725</v>
      </c>
      <c r="D3481" s="1" t="s">
        <v>37</v>
      </c>
      <c r="E3481" s="1" t="s">
        <v>32</v>
      </c>
      <c r="F3481" s="1" t="n">
        <v>4</v>
      </c>
      <c r="G3481" s="15" t="n">
        <v>283.65</v>
      </c>
      <c r="H3481" s="16" t="n">
        <v>0.22</v>
      </c>
      <c r="I3481" s="1" t="s">
        <v>31</v>
      </c>
      <c r="J3481" s="1" t="n">
        <v>8</v>
      </c>
      <c r="K3481" s="1" t="n">
        <v>3.6</v>
      </c>
      <c r="L3481" s="15" t="n">
        <v>884.99</v>
      </c>
      <c r="M3481" s="15" t="n">
        <f aca="false">F3481*G3481</f>
        <v>1134.6</v>
      </c>
      <c r="N3481" s="15" t="n">
        <f aca="false">M3481-L3481</f>
        <v>249.61</v>
      </c>
      <c r="O3481" s="1" t="n">
        <f aca="false">YEAR(B3481)</f>
        <v>2031</v>
      </c>
      <c r="P3481" s="1" t="n">
        <f aca="false">MONTH(B3481)</f>
        <v>7</v>
      </c>
      <c r="Q3481" s="1" t="str">
        <f aca="false">TEXT(B3481,"mmm")</f>
        <v>Jul</v>
      </c>
      <c r="R3481" s="1" t="str">
        <f aca="false">"Q"&amp;ROUNDUP(MONTH(B3481)/3,0)</f>
        <v>Q3</v>
      </c>
    </row>
    <row r="3482" customFormat="false" ht="15" hidden="false" customHeight="true" outlineLevel="0" collapsed="false">
      <c r="A3482" s="1" t="n">
        <v>13481</v>
      </c>
      <c r="B3482" s="14" t="n">
        <v>48042</v>
      </c>
      <c r="C3482" s="1" t="n">
        <v>1199</v>
      </c>
      <c r="D3482" s="1" t="s">
        <v>27</v>
      </c>
      <c r="E3482" s="1" t="s">
        <v>32</v>
      </c>
      <c r="F3482" s="1" t="n">
        <v>1</v>
      </c>
      <c r="G3482" s="15" t="n">
        <v>584.76</v>
      </c>
      <c r="H3482" s="16" t="n">
        <v>0.01</v>
      </c>
      <c r="I3482" s="1" t="s">
        <v>33</v>
      </c>
      <c r="J3482" s="1" t="n">
        <v>11</v>
      </c>
      <c r="K3482" s="1" t="n">
        <v>2.8</v>
      </c>
      <c r="L3482" s="15" t="n">
        <v>578.91</v>
      </c>
      <c r="M3482" s="15" t="n">
        <f aca="false">F3482*G3482</f>
        <v>584.76</v>
      </c>
      <c r="N3482" s="15" t="n">
        <f aca="false">M3482-L3482</f>
        <v>5.85000000000002</v>
      </c>
      <c r="O3482" s="1" t="n">
        <f aca="false">YEAR(B3482)</f>
        <v>2031</v>
      </c>
      <c r="P3482" s="1" t="n">
        <f aca="false">MONTH(B3482)</f>
        <v>7</v>
      </c>
      <c r="Q3482" s="1" t="str">
        <f aca="false">TEXT(B3482,"mmm")</f>
        <v>Jul</v>
      </c>
      <c r="R3482" s="1" t="str">
        <f aca="false">"Q"&amp;ROUNDUP(MONTH(B3482)/3,0)</f>
        <v>Q3</v>
      </c>
    </row>
    <row r="3483" customFormat="false" ht="15" hidden="false" customHeight="true" outlineLevel="0" collapsed="false">
      <c r="A3483" s="1" t="n">
        <v>13482</v>
      </c>
      <c r="B3483" s="14" t="n">
        <v>48043</v>
      </c>
      <c r="C3483" s="1" t="n">
        <v>1944</v>
      </c>
      <c r="D3483" s="1" t="s">
        <v>30</v>
      </c>
      <c r="E3483" s="1" t="s">
        <v>35</v>
      </c>
      <c r="F3483" s="1" t="n">
        <v>4</v>
      </c>
      <c r="G3483" s="15" t="n">
        <v>41.62</v>
      </c>
      <c r="H3483" s="16" t="n">
        <v>0.3</v>
      </c>
      <c r="I3483" s="1" t="s">
        <v>33</v>
      </c>
      <c r="J3483" s="1" t="n">
        <v>5</v>
      </c>
      <c r="K3483" s="1" t="n">
        <v>3.9</v>
      </c>
      <c r="L3483" s="15" t="n">
        <v>116.54</v>
      </c>
      <c r="M3483" s="15" t="n">
        <f aca="false">F3483*G3483</f>
        <v>166.48</v>
      </c>
      <c r="N3483" s="15" t="n">
        <f aca="false">M3483-L3483</f>
        <v>49.94</v>
      </c>
      <c r="O3483" s="1" t="n">
        <f aca="false">YEAR(B3483)</f>
        <v>2031</v>
      </c>
      <c r="P3483" s="1" t="n">
        <f aca="false">MONTH(B3483)</f>
        <v>7</v>
      </c>
      <c r="Q3483" s="1" t="str">
        <f aca="false">TEXT(B3483,"mmm")</f>
        <v>Jul</v>
      </c>
      <c r="R3483" s="1" t="str">
        <f aca="false">"Q"&amp;ROUNDUP(MONTH(B3483)/3,0)</f>
        <v>Q3</v>
      </c>
    </row>
    <row r="3484" customFormat="false" ht="15" hidden="false" customHeight="true" outlineLevel="0" collapsed="false">
      <c r="A3484" s="1" t="n">
        <v>13483</v>
      </c>
      <c r="B3484" s="14" t="n">
        <v>48044</v>
      </c>
      <c r="C3484" s="1" t="n">
        <v>1078</v>
      </c>
      <c r="D3484" s="1" t="s">
        <v>27</v>
      </c>
      <c r="E3484" s="1" t="s">
        <v>35</v>
      </c>
      <c r="F3484" s="1" t="n">
        <v>2</v>
      </c>
      <c r="G3484" s="15" t="n">
        <v>571.32</v>
      </c>
      <c r="H3484" s="16" t="n">
        <v>0.25</v>
      </c>
      <c r="I3484" s="1" t="s">
        <v>33</v>
      </c>
      <c r="J3484" s="1" t="n">
        <v>2</v>
      </c>
      <c r="K3484" s="1" t="n">
        <v>4.5</v>
      </c>
      <c r="L3484" s="15" t="n">
        <v>856.98</v>
      </c>
      <c r="M3484" s="15" t="n">
        <f aca="false">F3484*G3484</f>
        <v>1142.64</v>
      </c>
      <c r="N3484" s="15" t="n">
        <f aca="false">M3484-L3484</f>
        <v>285.66</v>
      </c>
      <c r="O3484" s="1" t="n">
        <f aca="false">YEAR(B3484)</f>
        <v>2031</v>
      </c>
      <c r="P3484" s="1" t="n">
        <f aca="false">MONTH(B3484)</f>
        <v>7</v>
      </c>
      <c r="Q3484" s="1" t="str">
        <f aca="false">TEXT(B3484,"mmm")</f>
        <v>Jul</v>
      </c>
      <c r="R3484" s="1" t="str">
        <f aca="false">"Q"&amp;ROUNDUP(MONTH(B3484)/3,0)</f>
        <v>Q3</v>
      </c>
    </row>
    <row r="3485" customFormat="false" ht="15" hidden="false" customHeight="true" outlineLevel="0" collapsed="false">
      <c r="A3485" s="1" t="n">
        <v>13484</v>
      </c>
      <c r="B3485" s="14" t="n">
        <v>48045</v>
      </c>
      <c r="C3485" s="1" t="n">
        <v>1912</v>
      </c>
      <c r="D3485" s="1" t="s">
        <v>30</v>
      </c>
      <c r="E3485" s="1" t="s">
        <v>36</v>
      </c>
      <c r="F3485" s="1" t="n">
        <v>3</v>
      </c>
      <c r="G3485" s="15" t="n">
        <v>355.43</v>
      </c>
      <c r="H3485" s="16" t="n">
        <v>0.19</v>
      </c>
      <c r="I3485" s="1" t="s">
        <v>33</v>
      </c>
      <c r="J3485" s="1" t="n">
        <v>11</v>
      </c>
      <c r="K3485" s="1" t="n">
        <v>4.1</v>
      </c>
      <c r="L3485" s="15" t="n">
        <v>863.69</v>
      </c>
      <c r="M3485" s="15" t="n">
        <f aca="false">F3485*G3485</f>
        <v>1066.29</v>
      </c>
      <c r="N3485" s="15" t="n">
        <f aca="false">M3485-L3485</f>
        <v>202.6</v>
      </c>
      <c r="O3485" s="1" t="n">
        <f aca="false">YEAR(B3485)</f>
        <v>2031</v>
      </c>
      <c r="P3485" s="1" t="n">
        <f aca="false">MONTH(B3485)</f>
        <v>7</v>
      </c>
      <c r="Q3485" s="1" t="str">
        <f aca="false">TEXT(B3485,"mmm")</f>
        <v>Jul</v>
      </c>
      <c r="R3485" s="1" t="str">
        <f aca="false">"Q"&amp;ROUNDUP(MONTH(B3485)/3,0)</f>
        <v>Q3</v>
      </c>
    </row>
    <row r="3486" customFormat="false" ht="15" hidden="false" customHeight="true" outlineLevel="0" collapsed="false">
      <c r="A3486" s="1" t="n">
        <v>13485</v>
      </c>
      <c r="B3486" s="14" t="n">
        <v>48046</v>
      </c>
      <c r="C3486" s="1" t="n">
        <v>1955</v>
      </c>
      <c r="D3486" s="1" t="s">
        <v>30</v>
      </c>
      <c r="E3486" s="1" t="s">
        <v>28</v>
      </c>
      <c r="F3486" s="1" t="n">
        <v>6</v>
      </c>
      <c r="G3486" s="15" t="n">
        <v>480.5</v>
      </c>
      <c r="H3486" s="16" t="n">
        <v>0.26</v>
      </c>
      <c r="I3486" s="1" t="s">
        <v>31</v>
      </c>
      <c r="J3486" s="1" t="n">
        <v>9</v>
      </c>
      <c r="K3486" s="1" t="n">
        <v>2</v>
      </c>
      <c r="L3486" s="15" t="n">
        <v>2133.42</v>
      </c>
      <c r="M3486" s="15" t="n">
        <f aca="false">F3486*G3486</f>
        <v>2883</v>
      </c>
      <c r="N3486" s="15" t="n">
        <f aca="false">M3486-L3486</f>
        <v>749.58</v>
      </c>
      <c r="O3486" s="1" t="n">
        <f aca="false">YEAR(B3486)</f>
        <v>2031</v>
      </c>
      <c r="P3486" s="1" t="n">
        <f aca="false">MONTH(B3486)</f>
        <v>7</v>
      </c>
      <c r="Q3486" s="1" t="str">
        <f aca="false">TEXT(B3486,"mmm")</f>
        <v>Jul</v>
      </c>
      <c r="R3486" s="1" t="str">
        <f aca="false">"Q"&amp;ROUNDUP(MONTH(B3486)/3,0)</f>
        <v>Q3</v>
      </c>
    </row>
    <row r="3487" customFormat="false" ht="15" hidden="false" customHeight="true" outlineLevel="0" collapsed="false">
      <c r="A3487" s="1" t="n">
        <v>13486</v>
      </c>
      <c r="B3487" s="14" t="n">
        <v>48047</v>
      </c>
      <c r="C3487" s="1" t="n">
        <v>1854</v>
      </c>
      <c r="D3487" s="1" t="s">
        <v>37</v>
      </c>
      <c r="E3487" s="1" t="s">
        <v>35</v>
      </c>
      <c r="F3487" s="1" t="n">
        <v>6</v>
      </c>
      <c r="G3487" s="15" t="n">
        <v>266.78</v>
      </c>
      <c r="H3487" s="16" t="n">
        <v>0.03</v>
      </c>
      <c r="I3487" s="1" t="s">
        <v>33</v>
      </c>
      <c r="J3487" s="1" t="n">
        <v>3</v>
      </c>
      <c r="K3487" s="1" t="n">
        <v>2.3</v>
      </c>
      <c r="L3487" s="15" t="n">
        <v>1552.66</v>
      </c>
      <c r="M3487" s="15" t="n">
        <f aca="false">F3487*G3487</f>
        <v>1600.68</v>
      </c>
      <c r="N3487" s="15" t="n">
        <f aca="false">M3487-L3487</f>
        <v>48.0199999999998</v>
      </c>
      <c r="O3487" s="1" t="n">
        <f aca="false">YEAR(B3487)</f>
        <v>2031</v>
      </c>
      <c r="P3487" s="1" t="n">
        <f aca="false">MONTH(B3487)</f>
        <v>7</v>
      </c>
      <c r="Q3487" s="1" t="str">
        <f aca="false">TEXT(B3487,"mmm")</f>
        <v>Jul</v>
      </c>
      <c r="R3487" s="1" t="str">
        <f aca="false">"Q"&amp;ROUNDUP(MONTH(B3487)/3,0)</f>
        <v>Q3</v>
      </c>
    </row>
    <row r="3488" customFormat="false" ht="15" hidden="false" customHeight="true" outlineLevel="0" collapsed="false">
      <c r="A3488" s="1" t="n">
        <v>13487</v>
      </c>
      <c r="B3488" s="14" t="n">
        <v>48048</v>
      </c>
      <c r="C3488" s="1" t="n">
        <v>1855</v>
      </c>
      <c r="D3488" s="1" t="s">
        <v>30</v>
      </c>
      <c r="E3488" s="1" t="s">
        <v>32</v>
      </c>
      <c r="F3488" s="1" t="n">
        <v>2</v>
      </c>
      <c r="G3488" s="15" t="n">
        <v>280.5</v>
      </c>
      <c r="H3488" s="16" t="n">
        <v>0.19</v>
      </c>
      <c r="I3488" s="1" t="s">
        <v>31</v>
      </c>
      <c r="J3488" s="1" t="n">
        <v>11</v>
      </c>
      <c r="K3488" s="1" t="n">
        <v>2.5</v>
      </c>
      <c r="L3488" s="15" t="n">
        <v>454.41</v>
      </c>
      <c r="M3488" s="15" t="n">
        <f aca="false">F3488*G3488</f>
        <v>561</v>
      </c>
      <c r="N3488" s="15" t="n">
        <f aca="false">M3488-L3488</f>
        <v>106.59</v>
      </c>
      <c r="O3488" s="1" t="n">
        <f aca="false">YEAR(B3488)</f>
        <v>2031</v>
      </c>
      <c r="P3488" s="1" t="n">
        <f aca="false">MONTH(B3488)</f>
        <v>7</v>
      </c>
      <c r="Q3488" s="1" t="str">
        <f aca="false">TEXT(B3488,"mmm")</f>
        <v>Jul</v>
      </c>
      <c r="R3488" s="1" t="str">
        <f aca="false">"Q"&amp;ROUNDUP(MONTH(B3488)/3,0)</f>
        <v>Q3</v>
      </c>
    </row>
    <row r="3489" customFormat="false" ht="15" hidden="false" customHeight="true" outlineLevel="0" collapsed="false">
      <c r="A3489" s="1" t="n">
        <v>13488</v>
      </c>
      <c r="B3489" s="14" t="n">
        <v>48049</v>
      </c>
      <c r="C3489" s="1" t="n">
        <v>1172</v>
      </c>
      <c r="D3489" s="1" t="s">
        <v>30</v>
      </c>
      <c r="E3489" s="1" t="s">
        <v>36</v>
      </c>
      <c r="F3489" s="1" t="n">
        <v>6</v>
      </c>
      <c r="G3489" s="15" t="n">
        <v>529.41</v>
      </c>
      <c r="H3489" s="16" t="n">
        <v>0.1</v>
      </c>
      <c r="I3489" s="1" t="s">
        <v>33</v>
      </c>
      <c r="J3489" s="1" t="n">
        <v>2</v>
      </c>
      <c r="K3489" s="1" t="n">
        <v>1.8</v>
      </c>
      <c r="L3489" s="15" t="n">
        <v>2858.81</v>
      </c>
      <c r="M3489" s="15" t="n">
        <f aca="false">F3489*G3489</f>
        <v>3176.46</v>
      </c>
      <c r="N3489" s="15" t="n">
        <f aca="false">M3489-L3489</f>
        <v>317.65</v>
      </c>
      <c r="O3489" s="1" t="n">
        <f aca="false">YEAR(B3489)</f>
        <v>2031</v>
      </c>
      <c r="P3489" s="1" t="n">
        <f aca="false">MONTH(B3489)</f>
        <v>7</v>
      </c>
      <c r="Q3489" s="1" t="str">
        <f aca="false">TEXT(B3489,"mmm")</f>
        <v>Jul</v>
      </c>
      <c r="R3489" s="1" t="str">
        <f aca="false">"Q"&amp;ROUNDUP(MONTH(B3489)/3,0)</f>
        <v>Q3</v>
      </c>
    </row>
    <row r="3490" customFormat="false" ht="15" hidden="false" customHeight="true" outlineLevel="0" collapsed="false">
      <c r="A3490" s="1" t="n">
        <v>13489</v>
      </c>
      <c r="B3490" s="14" t="n">
        <v>48050</v>
      </c>
      <c r="C3490" s="1" t="n">
        <v>1466</v>
      </c>
      <c r="D3490" s="1" t="s">
        <v>30</v>
      </c>
      <c r="E3490" s="1" t="s">
        <v>36</v>
      </c>
      <c r="F3490" s="1" t="n">
        <v>5</v>
      </c>
      <c r="G3490" s="15" t="n">
        <v>539.12</v>
      </c>
      <c r="H3490" s="16" t="n">
        <v>0.34</v>
      </c>
      <c r="I3490" s="1" t="s">
        <v>29</v>
      </c>
      <c r="J3490" s="1" t="n">
        <v>10</v>
      </c>
      <c r="K3490" s="1" t="n">
        <v>2.4</v>
      </c>
      <c r="L3490" s="15" t="n">
        <v>1779.1</v>
      </c>
      <c r="M3490" s="15" t="n">
        <f aca="false">F3490*G3490</f>
        <v>2695.6</v>
      </c>
      <c r="N3490" s="15" t="n">
        <f aca="false">M3490-L3490</f>
        <v>916.5</v>
      </c>
      <c r="O3490" s="1" t="n">
        <f aca="false">YEAR(B3490)</f>
        <v>2031</v>
      </c>
      <c r="P3490" s="1" t="n">
        <f aca="false">MONTH(B3490)</f>
        <v>7</v>
      </c>
      <c r="Q3490" s="1" t="str">
        <f aca="false">TEXT(B3490,"mmm")</f>
        <v>Jul</v>
      </c>
      <c r="R3490" s="1" t="str">
        <f aca="false">"Q"&amp;ROUNDUP(MONTH(B3490)/3,0)</f>
        <v>Q3</v>
      </c>
    </row>
    <row r="3491" customFormat="false" ht="15" hidden="false" customHeight="true" outlineLevel="0" collapsed="false">
      <c r="A3491" s="1" t="n">
        <v>13490</v>
      </c>
      <c r="B3491" s="14" t="n">
        <v>48051</v>
      </c>
      <c r="C3491" s="1" t="n">
        <v>1580</v>
      </c>
      <c r="D3491" s="1" t="s">
        <v>37</v>
      </c>
      <c r="E3491" s="1" t="s">
        <v>28</v>
      </c>
      <c r="F3491" s="1" t="n">
        <v>3</v>
      </c>
      <c r="G3491" s="15" t="n">
        <v>154.63</v>
      </c>
      <c r="H3491" s="16" t="n">
        <v>0.3</v>
      </c>
      <c r="I3491" s="1" t="s">
        <v>33</v>
      </c>
      <c r="J3491" s="1" t="n">
        <v>10</v>
      </c>
      <c r="K3491" s="1" t="n">
        <v>2</v>
      </c>
      <c r="L3491" s="15" t="n">
        <v>324.72</v>
      </c>
      <c r="M3491" s="15" t="n">
        <f aca="false">F3491*G3491</f>
        <v>463.89</v>
      </c>
      <c r="N3491" s="15" t="n">
        <f aca="false">M3491-L3491</f>
        <v>139.17</v>
      </c>
      <c r="O3491" s="1" t="n">
        <f aca="false">YEAR(B3491)</f>
        <v>2031</v>
      </c>
      <c r="P3491" s="1" t="n">
        <f aca="false">MONTH(B3491)</f>
        <v>7</v>
      </c>
      <c r="Q3491" s="1" t="str">
        <f aca="false">TEXT(B3491,"mmm")</f>
        <v>Jul</v>
      </c>
      <c r="R3491" s="1" t="str">
        <f aca="false">"Q"&amp;ROUNDUP(MONTH(B3491)/3,0)</f>
        <v>Q3</v>
      </c>
    </row>
    <row r="3492" customFormat="false" ht="15" hidden="false" customHeight="true" outlineLevel="0" collapsed="false">
      <c r="A3492" s="1" t="n">
        <v>13491</v>
      </c>
      <c r="B3492" s="14" t="n">
        <v>48052</v>
      </c>
      <c r="C3492" s="1" t="n">
        <v>1415</v>
      </c>
      <c r="D3492" s="1" t="s">
        <v>37</v>
      </c>
      <c r="E3492" s="1" t="s">
        <v>35</v>
      </c>
      <c r="F3492" s="1" t="n">
        <v>2</v>
      </c>
      <c r="G3492" s="15" t="n">
        <v>131.56</v>
      </c>
      <c r="H3492" s="16" t="n">
        <v>0.26</v>
      </c>
      <c r="I3492" s="1" t="s">
        <v>33</v>
      </c>
      <c r="J3492" s="1" t="n">
        <v>5</v>
      </c>
      <c r="K3492" s="1" t="n">
        <v>5</v>
      </c>
      <c r="L3492" s="15" t="n">
        <v>194.71</v>
      </c>
      <c r="M3492" s="15" t="n">
        <f aca="false">F3492*G3492</f>
        <v>263.12</v>
      </c>
      <c r="N3492" s="15" t="n">
        <f aca="false">M3492-L3492</f>
        <v>68.41</v>
      </c>
      <c r="O3492" s="1" t="n">
        <f aca="false">YEAR(B3492)</f>
        <v>2031</v>
      </c>
      <c r="P3492" s="1" t="n">
        <f aca="false">MONTH(B3492)</f>
        <v>7</v>
      </c>
      <c r="Q3492" s="1" t="str">
        <f aca="false">TEXT(B3492,"mmm")</f>
        <v>Jul</v>
      </c>
      <c r="R3492" s="1" t="str">
        <f aca="false">"Q"&amp;ROUNDUP(MONTH(B3492)/3,0)</f>
        <v>Q3</v>
      </c>
    </row>
    <row r="3493" customFormat="false" ht="15" hidden="false" customHeight="true" outlineLevel="0" collapsed="false">
      <c r="A3493" s="1" t="n">
        <v>13492</v>
      </c>
      <c r="B3493" s="14" t="n">
        <v>48053</v>
      </c>
      <c r="C3493" s="1" t="n">
        <v>1939</v>
      </c>
      <c r="D3493" s="1" t="s">
        <v>30</v>
      </c>
      <c r="E3493" s="1" t="s">
        <v>35</v>
      </c>
      <c r="F3493" s="1" t="n">
        <v>3</v>
      </c>
      <c r="G3493" s="15" t="n">
        <v>305.3</v>
      </c>
      <c r="H3493" s="16" t="n">
        <v>0.33</v>
      </c>
      <c r="I3493" s="1" t="s">
        <v>33</v>
      </c>
      <c r="J3493" s="1" t="n">
        <v>8</v>
      </c>
      <c r="K3493" s="1" t="n">
        <v>4.1</v>
      </c>
      <c r="L3493" s="15" t="n">
        <v>613.65</v>
      </c>
      <c r="M3493" s="15" t="n">
        <f aca="false">F3493*G3493</f>
        <v>915.9</v>
      </c>
      <c r="N3493" s="15" t="n">
        <f aca="false">M3493-L3493</f>
        <v>302.25</v>
      </c>
      <c r="O3493" s="1" t="n">
        <f aca="false">YEAR(B3493)</f>
        <v>2031</v>
      </c>
      <c r="P3493" s="1" t="n">
        <f aca="false">MONTH(B3493)</f>
        <v>7</v>
      </c>
      <c r="Q3493" s="1" t="str">
        <f aca="false">TEXT(B3493,"mmm")</f>
        <v>Jul</v>
      </c>
      <c r="R3493" s="1" t="str">
        <f aca="false">"Q"&amp;ROUNDUP(MONTH(B3493)/3,0)</f>
        <v>Q3</v>
      </c>
    </row>
    <row r="3494" customFormat="false" ht="15" hidden="false" customHeight="true" outlineLevel="0" collapsed="false">
      <c r="A3494" s="1" t="n">
        <v>13493</v>
      </c>
      <c r="B3494" s="14" t="n">
        <v>48054</v>
      </c>
      <c r="C3494" s="1" t="n">
        <v>1448</v>
      </c>
      <c r="D3494" s="1" t="s">
        <v>34</v>
      </c>
      <c r="E3494" s="1" t="s">
        <v>36</v>
      </c>
      <c r="F3494" s="1" t="n">
        <v>1</v>
      </c>
      <c r="G3494" s="15" t="n">
        <v>541.66</v>
      </c>
      <c r="H3494" s="16" t="n">
        <v>0.12</v>
      </c>
      <c r="I3494" s="1" t="s">
        <v>33</v>
      </c>
      <c r="J3494" s="1" t="n">
        <v>3</v>
      </c>
      <c r="K3494" s="1" t="n">
        <v>4.4</v>
      </c>
      <c r="L3494" s="15" t="n">
        <v>476.66</v>
      </c>
      <c r="M3494" s="15" t="n">
        <f aca="false">F3494*G3494</f>
        <v>541.66</v>
      </c>
      <c r="N3494" s="15" t="n">
        <f aca="false">M3494-L3494</f>
        <v>64.9999999999999</v>
      </c>
      <c r="O3494" s="1" t="n">
        <f aca="false">YEAR(B3494)</f>
        <v>2031</v>
      </c>
      <c r="P3494" s="1" t="n">
        <f aca="false">MONTH(B3494)</f>
        <v>7</v>
      </c>
      <c r="Q3494" s="1" t="str">
        <f aca="false">TEXT(B3494,"mmm")</f>
        <v>Jul</v>
      </c>
      <c r="R3494" s="1" t="str">
        <f aca="false">"Q"&amp;ROUNDUP(MONTH(B3494)/3,0)</f>
        <v>Q3</v>
      </c>
    </row>
    <row r="3495" customFormat="false" ht="15" hidden="false" customHeight="true" outlineLevel="0" collapsed="false">
      <c r="A3495" s="1" t="n">
        <v>13494</v>
      </c>
      <c r="B3495" s="14" t="n">
        <v>48055</v>
      </c>
      <c r="C3495" s="1" t="n">
        <v>1086</v>
      </c>
      <c r="D3495" s="1" t="s">
        <v>30</v>
      </c>
      <c r="E3495" s="1" t="s">
        <v>32</v>
      </c>
      <c r="F3495" s="1" t="n">
        <v>3</v>
      </c>
      <c r="G3495" s="15" t="n">
        <v>203.58</v>
      </c>
      <c r="H3495" s="16" t="n">
        <v>0.32</v>
      </c>
      <c r="I3495" s="1" t="s">
        <v>33</v>
      </c>
      <c r="J3495" s="1" t="n">
        <v>6</v>
      </c>
      <c r="K3495" s="1" t="n">
        <v>4.7</v>
      </c>
      <c r="L3495" s="15" t="n">
        <v>415.3</v>
      </c>
      <c r="M3495" s="15" t="n">
        <f aca="false">F3495*G3495</f>
        <v>610.74</v>
      </c>
      <c r="N3495" s="15" t="n">
        <f aca="false">M3495-L3495</f>
        <v>195.44</v>
      </c>
      <c r="O3495" s="1" t="n">
        <f aca="false">YEAR(B3495)</f>
        <v>2031</v>
      </c>
      <c r="P3495" s="1" t="n">
        <f aca="false">MONTH(B3495)</f>
        <v>7</v>
      </c>
      <c r="Q3495" s="1" t="str">
        <f aca="false">TEXT(B3495,"mmm")</f>
        <v>Jul</v>
      </c>
      <c r="R3495" s="1" t="str">
        <f aca="false">"Q"&amp;ROUNDUP(MONTH(B3495)/3,0)</f>
        <v>Q3</v>
      </c>
    </row>
    <row r="3496" customFormat="false" ht="15" hidden="false" customHeight="true" outlineLevel="0" collapsed="false">
      <c r="A3496" s="1" t="n">
        <v>13495</v>
      </c>
      <c r="B3496" s="14" t="n">
        <v>48056</v>
      </c>
      <c r="C3496" s="1" t="n">
        <v>1100</v>
      </c>
      <c r="D3496" s="1" t="s">
        <v>30</v>
      </c>
      <c r="E3496" s="1" t="s">
        <v>35</v>
      </c>
      <c r="F3496" s="1" t="n">
        <v>3</v>
      </c>
      <c r="G3496" s="15" t="n">
        <v>396.43</v>
      </c>
      <c r="H3496" s="16" t="n">
        <v>0.11</v>
      </c>
      <c r="I3496" s="1" t="s">
        <v>31</v>
      </c>
      <c r="J3496" s="1" t="n">
        <v>9</v>
      </c>
      <c r="K3496" s="1" t="n">
        <v>3.7</v>
      </c>
      <c r="L3496" s="15" t="n">
        <v>1058.47</v>
      </c>
      <c r="M3496" s="15" t="n">
        <f aca="false">F3496*G3496</f>
        <v>1189.29</v>
      </c>
      <c r="N3496" s="15" t="n">
        <f aca="false">M3496-L3496</f>
        <v>130.82</v>
      </c>
      <c r="O3496" s="1" t="n">
        <f aca="false">YEAR(B3496)</f>
        <v>2031</v>
      </c>
      <c r="P3496" s="1" t="n">
        <f aca="false">MONTH(B3496)</f>
        <v>7</v>
      </c>
      <c r="Q3496" s="1" t="str">
        <f aca="false">TEXT(B3496,"mmm")</f>
        <v>Jul</v>
      </c>
      <c r="R3496" s="1" t="str">
        <f aca="false">"Q"&amp;ROUNDUP(MONTH(B3496)/3,0)</f>
        <v>Q3</v>
      </c>
    </row>
    <row r="3497" customFormat="false" ht="15" hidden="false" customHeight="true" outlineLevel="0" collapsed="false">
      <c r="A3497" s="1" t="n">
        <v>13496</v>
      </c>
      <c r="B3497" s="14" t="n">
        <v>48057</v>
      </c>
      <c r="C3497" s="1" t="n">
        <v>1007</v>
      </c>
      <c r="D3497" s="1" t="s">
        <v>34</v>
      </c>
      <c r="E3497" s="1" t="s">
        <v>32</v>
      </c>
      <c r="F3497" s="1" t="n">
        <v>1</v>
      </c>
      <c r="G3497" s="15" t="n">
        <v>429.27</v>
      </c>
      <c r="H3497" s="16" t="n">
        <v>0.26</v>
      </c>
      <c r="I3497" s="1" t="s">
        <v>29</v>
      </c>
      <c r="J3497" s="1" t="n">
        <v>2</v>
      </c>
      <c r="K3497" s="1" t="n">
        <v>1.7</v>
      </c>
      <c r="L3497" s="15" t="n">
        <v>317.66</v>
      </c>
      <c r="M3497" s="15" t="n">
        <f aca="false">F3497*G3497</f>
        <v>429.27</v>
      </c>
      <c r="N3497" s="15" t="n">
        <f aca="false">M3497-L3497</f>
        <v>111.61</v>
      </c>
      <c r="O3497" s="1" t="n">
        <f aca="false">YEAR(B3497)</f>
        <v>2031</v>
      </c>
      <c r="P3497" s="1" t="n">
        <f aca="false">MONTH(B3497)</f>
        <v>7</v>
      </c>
      <c r="Q3497" s="1" t="str">
        <f aca="false">TEXT(B3497,"mmm")</f>
        <v>Jul</v>
      </c>
      <c r="R3497" s="1" t="str">
        <f aca="false">"Q"&amp;ROUNDUP(MONTH(B3497)/3,0)</f>
        <v>Q3</v>
      </c>
    </row>
    <row r="3498" customFormat="false" ht="15" hidden="false" customHeight="true" outlineLevel="0" collapsed="false">
      <c r="A3498" s="1" t="n">
        <v>13497</v>
      </c>
      <c r="B3498" s="14" t="n">
        <v>48058</v>
      </c>
      <c r="C3498" s="1" t="n">
        <v>1844</v>
      </c>
      <c r="D3498" s="1" t="s">
        <v>37</v>
      </c>
      <c r="E3498" s="1" t="s">
        <v>36</v>
      </c>
      <c r="F3498" s="1" t="n">
        <v>2</v>
      </c>
      <c r="G3498" s="15" t="n">
        <v>470.52</v>
      </c>
      <c r="H3498" s="16" t="n">
        <v>0.26</v>
      </c>
      <c r="I3498" s="1" t="s">
        <v>31</v>
      </c>
      <c r="J3498" s="1" t="n">
        <v>8</v>
      </c>
      <c r="K3498" s="1" t="n">
        <v>4</v>
      </c>
      <c r="L3498" s="15" t="n">
        <v>696.37</v>
      </c>
      <c r="M3498" s="15" t="n">
        <f aca="false">F3498*G3498</f>
        <v>941.04</v>
      </c>
      <c r="N3498" s="15" t="n">
        <f aca="false">M3498-L3498</f>
        <v>244.67</v>
      </c>
      <c r="O3498" s="1" t="n">
        <f aca="false">YEAR(B3498)</f>
        <v>2031</v>
      </c>
      <c r="P3498" s="1" t="n">
        <f aca="false">MONTH(B3498)</f>
        <v>7</v>
      </c>
      <c r="Q3498" s="1" t="str">
        <f aca="false">TEXT(B3498,"mmm")</f>
        <v>Jul</v>
      </c>
      <c r="R3498" s="1" t="str">
        <f aca="false">"Q"&amp;ROUNDUP(MONTH(B3498)/3,0)</f>
        <v>Q3</v>
      </c>
    </row>
    <row r="3499" customFormat="false" ht="15" hidden="false" customHeight="true" outlineLevel="0" collapsed="false">
      <c r="A3499" s="1" t="n">
        <v>13498</v>
      </c>
      <c r="B3499" s="14" t="n">
        <v>48059</v>
      </c>
      <c r="C3499" s="1" t="n">
        <v>1199</v>
      </c>
      <c r="D3499" s="1" t="s">
        <v>30</v>
      </c>
      <c r="E3499" s="1" t="s">
        <v>35</v>
      </c>
      <c r="F3499" s="1" t="n">
        <v>3</v>
      </c>
      <c r="G3499" s="15" t="n">
        <v>344.9</v>
      </c>
      <c r="H3499" s="16" t="n">
        <v>0.01</v>
      </c>
      <c r="I3499" s="1" t="s">
        <v>31</v>
      </c>
      <c r="J3499" s="1" t="n">
        <v>10</v>
      </c>
      <c r="K3499" s="1" t="n">
        <v>1.1</v>
      </c>
      <c r="L3499" s="15" t="n">
        <v>1024.35</v>
      </c>
      <c r="M3499" s="15" t="n">
        <f aca="false">F3499*G3499</f>
        <v>1034.7</v>
      </c>
      <c r="N3499" s="15" t="n">
        <f aca="false">M3499-L3499</f>
        <v>10.3499999999999</v>
      </c>
      <c r="O3499" s="1" t="n">
        <f aca="false">YEAR(B3499)</f>
        <v>2031</v>
      </c>
      <c r="P3499" s="1" t="n">
        <f aca="false">MONTH(B3499)</f>
        <v>7</v>
      </c>
      <c r="Q3499" s="1" t="str">
        <f aca="false">TEXT(B3499,"mmm")</f>
        <v>Jul</v>
      </c>
      <c r="R3499" s="1" t="str">
        <f aca="false">"Q"&amp;ROUNDUP(MONTH(B3499)/3,0)</f>
        <v>Q3</v>
      </c>
    </row>
    <row r="3500" customFormat="false" ht="15" hidden="false" customHeight="true" outlineLevel="0" collapsed="false">
      <c r="A3500" s="1" t="n">
        <v>13499</v>
      </c>
      <c r="B3500" s="14" t="n">
        <v>48060</v>
      </c>
      <c r="C3500" s="1" t="n">
        <v>1504</v>
      </c>
      <c r="D3500" s="1" t="s">
        <v>34</v>
      </c>
      <c r="E3500" s="1" t="s">
        <v>32</v>
      </c>
      <c r="F3500" s="1" t="n">
        <v>4</v>
      </c>
      <c r="G3500" s="15" t="n">
        <v>250.44</v>
      </c>
      <c r="H3500" s="16" t="n">
        <v>0.13</v>
      </c>
      <c r="I3500" s="1" t="s">
        <v>31</v>
      </c>
      <c r="J3500" s="1" t="n">
        <v>7</v>
      </c>
      <c r="K3500" s="1" t="n">
        <v>1.5</v>
      </c>
      <c r="L3500" s="15" t="n">
        <v>871.53</v>
      </c>
      <c r="M3500" s="15" t="n">
        <f aca="false">F3500*G3500</f>
        <v>1001.76</v>
      </c>
      <c r="N3500" s="15" t="n">
        <f aca="false">M3500-L3500</f>
        <v>130.23</v>
      </c>
      <c r="O3500" s="1" t="n">
        <f aca="false">YEAR(B3500)</f>
        <v>2031</v>
      </c>
      <c r="P3500" s="1" t="n">
        <f aca="false">MONTH(B3500)</f>
        <v>7</v>
      </c>
      <c r="Q3500" s="1" t="str">
        <f aca="false">TEXT(B3500,"mmm")</f>
        <v>Jul</v>
      </c>
      <c r="R3500" s="1" t="str">
        <f aca="false">"Q"&amp;ROUNDUP(MONTH(B3500)/3,0)</f>
        <v>Q3</v>
      </c>
    </row>
    <row r="3501" customFormat="false" ht="15" hidden="false" customHeight="true" outlineLevel="0" collapsed="false">
      <c r="A3501" s="1" t="n">
        <v>13500</v>
      </c>
      <c r="B3501" s="14" t="n">
        <v>48061</v>
      </c>
      <c r="C3501" s="1" t="n">
        <v>1086</v>
      </c>
      <c r="D3501" s="1" t="s">
        <v>34</v>
      </c>
      <c r="E3501" s="1" t="s">
        <v>36</v>
      </c>
      <c r="F3501" s="1" t="n">
        <v>3</v>
      </c>
      <c r="G3501" s="15" t="n">
        <v>580.7</v>
      </c>
      <c r="H3501" s="16" t="n">
        <v>0.01</v>
      </c>
      <c r="I3501" s="1" t="s">
        <v>31</v>
      </c>
      <c r="J3501" s="1" t="n">
        <v>3</v>
      </c>
      <c r="K3501" s="1" t="n">
        <v>1.1</v>
      </c>
      <c r="L3501" s="15" t="n">
        <v>1724.68</v>
      </c>
      <c r="M3501" s="15" t="n">
        <f aca="false">F3501*G3501</f>
        <v>1742.1</v>
      </c>
      <c r="N3501" s="15" t="n">
        <f aca="false">M3501-L3501</f>
        <v>17.4200000000001</v>
      </c>
      <c r="O3501" s="1" t="n">
        <f aca="false">YEAR(B3501)</f>
        <v>2031</v>
      </c>
      <c r="P3501" s="1" t="n">
        <f aca="false">MONTH(B3501)</f>
        <v>8</v>
      </c>
      <c r="Q3501" s="1" t="str">
        <f aca="false">TEXT(B3501,"mmm")</f>
        <v>Aug</v>
      </c>
      <c r="R3501" s="1" t="str">
        <f aca="false">"Q"&amp;ROUNDUP(MONTH(B3501)/3,0)</f>
        <v>Q3</v>
      </c>
    </row>
    <row r="3502" customFormat="false" ht="15" hidden="false" customHeight="true" outlineLevel="0" collapsed="false">
      <c r="A3502" s="1" t="n">
        <v>13501</v>
      </c>
      <c r="B3502" s="14" t="n">
        <v>48062</v>
      </c>
      <c r="C3502" s="1" t="n">
        <v>1042</v>
      </c>
      <c r="D3502" s="1" t="s">
        <v>34</v>
      </c>
      <c r="E3502" s="1" t="s">
        <v>32</v>
      </c>
      <c r="F3502" s="1" t="n">
        <v>2</v>
      </c>
      <c r="G3502" s="15" t="n">
        <v>372.63</v>
      </c>
      <c r="H3502" s="16" t="n">
        <v>0.35</v>
      </c>
      <c r="I3502" s="1" t="s">
        <v>33</v>
      </c>
      <c r="J3502" s="1" t="n">
        <v>1</v>
      </c>
      <c r="K3502" s="1" t="n">
        <v>1.5</v>
      </c>
      <c r="L3502" s="15" t="n">
        <v>484.42</v>
      </c>
      <c r="M3502" s="15" t="n">
        <f aca="false">F3502*G3502</f>
        <v>745.26</v>
      </c>
      <c r="N3502" s="15" t="n">
        <f aca="false">M3502-L3502</f>
        <v>260.84</v>
      </c>
      <c r="O3502" s="1" t="n">
        <f aca="false">YEAR(B3502)</f>
        <v>2031</v>
      </c>
      <c r="P3502" s="1" t="n">
        <f aca="false">MONTH(B3502)</f>
        <v>8</v>
      </c>
      <c r="Q3502" s="1" t="str">
        <f aca="false">TEXT(B3502,"mmm")</f>
        <v>Aug</v>
      </c>
      <c r="R3502" s="1" t="str">
        <f aca="false">"Q"&amp;ROUNDUP(MONTH(B3502)/3,0)</f>
        <v>Q3</v>
      </c>
    </row>
    <row r="3503" customFormat="false" ht="15" hidden="false" customHeight="true" outlineLevel="0" collapsed="false">
      <c r="A3503" s="1" t="n">
        <v>13502</v>
      </c>
      <c r="B3503" s="14" t="n">
        <v>48063</v>
      </c>
      <c r="C3503" s="1" t="n">
        <v>1384</v>
      </c>
      <c r="D3503" s="1" t="s">
        <v>27</v>
      </c>
      <c r="E3503" s="1" t="s">
        <v>35</v>
      </c>
      <c r="F3503" s="1" t="n">
        <v>6</v>
      </c>
      <c r="G3503" s="15" t="n">
        <v>441.21</v>
      </c>
      <c r="H3503" s="16" t="n">
        <v>0.04</v>
      </c>
      <c r="I3503" s="1" t="s">
        <v>31</v>
      </c>
      <c r="J3503" s="1" t="n">
        <v>6</v>
      </c>
      <c r="K3503" s="1" t="n">
        <v>4</v>
      </c>
      <c r="L3503" s="15" t="n">
        <v>2541.37</v>
      </c>
      <c r="M3503" s="15" t="n">
        <f aca="false">F3503*G3503</f>
        <v>2647.26</v>
      </c>
      <c r="N3503" s="15" t="n">
        <f aca="false">M3503-L3503</f>
        <v>105.89</v>
      </c>
      <c r="O3503" s="1" t="n">
        <f aca="false">YEAR(B3503)</f>
        <v>2031</v>
      </c>
      <c r="P3503" s="1" t="n">
        <f aca="false">MONTH(B3503)</f>
        <v>8</v>
      </c>
      <c r="Q3503" s="1" t="str">
        <f aca="false">TEXT(B3503,"mmm")</f>
        <v>Aug</v>
      </c>
      <c r="R3503" s="1" t="str">
        <f aca="false">"Q"&amp;ROUNDUP(MONTH(B3503)/3,0)</f>
        <v>Q3</v>
      </c>
    </row>
    <row r="3504" customFormat="false" ht="15" hidden="false" customHeight="true" outlineLevel="0" collapsed="false">
      <c r="A3504" s="1" t="n">
        <v>13503</v>
      </c>
      <c r="B3504" s="14" t="n">
        <v>48064</v>
      </c>
      <c r="C3504" s="1" t="n">
        <v>1620</v>
      </c>
      <c r="D3504" s="1" t="s">
        <v>34</v>
      </c>
      <c r="E3504" s="1" t="s">
        <v>28</v>
      </c>
      <c r="F3504" s="1" t="n">
        <v>7</v>
      </c>
      <c r="G3504" s="15" t="n">
        <v>216.81</v>
      </c>
      <c r="H3504" s="16" t="n">
        <v>0.19</v>
      </c>
      <c r="I3504" s="1" t="s">
        <v>29</v>
      </c>
      <c r="J3504" s="1" t="n">
        <v>2</v>
      </c>
      <c r="K3504" s="1" t="n">
        <v>4.5</v>
      </c>
      <c r="L3504" s="15" t="n">
        <v>1229.31</v>
      </c>
      <c r="M3504" s="15" t="n">
        <f aca="false">F3504*G3504</f>
        <v>1517.67</v>
      </c>
      <c r="N3504" s="15" t="n">
        <f aca="false">M3504-L3504</f>
        <v>288.36</v>
      </c>
      <c r="O3504" s="1" t="n">
        <f aca="false">YEAR(B3504)</f>
        <v>2031</v>
      </c>
      <c r="P3504" s="1" t="n">
        <f aca="false">MONTH(B3504)</f>
        <v>8</v>
      </c>
      <c r="Q3504" s="1" t="str">
        <f aca="false">TEXT(B3504,"mmm")</f>
        <v>Aug</v>
      </c>
      <c r="R3504" s="1" t="str">
        <f aca="false">"Q"&amp;ROUNDUP(MONTH(B3504)/3,0)</f>
        <v>Q3</v>
      </c>
    </row>
    <row r="3505" customFormat="false" ht="15" hidden="false" customHeight="true" outlineLevel="0" collapsed="false">
      <c r="A3505" s="1" t="n">
        <v>13504</v>
      </c>
      <c r="B3505" s="14" t="n">
        <v>48065</v>
      </c>
      <c r="C3505" s="1" t="n">
        <v>1434</v>
      </c>
      <c r="D3505" s="1" t="s">
        <v>34</v>
      </c>
      <c r="E3505" s="1" t="s">
        <v>32</v>
      </c>
      <c r="F3505" s="1" t="n">
        <v>1</v>
      </c>
      <c r="G3505" s="15" t="n">
        <v>406.92</v>
      </c>
      <c r="H3505" s="16" t="n">
        <v>0.28</v>
      </c>
      <c r="I3505" s="1" t="s">
        <v>31</v>
      </c>
      <c r="J3505" s="1" t="n">
        <v>3</v>
      </c>
      <c r="K3505" s="1" t="n">
        <v>2.1</v>
      </c>
      <c r="L3505" s="15" t="n">
        <v>292.98</v>
      </c>
      <c r="M3505" s="15" t="n">
        <f aca="false">F3505*G3505</f>
        <v>406.92</v>
      </c>
      <c r="N3505" s="15" t="n">
        <f aca="false">M3505-L3505</f>
        <v>113.94</v>
      </c>
      <c r="O3505" s="1" t="n">
        <f aca="false">YEAR(B3505)</f>
        <v>2031</v>
      </c>
      <c r="P3505" s="1" t="n">
        <f aca="false">MONTH(B3505)</f>
        <v>8</v>
      </c>
      <c r="Q3505" s="1" t="str">
        <f aca="false">TEXT(B3505,"mmm")</f>
        <v>Aug</v>
      </c>
      <c r="R3505" s="1" t="str">
        <f aca="false">"Q"&amp;ROUNDUP(MONTH(B3505)/3,0)</f>
        <v>Q3</v>
      </c>
    </row>
    <row r="3506" customFormat="false" ht="15" hidden="false" customHeight="true" outlineLevel="0" collapsed="false">
      <c r="A3506" s="1" t="n">
        <v>13505</v>
      </c>
      <c r="B3506" s="14" t="n">
        <v>48066</v>
      </c>
      <c r="C3506" s="1" t="n">
        <v>1407</v>
      </c>
      <c r="D3506" s="1" t="s">
        <v>30</v>
      </c>
      <c r="E3506" s="1" t="s">
        <v>28</v>
      </c>
      <c r="F3506" s="1" t="n">
        <v>6</v>
      </c>
      <c r="G3506" s="15" t="n">
        <v>165.81</v>
      </c>
      <c r="H3506" s="16" t="n">
        <v>0.07</v>
      </c>
      <c r="I3506" s="1" t="s">
        <v>31</v>
      </c>
      <c r="J3506" s="1" t="n">
        <v>5</v>
      </c>
      <c r="K3506" s="1" t="n">
        <v>1.5</v>
      </c>
      <c r="L3506" s="15" t="n">
        <v>925.22</v>
      </c>
      <c r="M3506" s="15" t="n">
        <f aca="false">F3506*G3506</f>
        <v>994.86</v>
      </c>
      <c r="N3506" s="15" t="n">
        <f aca="false">M3506-L3506</f>
        <v>69.64</v>
      </c>
      <c r="O3506" s="1" t="n">
        <f aca="false">YEAR(B3506)</f>
        <v>2031</v>
      </c>
      <c r="P3506" s="1" t="n">
        <f aca="false">MONTH(B3506)</f>
        <v>8</v>
      </c>
      <c r="Q3506" s="1" t="str">
        <f aca="false">TEXT(B3506,"mmm")</f>
        <v>Aug</v>
      </c>
      <c r="R3506" s="1" t="str">
        <f aca="false">"Q"&amp;ROUNDUP(MONTH(B3506)/3,0)</f>
        <v>Q3</v>
      </c>
    </row>
    <row r="3507" customFormat="false" ht="15" hidden="false" customHeight="true" outlineLevel="0" collapsed="false">
      <c r="A3507" s="1" t="n">
        <v>13506</v>
      </c>
      <c r="B3507" s="14" t="n">
        <v>48067</v>
      </c>
      <c r="C3507" s="1" t="n">
        <v>1482</v>
      </c>
      <c r="D3507" s="1" t="s">
        <v>34</v>
      </c>
      <c r="E3507" s="1" t="s">
        <v>35</v>
      </c>
      <c r="F3507" s="1" t="n">
        <v>2</v>
      </c>
      <c r="G3507" s="15" t="n">
        <v>158.38</v>
      </c>
      <c r="H3507" s="16" t="n">
        <v>0.17</v>
      </c>
      <c r="I3507" s="1" t="s">
        <v>31</v>
      </c>
      <c r="J3507" s="1" t="n">
        <v>11</v>
      </c>
      <c r="K3507" s="1" t="n">
        <v>2.1</v>
      </c>
      <c r="L3507" s="15" t="n">
        <v>262.91</v>
      </c>
      <c r="M3507" s="15" t="n">
        <f aca="false">F3507*G3507</f>
        <v>316.76</v>
      </c>
      <c r="N3507" s="15" t="n">
        <f aca="false">M3507-L3507</f>
        <v>53.85</v>
      </c>
      <c r="O3507" s="1" t="n">
        <f aca="false">YEAR(B3507)</f>
        <v>2031</v>
      </c>
      <c r="P3507" s="1" t="n">
        <f aca="false">MONTH(B3507)</f>
        <v>8</v>
      </c>
      <c r="Q3507" s="1" t="str">
        <f aca="false">TEXT(B3507,"mmm")</f>
        <v>Aug</v>
      </c>
      <c r="R3507" s="1" t="str">
        <f aca="false">"Q"&amp;ROUNDUP(MONTH(B3507)/3,0)</f>
        <v>Q3</v>
      </c>
    </row>
    <row r="3508" customFormat="false" ht="15" hidden="false" customHeight="true" outlineLevel="0" collapsed="false">
      <c r="A3508" s="1" t="n">
        <v>13507</v>
      </c>
      <c r="B3508" s="14" t="n">
        <v>48068</v>
      </c>
      <c r="C3508" s="1" t="n">
        <v>1663</v>
      </c>
      <c r="D3508" s="1" t="s">
        <v>34</v>
      </c>
      <c r="E3508" s="1" t="s">
        <v>28</v>
      </c>
      <c r="F3508" s="1" t="n">
        <v>5</v>
      </c>
      <c r="G3508" s="15" t="n">
        <v>433.11</v>
      </c>
      <c r="H3508" s="16" t="n">
        <v>0.21</v>
      </c>
      <c r="I3508" s="1" t="s">
        <v>33</v>
      </c>
      <c r="J3508" s="1" t="n">
        <v>8</v>
      </c>
      <c r="K3508" s="1" t="n">
        <v>3.6</v>
      </c>
      <c r="L3508" s="15" t="n">
        <v>1710.78</v>
      </c>
      <c r="M3508" s="15" t="n">
        <f aca="false">F3508*G3508</f>
        <v>2165.55</v>
      </c>
      <c r="N3508" s="15" t="n">
        <f aca="false">M3508-L3508</f>
        <v>454.77</v>
      </c>
      <c r="O3508" s="1" t="n">
        <f aca="false">YEAR(B3508)</f>
        <v>2031</v>
      </c>
      <c r="P3508" s="1" t="n">
        <f aca="false">MONTH(B3508)</f>
        <v>8</v>
      </c>
      <c r="Q3508" s="1" t="str">
        <f aca="false">TEXT(B3508,"mmm")</f>
        <v>Aug</v>
      </c>
      <c r="R3508" s="1" t="str">
        <f aca="false">"Q"&amp;ROUNDUP(MONTH(B3508)/3,0)</f>
        <v>Q3</v>
      </c>
    </row>
    <row r="3509" customFormat="false" ht="15" hidden="false" customHeight="true" outlineLevel="0" collapsed="false">
      <c r="A3509" s="1" t="n">
        <v>13508</v>
      </c>
      <c r="B3509" s="14" t="n">
        <v>48069</v>
      </c>
      <c r="C3509" s="1" t="n">
        <v>1016</v>
      </c>
      <c r="D3509" s="1" t="s">
        <v>34</v>
      </c>
      <c r="E3509" s="1" t="s">
        <v>36</v>
      </c>
      <c r="F3509" s="1" t="n">
        <v>7</v>
      </c>
      <c r="G3509" s="15" t="n">
        <v>320.02</v>
      </c>
      <c r="H3509" s="16" t="n">
        <v>0.06</v>
      </c>
      <c r="I3509" s="1" t="s">
        <v>29</v>
      </c>
      <c r="J3509" s="1" t="n">
        <v>2</v>
      </c>
      <c r="K3509" s="1" t="n">
        <v>2.4</v>
      </c>
      <c r="L3509" s="15" t="n">
        <v>2105.73</v>
      </c>
      <c r="M3509" s="15" t="n">
        <f aca="false">F3509*G3509</f>
        <v>2240.14</v>
      </c>
      <c r="N3509" s="15" t="n">
        <f aca="false">M3509-L3509</f>
        <v>134.41</v>
      </c>
      <c r="O3509" s="1" t="n">
        <f aca="false">YEAR(B3509)</f>
        <v>2031</v>
      </c>
      <c r="P3509" s="1" t="n">
        <f aca="false">MONTH(B3509)</f>
        <v>8</v>
      </c>
      <c r="Q3509" s="1" t="str">
        <f aca="false">TEXT(B3509,"mmm")</f>
        <v>Aug</v>
      </c>
      <c r="R3509" s="1" t="str">
        <f aca="false">"Q"&amp;ROUNDUP(MONTH(B3509)/3,0)</f>
        <v>Q3</v>
      </c>
    </row>
    <row r="3510" customFormat="false" ht="15" hidden="false" customHeight="true" outlineLevel="0" collapsed="false">
      <c r="A3510" s="1" t="n">
        <v>13509</v>
      </c>
      <c r="B3510" s="14" t="n">
        <v>48070</v>
      </c>
      <c r="C3510" s="1" t="n">
        <v>1644</v>
      </c>
      <c r="D3510" s="1" t="s">
        <v>30</v>
      </c>
      <c r="E3510" s="1" t="s">
        <v>28</v>
      </c>
      <c r="F3510" s="1" t="n">
        <v>6</v>
      </c>
      <c r="G3510" s="15" t="n">
        <v>414.72</v>
      </c>
      <c r="H3510" s="16" t="n">
        <v>0.27</v>
      </c>
      <c r="I3510" s="1" t="s">
        <v>33</v>
      </c>
      <c r="J3510" s="1" t="n">
        <v>6</v>
      </c>
      <c r="K3510" s="1" t="n">
        <v>4.8</v>
      </c>
      <c r="L3510" s="15" t="n">
        <v>1816.47</v>
      </c>
      <c r="M3510" s="15" t="n">
        <f aca="false">F3510*G3510</f>
        <v>2488.32</v>
      </c>
      <c r="N3510" s="15" t="n">
        <f aca="false">M3510-L3510</f>
        <v>671.85</v>
      </c>
      <c r="O3510" s="1" t="n">
        <f aca="false">YEAR(B3510)</f>
        <v>2031</v>
      </c>
      <c r="P3510" s="1" t="n">
        <f aca="false">MONTH(B3510)</f>
        <v>8</v>
      </c>
      <c r="Q3510" s="1" t="str">
        <f aca="false">TEXT(B3510,"mmm")</f>
        <v>Aug</v>
      </c>
      <c r="R3510" s="1" t="str">
        <f aca="false">"Q"&amp;ROUNDUP(MONTH(B3510)/3,0)</f>
        <v>Q3</v>
      </c>
    </row>
    <row r="3511" customFormat="false" ht="15" hidden="false" customHeight="true" outlineLevel="0" collapsed="false">
      <c r="A3511" s="1" t="n">
        <v>13510</v>
      </c>
      <c r="B3511" s="14" t="n">
        <v>48071</v>
      </c>
      <c r="C3511" s="1" t="n">
        <v>1147</v>
      </c>
      <c r="D3511" s="1" t="s">
        <v>30</v>
      </c>
      <c r="E3511" s="1" t="s">
        <v>32</v>
      </c>
      <c r="F3511" s="1" t="n">
        <v>3</v>
      </c>
      <c r="G3511" s="15" t="n">
        <v>172.62</v>
      </c>
      <c r="H3511" s="16" t="n">
        <v>0.1</v>
      </c>
      <c r="I3511" s="1" t="s">
        <v>31</v>
      </c>
      <c r="J3511" s="1" t="n">
        <v>1</v>
      </c>
      <c r="K3511" s="1" t="n">
        <v>1.5</v>
      </c>
      <c r="L3511" s="15" t="n">
        <v>466.07</v>
      </c>
      <c r="M3511" s="15" t="n">
        <f aca="false">F3511*G3511</f>
        <v>517.86</v>
      </c>
      <c r="N3511" s="15" t="n">
        <f aca="false">M3511-L3511</f>
        <v>51.79</v>
      </c>
      <c r="O3511" s="1" t="n">
        <f aca="false">YEAR(B3511)</f>
        <v>2031</v>
      </c>
      <c r="P3511" s="1" t="n">
        <f aca="false">MONTH(B3511)</f>
        <v>8</v>
      </c>
      <c r="Q3511" s="1" t="str">
        <f aca="false">TEXT(B3511,"mmm")</f>
        <v>Aug</v>
      </c>
      <c r="R3511" s="1" t="str">
        <f aca="false">"Q"&amp;ROUNDUP(MONTH(B3511)/3,0)</f>
        <v>Q3</v>
      </c>
    </row>
    <row r="3512" customFormat="false" ht="15" hidden="false" customHeight="true" outlineLevel="0" collapsed="false">
      <c r="A3512" s="1" t="n">
        <v>13511</v>
      </c>
      <c r="B3512" s="14" t="n">
        <v>48072</v>
      </c>
      <c r="C3512" s="1" t="n">
        <v>1276</v>
      </c>
      <c r="D3512" s="1" t="s">
        <v>30</v>
      </c>
      <c r="E3512" s="1" t="s">
        <v>32</v>
      </c>
      <c r="F3512" s="1" t="n">
        <v>7</v>
      </c>
      <c r="G3512" s="15" t="n">
        <v>365.25</v>
      </c>
      <c r="H3512" s="16" t="n">
        <v>0.07</v>
      </c>
      <c r="I3512" s="1" t="s">
        <v>29</v>
      </c>
      <c r="J3512" s="1" t="n">
        <v>7</v>
      </c>
      <c r="K3512" s="1" t="n">
        <v>5</v>
      </c>
      <c r="L3512" s="15" t="n">
        <v>2377.78</v>
      </c>
      <c r="M3512" s="15" t="n">
        <f aca="false">F3512*G3512</f>
        <v>2556.75</v>
      </c>
      <c r="N3512" s="15" t="n">
        <f aca="false">M3512-L3512</f>
        <v>178.97</v>
      </c>
      <c r="O3512" s="1" t="n">
        <f aca="false">YEAR(B3512)</f>
        <v>2031</v>
      </c>
      <c r="P3512" s="1" t="n">
        <f aca="false">MONTH(B3512)</f>
        <v>8</v>
      </c>
      <c r="Q3512" s="1" t="str">
        <f aca="false">TEXT(B3512,"mmm")</f>
        <v>Aug</v>
      </c>
      <c r="R3512" s="1" t="str">
        <f aca="false">"Q"&amp;ROUNDUP(MONTH(B3512)/3,0)</f>
        <v>Q3</v>
      </c>
    </row>
    <row r="3513" customFormat="false" ht="15" hidden="false" customHeight="true" outlineLevel="0" collapsed="false">
      <c r="A3513" s="1" t="n">
        <v>13512</v>
      </c>
      <c r="B3513" s="14" t="n">
        <v>48073</v>
      </c>
      <c r="C3513" s="1" t="n">
        <v>1231</v>
      </c>
      <c r="D3513" s="1" t="s">
        <v>30</v>
      </c>
      <c r="E3513" s="1" t="s">
        <v>28</v>
      </c>
      <c r="F3513" s="1" t="n">
        <v>3</v>
      </c>
      <c r="G3513" s="15" t="n">
        <v>274.7</v>
      </c>
      <c r="H3513" s="16" t="n">
        <v>0.2</v>
      </c>
      <c r="I3513" s="1" t="s">
        <v>31</v>
      </c>
      <c r="J3513" s="1" t="n">
        <v>4</v>
      </c>
      <c r="K3513" s="1" t="n">
        <v>1</v>
      </c>
      <c r="L3513" s="15" t="n">
        <v>659.28</v>
      </c>
      <c r="M3513" s="15" t="n">
        <f aca="false">F3513*G3513</f>
        <v>824.1</v>
      </c>
      <c r="N3513" s="15" t="n">
        <f aca="false">M3513-L3513</f>
        <v>164.82</v>
      </c>
      <c r="O3513" s="1" t="n">
        <f aca="false">YEAR(B3513)</f>
        <v>2031</v>
      </c>
      <c r="P3513" s="1" t="n">
        <f aca="false">MONTH(B3513)</f>
        <v>8</v>
      </c>
      <c r="Q3513" s="1" t="str">
        <f aca="false">TEXT(B3513,"mmm")</f>
        <v>Aug</v>
      </c>
      <c r="R3513" s="1" t="str">
        <f aca="false">"Q"&amp;ROUNDUP(MONTH(B3513)/3,0)</f>
        <v>Q3</v>
      </c>
    </row>
    <row r="3514" customFormat="false" ht="15" hidden="false" customHeight="true" outlineLevel="0" collapsed="false">
      <c r="A3514" s="1" t="n">
        <v>13513</v>
      </c>
      <c r="B3514" s="14" t="n">
        <v>48074</v>
      </c>
      <c r="C3514" s="1" t="n">
        <v>1825</v>
      </c>
      <c r="D3514" s="1" t="s">
        <v>27</v>
      </c>
      <c r="E3514" s="1" t="s">
        <v>36</v>
      </c>
      <c r="F3514" s="1" t="n">
        <v>1</v>
      </c>
      <c r="G3514" s="15" t="n">
        <v>364.22</v>
      </c>
      <c r="H3514" s="16" t="n">
        <v>0.14</v>
      </c>
      <c r="I3514" s="1" t="s">
        <v>33</v>
      </c>
      <c r="J3514" s="1" t="n">
        <v>1</v>
      </c>
      <c r="K3514" s="1" t="n">
        <v>2.8</v>
      </c>
      <c r="L3514" s="15" t="n">
        <v>313.23</v>
      </c>
      <c r="M3514" s="15" t="n">
        <f aca="false">F3514*G3514</f>
        <v>364.22</v>
      </c>
      <c r="N3514" s="15" t="n">
        <f aca="false">M3514-L3514</f>
        <v>50.99</v>
      </c>
      <c r="O3514" s="1" t="n">
        <f aca="false">YEAR(B3514)</f>
        <v>2031</v>
      </c>
      <c r="P3514" s="1" t="n">
        <f aca="false">MONTH(B3514)</f>
        <v>8</v>
      </c>
      <c r="Q3514" s="1" t="str">
        <f aca="false">TEXT(B3514,"mmm")</f>
        <v>Aug</v>
      </c>
      <c r="R3514" s="1" t="str">
        <f aca="false">"Q"&amp;ROUNDUP(MONTH(B3514)/3,0)</f>
        <v>Q3</v>
      </c>
    </row>
    <row r="3515" customFormat="false" ht="15" hidden="false" customHeight="true" outlineLevel="0" collapsed="false">
      <c r="A3515" s="1" t="n">
        <v>13514</v>
      </c>
      <c r="B3515" s="14" t="n">
        <v>48075</v>
      </c>
      <c r="C3515" s="1" t="n">
        <v>1926</v>
      </c>
      <c r="D3515" s="1" t="s">
        <v>30</v>
      </c>
      <c r="E3515" s="1" t="s">
        <v>35</v>
      </c>
      <c r="F3515" s="1" t="n">
        <v>3</v>
      </c>
      <c r="G3515" s="15" t="n">
        <v>185.16</v>
      </c>
      <c r="H3515" s="16" t="n">
        <v>0.32</v>
      </c>
      <c r="I3515" s="1" t="s">
        <v>31</v>
      </c>
      <c r="J3515" s="1" t="n">
        <v>9</v>
      </c>
      <c r="K3515" s="1" t="n">
        <v>2</v>
      </c>
      <c r="L3515" s="15" t="n">
        <v>377.73</v>
      </c>
      <c r="M3515" s="15" t="n">
        <f aca="false">F3515*G3515</f>
        <v>555.48</v>
      </c>
      <c r="N3515" s="15" t="n">
        <f aca="false">M3515-L3515</f>
        <v>177.75</v>
      </c>
      <c r="O3515" s="1" t="n">
        <f aca="false">YEAR(B3515)</f>
        <v>2031</v>
      </c>
      <c r="P3515" s="1" t="n">
        <f aca="false">MONTH(B3515)</f>
        <v>8</v>
      </c>
      <c r="Q3515" s="1" t="str">
        <f aca="false">TEXT(B3515,"mmm")</f>
        <v>Aug</v>
      </c>
      <c r="R3515" s="1" t="str">
        <f aca="false">"Q"&amp;ROUNDUP(MONTH(B3515)/3,0)</f>
        <v>Q3</v>
      </c>
    </row>
    <row r="3516" customFormat="false" ht="15" hidden="false" customHeight="true" outlineLevel="0" collapsed="false">
      <c r="A3516" s="1" t="n">
        <v>13515</v>
      </c>
      <c r="B3516" s="14" t="n">
        <v>48076</v>
      </c>
      <c r="C3516" s="1" t="n">
        <v>1365</v>
      </c>
      <c r="D3516" s="1" t="s">
        <v>34</v>
      </c>
      <c r="E3516" s="1" t="s">
        <v>28</v>
      </c>
      <c r="F3516" s="1" t="n">
        <v>7</v>
      </c>
      <c r="G3516" s="15" t="n">
        <v>433.54</v>
      </c>
      <c r="H3516" s="16" t="n">
        <v>0.31</v>
      </c>
      <c r="I3516" s="1" t="s">
        <v>31</v>
      </c>
      <c r="J3516" s="1" t="n">
        <v>9</v>
      </c>
      <c r="K3516" s="1" t="n">
        <v>3.3</v>
      </c>
      <c r="L3516" s="15" t="n">
        <v>2094</v>
      </c>
      <c r="M3516" s="15" t="n">
        <f aca="false">F3516*G3516</f>
        <v>3034.78</v>
      </c>
      <c r="N3516" s="15" t="n">
        <f aca="false">M3516-L3516</f>
        <v>940.78</v>
      </c>
      <c r="O3516" s="1" t="n">
        <f aca="false">YEAR(B3516)</f>
        <v>2031</v>
      </c>
      <c r="P3516" s="1" t="n">
        <f aca="false">MONTH(B3516)</f>
        <v>8</v>
      </c>
      <c r="Q3516" s="1" t="str">
        <f aca="false">TEXT(B3516,"mmm")</f>
        <v>Aug</v>
      </c>
      <c r="R3516" s="1" t="str">
        <f aca="false">"Q"&amp;ROUNDUP(MONTH(B3516)/3,0)</f>
        <v>Q3</v>
      </c>
    </row>
    <row r="3517" customFormat="false" ht="15" hidden="false" customHeight="true" outlineLevel="0" collapsed="false">
      <c r="A3517" s="1" t="n">
        <v>13516</v>
      </c>
      <c r="B3517" s="14" t="n">
        <v>48077</v>
      </c>
      <c r="C3517" s="1" t="n">
        <v>1227</v>
      </c>
      <c r="D3517" s="1" t="s">
        <v>34</v>
      </c>
      <c r="E3517" s="1" t="s">
        <v>32</v>
      </c>
      <c r="F3517" s="1" t="n">
        <v>4</v>
      </c>
      <c r="G3517" s="15" t="n">
        <v>486.47</v>
      </c>
      <c r="H3517" s="16" t="n">
        <v>0.17</v>
      </c>
      <c r="I3517" s="1" t="s">
        <v>31</v>
      </c>
      <c r="J3517" s="1" t="n">
        <v>11</v>
      </c>
      <c r="K3517" s="1" t="n">
        <v>1.4</v>
      </c>
      <c r="L3517" s="15" t="n">
        <v>1615.08</v>
      </c>
      <c r="M3517" s="15" t="n">
        <f aca="false">F3517*G3517</f>
        <v>1945.88</v>
      </c>
      <c r="N3517" s="15" t="n">
        <f aca="false">M3517-L3517</f>
        <v>330.8</v>
      </c>
      <c r="O3517" s="1" t="n">
        <f aca="false">YEAR(B3517)</f>
        <v>2031</v>
      </c>
      <c r="P3517" s="1" t="n">
        <f aca="false">MONTH(B3517)</f>
        <v>8</v>
      </c>
      <c r="Q3517" s="1" t="str">
        <f aca="false">TEXT(B3517,"mmm")</f>
        <v>Aug</v>
      </c>
      <c r="R3517" s="1" t="str">
        <f aca="false">"Q"&amp;ROUNDUP(MONTH(B3517)/3,0)</f>
        <v>Q3</v>
      </c>
    </row>
    <row r="3518" customFormat="false" ht="15" hidden="false" customHeight="true" outlineLevel="0" collapsed="false">
      <c r="A3518" s="1" t="n">
        <v>13517</v>
      </c>
      <c r="B3518" s="14" t="n">
        <v>48078</v>
      </c>
      <c r="C3518" s="1" t="n">
        <v>1650</v>
      </c>
      <c r="D3518" s="1" t="s">
        <v>30</v>
      </c>
      <c r="E3518" s="1" t="s">
        <v>32</v>
      </c>
      <c r="F3518" s="1" t="n">
        <v>4</v>
      </c>
      <c r="G3518" s="15" t="n">
        <v>167.05</v>
      </c>
      <c r="H3518" s="16" t="n">
        <v>0.13</v>
      </c>
      <c r="I3518" s="1" t="s">
        <v>31</v>
      </c>
      <c r="J3518" s="1" t="n">
        <v>3</v>
      </c>
      <c r="K3518" s="1" t="n">
        <v>4.5</v>
      </c>
      <c r="L3518" s="15" t="n">
        <v>581.33</v>
      </c>
      <c r="M3518" s="15" t="n">
        <f aca="false">F3518*G3518</f>
        <v>668.2</v>
      </c>
      <c r="N3518" s="15" t="n">
        <f aca="false">M3518-L3518</f>
        <v>86.87</v>
      </c>
      <c r="O3518" s="1" t="n">
        <f aca="false">YEAR(B3518)</f>
        <v>2031</v>
      </c>
      <c r="P3518" s="1" t="n">
        <f aca="false">MONTH(B3518)</f>
        <v>8</v>
      </c>
      <c r="Q3518" s="1" t="str">
        <f aca="false">TEXT(B3518,"mmm")</f>
        <v>Aug</v>
      </c>
      <c r="R3518" s="1" t="str">
        <f aca="false">"Q"&amp;ROUNDUP(MONTH(B3518)/3,0)</f>
        <v>Q3</v>
      </c>
    </row>
    <row r="3519" customFormat="false" ht="15" hidden="false" customHeight="true" outlineLevel="0" collapsed="false">
      <c r="A3519" s="1" t="n">
        <v>13518</v>
      </c>
      <c r="B3519" s="14" t="n">
        <v>48079</v>
      </c>
      <c r="C3519" s="1" t="n">
        <v>1435</v>
      </c>
      <c r="D3519" s="1" t="s">
        <v>37</v>
      </c>
      <c r="E3519" s="1" t="s">
        <v>28</v>
      </c>
      <c r="F3519" s="1" t="n">
        <v>6</v>
      </c>
      <c r="G3519" s="15" t="n">
        <v>190.86</v>
      </c>
      <c r="H3519" s="16" t="n">
        <v>0.11</v>
      </c>
      <c r="I3519" s="1" t="s">
        <v>29</v>
      </c>
      <c r="J3519" s="1" t="n">
        <v>6</v>
      </c>
      <c r="K3519" s="1" t="n">
        <v>1.5</v>
      </c>
      <c r="L3519" s="15" t="n">
        <v>1019.19</v>
      </c>
      <c r="M3519" s="15" t="n">
        <f aca="false">F3519*G3519</f>
        <v>1145.16</v>
      </c>
      <c r="N3519" s="15" t="n">
        <f aca="false">M3519-L3519</f>
        <v>125.97</v>
      </c>
      <c r="O3519" s="1" t="n">
        <f aca="false">YEAR(B3519)</f>
        <v>2031</v>
      </c>
      <c r="P3519" s="1" t="n">
        <f aca="false">MONTH(B3519)</f>
        <v>8</v>
      </c>
      <c r="Q3519" s="1" t="str">
        <f aca="false">TEXT(B3519,"mmm")</f>
        <v>Aug</v>
      </c>
      <c r="R3519" s="1" t="str">
        <f aca="false">"Q"&amp;ROUNDUP(MONTH(B3519)/3,0)</f>
        <v>Q3</v>
      </c>
    </row>
    <row r="3520" customFormat="false" ht="15" hidden="false" customHeight="true" outlineLevel="0" collapsed="false">
      <c r="A3520" s="1" t="n">
        <v>13519</v>
      </c>
      <c r="B3520" s="14" t="n">
        <v>48080</v>
      </c>
      <c r="C3520" s="1" t="n">
        <v>1398</v>
      </c>
      <c r="D3520" s="1" t="s">
        <v>34</v>
      </c>
      <c r="E3520" s="1" t="s">
        <v>28</v>
      </c>
      <c r="F3520" s="1" t="n">
        <v>2</v>
      </c>
      <c r="G3520" s="15" t="n">
        <v>401.78</v>
      </c>
      <c r="H3520" s="16" t="n">
        <v>0.09</v>
      </c>
      <c r="I3520" s="1" t="s">
        <v>33</v>
      </c>
      <c r="J3520" s="1" t="n">
        <v>7</v>
      </c>
      <c r="K3520" s="1" t="n">
        <v>3.3</v>
      </c>
      <c r="L3520" s="15" t="n">
        <v>731.24</v>
      </c>
      <c r="M3520" s="15" t="n">
        <f aca="false">F3520*G3520</f>
        <v>803.56</v>
      </c>
      <c r="N3520" s="15" t="n">
        <f aca="false">M3520-L3520</f>
        <v>72.3199999999999</v>
      </c>
      <c r="O3520" s="1" t="n">
        <f aca="false">YEAR(B3520)</f>
        <v>2031</v>
      </c>
      <c r="P3520" s="1" t="n">
        <f aca="false">MONTH(B3520)</f>
        <v>8</v>
      </c>
      <c r="Q3520" s="1" t="str">
        <f aca="false">TEXT(B3520,"mmm")</f>
        <v>Aug</v>
      </c>
      <c r="R3520" s="1" t="str">
        <f aca="false">"Q"&amp;ROUNDUP(MONTH(B3520)/3,0)</f>
        <v>Q3</v>
      </c>
    </row>
    <row r="3521" customFormat="false" ht="15" hidden="false" customHeight="true" outlineLevel="0" collapsed="false">
      <c r="A3521" s="1" t="n">
        <v>13520</v>
      </c>
      <c r="B3521" s="14" t="n">
        <v>48081</v>
      </c>
      <c r="C3521" s="1" t="n">
        <v>1210</v>
      </c>
      <c r="D3521" s="1" t="s">
        <v>37</v>
      </c>
      <c r="E3521" s="1" t="s">
        <v>28</v>
      </c>
      <c r="F3521" s="1" t="n">
        <v>1</v>
      </c>
      <c r="G3521" s="15" t="n">
        <v>421.92</v>
      </c>
      <c r="H3521" s="16" t="n">
        <v>0.19</v>
      </c>
      <c r="I3521" s="1" t="s">
        <v>29</v>
      </c>
      <c r="J3521" s="1" t="n">
        <v>4</v>
      </c>
      <c r="K3521" s="1" t="n">
        <v>1.1</v>
      </c>
      <c r="L3521" s="15" t="n">
        <v>341.76</v>
      </c>
      <c r="M3521" s="15" t="n">
        <f aca="false">F3521*G3521</f>
        <v>421.92</v>
      </c>
      <c r="N3521" s="15" t="n">
        <f aca="false">M3521-L3521</f>
        <v>80.16</v>
      </c>
      <c r="O3521" s="1" t="n">
        <f aca="false">YEAR(B3521)</f>
        <v>2031</v>
      </c>
      <c r="P3521" s="1" t="n">
        <f aca="false">MONTH(B3521)</f>
        <v>8</v>
      </c>
      <c r="Q3521" s="1" t="str">
        <f aca="false">TEXT(B3521,"mmm")</f>
        <v>Aug</v>
      </c>
      <c r="R3521" s="1" t="str">
        <f aca="false">"Q"&amp;ROUNDUP(MONTH(B3521)/3,0)</f>
        <v>Q3</v>
      </c>
    </row>
    <row r="3522" customFormat="false" ht="15" hidden="false" customHeight="true" outlineLevel="0" collapsed="false">
      <c r="A3522" s="1" t="n">
        <v>13521</v>
      </c>
      <c r="B3522" s="14" t="n">
        <v>48082</v>
      </c>
      <c r="C3522" s="1" t="n">
        <v>1390</v>
      </c>
      <c r="D3522" s="1" t="s">
        <v>34</v>
      </c>
      <c r="E3522" s="1" t="s">
        <v>35</v>
      </c>
      <c r="F3522" s="1" t="n">
        <v>5</v>
      </c>
      <c r="G3522" s="15" t="n">
        <v>426.9</v>
      </c>
      <c r="H3522" s="16" t="n">
        <v>0.28</v>
      </c>
      <c r="I3522" s="1" t="s">
        <v>33</v>
      </c>
      <c r="J3522" s="1" t="n">
        <v>6</v>
      </c>
      <c r="K3522" s="1" t="n">
        <v>2.2</v>
      </c>
      <c r="L3522" s="15" t="n">
        <v>1536.84</v>
      </c>
      <c r="M3522" s="15" t="n">
        <f aca="false">F3522*G3522</f>
        <v>2134.5</v>
      </c>
      <c r="N3522" s="15" t="n">
        <f aca="false">M3522-L3522</f>
        <v>597.66</v>
      </c>
      <c r="O3522" s="1" t="n">
        <f aca="false">YEAR(B3522)</f>
        <v>2031</v>
      </c>
      <c r="P3522" s="1" t="n">
        <f aca="false">MONTH(B3522)</f>
        <v>8</v>
      </c>
      <c r="Q3522" s="1" t="str">
        <f aca="false">TEXT(B3522,"mmm")</f>
        <v>Aug</v>
      </c>
      <c r="R3522" s="1" t="str">
        <f aca="false">"Q"&amp;ROUNDUP(MONTH(B3522)/3,0)</f>
        <v>Q3</v>
      </c>
    </row>
    <row r="3523" customFormat="false" ht="15" hidden="false" customHeight="true" outlineLevel="0" collapsed="false">
      <c r="A3523" s="1" t="n">
        <v>13522</v>
      </c>
      <c r="B3523" s="14" t="n">
        <v>48083</v>
      </c>
      <c r="C3523" s="1" t="n">
        <v>1498</v>
      </c>
      <c r="D3523" s="1" t="s">
        <v>30</v>
      </c>
      <c r="E3523" s="1" t="s">
        <v>32</v>
      </c>
      <c r="F3523" s="1" t="n">
        <v>6</v>
      </c>
      <c r="G3523" s="15" t="n">
        <v>414.38</v>
      </c>
      <c r="H3523" s="16" t="n">
        <v>0.11</v>
      </c>
      <c r="I3523" s="1" t="s">
        <v>33</v>
      </c>
      <c r="J3523" s="1" t="n">
        <v>9</v>
      </c>
      <c r="K3523" s="1" t="n">
        <v>1.6</v>
      </c>
      <c r="L3523" s="15" t="n">
        <v>2212.79</v>
      </c>
      <c r="M3523" s="15" t="n">
        <f aca="false">F3523*G3523</f>
        <v>2486.28</v>
      </c>
      <c r="N3523" s="15" t="n">
        <f aca="false">M3523-L3523</f>
        <v>273.49</v>
      </c>
      <c r="O3523" s="1" t="n">
        <f aca="false">YEAR(B3523)</f>
        <v>2031</v>
      </c>
      <c r="P3523" s="1" t="n">
        <f aca="false">MONTH(B3523)</f>
        <v>8</v>
      </c>
      <c r="Q3523" s="1" t="str">
        <f aca="false">TEXT(B3523,"mmm")</f>
        <v>Aug</v>
      </c>
      <c r="R3523" s="1" t="str">
        <f aca="false">"Q"&amp;ROUNDUP(MONTH(B3523)/3,0)</f>
        <v>Q3</v>
      </c>
    </row>
    <row r="3524" customFormat="false" ht="15" hidden="false" customHeight="true" outlineLevel="0" collapsed="false">
      <c r="A3524" s="1" t="n">
        <v>13523</v>
      </c>
      <c r="B3524" s="14" t="n">
        <v>48084</v>
      </c>
      <c r="C3524" s="1" t="n">
        <v>1539</v>
      </c>
      <c r="D3524" s="1" t="s">
        <v>37</v>
      </c>
      <c r="E3524" s="1" t="s">
        <v>32</v>
      </c>
      <c r="F3524" s="1" t="n">
        <v>2</v>
      </c>
      <c r="G3524" s="15" t="n">
        <v>244.79</v>
      </c>
      <c r="H3524" s="16" t="n">
        <v>0.07</v>
      </c>
      <c r="I3524" s="1" t="s">
        <v>33</v>
      </c>
      <c r="J3524" s="1" t="n">
        <v>10</v>
      </c>
      <c r="K3524" s="1" t="n">
        <v>4.9</v>
      </c>
      <c r="L3524" s="15" t="n">
        <v>455.31</v>
      </c>
      <c r="M3524" s="15" t="n">
        <f aca="false">F3524*G3524</f>
        <v>489.58</v>
      </c>
      <c r="N3524" s="15" t="n">
        <f aca="false">M3524-L3524</f>
        <v>34.27</v>
      </c>
      <c r="O3524" s="1" t="n">
        <f aca="false">YEAR(B3524)</f>
        <v>2031</v>
      </c>
      <c r="P3524" s="1" t="n">
        <f aca="false">MONTH(B3524)</f>
        <v>8</v>
      </c>
      <c r="Q3524" s="1" t="str">
        <f aca="false">TEXT(B3524,"mmm")</f>
        <v>Aug</v>
      </c>
      <c r="R3524" s="1" t="str">
        <f aca="false">"Q"&amp;ROUNDUP(MONTH(B3524)/3,0)</f>
        <v>Q3</v>
      </c>
    </row>
    <row r="3525" customFormat="false" ht="15" hidden="false" customHeight="true" outlineLevel="0" collapsed="false">
      <c r="A3525" s="1" t="n">
        <v>13524</v>
      </c>
      <c r="B3525" s="14" t="n">
        <v>48085</v>
      </c>
      <c r="C3525" s="1" t="n">
        <v>1562</v>
      </c>
      <c r="D3525" s="1" t="s">
        <v>34</v>
      </c>
      <c r="E3525" s="1" t="s">
        <v>32</v>
      </c>
      <c r="F3525" s="1" t="n">
        <v>1</v>
      </c>
      <c r="G3525" s="15" t="n">
        <v>245.99</v>
      </c>
      <c r="H3525" s="16" t="n">
        <v>0.17</v>
      </c>
      <c r="I3525" s="1" t="s">
        <v>29</v>
      </c>
      <c r="J3525" s="1" t="n">
        <v>6</v>
      </c>
      <c r="K3525" s="1" t="n">
        <v>1</v>
      </c>
      <c r="L3525" s="15" t="n">
        <v>204.17</v>
      </c>
      <c r="M3525" s="15" t="n">
        <f aca="false">F3525*G3525</f>
        <v>245.99</v>
      </c>
      <c r="N3525" s="15" t="n">
        <f aca="false">M3525-L3525</f>
        <v>41.82</v>
      </c>
      <c r="O3525" s="1" t="n">
        <f aca="false">YEAR(B3525)</f>
        <v>2031</v>
      </c>
      <c r="P3525" s="1" t="n">
        <f aca="false">MONTH(B3525)</f>
        <v>8</v>
      </c>
      <c r="Q3525" s="1" t="str">
        <f aca="false">TEXT(B3525,"mmm")</f>
        <v>Aug</v>
      </c>
      <c r="R3525" s="1" t="str">
        <f aca="false">"Q"&amp;ROUNDUP(MONTH(B3525)/3,0)</f>
        <v>Q3</v>
      </c>
    </row>
    <row r="3526" customFormat="false" ht="15" hidden="false" customHeight="true" outlineLevel="0" collapsed="false">
      <c r="A3526" s="1" t="n">
        <v>13525</v>
      </c>
      <c r="B3526" s="14" t="n">
        <v>48086</v>
      </c>
      <c r="C3526" s="1" t="n">
        <v>1490</v>
      </c>
      <c r="D3526" s="1" t="s">
        <v>30</v>
      </c>
      <c r="E3526" s="1" t="s">
        <v>35</v>
      </c>
      <c r="F3526" s="1" t="n">
        <v>7</v>
      </c>
      <c r="G3526" s="15" t="n">
        <v>164.07</v>
      </c>
      <c r="H3526" s="16" t="n">
        <v>0.02</v>
      </c>
      <c r="I3526" s="1" t="s">
        <v>31</v>
      </c>
      <c r="J3526" s="1" t="n">
        <v>7</v>
      </c>
      <c r="K3526" s="1" t="n">
        <v>2.4</v>
      </c>
      <c r="L3526" s="15" t="n">
        <v>1125.52</v>
      </c>
      <c r="M3526" s="15" t="n">
        <f aca="false">F3526*G3526</f>
        <v>1148.49</v>
      </c>
      <c r="N3526" s="15" t="n">
        <f aca="false">M3526-L3526</f>
        <v>22.97</v>
      </c>
      <c r="O3526" s="1" t="n">
        <f aca="false">YEAR(B3526)</f>
        <v>2031</v>
      </c>
      <c r="P3526" s="1" t="n">
        <f aca="false">MONTH(B3526)</f>
        <v>8</v>
      </c>
      <c r="Q3526" s="1" t="str">
        <f aca="false">TEXT(B3526,"mmm")</f>
        <v>Aug</v>
      </c>
      <c r="R3526" s="1" t="str">
        <f aca="false">"Q"&amp;ROUNDUP(MONTH(B3526)/3,0)</f>
        <v>Q3</v>
      </c>
    </row>
    <row r="3527" customFormat="false" ht="15" hidden="false" customHeight="true" outlineLevel="0" collapsed="false">
      <c r="A3527" s="1" t="n">
        <v>13526</v>
      </c>
      <c r="B3527" s="14" t="n">
        <v>48087</v>
      </c>
      <c r="C3527" s="1" t="n">
        <v>1441</v>
      </c>
      <c r="D3527" s="1" t="s">
        <v>34</v>
      </c>
      <c r="E3527" s="1" t="s">
        <v>36</v>
      </c>
      <c r="F3527" s="1" t="n">
        <v>1</v>
      </c>
      <c r="G3527" s="15" t="n">
        <v>106.75</v>
      </c>
      <c r="H3527" s="16" t="n">
        <v>0.25</v>
      </c>
      <c r="I3527" s="1" t="s">
        <v>31</v>
      </c>
      <c r="J3527" s="1" t="n">
        <v>6</v>
      </c>
      <c r="K3527" s="1" t="n">
        <v>2.2</v>
      </c>
      <c r="L3527" s="15" t="n">
        <v>80.06</v>
      </c>
      <c r="M3527" s="15" t="n">
        <f aca="false">F3527*G3527</f>
        <v>106.75</v>
      </c>
      <c r="N3527" s="15" t="n">
        <f aca="false">M3527-L3527</f>
        <v>26.69</v>
      </c>
      <c r="O3527" s="1" t="n">
        <f aca="false">YEAR(B3527)</f>
        <v>2031</v>
      </c>
      <c r="P3527" s="1" t="n">
        <f aca="false">MONTH(B3527)</f>
        <v>8</v>
      </c>
      <c r="Q3527" s="1" t="str">
        <f aca="false">TEXT(B3527,"mmm")</f>
        <v>Aug</v>
      </c>
      <c r="R3527" s="1" t="str">
        <f aca="false">"Q"&amp;ROUNDUP(MONTH(B3527)/3,0)</f>
        <v>Q3</v>
      </c>
    </row>
    <row r="3528" customFormat="false" ht="15" hidden="false" customHeight="true" outlineLevel="0" collapsed="false">
      <c r="A3528" s="1" t="n">
        <v>13527</v>
      </c>
      <c r="B3528" s="14" t="n">
        <v>48088</v>
      </c>
      <c r="C3528" s="1" t="n">
        <v>1260</v>
      </c>
      <c r="D3528" s="1" t="s">
        <v>37</v>
      </c>
      <c r="E3528" s="1" t="s">
        <v>32</v>
      </c>
      <c r="F3528" s="1" t="n">
        <v>7</v>
      </c>
      <c r="G3528" s="15" t="n">
        <v>420.16</v>
      </c>
      <c r="H3528" s="16" t="n">
        <v>0.18</v>
      </c>
      <c r="I3528" s="1" t="s">
        <v>33</v>
      </c>
      <c r="J3528" s="1" t="n">
        <v>7</v>
      </c>
      <c r="K3528" s="1" t="n">
        <v>3.6</v>
      </c>
      <c r="L3528" s="15" t="n">
        <v>2411.72</v>
      </c>
      <c r="M3528" s="15" t="n">
        <f aca="false">F3528*G3528</f>
        <v>2941.12</v>
      </c>
      <c r="N3528" s="15" t="n">
        <f aca="false">M3528-L3528</f>
        <v>529.400000000001</v>
      </c>
      <c r="O3528" s="1" t="n">
        <f aca="false">YEAR(B3528)</f>
        <v>2031</v>
      </c>
      <c r="P3528" s="1" t="n">
        <f aca="false">MONTH(B3528)</f>
        <v>8</v>
      </c>
      <c r="Q3528" s="1" t="str">
        <f aca="false">TEXT(B3528,"mmm")</f>
        <v>Aug</v>
      </c>
      <c r="R3528" s="1" t="str">
        <f aca="false">"Q"&amp;ROUNDUP(MONTH(B3528)/3,0)</f>
        <v>Q3</v>
      </c>
    </row>
    <row r="3529" customFormat="false" ht="15" hidden="false" customHeight="true" outlineLevel="0" collapsed="false">
      <c r="A3529" s="1" t="n">
        <v>13528</v>
      </c>
      <c r="B3529" s="14" t="n">
        <v>48089</v>
      </c>
      <c r="C3529" s="1" t="n">
        <v>1772</v>
      </c>
      <c r="D3529" s="1" t="s">
        <v>34</v>
      </c>
      <c r="E3529" s="1" t="s">
        <v>32</v>
      </c>
      <c r="F3529" s="1" t="n">
        <v>6</v>
      </c>
      <c r="G3529" s="15" t="n">
        <v>69.52</v>
      </c>
      <c r="H3529" s="16" t="n">
        <v>0.17</v>
      </c>
      <c r="I3529" s="1" t="s">
        <v>29</v>
      </c>
      <c r="J3529" s="1" t="n">
        <v>1</v>
      </c>
      <c r="K3529" s="1" t="n">
        <v>1.2</v>
      </c>
      <c r="L3529" s="15" t="n">
        <v>346.21</v>
      </c>
      <c r="M3529" s="15" t="n">
        <f aca="false">F3529*G3529</f>
        <v>417.12</v>
      </c>
      <c r="N3529" s="15" t="n">
        <f aca="false">M3529-L3529</f>
        <v>70.91</v>
      </c>
      <c r="O3529" s="1" t="n">
        <f aca="false">YEAR(B3529)</f>
        <v>2031</v>
      </c>
      <c r="P3529" s="1" t="n">
        <f aca="false">MONTH(B3529)</f>
        <v>8</v>
      </c>
      <c r="Q3529" s="1" t="str">
        <f aca="false">TEXT(B3529,"mmm")</f>
        <v>Aug</v>
      </c>
      <c r="R3529" s="1" t="str">
        <f aca="false">"Q"&amp;ROUNDUP(MONTH(B3529)/3,0)</f>
        <v>Q3</v>
      </c>
    </row>
    <row r="3530" customFormat="false" ht="15" hidden="false" customHeight="true" outlineLevel="0" collapsed="false">
      <c r="A3530" s="1" t="n">
        <v>13529</v>
      </c>
      <c r="B3530" s="14" t="n">
        <v>48090</v>
      </c>
      <c r="C3530" s="1" t="n">
        <v>1349</v>
      </c>
      <c r="D3530" s="1" t="s">
        <v>27</v>
      </c>
      <c r="E3530" s="1" t="s">
        <v>36</v>
      </c>
      <c r="F3530" s="1" t="n">
        <v>2</v>
      </c>
      <c r="G3530" s="15" t="n">
        <v>563.61</v>
      </c>
      <c r="H3530" s="16" t="n">
        <v>0.11</v>
      </c>
      <c r="I3530" s="1" t="s">
        <v>29</v>
      </c>
      <c r="J3530" s="1" t="n">
        <v>6</v>
      </c>
      <c r="K3530" s="1" t="n">
        <v>4.2</v>
      </c>
      <c r="L3530" s="15" t="n">
        <v>1003.23</v>
      </c>
      <c r="M3530" s="15" t="n">
        <f aca="false">F3530*G3530</f>
        <v>1127.22</v>
      </c>
      <c r="N3530" s="15" t="n">
        <f aca="false">M3530-L3530</f>
        <v>123.99</v>
      </c>
      <c r="O3530" s="1" t="n">
        <f aca="false">YEAR(B3530)</f>
        <v>2031</v>
      </c>
      <c r="P3530" s="1" t="n">
        <f aca="false">MONTH(B3530)</f>
        <v>8</v>
      </c>
      <c r="Q3530" s="1" t="str">
        <f aca="false">TEXT(B3530,"mmm")</f>
        <v>Aug</v>
      </c>
      <c r="R3530" s="1" t="str">
        <f aca="false">"Q"&amp;ROUNDUP(MONTH(B3530)/3,0)</f>
        <v>Q3</v>
      </c>
    </row>
    <row r="3531" customFormat="false" ht="15" hidden="false" customHeight="true" outlineLevel="0" collapsed="false">
      <c r="A3531" s="1" t="n">
        <v>13530</v>
      </c>
      <c r="B3531" s="14" t="n">
        <v>48091</v>
      </c>
      <c r="C3531" s="1" t="n">
        <v>1351</v>
      </c>
      <c r="D3531" s="1" t="s">
        <v>34</v>
      </c>
      <c r="E3531" s="1" t="s">
        <v>35</v>
      </c>
      <c r="F3531" s="1" t="n">
        <v>2</v>
      </c>
      <c r="G3531" s="15" t="n">
        <v>498.61</v>
      </c>
      <c r="H3531" s="16" t="n">
        <v>0.32</v>
      </c>
      <c r="I3531" s="1" t="s">
        <v>33</v>
      </c>
      <c r="J3531" s="1" t="n">
        <v>9</v>
      </c>
      <c r="K3531" s="1" t="n">
        <v>2.9</v>
      </c>
      <c r="L3531" s="15" t="n">
        <v>678.11</v>
      </c>
      <c r="M3531" s="15" t="n">
        <f aca="false">F3531*G3531</f>
        <v>997.22</v>
      </c>
      <c r="N3531" s="15" t="n">
        <f aca="false">M3531-L3531</f>
        <v>319.11</v>
      </c>
      <c r="O3531" s="1" t="n">
        <f aca="false">YEAR(B3531)</f>
        <v>2031</v>
      </c>
      <c r="P3531" s="1" t="n">
        <f aca="false">MONTH(B3531)</f>
        <v>8</v>
      </c>
      <c r="Q3531" s="1" t="str">
        <f aca="false">TEXT(B3531,"mmm")</f>
        <v>Aug</v>
      </c>
      <c r="R3531" s="1" t="str">
        <f aca="false">"Q"&amp;ROUNDUP(MONTH(B3531)/3,0)</f>
        <v>Q3</v>
      </c>
    </row>
    <row r="3532" customFormat="false" ht="15" hidden="false" customHeight="true" outlineLevel="0" collapsed="false">
      <c r="A3532" s="1" t="n">
        <v>13531</v>
      </c>
      <c r="B3532" s="14" t="n">
        <v>48092</v>
      </c>
      <c r="C3532" s="1" t="n">
        <v>1519</v>
      </c>
      <c r="D3532" s="1" t="s">
        <v>27</v>
      </c>
      <c r="E3532" s="1" t="s">
        <v>36</v>
      </c>
      <c r="F3532" s="1" t="n">
        <v>3</v>
      </c>
      <c r="G3532" s="15" t="n">
        <v>516.64</v>
      </c>
      <c r="H3532" s="16" t="n">
        <v>0.03</v>
      </c>
      <c r="I3532" s="1" t="s">
        <v>31</v>
      </c>
      <c r="J3532" s="1" t="n">
        <v>11</v>
      </c>
      <c r="K3532" s="1" t="n">
        <v>2.8</v>
      </c>
      <c r="L3532" s="15" t="n">
        <v>1503.42</v>
      </c>
      <c r="M3532" s="15" t="n">
        <f aca="false">F3532*G3532</f>
        <v>1549.92</v>
      </c>
      <c r="N3532" s="15" t="n">
        <f aca="false">M3532-L3532</f>
        <v>46.5</v>
      </c>
      <c r="O3532" s="1" t="n">
        <f aca="false">YEAR(B3532)</f>
        <v>2031</v>
      </c>
      <c r="P3532" s="1" t="n">
        <f aca="false">MONTH(B3532)</f>
        <v>9</v>
      </c>
      <c r="Q3532" s="1" t="str">
        <f aca="false">TEXT(B3532,"mmm")</f>
        <v>Sep</v>
      </c>
      <c r="R3532" s="1" t="str">
        <f aca="false">"Q"&amp;ROUNDUP(MONTH(B3532)/3,0)</f>
        <v>Q3</v>
      </c>
    </row>
    <row r="3533" customFormat="false" ht="15" hidden="false" customHeight="true" outlineLevel="0" collapsed="false">
      <c r="A3533" s="1" t="n">
        <v>13532</v>
      </c>
      <c r="B3533" s="14" t="n">
        <v>48093</v>
      </c>
      <c r="C3533" s="1" t="n">
        <v>1319</v>
      </c>
      <c r="D3533" s="1" t="s">
        <v>30</v>
      </c>
      <c r="E3533" s="1" t="s">
        <v>36</v>
      </c>
      <c r="F3533" s="1" t="n">
        <v>5</v>
      </c>
      <c r="G3533" s="15" t="n">
        <v>545.4</v>
      </c>
      <c r="H3533" s="16" t="n">
        <v>0.3</v>
      </c>
      <c r="I3533" s="1" t="s">
        <v>31</v>
      </c>
      <c r="J3533" s="1" t="n">
        <v>3</v>
      </c>
      <c r="K3533" s="1" t="n">
        <v>1.9</v>
      </c>
      <c r="L3533" s="15" t="n">
        <v>1908.9</v>
      </c>
      <c r="M3533" s="15" t="n">
        <f aca="false">F3533*G3533</f>
        <v>2727</v>
      </c>
      <c r="N3533" s="15" t="n">
        <f aca="false">M3533-L3533</f>
        <v>818.1</v>
      </c>
      <c r="O3533" s="1" t="n">
        <f aca="false">YEAR(B3533)</f>
        <v>2031</v>
      </c>
      <c r="P3533" s="1" t="n">
        <f aca="false">MONTH(B3533)</f>
        <v>9</v>
      </c>
      <c r="Q3533" s="1" t="str">
        <f aca="false">TEXT(B3533,"mmm")</f>
        <v>Sep</v>
      </c>
      <c r="R3533" s="1" t="str">
        <f aca="false">"Q"&amp;ROUNDUP(MONTH(B3533)/3,0)</f>
        <v>Q3</v>
      </c>
    </row>
    <row r="3534" customFormat="false" ht="15" hidden="false" customHeight="true" outlineLevel="0" collapsed="false">
      <c r="A3534" s="1" t="n">
        <v>13533</v>
      </c>
      <c r="B3534" s="14" t="n">
        <v>48094</v>
      </c>
      <c r="C3534" s="1" t="n">
        <v>1137</v>
      </c>
      <c r="D3534" s="1" t="s">
        <v>37</v>
      </c>
      <c r="E3534" s="1" t="s">
        <v>36</v>
      </c>
      <c r="F3534" s="1" t="n">
        <v>4</v>
      </c>
      <c r="G3534" s="15" t="n">
        <v>254.03</v>
      </c>
      <c r="H3534" s="16" t="n">
        <v>0.13</v>
      </c>
      <c r="I3534" s="1" t="s">
        <v>29</v>
      </c>
      <c r="J3534" s="1" t="n">
        <v>6</v>
      </c>
      <c r="K3534" s="1" t="n">
        <v>3</v>
      </c>
      <c r="L3534" s="15" t="n">
        <v>884.02</v>
      </c>
      <c r="M3534" s="15" t="n">
        <f aca="false">F3534*G3534</f>
        <v>1016.12</v>
      </c>
      <c r="N3534" s="15" t="n">
        <f aca="false">M3534-L3534</f>
        <v>132.1</v>
      </c>
      <c r="O3534" s="1" t="n">
        <f aca="false">YEAR(B3534)</f>
        <v>2031</v>
      </c>
      <c r="P3534" s="1" t="n">
        <f aca="false">MONTH(B3534)</f>
        <v>9</v>
      </c>
      <c r="Q3534" s="1" t="str">
        <f aca="false">TEXT(B3534,"mmm")</f>
        <v>Sep</v>
      </c>
      <c r="R3534" s="1" t="str">
        <f aca="false">"Q"&amp;ROUNDUP(MONTH(B3534)/3,0)</f>
        <v>Q3</v>
      </c>
    </row>
    <row r="3535" customFormat="false" ht="15" hidden="false" customHeight="true" outlineLevel="0" collapsed="false">
      <c r="A3535" s="1" t="n">
        <v>13534</v>
      </c>
      <c r="B3535" s="14" t="n">
        <v>48095</v>
      </c>
      <c r="C3535" s="1" t="n">
        <v>1549</v>
      </c>
      <c r="D3535" s="1" t="s">
        <v>34</v>
      </c>
      <c r="E3535" s="1" t="s">
        <v>36</v>
      </c>
      <c r="F3535" s="1" t="n">
        <v>3</v>
      </c>
      <c r="G3535" s="15" t="n">
        <v>510.32</v>
      </c>
      <c r="H3535" s="16" t="n">
        <v>0.31</v>
      </c>
      <c r="I3535" s="1" t="s">
        <v>31</v>
      </c>
      <c r="J3535" s="1" t="n">
        <v>4</v>
      </c>
      <c r="K3535" s="1" t="n">
        <v>2.5</v>
      </c>
      <c r="L3535" s="15" t="n">
        <v>1056.36</v>
      </c>
      <c r="M3535" s="15" t="n">
        <f aca="false">F3535*G3535</f>
        <v>1530.96</v>
      </c>
      <c r="N3535" s="15" t="n">
        <f aca="false">M3535-L3535</f>
        <v>474.6</v>
      </c>
      <c r="O3535" s="1" t="n">
        <f aca="false">YEAR(B3535)</f>
        <v>2031</v>
      </c>
      <c r="P3535" s="1" t="n">
        <f aca="false">MONTH(B3535)</f>
        <v>9</v>
      </c>
      <c r="Q3535" s="1" t="str">
        <f aca="false">TEXT(B3535,"mmm")</f>
        <v>Sep</v>
      </c>
      <c r="R3535" s="1" t="str">
        <f aca="false">"Q"&amp;ROUNDUP(MONTH(B3535)/3,0)</f>
        <v>Q3</v>
      </c>
    </row>
    <row r="3536" customFormat="false" ht="15" hidden="false" customHeight="true" outlineLevel="0" collapsed="false">
      <c r="A3536" s="1" t="n">
        <v>13535</v>
      </c>
      <c r="B3536" s="14" t="n">
        <v>48096</v>
      </c>
      <c r="C3536" s="1" t="n">
        <v>1622</v>
      </c>
      <c r="D3536" s="1" t="s">
        <v>27</v>
      </c>
      <c r="E3536" s="1" t="s">
        <v>35</v>
      </c>
      <c r="F3536" s="1" t="n">
        <v>1</v>
      </c>
      <c r="G3536" s="15" t="n">
        <v>107.47</v>
      </c>
      <c r="H3536" s="16" t="n">
        <v>0.26</v>
      </c>
      <c r="I3536" s="1" t="s">
        <v>31</v>
      </c>
      <c r="J3536" s="1" t="n">
        <v>7</v>
      </c>
      <c r="K3536" s="1" t="n">
        <v>2</v>
      </c>
      <c r="L3536" s="15" t="n">
        <v>79.53</v>
      </c>
      <c r="M3536" s="15" t="n">
        <f aca="false">F3536*G3536</f>
        <v>107.47</v>
      </c>
      <c r="N3536" s="15" t="n">
        <f aca="false">M3536-L3536</f>
        <v>27.94</v>
      </c>
      <c r="O3536" s="1" t="n">
        <f aca="false">YEAR(B3536)</f>
        <v>2031</v>
      </c>
      <c r="P3536" s="1" t="n">
        <f aca="false">MONTH(B3536)</f>
        <v>9</v>
      </c>
      <c r="Q3536" s="1" t="str">
        <f aca="false">TEXT(B3536,"mmm")</f>
        <v>Sep</v>
      </c>
      <c r="R3536" s="1" t="str">
        <f aca="false">"Q"&amp;ROUNDUP(MONTH(B3536)/3,0)</f>
        <v>Q3</v>
      </c>
    </row>
    <row r="3537" customFormat="false" ht="15" hidden="false" customHeight="true" outlineLevel="0" collapsed="false">
      <c r="A3537" s="1" t="n">
        <v>13536</v>
      </c>
      <c r="B3537" s="14" t="n">
        <v>48097</v>
      </c>
      <c r="C3537" s="1" t="n">
        <v>1991</v>
      </c>
      <c r="D3537" s="1" t="s">
        <v>34</v>
      </c>
      <c r="E3537" s="1" t="s">
        <v>35</v>
      </c>
      <c r="F3537" s="1" t="n">
        <v>5</v>
      </c>
      <c r="G3537" s="15" t="n">
        <v>27.66</v>
      </c>
      <c r="H3537" s="16" t="n">
        <v>0.04</v>
      </c>
      <c r="I3537" s="1" t="s">
        <v>29</v>
      </c>
      <c r="J3537" s="1" t="n">
        <v>7</v>
      </c>
      <c r="K3537" s="1" t="n">
        <v>1.7</v>
      </c>
      <c r="L3537" s="15" t="n">
        <v>132.77</v>
      </c>
      <c r="M3537" s="15" t="n">
        <f aca="false">F3537*G3537</f>
        <v>138.3</v>
      </c>
      <c r="N3537" s="15" t="n">
        <f aca="false">M3537-L3537</f>
        <v>5.53</v>
      </c>
      <c r="O3537" s="1" t="n">
        <f aca="false">YEAR(B3537)</f>
        <v>2031</v>
      </c>
      <c r="P3537" s="1" t="n">
        <f aca="false">MONTH(B3537)</f>
        <v>9</v>
      </c>
      <c r="Q3537" s="1" t="str">
        <f aca="false">TEXT(B3537,"mmm")</f>
        <v>Sep</v>
      </c>
      <c r="R3537" s="1" t="str">
        <f aca="false">"Q"&amp;ROUNDUP(MONTH(B3537)/3,0)</f>
        <v>Q3</v>
      </c>
    </row>
    <row r="3538" customFormat="false" ht="15" hidden="false" customHeight="true" outlineLevel="0" collapsed="false">
      <c r="A3538" s="1" t="n">
        <v>13537</v>
      </c>
      <c r="B3538" s="14" t="n">
        <v>48098</v>
      </c>
      <c r="C3538" s="1" t="n">
        <v>1367</v>
      </c>
      <c r="D3538" s="1" t="s">
        <v>34</v>
      </c>
      <c r="E3538" s="1" t="s">
        <v>36</v>
      </c>
      <c r="F3538" s="1" t="n">
        <v>5</v>
      </c>
      <c r="G3538" s="15" t="n">
        <v>474.16</v>
      </c>
      <c r="H3538" s="16" t="n">
        <v>0.29</v>
      </c>
      <c r="I3538" s="1" t="s">
        <v>31</v>
      </c>
      <c r="J3538" s="1" t="n">
        <v>9</v>
      </c>
      <c r="K3538" s="1" t="n">
        <v>3.9</v>
      </c>
      <c r="L3538" s="15" t="n">
        <v>1683.27</v>
      </c>
      <c r="M3538" s="15" t="n">
        <f aca="false">F3538*G3538</f>
        <v>2370.8</v>
      </c>
      <c r="N3538" s="15" t="n">
        <f aca="false">M3538-L3538</f>
        <v>687.53</v>
      </c>
      <c r="O3538" s="1" t="n">
        <f aca="false">YEAR(B3538)</f>
        <v>2031</v>
      </c>
      <c r="P3538" s="1" t="n">
        <f aca="false">MONTH(B3538)</f>
        <v>9</v>
      </c>
      <c r="Q3538" s="1" t="str">
        <f aca="false">TEXT(B3538,"mmm")</f>
        <v>Sep</v>
      </c>
      <c r="R3538" s="1" t="str">
        <f aca="false">"Q"&amp;ROUNDUP(MONTH(B3538)/3,0)</f>
        <v>Q3</v>
      </c>
    </row>
    <row r="3539" customFormat="false" ht="15" hidden="false" customHeight="true" outlineLevel="0" collapsed="false">
      <c r="A3539" s="1" t="n">
        <v>13538</v>
      </c>
      <c r="B3539" s="14" t="n">
        <v>48099</v>
      </c>
      <c r="C3539" s="1" t="n">
        <v>1219</v>
      </c>
      <c r="D3539" s="1" t="s">
        <v>30</v>
      </c>
      <c r="E3539" s="1" t="s">
        <v>28</v>
      </c>
      <c r="F3539" s="1" t="n">
        <v>2</v>
      </c>
      <c r="G3539" s="15" t="n">
        <v>58.76</v>
      </c>
      <c r="H3539" s="16" t="n">
        <v>0.24</v>
      </c>
      <c r="I3539" s="1" t="s">
        <v>33</v>
      </c>
      <c r="J3539" s="1" t="n">
        <v>4</v>
      </c>
      <c r="K3539" s="1" t="n">
        <v>1.6</v>
      </c>
      <c r="L3539" s="15" t="n">
        <v>89.32</v>
      </c>
      <c r="M3539" s="15" t="n">
        <f aca="false">F3539*G3539</f>
        <v>117.52</v>
      </c>
      <c r="N3539" s="15" t="n">
        <f aca="false">M3539-L3539</f>
        <v>28.2</v>
      </c>
      <c r="O3539" s="1" t="n">
        <f aca="false">YEAR(B3539)</f>
        <v>2031</v>
      </c>
      <c r="P3539" s="1" t="n">
        <f aca="false">MONTH(B3539)</f>
        <v>9</v>
      </c>
      <c r="Q3539" s="1" t="str">
        <f aca="false">TEXT(B3539,"mmm")</f>
        <v>Sep</v>
      </c>
      <c r="R3539" s="1" t="str">
        <f aca="false">"Q"&amp;ROUNDUP(MONTH(B3539)/3,0)</f>
        <v>Q3</v>
      </c>
    </row>
    <row r="3540" customFormat="false" ht="15" hidden="false" customHeight="true" outlineLevel="0" collapsed="false">
      <c r="A3540" s="1" t="n">
        <v>13539</v>
      </c>
      <c r="B3540" s="14" t="n">
        <v>48100</v>
      </c>
      <c r="C3540" s="1" t="n">
        <v>1336</v>
      </c>
      <c r="D3540" s="1" t="s">
        <v>34</v>
      </c>
      <c r="E3540" s="1" t="s">
        <v>28</v>
      </c>
      <c r="F3540" s="1" t="n">
        <v>5</v>
      </c>
      <c r="G3540" s="15" t="n">
        <v>593.29</v>
      </c>
      <c r="H3540" s="16" t="n">
        <v>0.01</v>
      </c>
      <c r="I3540" s="1" t="s">
        <v>33</v>
      </c>
      <c r="J3540" s="1" t="n">
        <v>8</v>
      </c>
      <c r="K3540" s="1" t="n">
        <v>1.7</v>
      </c>
      <c r="L3540" s="15" t="n">
        <v>2936.79</v>
      </c>
      <c r="M3540" s="15" t="n">
        <f aca="false">F3540*G3540</f>
        <v>2966.45</v>
      </c>
      <c r="N3540" s="15" t="n">
        <f aca="false">M3540-L3540</f>
        <v>29.6599999999999</v>
      </c>
      <c r="O3540" s="1" t="n">
        <f aca="false">YEAR(B3540)</f>
        <v>2031</v>
      </c>
      <c r="P3540" s="1" t="n">
        <f aca="false">MONTH(B3540)</f>
        <v>9</v>
      </c>
      <c r="Q3540" s="1" t="str">
        <f aca="false">TEXT(B3540,"mmm")</f>
        <v>Sep</v>
      </c>
      <c r="R3540" s="1" t="str">
        <f aca="false">"Q"&amp;ROUNDUP(MONTH(B3540)/3,0)</f>
        <v>Q3</v>
      </c>
    </row>
    <row r="3541" customFormat="false" ht="15" hidden="false" customHeight="true" outlineLevel="0" collapsed="false">
      <c r="A3541" s="1" t="n">
        <v>13540</v>
      </c>
      <c r="B3541" s="14" t="n">
        <v>48101</v>
      </c>
      <c r="C3541" s="1" t="n">
        <v>1222</v>
      </c>
      <c r="D3541" s="1" t="s">
        <v>34</v>
      </c>
      <c r="E3541" s="1" t="s">
        <v>28</v>
      </c>
      <c r="F3541" s="1" t="n">
        <v>6</v>
      </c>
      <c r="G3541" s="15" t="n">
        <v>409.76</v>
      </c>
      <c r="H3541" s="16" t="n">
        <v>0.05</v>
      </c>
      <c r="I3541" s="1" t="s">
        <v>31</v>
      </c>
      <c r="J3541" s="1" t="n">
        <v>8</v>
      </c>
      <c r="K3541" s="1" t="n">
        <v>3.3</v>
      </c>
      <c r="L3541" s="15" t="n">
        <v>2335.63</v>
      </c>
      <c r="M3541" s="15" t="n">
        <f aca="false">F3541*G3541</f>
        <v>2458.56</v>
      </c>
      <c r="N3541" s="15" t="n">
        <f aca="false">M3541-L3541</f>
        <v>122.93</v>
      </c>
      <c r="O3541" s="1" t="n">
        <f aca="false">YEAR(B3541)</f>
        <v>2031</v>
      </c>
      <c r="P3541" s="1" t="n">
        <f aca="false">MONTH(B3541)</f>
        <v>9</v>
      </c>
      <c r="Q3541" s="1" t="str">
        <f aca="false">TEXT(B3541,"mmm")</f>
        <v>Sep</v>
      </c>
      <c r="R3541" s="1" t="str">
        <f aca="false">"Q"&amp;ROUNDUP(MONTH(B3541)/3,0)</f>
        <v>Q3</v>
      </c>
    </row>
    <row r="3542" customFormat="false" ht="15" hidden="false" customHeight="true" outlineLevel="0" collapsed="false">
      <c r="A3542" s="1" t="n">
        <v>13541</v>
      </c>
      <c r="B3542" s="14" t="n">
        <v>48102</v>
      </c>
      <c r="C3542" s="1" t="n">
        <v>1647</v>
      </c>
      <c r="D3542" s="1" t="s">
        <v>27</v>
      </c>
      <c r="E3542" s="1" t="s">
        <v>28</v>
      </c>
      <c r="F3542" s="1" t="n">
        <v>5</v>
      </c>
      <c r="G3542" s="15" t="n">
        <v>455.77</v>
      </c>
      <c r="H3542" s="16" t="n">
        <v>0.22</v>
      </c>
      <c r="I3542" s="1" t="s">
        <v>31</v>
      </c>
      <c r="J3542" s="1" t="n">
        <v>8</v>
      </c>
      <c r="K3542" s="1" t="n">
        <v>1.9</v>
      </c>
      <c r="L3542" s="15" t="n">
        <v>1777.5</v>
      </c>
      <c r="M3542" s="15" t="n">
        <f aca="false">F3542*G3542</f>
        <v>2278.85</v>
      </c>
      <c r="N3542" s="15" t="n">
        <f aca="false">M3542-L3542</f>
        <v>501.35</v>
      </c>
      <c r="O3542" s="1" t="n">
        <f aca="false">YEAR(B3542)</f>
        <v>2031</v>
      </c>
      <c r="P3542" s="1" t="n">
        <f aca="false">MONTH(B3542)</f>
        <v>9</v>
      </c>
      <c r="Q3542" s="1" t="str">
        <f aca="false">TEXT(B3542,"mmm")</f>
        <v>Sep</v>
      </c>
      <c r="R3542" s="1" t="str">
        <f aca="false">"Q"&amp;ROUNDUP(MONTH(B3542)/3,0)</f>
        <v>Q3</v>
      </c>
    </row>
    <row r="3543" customFormat="false" ht="15" hidden="false" customHeight="true" outlineLevel="0" collapsed="false">
      <c r="A3543" s="1" t="n">
        <v>13542</v>
      </c>
      <c r="B3543" s="14" t="n">
        <v>48103</v>
      </c>
      <c r="C3543" s="1" t="n">
        <v>1767</v>
      </c>
      <c r="D3543" s="1" t="s">
        <v>27</v>
      </c>
      <c r="E3543" s="1" t="s">
        <v>32</v>
      </c>
      <c r="F3543" s="1" t="n">
        <v>1</v>
      </c>
      <c r="G3543" s="15" t="n">
        <v>158.8</v>
      </c>
      <c r="H3543" s="16" t="n">
        <v>0.23</v>
      </c>
      <c r="I3543" s="1" t="s">
        <v>31</v>
      </c>
      <c r="J3543" s="1" t="n">
        <v>8</v>
      </c>
      <c r="K3543" s="1" t="n">
        <v>2.8</v>
      </c>
      <c r="L3543" s="15" t="n">
        <v>122.28</v>
      </c>
      <c r="M3543" s="15" t="n">
        <f aca="false">F3543*G3543</f>
        <v>158.8</v>
      </c>
      <c r="N3543" s="15" t="n">
        <f aca="false">M3543-L3543</f>
        <v>36.52</v>
      </c>
      <c r="O3543" s="1" t="n">
        <f aca="false">YEAR(B3543)</f>
        <v>2031</v>
      </c>
      <c r="P3543" s="1" t="n">
        <f aca="false">MONTH(B3543)</f>
        <v>9</v>
      </c>
      <c r="Q3543" s="1" t="str">
        <f aca="false">TEXT(B3543,"mmm")</f>
        <v>Sep</v>
      </c>
      <c r="R3543" s="1" t="str">
        <f aca="false">"Q"&amp;ROUNDUP(MONTH(B3543)/3,0)</f>
        <v>Q3</v>
      </c>
    </row>
    <row r="3544" customFormat="false" ht="15" hidden="false" customHeight="true" outlineLevel="0" collapsed="false">
      <c r="A3544" s="1" t="n">
        <v>13543</v>
      </c>
      <c r="B3544" s="14" t="n">
        <v>48104</v>
      </c>
      <c r="C3544" s="1" t="n">
        <v>1359</v>
      </c>
      <c r="D3544" s="1" t="s">
        <v>30</v>
      </c>
      <c r="E3544" s="1" t="s">
        <v>35</v>
      </c>
      <c r="F3544" s="1" t="n">
        <v>6</v>
      </c>
      <c r="G3544" s="15" t="n">
        <v>409.21</v>
      </c>
      <c r="H3544" s="16" t="n">
        <v>0.26</v>
      </c>
      <c r="I3544" s="1" t="s">
        <v>33</v>
      </c>
      <c r="J3544" s="1" t="n">
        <v>6</v>
      </c>
      <c r="K3544" s="1" t="n">
        <v>3.2</v>
      </c>
      <c r="L3544" s="15" t="n">
        <v>1816.89</v>
      </c>
      <c r="M3544" s="15" t="n">
        <f aca="false">F3544*G3544</f>
        <v>2455.26</v>
      </c>
      <c r="N3544" s="15" t="n">
        <f aca="false">M3544-L3544</f>
        <v>638.37</v>
      </c>
      <c r="O3544" s="1" t="n">
        <f aca="false">YEAR(B3544)</f>
        <v>2031</v>
      </c>
      <c r="P3544" s="1" t="n">
        <f aca="false">MONTH(B3544)</f>
        <v>9</v>
      </c>
      <c r="Q3544" s="1" t="str">
        <f aca="false">TEXT(B3544,"mmm")</f>
        <v>Sep</v>
      </c>
      <c r="R3544" s="1" t="str">
        <f aca="false">"Q"&amp;ROUNDUP(MONTH(B3544)/3,0)</f>
        <v>Q3</v>
      </c>
    </row>
    <row r="3545" customFormat="false" ht="15" hidden="false" customHeight="true" outlineLevel="0" collapsed="false">
      <c r="A3545" s="1" t="n">
        <v>13544</v>
      </c>
      <c r="B3545" s="14" t="n">
        <v>48105</v>
      </c>
      <c r="C3545" s="1" t="n">
        <v>1920</v>
      </c>
      <c r="D3545" s="1" t="s">
        <v>27</v>
      </c>
      <c r="E3545" s="1" t="s">
        <v>35</v>
      </c>
      <c r="F3545" s="1" t="n">
        <v>6</v>
      </c>
      <c r="G3545" s="15" t="n">
        <v>40.28</v>
      </c>
      <c r="H3545" s="16" t="n">
        <v>0.25</v>
      </c>
      <c r="I3545" s="1" t="s">
        <v>33</v>
      </c>
      <c r="J3545" s="1" t="n">
        <v>8</v>
      </c>
      <c r="K3545" s="1" t="n">
        <v>2.1</v>
      </c>
      <c r="L3545" s="15" t="n">
        <v>181.26</v>
      </c>
      <c r="M3545" s="15" t="n">
        <f aca="false">F3545*G3545</f>
        <v>241.68</v>
      </c>
      <c r="N3545" s="15" t="n">
        <f aca="false">M3545-L3545</f>
        <v>60.42</v>
      </c>
      <c r="O3545" s="1" t="n">
        <f aca="false">YEAR(B3545)</f>
        <v>2031</v>
      </c>
      <c r="P3545" s="1" t="n">
        <f aca="false">MONTH(B3545)</f>
        <v>9</v>
      </c>
      <c r="Q3545" s="1" t="str">
        <f aca="false">TEXT(B3545,"mmm")</f>
        <v>Sep</v>
      </c>
      <c r="R3545" s="1" t="str">
        <f aca="false">"Q"&amp;ROUNDUP(MONTH(B3545)/3,0)</f>
        <v>Q3</v>
      </c>
    </row>
    <row r="3546" customFormat="false" ht="15" hidden="false" customHeight="true" outlineLevel="0" collapsed="false">
      <c r="A3546" s="1" t="n">
        <v>13545</v>
      </c>
      <c r="B3546" s="14" t="n">
        <v>48106</v>
      </c>
      <c r="C3546" s="1" t="n">
        <v>1328</v>
      </c>
      <c r="D3546" s="1" t="s">
        <v>30</v>
      </c>
      <c r="E3546" s="1" t="s">
        <v>36</v>
      </c>
      <c r="F3546" s="1" t="n">
        <v>3</v>
      </c>
      <c r="G3546" s="15" t="n">
        <v>505.13</v>
      </c>
      <c r="H3546" s="16" t="n">
        <v>0.23</v>
      </c>
      <c r="I3546" s="1" t="s">
        <v>31</v>
      </c>
      <c r="J3546" s="1" t="n">
        <v>6</v>
      </c>
      <c r="K3546" s="1" t="n">
        <v>2.4</v>
      </c>
      <c r="L3546" s="15" t="n">
        <v>1166.85</v>
      </c>
      <c r="M3546" s="15" t="n">
        <f aca="false">F3546*G3546</f>
        <v>1515.39</v>
      </c>
      <c r="N3546" s="15" t="n">
        <f aca="false">M3546-L3546</f>
        <v>348.54</v>
      </c>
      <c r="O3546" s="1" t="n">
        <f aca="false">YEAR(B3546)</f>
        <v>2031</v>
      </c>
      <c r="P3546" s="1" t="n">
        <f aca="false">MONTH(B3546)</f>
        <v>9</v>
      </c>
      <c r="Q3546" s="1" t="str">
        <f aca="false">TEXT(B3546,"mmm")</f>
        <v>Sep</v>
      </c>
      <c r="R3546" s="1" t="str">
        <f aca="false">"Q"&amp;ROUNDUP(MONTH(B3546)/3,0)</f>
        <v>Q3</v>
      </c>
    </row>
    <row r="3547" customFormat="false" ht="15" hidden="false" customHeight="true" outlineLevel="0" collapsed="false">
      <c r="A3547" s="1" t="n">
        <v>13546</v>
      </c>
      <c r="B3547" s="14" t="n">
        <v>48107</v>
      </c>
      <c r="C3547" s="1" t="n">
        <v>1961</v>
      </c>
      <c r="D3547" s="1" t="s">
        <v>34</v>
      </c>
      <c r="E3547" s="1" t="s">
        <v>32</v>
      </c>
      <c r="F3547" s="1" t="n">
        <v>5</v>
      </c>
      <c r="G3547" s="15" t="n">
        <v>114.23</v>
      </c>
      <c r="H3547" s="16" t="n">
        <v>0.27</v>
      </c>
      <c r="I3547" s="1" t="s">
        <v>29</v>
      </c>
      <c r="J3547" s="1" t="n">
        <v>10</v>
      </c>
      <c r="K3547" s="1" t="n">
        <v>1.8</v>
      </c>
      <c r="L3547" s="15" t="n">
        <v>416.94</v>
      </c>
      <c r="M3547" s="15" t="n">
        <f aca="false">F3547*G3547</f>
        <v>571.15</v>
      </c>
      <c r="N3547" s="15" t="n">
        <f aca="false">M3547-L3547</f>
        <v>154.21</v>
      </c>
      <c r="O3547" s="1" t="n">
        <f aca="false">YEAR(B3547)</f>
        <v>2031</v>
      </c>
      <c r="P3547" s="1" t="n">
        <f aca="false">MONTH(B3547)</f>
        <v>9</v>
      </c>
      <c r="Q3547" s="1" t="str">
        <f aca="false">TEXT(B3547,"mmm")</f>
        <v>Sep</v>
      </c>
      <c r="R3547" s="1" t="str">
        <f aca="false">"Q"&amp;ROUNDUP(MONTH(B3547)/3,0)</f>
        <v>Q3</v>
      </c>
    </row>
    <row r="3548" customFormat="false" ht="15" hidden="false" customHeight="true" outlineLevel="0" collapsed="false">
      <c r="A3548" s="1" t="n">
        <v>13547</v>
      </c>
      <c r="B3548" s="14" t="n">
        <v>48108</v>
      </c>
      <c r="C3548" s="1" t="n">
        <v>1462</v>
      </c>
      <c r="D3548" s="1" t="s">
        <v>37</v>
      </c>
      <c r="E3548" s="1" t="s">
        <v>36</v>
      </c>
      <c r="F3548" s="1" t="n">
        <v>2</v>
      </c>
      <c r="G3548" s="15" t="n">
        <v>422.95</v>
      </c>
      <c r="H3548" s="16" t="n">
        <v>0.2</v>
      </c>
      <c r="I3548" s="1" t="s">
        <v>31</v>
      </c>
      <c r="J3548" s="1" t="n">
        <v>2</v>
      </c>
      <c r="K3548" s="1" t="n">
        <v>2.8</v>
      </c>
      <c r="L3548" s="15" t="n">
        <v>676.72</v>
      </c>
      <c r="M3548" s="15" t="n">
        <f aca="false">F3548*G3548</f>
        <v>845.9</v>
      </c>
      <c r="N3548" s="15" t="n">
        <f aca="false">M3548-L3548</f>
        <v>169.18</v>
      </c>
      <c r="O3548" s="1" t="n">
        <f aca="false">YEAR(B3548)</f>
        <v>2031</v>
      </c>
      <c r="P3548" s="1" t="n">
        <f aca="false">MONTH(B3548)</f>
        <v>9</v>
      </c>
      <c r="Q3548" s="1" t="str">
        <f aca="false">TEXT(B3548,"mmm")</f>
        <v>Sep</v>
      </c>
      <c r="R3548" s="1" t="str">
        <f aca="false">"Q"&amp;ROUNDUP(MONTH(B3548)/3,0)</f>
        <v>Q3</v>
      </c>
    </row>
    <row r="3549" customFormat="false" ht="15" hidden="false" customHeight="true" outlineLevel="0" collapsed="false">
      <c r="A3549" s="1" t="n">
        <v>13548</v>
      </c>
      <c r="B3549" s="14" t="n">
        <v>48109</v>
      </c>
      <c r="C3549" s="1" t="n">
        <v>1945</v>
      </c>
      <c r="D3549" s="1" t="s">
        <v>37</v>
      </c>
      <c r="E3549" s="1" t="s">
        <v>36</v>
      </c>
      <c r="F3549" s="1" t="n">
        <v>7</v>
      </c>
      <c r="G3549" s="15" t="n">
        <v>146.32</v>
      </c>
      <c r="H3549" s="16" t="n">
        <v>0.09</v>
      </c>
      <c r="I3549" s="1" t="s">
        <v>31</v>
      </c>
      <c r="J3549" s="1" t="n">
        <v>3</v>
      </c>
      <c r="K3549" s="1" t="n">
        <v>5</v>
      </c>
      <c r="L3549" s="15" t="n">
        <v>932.06</v>
      </c>
      <c r="M3549" s="15" t="n">
        <f aca="false">F3549*G3549</f>
        <v>1024.24</v>
      </c>
      <c r="N3549" s="15" t="n">
        <f aca="false">M3549-L3549</f>
        <v>92.1800000000001</v>
      </c>
      <c r="O3549" s="1" t="n">
        <f aca="false">YEAR(B3549)</f>
        <v>2031</v>
      </c>
      <c r="P3549" s="1" t="n">
        <f aca="false">MONTH(B3549)</f>
        <v>9</v>
      </c>
      <c r="Q3549" s="1" t="str">
        <f aca="false">TEXT(B3549,"mmm")</f>
        <v>Sep</v>
      </c>
      <c r="R3549" s="1" t="str">
        <f aca="false">"Q"&amp;ROUNDUP(MONTH(B3549)/3,0)</f>
        <v>Q3</v>
      </c>
    </row>
    <row r="3550" customFormat="false" ht="15" hidden="false" customHeight="true" outlineLevel="0" collapsed="false">
      <c r="A3550" s="1" t="n">
        <v>13549</v>
      </c>
      <c r="B3550" s="14" t="n">
        <v>48110</v>
      </c>
      <c r="C3550" s="1" t="n">
        <v>1962</v>
      </c>
      <c r="D3550" s="1" t="s">
        <v>27</v>
      </c>
      <c r="E3550" s="1" t="s">
        <v>35</v>
      </c>
      <c r="F3550" s="1" t="n">
        <v>3</v>
      </c>
      <c r="G3550" s="15" t="n">
        <v>55.05</v>
      </c>
      <c r="H3550" s="16" t="n">
        <v>0.32</v>
      </c>
      <c r="I3550" s="1" t="s">
        <v>31</v>
      </c>
      <c r="J3550" s="1" t="n">
        <v>6</v>
      </c>
      <c r="K3550" s="1" t="n">
        <v>2.5</v>
      </c>
      <c r="L3550" s="15" t="n">
        <v>112.3</v>
      </c>
      <c r="M3550" s="15" t="n">
        <f aca="false">F3550*G3550</f>
        <v>165.15</v>
      </c>
      <c r="N3550" s="15" t="n">
        <f aca="false">M3550-L3550</f>
        <v>52.85</v>
      </c>
      <c r="O3550" s="1" t="n">
        <f aca="false">YEAR(B3550)</f>
        <v>2031</v>
      </c>
      <c r="P3550" s="1" t="n">
        <f aca="false">MONTH(B3550)</f>
        <v>9</v>
      </c>
      <c r="Q3550" s="1" t="str">
        <f aca="false">TEXT(B3550,"mmm")</f>
        <v>Sep</v>
      </c>
      <c r="R3550" s="1" t="str">
        <f aca="false">"Q"&amp;ROUNDUP(MONTH(B3550)/3,0)</f>
        <v>Q3</v>
      </c>
    </row>
    <row r="3551" customFormat="false" ht="15" hidden="false" customHeight="true" outlineLevel="0" collapsed="false">
      <c r="A3551" s="1" t="n">
        <v>13550</v>
      </c>
      <c r="B3551" s="14" t="n">
        <v>48111</v>
      </c>
      <c r="C3551" s="1" t="n">
        <v>1560</v>
      </c>
      <c r="D3551" s="1" t="s">
        <v>34</v>
      </c>
      <c r="E3551" s="1" t="s">
        <v>32</v>
      </c>
      <c r="F3551" s="1" t="n">
        <v>2</v>
      </c>
      <c r="G3551" s="15" t="n">
        <v>296.67</v>
      </c>
      <c r="H3551" s="16" t="n">
        <v>0.01</v>
      </c>
      <c r="I3551" s="1" t="s">
        <v>31</v>
      </c>
      <c r="J3551" s="1" t="n">
        <v>7</v>
      </c>
      <c r="K3551" s="1" t="n">
        <v>3.6</v>
      </c>
      <c r="L3551" s="15" t="n">
        <v>587.41</v>
      </c>
      <c r="M3551" s="15" t="n">
        <f aca="false">F3551*G3551</f>
        <v>593.34</v>
      </c>
      <c r="N3551" s="15" t="n">
        <f aca="false">M3551-L3551</f>
        <v>5.93000000000006</v>
      </c>
      <c r="O3551" s="1" t="n">
        <f aca="false">YEAR(B3551)</f>
        <v>2031</v>
      </c>
      <c r="P3551" s="1" t="n">
        <f aca="false">MONTH(B3551)</f>
        <v>9</v>
      </c>
      <c r="Q3551" s="1" t="str">
        <f aca="false">TEXT(B3551,"mmm")</f>
        <v>Sep</v>
      </c>
      <c r="R3551" s="1" t="str">
        <f aca="false">"Q"&amp;ROUNDUP(MONTH(B3551)/3,0)</f>
        <v>Q3</v>
      </c>
    </row>
    <row r="3552" customFormat="false" ht="15" hidden="false" customHeight="true" outlineLevel="0" collapsed="false">
      <c r="A3552" s="1" t="n">
        <v>13551</v>
      </c>
      <c r="B3552" s="14" t="n">
        <v>48112</v>
      </c>
      <c r="C3552" s="1" t="n">
        <v>1803</v>
      </c>
      <c r="D3552" s="1" t="s">
        <v>37</v>
      </c>
      <c r="E3552" s="1" t="s">
        <v>28</v>
      </c>
      <c r="F3552" s="1" t="n">
        <v>5</v>
      </c>
      <c r="G3552" s="15" t="n">
        <v>114.03</v>
      </c>
      <c r="H3552" s="16" t="n">
        <v>0.13</v>
      </c>
      <c r="I3552" s="1" t="s">
        <v>29</v>
      </c>
      <c r="J3552" s="1" t="n">
        <v>4</v>
      </c>
      <c r="K3552" s="1" t="n">
        <v>3.5</v>
      </c>
      <c r="L3552" s="15" t="n">
        <v>496.03</v>
      </c>
      <c r="M3552" s="15" t="n">
        <f aca="false">F3552*G3552</f>
        <v>570.15</v>
      </c>
      <c r="N3552" s="15" t="n">
        <f aca="false">M3552-L3552</f>
        <v>74.12</v>
      </c>
      <c r="O3552" s="1" t="n">
        <f aca="false">YEAR(B3552)</f>
        <v>2031</v>
      </c>
      <c r="P3552" s="1" t="n">
        <f aca="false">MONTH(B3552)</f>
        <v>9</v>
      </c>
      <c r="Q3552" s="1" t="str">
        <f aca="false">TEXT(B3552,"mmm")</f>
        <v>Sep</v>
      </c>
      <c r="R3552" s="1" t="str">
        <f aca="false">"Q"&amp;ROUNDUP(MONTH(B3552)/3,0)</f>
        <v>Q3</v>
      </c>
    </row>
    <row r="3553" customFormat="false" ht="15" hidden="false" customHeight="true" outlineLevel="0" collapsed="false">
      <c r="A3553" s="1" t="n">
        <v>13552</v>
      </c>
      <c r="B3553" s="14" t="n">
        <v>48113</v>
      </c>
      <c r="C3553" s="1" t="n">
        <v>1381</v>
      </c>
      <c r="D3553" s="1" t="s">
        <v>34</v>
      </c>
      <c r="E3553" s="1" t="s">
        <v>35</v>
      </c>
      <c r="F3553" s="1" t="n">
        <v>3</v>
      </c>
      <c r="G3553" s="15" t="n">
        <v>441.72</v>
      </c>
      <c r="H3553" s="16" t="n">
        <v>0.26</v>
      </c>
      <c r="I3553" s="1" t="s">
        <v>31</v>
      </c>
      <c r="J3553" s="1" t="n">
        <v>1</v>
      </c>
      <c r="K3553" s="1" t="n">
        <v>4.1</v>
      </c>
      <c r="L3553" s="15" t="n">
        <v>980.62</v>
      </c>
      <c r="M3553" s="15" t="n">
        <f aca="false">F3553*G3553</f>
        <v>1325.16</v>
      </c>
      <c r="N3553" s="15" t="n">
        <f aca="false">M3553-L3553</f>
        <v>344.54</v>
      </c>
      <c r="O3553" s="1" t="n">
        <f aca="false">YEAR(B3553)</f>
        <v>2031</v>
      </c>
      <c r="P3553" s="1" t="n">
        <f aca="false">MONTH(B3553)</f>
        <v>9</v>
      </c>
      <c r="Q3553" s="1" t="str">
        <f aca="false">TEXT(B3553,"mmm")</f>
        <v>Sep</v>
      </c>
      <c r="R3553" s="1" t="str">
        <f aca="false">"Q"&amp;ROUNDUP(MONTH(B3553)/3,0)</f>
        <v>Q3</v>
      </c>
    </row>
    <row r="3554" customFormat="false" ht="15" hidden="false" customHeight="true" outlineLevel="0" collapsed="false">
      <c r="A3554" s="1" t="n">
        <v>13553</v>
      </c>
      <c r="B3554" s="14" t="n">
        <v>48114</v>
      </c>
      <c r="C3554" s="1" t="n">
        <v>1835</v>
      </c>
      <c r="D3554" s="1" t="s">
        <v>34</v>
      </c>
      <c r="E3554" s="1" t="s">
        <v>32</v>
      </c>
      <c r="F3554" s="1" t="n">
        <v>5</v>
      </c>
      <c r="G3554" s="15" t="n">
        <v>153.98</v>
      </c>
      <c r="H3554" s="16" t="n">
        <v>0.15</v>
      </c>
      <c r="I3554" s="1" t="s">
        <v>31</v>
      </c>
      <c r="J3554" s="1" t="n">
        <v>4</v>
      </c>
      <c r="K3554" s="1" t="n">
        <v>3.8</v>
      </c>
      <c r="L3554" s="15" t="n">
        <v>654.42</v>
      </c>
      <c r="M3554" s="15" t="n">
        <f aca="false">F3554*G3554</f>
        <v>769.9</v>
      </c>
      <c r="N3554" s="15" t="n">
        <f aca="false">M3554-L3554</f>
        <v>115.48</v>
      </c>
      <c r="O3554" s="1" t="n">
        <f aca="false">YEAR(B3554)</f>
        <v>2031</v>
      </c>
      <c r="P3554" s="1" t="n">
        <f aca="false">MONTH(B3554)</f>
        <v>9</v>
      </c>
      <c r="Q3554" s="1" t="str">
        <f aca="false">TEXT(B3554,"mmm")</f>
        <v>Sep</v>
      </c>
      <c r="R3554" s="1" t="str">
        <f aca="false">"Q"&amp;ROUNDUP(MONTH(B3554)/3,0)</f>
        <v>Q3</v>
      </c>
    </row>
    <row r="3555" customFormat="false" ht="15" hidden="false" customHeight="true" outlineLevel="0" collapsed="false">
      <c r="A3555" s="1" t="n">
        <v>13554</v>
      </c>
      <c r="B3555" s="14" t="n">
        <v>48115</v>
      </c>
      <c r="C3555" s="1" t="n">
        <v>1589</v>
      </c>
      <c r="D3555" s="1" t="s">
        <v>34</v>
      </c>
      <c r="E3555" s="1" t="s">
        <v>32</v>
      </c>
      <c r="F3555" s="1" t="n">
        <v>1</v>
      </c>
      <c r="G3555" s="15" t="n">
        <v>215.35</v>
      </c>
      <c r="H3555" s="16" t="n">
        <v>0.01</v>
      </c>
      <c r="I3555" s="1" t="s">
        <v>29</v>
      </c>
      <c r="J3555" s="1" t="n">
        <v>6</v>
      </c>
      <c r="K3555" s="1" t="n">
        <v>1</v>
      </c>
      <c r="L3555" s="15" t="n">
        <v>213.2</v>
      </c>
      <c r="M3555" s="15" t="n">
        <f aca="false">F3555*G3555</f>
        <v>215.35</v>
      </c>
      <c r="N3555" s="15" t="n">
        <f aca="false">M3555-L3555</f>
        <v>2.15000000000001</v>
      </c>
      <c r="O3555" s="1" t="n">
        <f aca="false">YEAR(B3555)</f>
        <v>2031</v>
      </c>
      <c r="P3555" s="1" t="n">
        <f aca="false">MONTH(B3555)</f>
        <v>9</v>
      </c>
      <c r="Q3555" s="1" t="str">
        <f aca="false">TEXT(B3555,"mmm")</f>
        <v>Sep</v>
      </c>
      <c r="R3555" s="1" t="str">
        <f aca="false">"Q"&amp;ROUNDUP(MONTH(B3555)/3,0)</f>
        <v>Q3</v>
      </c>
    </row>
    <row r="3556" customFormat="false" ht="15" hidden="false" customHeight="true" outlineLevel="0" collapsed="false">
      <c r="A3556" s="1" t="n">
        <v>13555</v>
      </c>
      <c r="B3556" s="14" t="n">
        <v>48116</v>
      </c>
      <c r="C3556" s="1" t="n">
        <v>1616</v>
      </c>
      <c r="D3556" s="1" t="s">
        <v>27</v>
      </c>
      <c r="E3556" s="1" t="s">
        <v>35</v>
      </c>
      <c r="F3556" s="1" t="n">
        <v>3</v>
      </c>
      <c r="G3556" s="15" t="n">
        <v>346.95</v>
      </c>
      <c r="H3556" s="16" t="n">
        <v>0.02</v>
      </c>
      <c r="I3556" s="1" t="s">
        <v>33</v>
      </c>
      <c r="J3556" s="1" t="n">
        <v>8</v>
      </c>
      <c r="K3556" s="1" t="n">
        <v>2.2</v>
      </c>
      <c r="L3556" s="15" t="n">
        <v>1020.03</v>
      </c>
      <c r="M3556" s="15" t="n">
        <f aca="false">F3556*G3556</f>
        <v>1040.85</v>
      </c>
      <c r="N3556" s="15" t="n">
        <f aca="false">M3556-L3556</f>
        <v>20.8199999999999</v>
      </c>
      <c r="O3556" s="1" t="n">
        <f aca="false">YEAR(B3556)</f>
        <v>2031</v>
      </c>
      <c r="P3556" s="1" t="n">
        <f aca="false">MONTH(B3556)</f>
        <v>9</v>
      </c>
      <c r="Q3556" s="1" t="str">
        <f aca="false">TEXT(B3556,"mmm")</f>
        <v>Sep</v>
      </c>
      <c r="R3556" s="1" t="str">
        <f aca="false">"Q"&amp;ROUNDUP(MONTH(B3556)/3,0)</f>
        <v>Q3</v>
      </c>
    </row>
    <row r="3557" customFormat="false" ht="15" hidden="false" customHeight="true" outlineLevel="0" collapsed="false">
      <c r="A3557" s="1" t="n">
        <v>13556</v>
      </c>
      <c r="B3557" s="14" t="n">
        <v>48117</v>
      </c>
      <c r="C3557" s="1" t="n">
        <v>1168</v>
      </c>
      <c r="D3557" s="1" t="s">
        <v>37</v>
      </c>
      <c r="E3557" s="1" t="s">
        <v>35</v>
      </c>
      <c r="F3557" s="1" t="n">
        <v>2</v>
      </c>
      <c r="G3557" s="15" t="n">
        <v>181.71</v>
      </c>
      <c r="H3557" s="16" t="n">
        <v>0.23</v>
      </c>
      <c r="I3557" s="1" t="s">
        <v>31</v>
      </c>
      <c r="J3557" s="1" t="n">
        <v>4</v>
      </c>
      <c r="K3557" s="1" t="n">
        <v>4.5</v>
      </c>
      <c r="L3557" s="15" t="n">
        <v>279.83</v>
      </c>
      <c r="M3557" s="15" t="n">
        <f aca="false">F3557*G3557</f>
        <v>363.42</v>
      </c>
      <c r="N3557" s="15" t="n">
        <f aca="false">M3557-L3557</f>
        <v>83.59</v>
      </c>
      <c r="O3557" s="1" t="n">
        <f aca="false">YEAR(B3557)</f>
        <v>2031</v>
      </c>
      <c r="P3557" s="1" t="n">
        <f aca="false">MONTH(B3557)</f>
        <v>9</v>
      </c>
      <c r="Q3557" s="1" t="str">
        <f aca="false">TEXT(B3557,"mmm")</f>
        <v>Sep</v>
      </c>
      <c r="R3557" s="1" t="str">
        <f aca="false">"Q"&amp;ROUNDUP(MONTH(B3557)/3,0)</f>
        <v>Q3</v>
      </c>
    </row>
    <row r="3558" customFormat="false" ht="15" hidden="false" customHeight="true" outlineLevel="0" collapsed="false">
      <c r="A3558" s="1" t="n">
        <v>13557</v>
      </c>
      <c r="B3558" s="14" t="n">
        <v>48118</v>
      </c>
      <c r="C3558" s="1" t="n">
        <v>1216</v>
      </c>
      <c r="D3558" s="1" t="s">
        <v>37</v>
      </c>
      <c r="E3558" s="1" t="s">
        <v>36</v>
      </c>
      <c r="F3558" s="1" t="n">
        <v>1</v>
      </c>
      <c r="G3558" s="15" t="n">
        <v>236.12</v>
      </c>
      <c r="H3558" s="16" t="n">
        <v>0.34</v>
      </c>
      <c r="I3558" s="1" t="s">
        <v>29</v>
      </c>
      <c r="J3558" s="1" t="n">
        <v>10</v>
      </c>
      <c r="K3558" s="1" t="n">
        <v>3.2</v>
      </c>
      <c r="L3558" s="15" t="n">
        <v>155.84</v>
      </c>
      <c r="M3558" s="15" t="n">
        <f aca="false">F3558*G3558</f>
        <v>236.12</v>
      </c>
      <c r="N3558" s="15" t="n">
        <f aca="false">M3558-L3558</f>
        <v>80.28</v>
      </c>
      <c r="O3558" s="1" t="n">
        <f aca="false">YEAR(B3558)</f>
        <v>2031</v>
      </c>
      <c r="P3558" s="1" t="n">
        <f aca="false">MONTH(B3558)</f>
        <v>9</v>
      </c>
      <c r="Q3558" s="1" t="str">
        <f aca="false">TEXT(B3558,"mmm")</f>
        <v>Sep</v>
      </c>
      <c r="R3558" s="1" t="str">
        <f aca="false">"Q"&amp;ROUNDUP(MONTH(B3558)/3,0)</f>
        <v>Q3</v>
      </c>
    </row>
    <row r="3559" customFormat="false" ht="15" hidden="false" customHeight="true" outlineLevel="0" collapsed="false">
      <c r="A3559" s="1" t="n">
        <v>13558</v>
      </c>
      <c r="B3559" s="14" t="n">
        <v>48119</v>
      </c>
      <c r="C3559" s="1" t="n">
        <v>1377</v>
      </c>
      <c r="D3559" s="1" t="s">
        <v>30</v>
      </c>
      <c r="E3559" s="1" t="s">
        <v>36</v>
      </c>
      <c r="F3559" s="1" t="n">
        <v>4</v>
      </c>
      <c r="G3559" s="15" t="n">
        <v>492.14</v>
      </c>
      <c r="H3559" s="16" t="n">
        <v>0.19</v>
      </c>
      <c r="I3559" s="1" t="s">
        <v>33</v>
      </c>
      <c r="J3559" s="1" t="n">
        <v>1</v>
      </c>
      <c r="K3559" s="1" t="n">
        <v>1.4</v>
      </c>
      <c r="L3559" s="15" t="n">
        <v>1594.53</v>
      </c>
      <c r="M3559" s="15" t="n">
        <f aca="false">F3559*G3559</f>
        <v>1968.56</v>
      </c>
      <c r="N3559" s="15" t="n">
        <f aca="false">M3559-L3559</f>
        <v>374.03</v>
      </c>
      <c r="O3559" s="1" t="n">
        <f aca="false">YEAR(B3559)</f>
        <v>2031</v>
      </c>
      <c r="P3559" s="1" t="n">
        <f aca="false">MONTH(B3559)</f>
        <v>9</v>
      </c>
      <c r="Q3559" s="1" t="str">
        <f aca="false">TEXT(B3559,"mmm")</f>
        <v>Sep</v>
      </c>
      <c r="R3559" s="1" t="str">
        <f aca="false">"Q"&amp;ROUNDUP(MONTH(B3559)/3,0)</f>
        <v>Q3</v>
      </c>
    </row>
    <row r="3560" customFormat="false" ht="15" hidden="false" customHeight="true" outlineLevel="0" collapsed="false">
      <c r="A3560" s="1" t="n">
        <v>13559</v>
      </c>
      <c r="B3560" s="14" t="n">
        <v>48120</v>
      </c>
      <c r="C3560" s="1" t="n">
        <v>1118</v>
      </c>
      <c r="D3560" s="1" t="s">
        <v>34</v>
      </c>
      <c r="E3560" s="1" t="s">
        <v>36</v>
      </c>
      <c r="F3560" s="1" t="n">
        <v>2</v>
      </c>
      <c r="G3560" s="15" t="n">
        <v>119.84</v>
      </c>
      <c r="H3560" s="16" t="n">
        <v>0.18</v>
      </c>
      <c r="I3560" s="1" t="s">
        <v>31</v>
      </c>
      <c r="J3560" s="1" t="n">
        <v>5</v>
      </c>
      <c r="K3560" s="1" t="n">
        <v>2.1</v>
      </c>
      <c r="L3560" s="15" t="n">
        <v>196.54</v>
      </c>
      <c r="M3560" s="15" t="n">
        <f aca="false">F3560*G3560</f>
        <v>239.68</v>
      </c>
      <c r="N3560" s="15" t="n">
        <f aca="false">M3560-L3560</f>
        <v>43.14</v>
      </c>
      <c r="O3560" s="1" t="n">
        <f aca="false">YEAR(B3560)</f>
        <v>2031</v>
      </c>
      <c r="P3560" s="1" t="n">
        <f aca="false">MONTH(B3560)</f>
        <v>9</v>
      </c>
      <c r="Q3560" s="1" t="str">
        <f aca="false">TEXT(B3560,"mmm")</f>
        <v>Sep</v>
      </c>
      <c r="R3560" s="1" t="str">
        <f aca="false">"Q"&amp;ROUNDUP(MONTH(B3560)/3,0)</f>
        <v>Q3</v>
      </c>
    </row>
    <row r="3561" customFormat="false" ht="15" hidden="false" customHeight="true" outlineLevel="0" collapsed="false">
      <c r="A3561" s="1" t="n">
        <v>13560</v>
      </c>
      <c r="B3561" s="14" t="n">
        <v>48121</v>
      </c>
      <c r="C3561" s="1" t="n">
        <v>1189</v>
      </c>
      <c r="D3561" s="1" t="s">
        <v>34</v>
      </c>
      <c r="E3561" s="1" t="s">
        <v>28</v>
      </c>
      <c r="F3561" s="1" t="n">
        <v>7</v>
      </c>
      <c r="G3561" s="15" t="n">
        <v>63.09</v>
      </c>
      <c r="H3561" s="16" t="n">
        <v>0.11</v>
      </c>
      <c r="I3561" s="1" t="s">
        <v>33</v>
      </c>
      <c r="J3561" s="1" t="n">
        <v>7</v>
      </c>
      <c r="K3561" s="1" t="n">
        <v>2.1</v>
      </c>
      <c r="L3561" s="15" t="n">
        <v>393.05</v>
      </c>
      <c r="M3561" s="15" t="n">
        <f aca="false">F3561*G3561</f>
        <v>441.63</v>
      </c>
      <c r="N3561" s="15" t="n">
        <f aca="false">M3561-L3561</f>
        <v>48.58</v>
      </c>
      <c r="O3561" s="1" t="n">
        <f aca="false">YEAR(B3561)</f>
        <v>2031</v>
      </c>
      <c r="P3561" s="1" t="n">
        <f aca="false">MONTH(B3561)</f>
        <v>9</v>
      </c>
      <c r="Q3561" s="1" t="str">
        <f aca="false">TEXT(B3561,"mmm")</f>
        <v>Sep</v>
      </c>
      <c r="R3561" s="1" t="str">
        <f aca="false">"Q"&amp;ROUNDUP(MONTH(B3561)/3,0)</f>
        <v>Q3</v>
      </c>
    </row>
    <row r="3562" customFormat="false" ht="15" hidden="false" customHeight="true" outlineLevel="0" collapsed="false">
      <c r="A3562" s="1" t="n">
        <v>13561</v>
      </c>
      <c r="B3562" s="14" t="n">
        <v>48122</v>
      </c>
      <c r="C3562" s="1" t="n">
        <v>1766</v>
      </c>
      <c r="D3562" s="1" t="s">
        <v>34</v>
      </c>
      <c r="E3562" s="1" t="s">
        <v>35</v>
      </c>
      <c r="F3562" s="1" t="n">
        <v>5</v>
      </c>
      <c r="G3562" s="15" t="n">
        <v>207.09</v>
      </c>
      <c r="H3562" s="16" t="n">
        <v>0.09</v>
      </c>
      <c r="I3562" s="1" t="s">
        <v>29</v>
      </c>
      <c r="J3562" s="1" t="n">
        <v>6</v>
      </c>
      <c r="K3562" s="1" t="n">
        <v>4.5</v>
      </c>
      <c r="L3562" s="15" t="n">
        <v>942.26</v>
      </c>
      <c r="M3562" s="15" t="n">
        <f aca="false">F3562*G3562</f>
        <v>1035.45</v>
      </c>
      <c r="N3562" s="15" t="n">
        <f aca="false">M3562-L3562</f>
        <v>93.1900000000001</v>
      </c>
      <c r="O3562" s="1" t="n">
        <f aca="false">YEAR(B3562)</f>
        <v>2031</v>
      </c>
      <c r="P3562" s="1" t="n">
        <f aca="false">MONTH(B3562)</f>
        <v>10</v>
      </c>
      <c r="Q3562" s="1" t="str">
        <f aca="false">TEXT(B3562,"mmm")</f>
        <v>Oct</v>
      </c>
      <c r="R3562" s="1" t="str">
        <f aca="false">"Q"&amp;ROUNDUP(MONTH(B3562)/3,0)</f>
        <v>Q4</v>
      </c>
    </row>
    <row r="3563" customFormat="false" ht="15" hidden="false" customHeight="true" outlineLevel="0" collapsed="false">
      <c r="A3563" s="1" t="n">
        <v>13562</v>
      </c>
      <c r="B3563" s="14" t="n">
        <v>48123</v>
      </c>
      <c r="C3563" s="1" t="n">
        <v>1369</v>
      </c>
      <c r="D3563" s="1" t="s">
        <v>30</v>
      </c>
      <c r="E3563" s="1" t="s">
        <v>32</v>
      </c>
      <c r="F3563" s="1" t="n">
        <v>2</v>
      </c>
      <c r="G3563" s="15" t="n">
        <v>263.26</v>
      </c>
      <c r="H3563" s="16" t="n">
        <v>0.01</v>
      </c>
      <c r="I3563" s="1" t="s">
        <v>33</v>
      </c>
      <c r="J3563" s="1" t="n">
        <v>3</v>
      </c>
      <c r="K3563" s="1" t="n">
        <v>3.2</v>
      </c>
      <c r="L3563" s="15" t="n">
        <v>521.25</v>
      </c>
      <c r="M3563" s="15" t="n">
        <f aca="false">F3563*G3563</f>
        <v>526.52</v>
      </c>
      <c r="N3563" s="15" t="n">
        <f aca="false">M3563-L3563</f>
        <v>5.26999999999998</v>
      </c>
      <c r="O3563" s="1" t="n">
        <f aca="false">YEAR(B3563)</f>
        <v>2031</v>
      </c>
      <c r="P3563" s="1" t="n">
        <f aca="false">MONTH(B3563)</f>
        <v>10</v>
      </c>
      <c r="Q3563" s="1" t="str">
        <f aca="false">TEXT(B3563,"mmm")</f>
        <v>Oct</v>
      </c>
      <c r="R3563" s="1" t="str">
        <f aca="false">"Q"&amp;ROUNDUP(MONTH(B3563)/3,0)</f>
        <v>Q4</v>
      </c>
    </row>
    <row r="3564" customFormat="false" ht="15" hidden="false" customHeight="true" outlineLevel="0" collapsed="false">
      <c r="A3564" s="1" t="n">
        <v>13563</v>
      </c>
      <c r="B3564" s="14" t="n">
        <v>48124</v>
      </c>
      <c r="C3564" s="1" t="n">
        <v>1777</v>
      </c>
      <c r="D3564" s="1" t="s">
        <v>37</v>
      </c>
      <c r="E3564" s="1" t="s">
        <v>35</v>
      </c>
      <c r="F3564" s="1" t="n">
        <v>4</v>
      </c>
      <c r="G3564" s="15" t="n">
        <v>332.46</v>
      </c>
      <c r="H3564" s="16" t="n">
        <v>0.1</v>
      </c>
      <c r="I3564" s="1" t="s">
        <v>33</v>
      </c>
      <c r="J3564" s="1" t="n">
        <v>7</v>
      </c>
      <c r="K3564" s="1" t="n">
        <v>3.4</v>
      </c>
      <c r="L3564" s="15" t="n">
        <v>1196.86</v>
      </c>
      <c r="M3564" s="15" t="n">
        <f aca="false">F3564*G3564</f>
        <v>1329.84</v>
      </c>
      <c r="N3564" s="15" t="n">
        <f aca="false">M3564-L3564</f>
        <v>132.98</v>
      </c>
      <c r="O3564" s="1" t="n">
        <f aca="false">YEAR(B3564)</f>
        <v>2031</v>
      </c>
      <c r="P3564" s="1" t="n">
        <f aca="false">MONTH(B3564)</f>
        <v>10</v>
      </c>
      <c r="Q3564" s="1" t="str">
        <f aca="false">TEXT(B3564,"mmm")</f>
        <v>Oct</v>
      </c>
      <c r="R3564" s="1" t="str">
        <f aca="false">"Q"&amp;ROUNDUP(MONTH(B3564)/3,0)</f>
        <v>Q4</v>
      </c>
    </row>
    <row r="3565" customFormat="false" ht="15" hidden="false" customHeight="true" outlineLevel="0" collapsed="false">
      <c r="A3565" s="1" t="n">
        <v>13564</v>
      </c>
      <c r="B3565" s="14" t="n">
        <v>48125</v>
      </c>
      <c r="C3565" s="1" t="n">
        <v>1148</v>
      </c>
      <c r="D3565" s="1" t="s">
        <v>30</v>
      </c>
      <c r="E3565" s="1" t="s">
        <v>32</v>
      </c>
      <c r="F3565" s="1" t="n">
        <v>2</v>
      </c>
      <c r="G3565" s="15" t="n">
        <v>232.87</v>
      </c>
      <c r="H3565" s="16" t="n">
        <v>0.16</v>
      </c>
      <c r="I3565" s="1" t="s">
        <v>29</v>
      </c>
      <c r="J3565" s="1" t="n">
        <v>4</v>
      </c>
      <c r="K3565" s="1" t="n">
        <v>2.5</v>
      </c>
      <c r="L3565" s="15" t="n">
        <v>391.22</v>
      </c>
      <c r="M3565" s="15" t="n">
        <f aca="false">F3565*G3565</f>
        <v>465.74</v>
      </c>
      <c r="N3565" s="15" t="n">
        <f aca="false">M3565-L3565</f>
        <v>74.52</v>
      </c>
      <c r="O3565" s="1" t="n">
        <f aca="false">YEAR(B3565)</f>
        <v>2031</v>
      </c>
      <c r="P3565" s="1" t="n">
        <f aca="false">MONTH(B3565)</f>
        <v>10</v>
      </c>
      <c r="Q3565" s="1" t="str">
        <f aca="false">TEXT(B3565,"mmm")</f>
        <v>Oct</v>
      </c>
      <c r="R3565" s="1" t="str">
        <f aca="false">"Q"&amp;ROUNDUP(MONTH(B3565)/3,0)</f>
        <v>Q4</v>
      </c>
    </row>
    <row r="3566" customFormat="false" ht="15" hidden="false" customHeight="true" outlineLevel="0" collapsed="false">
      <c r="A3566" s="1" t="n">
        <v>13565</v>
      </c>
      <c r="B3566" s="14" t="n">
        <v>48126</v>
      </c>
      <c r="C3566" s="1" t="n">
        <v>1675</v>
      </c>
      <c r="D3566" s="1" t="s">
        <v>34</v>
      </c>
      <c r="E3566" s="1" t="s">
        <v>28</v>
      </c>
      <c r="F3566" s="1" t="n">
        <v>1</v>
      </c>
      <c r="G3566" s="15" t="n">
        <v>477.1</v>
      </c>
      <c r="H3566" s="16" t="n">
        <v>0.07</v>
      </c>
      <c r="I3566" s="1" t="s">
        <v>33</v>
      </c>
      <c r="J3566" s="1" t="n">
        <v>5</v>
      </c>
      <c r="K3566" s="1" t="n">
        <v>1.2</v>
      </c>
      <c r="L3566" s="15" t="n">
        <v>443.7</v>
      </c>
      <c r="M3566" s="15" t="n">
        <f aca="false">F3566*G3566</f>
        <v>477.1</v>
      </c>
      <c r="N3566" s="15" t="n">
        <f aca="false">M3566-L3566</f>
        <v>33.4</v>
      </c>
      <c r="O3566" s="1" t="n">
        <f aca="false">YEAR(B3566)</f>
        <v>2031</v>
      </c>
      <c r="P3566" s="1" t="n">
        <f aca="false">MONTH(B3566)</f>
        <v>10</v>
      </c>
      <c r="Q3566" s="1" t="str">
        <f aca="false">TEXT(B3566,"mmm")</f>
        <v>Oct</v>
      </c>
      <c r="R3566" s="1" t="str">
        <f aca="false">"Q"&amp;ROUNDUP(MONTH(B3566)/3,0)</f>
        <v>Q4</v>
      </c>
    </row>
    <row r="3567" customFormat="false" ht="15" hidden="false" customHeight="true" outlineLevel="0" collapsed="false">
      <c r="A3567" s="1" t="n">
        <v>13566</v>
      </c>
      <c r="B3567" s="14" t="n">
        <v>48127</v>
      </c>
      <c r="C3567" s="1" t="n">
        <v>1651</v>
      </c>
      <c r="D3567" s="1" t="s">
        <v>34</v>
      </c>
      <c r="E3567" s="1" t="s">
        <v>35</v>
      </c>
      <c r="F3567" s="1" t="n">
        <v>6</v>
      </c>
      <c r="G3567" s="15" t="n">
        <v>38</v>
      </c>
      <c r="H3567" s="16" t="n">
        <v>0.03</v>
      </c>
      <c r="I3567" s="1" t="s">
        <v>31</v>
      </c>
      <c r="J3567" s="1" t="n">
        <v>11</v>
      </c>
      <c r="K3567" s="1" t="n">
        <v>1.3</v>
      </c>
      <c r="L3567" s="15" t="n">
        <v>221.16</v>
      </c>
      <c r="M3567" s="15" t="n">
        <f aca="false">F3567*G3567</f>
        <v>228</v>
      </c>
      <c r="N3567" s="15" t="n">
        <f aca="false">M3567-L3567</f>
        <v>6.84</v>
      </c>
      <c r="O3567" s="1" t="n">
        <f aca="false">YEAR(B3567)</f>
        <v>2031</v>
      </c>
      <c r="P3567" s="1" t="n">
        <f aca="false">MONTH(B3567)</f>
        <v>10</v>
      </c>
      <c r="Q3567" s="1" t="str">
        <f aca="false">TEXT(B3567,"mmm")</f>
        <v>Oct</v>
      </c>
      <c r="R3567" s="1" t="str">
        <f aca="false">"Q"&amp;ROUNDUP(MONTH(B3567)/3,0)</f>
        <v>Q4</v>
      </c>
    </row>
    <row r="3568" customFormat="false" ht="15" hidden="false" customHeight="true" outlineLevel="0" collapsed="false">
      <c r="A3568" s="1" t="n">
        <v>13567</v>
      </c>
      <c r="B3568" s="14" t="n">
        <v>48128</v>
      </c>
      <c r="C3568" s="1" t="n">
        <v>1858</v>
      </c>
      <c r="D3568" s="1" t="s">
        <v>34</v>
      </c>
      <c r="E3568" s="1" t="s">
        <v>32</v>
      </c>
      <c r="F3568" s="1" t="n">
        <v>2</v>
      </c>
      <c r="G3568" s="15" t="n">
        <v>267.58</v>
      </c>
      <c r="H3568" s="16" t="n">
        <v>0.25</v>
      </c>
      <c r="I3568" s="1" t="s">
        <v>31</v>
      </c>
      <c r="J3568" s="1" t="n">
        <v>7</v>
      </c>
      <c r="K3568" s="1" t="n">
        <v>2.7</v>
      </c>
      <c r="L3568" s="15" t="n">
        <v>401.37</v>
      </c>
      <c r="M3568" s="15" t="n">
        <f aca="false">F3568*G3568</f>
        <v>535.16</v>
      </c>
      <c r="N3568" s="15" t="n">
        <f aca="false">M3568-L3568</f>
        <v>133.79</v>
      </c>
      <c r="O3568" s="1" t="n">
        <f aca="false">YEAR(B3568)</f>
        <v>2031</v>
      </c>
      <c r="P3568" s="1" t="n">
        <f aca="false">MONTH(B3568)</f>
        <v>10</v>
      </c>
      <c r="Q3568" s="1" t="str">
        <f aca="false">TEXT(B3568,"mmm")</f>
        <v>Oct</v>
      </c>
      <c r="R3568" s="1" t="str">
        <f aca="false">"Q"&amp;ROUNDUP(MONTH(B3568)/3,0)</f>
        <v>Q4</v>
      </c>
    </row>
    <row r="3569" customFormat="false" ht="15" hidden="false" customHeight="true" outlineLevel="0" collapsed="false">
      <c r="A3569" s="1" t="n">
        <v>13568</v>
      </c>
      <c r="B3569" s="14" t="n">
        <v>48129</v>
      </c>
      <c r="C3569" s="1" t="n">
        <v>1487</v>
      </c>
      <c r="D3569" s="1" t="s">
        <v>30</v>
      </c>
      <c r="E3569" s="1" t="s">
        <v>32</v>
      </c>
      <c r="F3569" s="1" t="n">
        <v>3</v>
      </c>
      <c r="G3569" s="15" t="n">
        <v>238.62</v>
      </c>
      <c r="H3569" s="16" t="n">
        <v>0.31</v>
      </c>
      <c r="I3569" s="1" t="s">
        <v>33</v>
      </c>
      <c r="J3569" s="1" t="n">
        <v>2</v>
      </c>
      <c r="K3569" s="1" t="n">
        <v>1.7</v>
      </c>
      <c r="L3569" s="15" t="n">
        <v>493.94</v>
      </c>
      <c r="M3569" s="15" t="n">
        <f aca="false">F3569*G3569</f>
        <v>715.86</v>
      </c>
      <c r="N3569" s="15" t="n">
        <f aca="false">M3569-L3569</f>
        <v>221.92</v>
      </c>
      <c r="O3569" s="1" t="n">
        <f aca="false">YEAR(B3569)</f>
        <v>2031</v>
      </c>
      <c r="P3569" s="1" t="n">
        <f aca="false">MONTH(B3569)</f>
        <v>10</v>
      </c>
      <c r="Q3569" s="1" t="str">
        <f aca="false">TEXT(B3569,"mmm")</f>
        <v>Oct</v>
      </c>
      <c r="R3569" s="1" t="str">
        <f aca="false">"Q"&amp;ROUNDUP(MONTH(B3569)/3,0)</f>
        <v>Q4</v>
      </c>
    </row>
    <row r="3570" customFormat="false" ht="15" hidden="false" customHeight="true" outlineLevel="0" collapsed="false">
      <c r="A3570" s="1" t="n">
        <v>13569</v>
      </c>
      <c r="B3570" s="14" t="n">
        <v>48130</v>
      </c>
      <c r="C3570" s="1" t="n">
        <v>1769</v>
      </c>
      <c r="D3570" s="1" t="s">
        <v>27</v>
      </c>
      <c r="E3570" s="1" t="s">
        <v>36</v>
      </c>
      <c r="F3570" s="1" t="n">
        <v>7</v>
      </c>
      <c r="G3570" s="15" t="n">
        <v>393.83</v>
      </c>
      <c r="H3570" s="16" t="n">
        <v>0.33</v>
      </c>
      <c r="I3570" s="1" t="s">
        <v>31</v>
      </c>
      <c r="J3570" s="1" t="n">
        <v>4</v>
      </c>
      <c r="K3570" s="1" t="n">
        <v>1.4</v>
      </c>
      <c r="L3570" s="15" t="n">
        <v>1847.06</v>
      </c>
      <c r="M3570" s="15" t="n">
        <f aca="false">F3570*G3570</f>
        <v>2756.81</v>
      </c>
      <c r="N3570" s="15" t="n">
        <f aca="false">M3570-L3570</f>
        <v>909.75</v>
      </c>
      <c r="O3570" s="1" t="n">
        <f aca="false">YEAR(B3570)</f>
        <v>2031</v>
      </c>
      <c r="P3570" s="1" t="n">
        <f aca="false">MONTH(B3570)</f>
        <v>10</v>
      </c>
      <c r="Q3570" s="1" t="str">
        <f aca="false">TEXT(B3570,"mmm")</f>
        <v>Oct</v>
      </c>
      <c r="R3570" s="1" t="str">
        <f aca="false">"Q"&amp;ROUNDUP(MONTH(B3570)/3,0)</f>
        <v>Q4</v>
      </c>
    </row>
    <row r="3571" customFormat="false" ht="15" hidden="false" customHeight="true" outlineLevel="0" collapsed="false">
      <c r="A3571" s="1" t="n">
        <v>13570</v>
      </c>
      <c r="B3571" s="14" t="n">
        <v>48131</v>
      </c>
      <c r="C3571" s="1" t="n">
        <v>1373</v>
      </c>
      <c r="D3571" s="1" t="s">
        <v>30</v>
      </c>
      <c r="E3571" s="1" t="s">
        <v>28</v>
      </c>
      <c r="F3571" s="1" t="n">
        <v>4</v>
      </c>
      <c r="G3571" s="15" t="n">
        <v>580.27</v>
      </c>
      <c r="H3571" s="16" t="n">
        <v>0.22</v>
      </c>
      <c r="I3571" s="1" t="s">
        <v>29</v>
      </c>
      <c r="J3571" s="1" t="n">
        <v>4</v>
      </c>
      <c r="K3571" s="1" t="n">
        <v>2</v>
      </c>
      <c r="L3571" s="15" t="n">
        <v>1810.44</v>
      </c>
      <c r="M3571" s="15" t="n">
        <f aca="false">F3571*G3571</f>
        <v>2321.08</v>
      </c>
      <c r="N3571" s="15" t="n">
        <f aca="false">M3571-L3571</f>
        <v>510.64</v>
      </c>
      <c r="O3571" s="1" t="n">
        <f aca="false">YEAR(B3571)</f>
        <v>2031</v>
      </c>
      <c r="P3571" s="1" t="n">
        <f aca="false">MONTH(B3571)</f>
        <v>10</v>
      </c>
      <c r="Q3571" s="1" t="str">
        <f aca="false">TEXT(B3571,"mmm")</f>
        <v>Oct</v>
      </c>
      <c r="R3571" s="1" t="str">
        <f aca="false">"Q"&amp;ROUNDUP(MONTH(B3571)/3,0)</f>
        <v>Q4</v>
      </c>
    </row>
    <row r="3572" customFormat="false" ht="15" hidden="false" customHeight="true" outlineLevel="0" collapsed="false">
      <c r="A3572" s="1" t="n">
        <v>13571</v>
      </c>
      <c r="B3572" s="14" t="n">
        <v>48132</v>
      </c>
      <c r="C3572" s="1" t="n">
        <v>1780</v>
      </c>
      <c r="D3572" s="1" t="s">
        <v>37</v>
      </c>
      <c r="E3572" s="1" t="s">
        <v>35</v>
      </c>
      <c r="F3572" s="1" t="n">
        <v>2</v>
      </c>
      <c r="G3572" s="15" t="n">
        <v>313.57</v>
      </c>
      <c r="H3572" s="16" t="n">
        <v>0.02</v>
      </c>
      <c r="I3572" s="1" t="s">
        <v>31</v>
      </c>
      <c r="J3572" s="1" t="n">
        <v>6</v>
      </c>
      <c r="K3572" s="1" t="n">
        <v>4</v>
      </c>
      <c r="L3572" s="15" t="n">
        <v>614.6</v>
      </c>
      <c r="M3572" s="15" t="n">
        <f aca="false">F3572*G3572</f>
        <v>627.14</v>
      </c>
      <c r="N3572" s="15" t="n">
        <f aca="false">M3572-L3572</f>
        <v>12.54</v>
      </c>
      <c r="O3572" s="1" t="n">
        <f aca="false">YEAR(B3572)</f>
        <v>2031</v>
      </c>
      <c r="P3572" s="1" t="n">
        <f aca="false">MONTH(B3572)</f>
        <v>10</v>
      </c>
      <c r="Q3572" s="1" t="str">
        <f aca="false">TEXT(B3572,"mmm")</f>
        <v>Oct</v>
      </c>
      <c r="R3572" s="1" t="str">
        <f aca="false">"Q"&amp;ROUNDUP(MONTH(B3572)/3,0)</f>
        <v>Q4</v>
      </c>
    </row>
    <row r="3573" customFormat="false" ht="15" hidden="false" customHeight="true" outlineLevel="0" collapsed="false">
      <c r="A3573" s="1" t="n">
        <v>13572</v>
      </c>
      <c r="B3573" s="14" t="n">
        <v>48133</v>
      </c>
      <c r="C3573" s="1" t="n">
        <v>1692</v>
      </c>
      <c r="D3573" s="1" t="s">
        <v>30</v>
      </c>
      <c r="E3573" s="1" t="s">
        <v>36</v>
      </c>
      <c r="F3573" s="1" t="n">
        <v>4</v>
      </c>
      <c r="G3573" s="15" t="n">
        <v>592.32</v>
      </c>
      <c r="H3573" s="16" t="n">
        <v>0.26</v>
      </c>
      <c r="I3573" s="1" t="s">
        <v>33</v>
      </c>
      <c r="J3573" s="1" t="n">
        <v>11</v>
      </c>
      <c r="K3573" s="1" t="n">
        <v>1.3</v>
      </c>
      <c r="L3573" s="15" t="n">
        <v>1753.27</v>
      </c>
      <c r="M3573" s="15" t="n">
        <f aca="false">F3573*G3573</f>
        <v>2369.28</v>
      </c>
      <c r="N3573" s="15" t="n">
        <f aca="false">M3573-L3573</f>
        <v>616.01</v>
      </c>
      <c r="O3573" s="1" t="n">
        <f aca="false">YEAR(B3573)</f>
        <v>2031</v>
      </c>
      <c r="P3573" s="1" t="n">
        <f aca="false">MONTH(B3573)</f>
        <v>10</v>
      </c>
      <c r="Q3573" s="1" t="str">
        <f aca="false">TEXT(B3573,"mmm")</f>
        <v>Oct</v>
      </c>
      <c r="R3573" s="1" t="str">
        <f aca="false">"Q"&amp;ROUNDUP(MONTH(B3573)/3,0)</f>
        <v>Q4</v>
      </c>
    </row>
    <row r="3574" customFormat="false" ht="15" hidden="false" customHeight="true" outlineLevel="0" collapsed="false">
      <c r="A3574" s="1" t="n">
        <v>13573</v>
      </c>
      <c r="B3574" s="14" t="n">
        <v>48134</v>
      </c>
      <c r="C3574" s="1" t="n">
        <v>1159</v>
      </c>
      <c r="D3574" s="1" t="s">
        <v>30</v>
      </c>
      <c r="E3574" s="1" t="s">
        <v>28</v>
      </c>
      <c r="F3574" s="1" t="n">
        <v>6</v>
      </c>
      <c r="G3574" s="15" t="n">
        <v>191.82</v>
      </c>
      <c r="H3574" s="16" t="n">
        <v>0.04</v>
      </c>
      <c r="I3574" s="1" t="s">
        <v>33</v>
      </c>
      <c r="J3574" s="1" t="n">
        <v>7</v>
      </c>
      <c r="K3574" s="1" t="n">
        <v>2.8</v>
      </c>
      <c r="L3574" s="15" t="n">
        <v>1104.88</v>
      </c>
      <c r="M3574" s="15" t="n">
        <f aca="false">F3574*G3574</f>
        <v>1150.92</v>
      </c>
      <c r="N3574" s="15" t="n">
        <f aca="false">M3574-L3574</f>
        <v>46.04</v>
      </c>
      <c r="O3574" s="1" t="n">
        <f aca="false">YEAR(B3574)</f>
        <v>2031</v>
      </c>
      <c r="P3574" s="1" t="n">
        <f aca="false">MONTH(B3574)</f>
        <v>10</v>
      </c>
      <c r="Q3574" s="1" t="str">
        <f aca="false">TEXT(B3574,"mmm")</f>
        <v>Oct</v>
      </c>
      <c r="R3574" s="1" t="str">
        <f aca="false">"Q"&amp;ROUNDUP(MONTH(B3574)/3,0)</f>
        <v>Q4</v>
      </c>
    </row>
    <row r="3575" customFormat="false" ht="15" hidden="false" customHeight="true" outlineLevel="0" collapsed="false">
      <c r="A3575" s="1" t="n">
        <v>13574</v>
      </c>
      <c r="B3575" s="14" t="n">
        <v>48135</v>
      </c>
      <c r="C3575" s="1" t="n">
        <v>1350</v>
      </c>
      <c r="D3575" s="1" t="s">
        <v>34</v>
      </c>
      <c r="E3575" s="1" t="s">
        <v>36</v>
      </c>
      <c r="F3575" s="1" t="n">
        <v>1</v>
      </c>
      <c r="G3575" s="15" t="n">
        <v>33.06</v>
      </c>
      <c r="H3575" s="16" t="n">
        <v>0.23</v>
      </c>
      <c r="I3575" s="1" t="s">
        <v>33</v>
      </c>
      <c r="J3575" s="1" t="n">
        <v>4</v>
      </c>
      <c r="K3575" s="1" t="n">
        <v>4.3</v>
      </c>
      <c r="L3575" s="15" t="n">
        <v>25.46</v>
      </c>
      <c r="M3575" s="15" t="n">
        <f aca="false">F3575*G3575</f>
        <v>33.06</v>
      </c>
      <c r="N3575" s="15" t="n">
        <f aca="false">M3575-L3575</f>
        <v>7.6</v>
      </c>
      <c r="O3575" s="1" t="n">
        <f aca="false">YEAR(B3575)</f>
        <v>2031</v>
      </c>
      <c r="P3575" s="1" t="n">
        <f aca="false">MONTH(B3575)</f>
        <v>10</v>
      </c>
      <c r="Q3575" s="1" t="str">
        <f aca="false">TEXT(B3575,"mmm")</f>
        <v>Oct</v>
      </c>
      <c r="R3575" s="1" t="str">
        <f aca="false">"Q"&amp;ROUNDUP(MONTH(B3575)/3,0)</f>
        <v>Q4</v>
      </c>
    </row>
    <row r="3576" customFormat="false" ht="15" hidden="false" customHeight="true" outlineLevel="0" collapsed="false">
      <c r="A3576" s="1" t="n">
        <v>13575</v>
      </c>
      <c r="B3576" s="14" t="n">
        <v>48136</v>
      </c>
      <c r="C3576" s="1" t="n">
        <v>1911</v>
      </c>
      <c r="D3576" s="1" t="s">
        <v>27</v>
      </c>
      <c r="E3576" s="1" t="s">
        <v>35</v>
      </c>
      <c r="F3576" s="1" t="n">
        <v>3</v>
      </c>
      <c r="G3576" s="15" t="n">
        <v>111.91</v>
      </c>
      <c r="H3576" s="16" t="n">
        <v>0.27</v>
      </c>
      <c r="I3576" s="1" t="s">
        <v>31</v>
      </c>
      <c r="J3576" s="1" t="n">
        <v>10</v>
      </c>
      <c r="K3576" s="1" t="n">
        <v>2.1</v>
      </c>
      <c r="L3576" s="15" t="n">
        <v>245.08</v>
      </c>
      <c r="M3576" s="15" t="n">
        <f aca="false">F3576*G3576</f>
        <v>335.73</v>
      </c>
      <c r="N3576" s="15" t="n">
        <f aca="false">M3576-L3576</f>
        <v>90.65</v>
      </c>
      <c r="O3576" s="1" t="n">
        <f aca="false">YEAR(B3576)</f>
        <v>2031</v>
      </c>
      <c r="P3576" s="1" t="n">
        <f aca="false">MONTH(B3576)</f>
        <v>10</v>
      </c>
      <c r="Q3576" s="1" t="str">
        <f aca="false">TEXT(B3576,"mmm")</f>
        <v>Oct</v>
      </c>
      <c r="R3576" s="1" t="str">
        <f aca="false">"Q"&amp;ROUNDUP(MONTH(B3576)/3,0)</f>
        <v>Q4</v>
      </c>
    </row>
    <row r="3577" customFormat="false" ht="15" hidden="false" customHeight="true" outlineLevel="0" collapsed="false">
      <c r="A3577" s="1" t="n">
        <v>13576</v>
      </c>
      <c r="B3577" s="14" t="n">
        <v>48137</v>
      </c>
      <c r="C3577" s="1" t="n">
        <v>1287</v>
      </c>
      <c r="D3577" s="1" t="s">
        <v>37</v>
      </c>
      <c r="E3577" s="1" t="s">
        <v>32</v>
      </c>
      <c r="F3577" s="1" t="n">
        <v>5</v>
      </c>
      <c r="G3577" s="15" t="n">
        <v>246.15</v>
      </c>
      <c r="H3577" s="16" t="n">
        <v>0.25</v>
      </c>
      <c r="I3577" s="1" t="s">
        <v>31</v>
      </c>
      <c r="J3577" s="1" t="n">
        <v>1</v>
      </c>
      <c r="K3577" s="1" t="n">
        <v>2.2</v>
      </c>
      <c r="L3577" s="15" t="n">
        <v>923.06</v>
      </c>
      <c r="M3577" s="15" t="n">
        <f aca="false">F3577*G3577</f>
        <v>1230.75</v>
      </c>
      <c r="N3577" s="15" t="n">
        <f aca="false">M3577-L3577</f>
        <v>307.69</v>
      </c>
      <c r="O3577" s="1" t="n">
        <f aca="false">YEAR(B3577)</f>
        <v>2031</v>
      </c>
      <c r="P3577" s="1" t="n">
        <f aca="false">MONTH(B3577)</f>
        <v>10</v>
      </c>
      <c r="Q3577" s="1" t="str">
        <f aca="false">TEXT(B3577,"mmm")</f>
        <v>Oct</v>
      </c>
      <c r="R3577" s="1" t="str">
        <f aca="false">"Q"&amp;ROUNDUP(MONTH(B3577)/3,0)</f>
        <v>Q4</v>
      </c>
    </row>
    <row r="3578" customFormat="false" ht="15" hidden="false" customHeight="true" outlineLevel="0" collapsed="false">
      <c r="A3578" s="1" t="n">
        <v>13577</v>
      </c>
      <c r="B3578" s="14" t="n">
        <v>48138</v>
      </c>
      <c r="C3578" s="1" t="n">
        <v>1287</v>
      </c>
      <c r="D3578" s="1" t="s">
        <v>34</v>
      </c>
      <c r="E3578" s="1" t="s">
        <v>35</v>
      </c>
      <c r="F3578" s="1" t="n">
        <v>2</v>
      </c>
      <c r="G3578" s="15" t="n">
        <v>200.06</v>
      </c>
      <c r="H3578" s="16" t="n">
        <v>0.33</v>
      </c>
      <c r="I3578" s="1" t="s">
        <v>33</v>
      </c>
      <c r="J3578" s="1" t="n">
        <v>1</v>
      </c>
      <c r="K3578" s="1" t="n">
        <v>4.5</v>
      </c>
      <c r="L3578" s="15" t="n">
        <v>268.08</v>
      </c>
      <c r="M3578" s="15" t="n">
        <f aca="false">F3578*G3578</f>
        <v>400.12</v>
      </c>
      <c r="N3578" s="15" t="n">
        <f aca="false">M3578-L3578</f>
        <v>132.04</v>
      </c>
      <c r="O3578" s="1" t="n">
        <f aca="false">YEAR(B3578)</f>
        <v>2031</v>
      </c>
      <c r="P3578" s="1" t="n">
        <f aca="false">MONTH(B3578)</f>
        <v>10</v>
      </c>
      <c r="Q3578" s="1" t="str">
        <f aca="false">TEXT(B3578,"mmm")</f>
        <v>Oct</v>
      </c>
      <c r="R3578" s="1" t="str">
        <f aca="false">"Q"&amp;ROUNDUP(MONTH(B3578)/3,0)</f>
        <v>Q4</v>
      </c>
    </row>
    <row r="3579" customFormat="false" ht="15" hidden="false" customHeight="true" outlineLevel="0" collapsed="false">
      <c r="A3579" s="1" t="n">
        <v>13578</v>
      </c>
      <c r="B3579" s="14" t="n">
        <v>48139</v>
      </c>
      <c r="C3579" s="1" t="n">
        <v>1891</v>
      </c>
      <c r="D3579" s="1" t="s">
        <v>30</v>
      </c>
      <c r="E3579" s="1" t="s">
        <v>28</v>
      </c>
      <c r="F3579" s="1" t="n">
        <v>1</v>
      </c>
      <c r="G3579" s="15" t="n">
        <v>71.78</v>
      </c>
      <c r="H3579" s="16" t="n">
        <v>0.26</v>
      </c>
      <c r="I3579" s="1" t="s">
        <v>29</v>
      </c>
      <c r="J3579" s="1" t="n">
        <v>5</v>
      </c>
      <c r="K3579" s="1" t="n">
        <v>3.6</v>
      </c>
      <c r="L3579" s="15" t="n">
        <v>53.12</v>
      </c>
      <c r="M3579" s="15" t="n">
        <f aca="false">F3579*G3579</f>
        <v>71.78</v>
      </c>
      <c r="N3579" s="15" t="n">
        <f aca="false">M3579-L3579</f>
        <v>18.66</v>
      </c>
      <c r="O3579" s="1" t="n">
        <f aca="false">YEAR(B3579)</f>
        <v>2031</v>
      </c>
      <c r="P3579" s="1" t="n">
        <f aca="false">MONTH(B3579)</f>
        <v>10</v>
      </c>
      <c r="Q3579" s="1" t="str">
        <f aca="false">TEXT(B3579,"mmm")</f>
        <v>Oct</v>
      </c>
      <c r="R3579" s="1" t="str">
        <f aca="false">"Q"&amp;ROUNDUP(MONTH(B3579)/3,0)</f>
        <v>Q4</v>
      </c>
    </row>
    <row r="3580" customFormat="false" ht="15" hidden="false" customHeight="true" outlineLevel="0" collapsed="false">
      <c r="A3580" s="1" t="n">
        <v>13579</v>
      </c>
      <c r="B3580" s="14" t="n">
        <v>48140</v>
      </c>
      <c r="C3580" s="1" t="n">
        <v>1225</v>
      </c>
      <c r="D3580" s="1" t="s">
        <v>30</v>
      </c>
      <c r="E3580" s="1" t="s">
        <v>35</v>
      </c>
      <c r="F3580" s="1" t="n">
        <v>4</v>
      </c>
      <c r="G3580" s="15" t="n">
        <v>268.11</v>
      </c>
      <c r="H3580" s="16" t="n">
        <v>0.24</v>
      </c>
      <c r="I3580" s="1" t="s">
        <v>33</v>
      </c>
      <c r="J3580" s="1" t="n">
        <v>1</v>
      </c>
      <c r="K3580" s="1" t="n">
        <v>4.2</v>
      </c>
      <c r="L3580" s="15" t="n">
        <v>815.05</v>
      </c>
      <c r="M3580" s="15" t="n">
        <f aca="false">F3580*G3580</f>
        <v>1072.44</v>
      </c>
      <c r="N3580" s="15" t="n">
        <f aca="false">M3580-L3580</f>
        <v>257.39</v>
      </c>
      <c r="O3580" s="1" t="n">
        <f aca="false">YEAR(B3580)</f>
        <v>2031</v>
      </c>
      <c r="P3580" s="1" t="n">
        <f aca="false">MONTH(B3580)</f>
        <v>10</v>
      </c>
      <c r="Q3580" s="1" t="str">
        <f aca="false">TEXT(B3580,"mmm")</f>
        <v>Oct</v>
      </c>
      <c r="R3580" s="1" t="str">
        <f aca="false">"Q"&amp;ROUNDUP(MONTH(B3580)/3,0)</f>
        <v>Q4</v>
      </c>
    </row>
    <row r="3581" customFormat="false" ht="15" hidden="false" customHeight="true" outlineLevel="0" collapsed="false">
      <c r="A3581" s="1" t="n">
        <v>13580</v>
      </c>
      <c r="B3581" s="14" t="n">
        <v>48141</v>
      </c>
      <c r="C3581" s="1" t="n">
        <v>1522</v>
      </c>
      <c r="D3581" s="1" t="s">
        <v>30</v>
      </c>
      <c r="E3581" s="1" t="s">
        <v>28</v>
      </c>
      <c r="F3581" s="1" t="n">
        <v>6</v>
      </c>
      <c r="G3581" s="15" t="n">
        <v>212.8</v>
      </c>
      <c r="H3581" s="16" t="n">
        <v>0.09</v>
      </c>
      <c r="I3581" s="1" t="s">
        <v>31</v>
      </c>
      <c r="J3581" s="1" t="n">
        <v>3</v>
      </c>
      <c r="K3581" s="1" t="n">
        <v>2.2</v>
      </c>
      <c r="L3581" s="15" t="n">
        <v>1161.89</v>
      </c>
      <c r="M3581" s="15" t="n">
        <f aca="false">F3581*G3581</f>
        <v>1276.8</v>
      </c>
      <c r="N3581" s="15" t="n">
        <f aca="false">M3581-L3581</f>
        <v>114.91</v>
      </c>
      <c r="O3581" s="1" t="n">
        <f aca="false">YEAR(B3581)</f>
        <v>2031</v>
      </c>
      <c r="P3581" s="1" t="n">
        <f aca="false">MONTH(B3581)</f>
        <v>10</v>
      </c>
      <c r="Q3581" s="1" t="str">
        <f aca="false">TEXT(B3581,"mmm")</f>
        <v>Oct</v>
      </c>
      <c r="R3581" s="1" t="str">
        <f aca="false">"Q"&amp;ROUNDUP(MONTH(B3581)/3,0)</f>
        <v>Q4</v>
      </c>
    </row>
    <row r="3582" customFormat="false" ht="15" hidden="false" customHeight="true" outlineLevel="0" collapsed="false">
      <c r="A3582" s="1" t="n">
        <v>13581</v>
      </c>
      <c r="B3582" s="14" t="n">
        <v>48142</v>
      </c>
      <c r="C3582" s="1" t="n">
        <v>1521</v>
      </c>
      <c r="D3582" s="1" t="s">
        <v>27</v>
      </c>
      <c r="E3582" s="1" t="s">
        <v>36</v>
      </c>
      <c r="F3582" s="1" t="n">
        <v>7</v>
      </c>
      <c r="G3582" s="15" t="n">
        <v>86.73</v>
      </c>
      <c r="H3582" s="16" t="n">
        <v>0.32</v>
      </c>
      <c r="I3582" s="1" t="s">
        <v>31</v>
      </c>
      <c r="J3582" s="1" t="n">
        <v>9</v>
      </c>
      <c r="K3582" s="1" t="n">
        <v>5</v>
      </c>
      <c r="L3582" s="15" t="n">
        <v>412.83</v>
      </c>
      <c r="M3582" s="15" t="n">
        <f aca="false">F3582*G3582</f>
        <v>607.11</v>
      </c>
      <c r="N3582" s="15" t="n">
        <f aca="false">M3582-L3582</f>
        <v>194.28</v>
      </c>
      <c r="O3582" s="1" t="n">
        <f aca="false">YEAR(B3582)</f>
        <v>2031</v>
      </c>
      <c r="P3582" s="1" t="n">
        <f aca="false">MONTH(B3582)</f>
        <v>10</v>
      </c>
      <c r="Q3582" s="1" t="str">
        <f aca="false">TEXT(B3582,"mmm")</f>
        <v>Oct</v>
      </c>
      <c r="R3582" s="1" t="str">
        <f aca="false">"Q"&amp;ROUNDUP(MONTH(B3582)/3,0)</f>
        <v>Q4</v>
      </c>
    </row>
    <row r="3583" customFormat="false" ht="15" hidden="false" customHeight="true" outlineLevel="0" collapsed="false">
      <c r="A3583" s="1" t="n">
        <v>13582</v>
      </c>
      <c r="B3583" s="14" t="n">
        <v>48143</v>
      </c>
      <c r="C3583" s="1" t="n">
        <v>1782</v>
      </c>
      <c r="D3583" s="1" t="s">
        <v>30</v>
      </c>
      <c r="E3583" s="1" t="s">
        <v>28</v>
      </c>
      <c r="F3583" s="1" t="n">
        <v>4</v>
      </c>
      <c r="G3583" s="15" t="n">
        <v>188.23</v>
      </c>
      <c r="H3583" s="16" t="n">
        <v>0.06</v>
      </c>
      <c r="I3583" s="1" t="s">
        <v>29</v>
      </c>
      <c r="J3583" s="1" t="n">
        <v>3</v>
      </c>
      <c r="K3583" s="1" t="n">
        <v>1.6</v>
      </c>
      <c r="L3583" s="15" t="n">
        <v>707.74</v>
      </c>
      <c r="M3583" s="15" t="n">
        <f aca="false">F3583*G3583</f>
        <v>752.92</v>
      </c>
      <c r="N3583" s="15" t="n">
        <f aca="false">M3583-L3583</f>
        <v>45.18</v>
      </c>
      <c r="O3583" s="1" t="n">
        <f aca="false">YEAR(B3583)</f>
        <v>2031</v>
      </c>
      <c r="P3583" s="1" t="n">
        <f aca="false">MONTH(B3583)</f>
        <v>10</v>
      </c>
      <c r="Q3583" s="1" t="str">
        <f aca="false">TEXT(B3583,"mmm")</f>
        <v>Oct</v>
      </c>
      <c r="R3583" s="1" t="str">
        <f aca="false">"Q"&amp;ROUNDUP(MONTH(B3583)/3,0)</f>
        <v>Q4</v>
      </c>
    </row>
    <row r="3584" customFormat="false" ht="15" hidden="false" customHeight="true" outlineLevel="0" collapsed="false">
      <c r="A3584" s="1" t="n">
        <v>13583</v>
      </c>
      <c r="B3584" s="14" t="n">
        <v>48144</v>
      </c>
      <c r="C3584" s="1" t="n">
        <v>1272</v>
      </c>
      <c r="D3584" s="1" t="s">
        <v>30</v>
      </c>
      <c r="E3584" s="1" t="s">
        <v>32</v>
      </c>
      <c r="F3584" s="1" t="n">
        <v>7</v>
      </c>
      <c r="G3584" s="15" t="n">
        <v>533.57</v>
      </c>
      <c r="H3584" s="16" t="n">
        <v>0.32</v>
      </c>
      <c r="I3584" s="1" t="s">
        <v>29</v>
      </c>
      <c r="J3584" s="1" t="n">
        <v>3</v>
      </c>
      <c r="K3584" s="1" t="n">
        <v>4.8</v>
      </c>
      <c r="L3584" s="15" t="n">
        <v>2539.79</v>
      </c>
      <c r="M3584" s="15" t="n">
        <f aca="false">F3584*G3584</f>
        <v>3734.99</v>
      </c>
      <c r="N3584" s="15" t="n">
        <f aca="false">M3584-L3584</f>
        <v>1195.2</v>
      </c>
      <c r="O3584" s="1" t="n">
        <f aca="false">YEAR(B3584)</f>
        <v>2031</v>
      </c>
      <c r="P3584" s="1" t="n">
        <f aca="false">MONTH(B3584)</f>
        <v>10</v>
      </c>
      <c r="Q3584" s="1" t="str">
        <f aca="false">TEXT(B3584,"mmm")</f>
        <v>Oct</v>
      </c>
      <c r="R3584" s="1" t="str">
        <f aca="false">"Q"&amp;ROUNDUP(MONTH(B3584)/3,0)</f>
        <v>Q4</v>
      </c>
    </row>
    <row r="3585" customFormat="false" ht="15" hidden="false" customHeight="true" outlineLevel="0" collapsed="false">
      <c r="A3585" s="1" t="n">
        <v>13584</v>
      </c>
      <c r="B3585" s="14" t="n">
        <v>48145</v>
      </c>
      <c r="C3585" s="1" t="n">
        <v>1935</v>
      </c>
      <c r="D3585" s="1" t="s">
        <v>34</v>
      </c>
      <c r="E3585" s="1" t="s">
        <v>32</v>
      </c>
      <c r="F3585" s="1" t="n">
        <v>6</v>
      </c>
      <c r="G3585" s="15" t="n">
        <v>191.7</v>
      </c>
      <c r="H3585" s="16" t="n">
        <v>0.11</v>
      </c>
      <c r="I3585" s="1" t="s">
        <v>31</v>
      </c>
      <c r="J3585" s="1" t="n">
        <v>9</v>
      </c>
      <c r="K3585" s="1" t="n">
        <v>4.6</v>
      </c>
      <c r="L3585" s="15" t="n">
        <v>1023.68</v>
      </c>
      <c r="M3585" s="15" t="n">
        <f aca="false">F3585*G3585</f>
        <v>1150.2</v>
      </c>
      <c r="N3585" s="15" t="n">
        <f aca="false">M3585-L3585</f>
        <v>126.52</v>
      </c>
      <c r="O3585" s="1" t="n">
        <f aca="false">YEAR(B3585)</f>
        <v>2031</v>
      </c>
      <c r="P3585" s="1" t="n">
        <f aca="false">MONTH(B3585)</f>
        <v>10</v>
      </c>
      <c r="Q3585" s="1" t="str">
        <f aca="false">TEXT(B3585,"mmm")</f>
        <v>Oct</v>
      </c>
      <c r="R3585" s="1" t="str">
        <f aca="false">"Q"&amp;ROUNDUP(MONTH(B3585)/3,0)</f>
        <v>Q4</v>
      </c>
    </row>
    <row r="3586" customFormat="false" ht="15" hidden="false" customHeight="true" outlineLevel="0" collapsed="false">
      <c r="A3586" s="1" t="n">
        <v>13585</v>
      </c>
      <c r="B3586" s="14" t="n">
        <v>48146</v>
      </c>
      <c r="C3586" s="1" t="n">
        <v>1401</v>
      </c>
      <c r="D3586" s="1" t="s">
        <v>34</v>
      </c>
      <c r="E3586" s="1" t="s">
        <v>32</v>
      </c>
      <c r="F3586" s="1" t="n">
        <v>7</v>
      </c>
      <c r="G3586" s="15" t="n">
        <v>432.66</v>
      </c>
      <c r="H3586" s="16" t="n">
        <v>0.05</v>
      </c>
      <c r="I3586" s="1" t="s">
        <v>33</v>
      </c>
      <c r="J3586" s="1" t="n">
        <v>5</v>
      </c>
      <c r="K3586" s="1" t="n">
        <v>3.2</v>
      </c>
      <c r="L3586" s="15" t="n">
        <v>2877.19</v>
      </c>
      <c r="M3586" s="15" t="n">
        <f aca="false">F3586*G3586</f>
        <v>3028.62</v>
      </c>
      <c r="N3586" s="15" t="n">
        <f aca="false">M3586-L3586</f>
        <v>151.43</v>
      </c>
      <c r="O3586" s="1" t="n">
        <f aca="false">YEAR(B3586)</f>
        <v>2031</v>
      </c>
      <c r="P3586" s="1" t="n">
        <f aca="false">MONTH(B3586)</f>
        <v>10</v>
      </c>
      <c r="Q3586" s="1" t="str">
        <f aca="false">TEXT(B3586,"mmm")</f>
        <v>Oct</v>
      </c>
      <c r="R3586" s="1" t="str">
        <f aca="false">"Q"&amp;ROUNDUP(MONTH(B3586)/3,0)</f>
        <v>Q4</v>
      </c>
    </row>
    <row r="3587" customFormat="false" ht="15" hidden="false" customHeight="true" outlineLevel="0" collapsed="false">
      <c r="A3587" s="1" t="n">
        <v>13586</v>
      </c>
      <c r="B3587" s="14" t="n">
        <v>48147</v>
      </c>
      <c r="C3587" s="1" t="n">
        <v>1182</v>
      </c>
      <c r="D3587" s="1" t="s">
        <v>34</v>
      </c>
      <c r="E3587" s="1" t="s">
        <v>36</v>
      </c>
      <c r="F3587" s="1" t="n">
        <v>6</v>
      </c>
      <c r="G3587" s="15" t="n">
        <v>373.05</v>
      </c>
      <c r="H3587" s="16" t="n">
        <v>0.29</v>
      </c>
      <c r="I3587" s="1" t="s">
        <v>31</v>
      </c>
      <c r="J3587" s="1" t="n">
        <v>8</v>
      </c>
      <c r="K3587" s="1" t="n">
        <v>3.3</v>
      </c>
      <c r="L3587" s="15" t="n">
        <v>1589.19</v>
      </c>
      <c r="M3587" s="15" t="n">
        <f aca="false">F3587*G3587</f>
        <v>2238.3</v>
      </c>
      <c r="N3587" s="15" t="n">
        <f aca="false">M3587-L3587</f>
        <v>649.11</v>
      </c>
      <c r="O3587" s="1" t="n">
        <f aca="false">YEAR(B3587)</f>
        <v>2031</v>
      </c>
      <c r="P3587" s="1" t="n">
        <f aca="false">MONTH(B3587)</f>
        <v>10</v>
      </c>
      <c r="Q3587" s="1" t="str">
        <f aca="false">TEXT(B3587,"mmm")</f>
        <v>Oct</v>
      </c>
      <c r="R3587" s="1" t="str">
        <f aca="false">"Q"&amp;ROUNDUP(MONTH(B3587)/3,0)</f>
        <v>Q4</v>
      </c>
    </row>
    <row r="3588" customFormat="false" ht="15" hidden="false" customHeight="true" outlineLevel="0" collapsed="false">
      <c r="A3588" s="1" t="n">
        <v>13587</v>
      </c>
      <c r="B3588" s="14" t="n">
        <v>48148</v>
      </c>
      <c r="C3588" s="1" t="n">
        <v>1968</v>
      </c>
      <c r="D3588" s="1" t="s">
        <v>34</v>
      </c>
      <c r="E3588" s="1" t="s">
        <v>28</v>
      </c>
      <c r="F3588" s="1" t="n">
        <v>1</v>
      </c>
      <c r="G3588" s="15" t="n">
        <v>264.9</v>
      </c>
      <c r="H3588" s="16" t="n">
        <v>0</v>
      </c>
      <c r="I3588" s="1" t="s">
        <v>33</v>
      </c>
      <c r="J3588" s="1" t="n">
        <v>10</v>
      </c>
      <c r="K3588" s="1" t="n">
        <v>4.1</v>
      </c>
      <c r="L3588" s="15" t="n">
        <v>264.9</v>
      </c>
      <c r="M3588" s="15" t="n">
        <f aca="false">F3588*G3588</f>
        <v>264.9</v>
      </c>
      <c r="N3588" s="15" t="n">
        <f aca="false">M3588-L3588</f>
        <v>0</v>
      </c>
      <c r="O3588" s="1" t="n">
        <f aca="false">YEAR(B3588)</f>
        <v>2031</v>
      </c>
      <c r="P3588" s="1" t="n">
        <f aca="false">MONTH(B3588)</f>
        <v>10</v>
      </c>
      <c r="Q3588" s="1" t="str">
        <f aca="false">TEXT(B3588,"mmm")</f>
        <v>Oct</v>
      </c>
      <c r="R3588" s="1" t="str">
        <f aca="false">"Q"&amp;ROUNDUP(MONTH(B3588)/3,0)</f>
        <v>Q4</v>
      </c>
    </row>
    <row r="3589" customFormat="false" ht="15" hidden="false" customHeight="true" outlineLevel="0" collapsed="false">
      <c r="A3589" s="1" t="n">
        <v>13588</v>
      </c>
      <c r="B3589" s="14" t="n">
        <v>48149</v>
      </c>
      <c r="C3589" s="1" t="n">
        <v>1664</v>
      </c>
      <c r="D3589" s="1" t="s">
        <v>37</v>
      </c>
      <c r="E3589" s="1" t="s">
        <v>36</v>
      </c>
      <c r="F3589" s="1" t="n">
        <v>2</v>
      </c>
      <c r="G3589" s="15" t="n">
        <v>154.83</v>
      </c>
      <c r="H3589" s="16" t="n">
        <v>0.29</v>
      </c>
      <c r="I3589" s="1" t="s">
        <v>29</v>
      </c>
      <c r="J3589" s="1" t="n">
        <v>9</v>
      </c>
      <c r="K3589" s="1" t="n">
        <v>2.2</v>
      </c>
      <c r="L3589" s="15" t="n">
        <v>219.86</v>
      </c>
      <c r="M3589" s="15" t="n">
        <f aca="false">F3589*G3589</f>
        <v>309.66</v>
      </c>
      <c r="N3589" s="15" t="n">
        <f aca="false">M3589-L3589</f>
        <v>89.8</v>
      </c>
      <c r="O3589" s="1" t="n">
        <f aca="false">YEAR(B3589)</f>
        <v>2031</v>
      </c>
      <c r="P3589" s="1" t="n">
        <f aca="false">MONTH(B3589)</f>
        <v>10</v>
      </c>
      <c r="Q3589" s="1" t="str">
        <f aca="false">TEXT(B3589,"mmm")</f>
        <v>Oct</v>
      </c>
      <c r="R3589" s="1" t="str">
        <f aca="false">"Q"&amp;ROUNDUP(MONTH(B3589)/3,0)</f>
        <v>Q4</v>
      </c>
    </row>
    <row r="3590" customFormat="false" ht="15" hidden="false" customHeight="true" outlineLevel="0" collapsed="false">
      <c r="A3590" s="1" t="n">
        <v>13589</v>
      </c>
      <c r="B3590" s="14" t="n">
        <v>48150</v>
      </c>
      <c r="C3590" s="1" t="n">
        <v>1487</v>
      </c>
      <c r="D3590" s="1" t="s">
        <v>37</v>
      </c>
      <c r="E3590" s="1" t="s">
        <v>35</v>
      </c>
      <c r="F3590" s="1" t="n">
        <v>5</v>
      </c>
      <c r="G3590" s="15" t="n">
        <v>230.87</v>
      </c>
      <c r="H3590" s="16" t="n">
        <v>0.09</v>
      </c>
      <c r="I3590" s="1" t="s">
        <v>31</v>
      </c>
      <c r="J3590" s="1" t="n">
        <v>6</v>
      </c>
      <c r="K3590" s="1" t="n">
        <v>3.1</v>
      </c>
      <c r="L3590" s="15" t="n">
        <v>1050.46</v>
      </c>
      <c r="M3590" s="15" t="n">
        <f aca="false">F3590*G3590</f>
        <v>1154.35</v>
      </c>
      <c r="N3590" s="15" t="n">
        <f aca="false">M3590-L3590</f>
        <v>103.89</v>
      </c>
      <c r="O3590" s="1" t="n">
        <f aca="false">YEAR(B3590)</f>
        <v>2031</v>
      </c>
      <c r="P3590" s="1" t="n">
        <f aca="false">MONTH(B3590)</f>
        <v>10</v>
      </c>
      <c r="Q3590" s="1" t="str">
        <f aca="false">TEXT(B3590,"mmm")</f>
        <v>Oct</v>
      </c>
      <c r="R3590" s="1" t="str">
        <f aca="false">"Q"&amp;ROUNDUP(MONTH(B3590)/3,0)</f>
        <v>Q4</v>
      </c>
    </row>
    <row r="3591" customFormat="false" ht="15" hidden="false" customHeight="true" outlineLevel="0" collapsed="false">
      <c r="A3591" s="1" t="n">
        <v>13590</v>
      </c>
      <c r="B3591" s="14" t="n">
        <v>48151</v>
      </c>
      <c r="C3591" s="1" t="n">
        <v>1826</v>
      </c>
      <c r="D3591" s="1" t="s">
        <v>34</v>
      </c>
      <c r="E3591" s="1" t="s">
        <v>35</v>
      </c>
      <c r="F3591" s="1" t="n">
        <v>2</v>
      </c>
      <c r="G3591" s="15" t="n">
        <v>361.38</v>
      </c>
      <c r="H3591" s="16" t="n">
        <v>0.31</v>
      </c>
      <c r="I3591" s="1" t="s">
        <v>33</v>
      </c>
      <c r="J3591" s="1" t="n">
        <v>7</v>
      </c>
      <c r="K3591" s="1" t="n">
        <v>4.6</v>
      </c>
      <c r="L3591" s="15" t="n">
        <v>498.7</v>
      </c>
      <c r="M3591" s="15" t="n">
        <f aca="false">F3591*G3591</f>
        <v>722.76</v>
      </c>
      <c r="N3591" s="15" t="n">
        <f aca="false">M3591-L3591</f>
        <v>224.06</v>
      </c>
      <c r="O3591" s="1" t="n">
        <f aca="false">YEAR(B3591)</f>
        <v>2031</v>
      </c>
      <c r="P3591" s="1" t="n">
        <f aca="false">MONTH(B3591)</f>
        <v>10</v>
      </c>
      <c r="Q3591" s="1" t="str">
        <f aca="false">TEXT(B3591,"mmm")</f>
        <v>Oct</v>
      </c>
      <c r="R3591" s="1" t="str">
        <f aca="false">"Q"&amp;ROUNDUP(MONTH(B3591)/3,0)</f>
        <v>Q4</v>
      </c>
    </row>
    <row r="3592" customFormat="false" ht="15" hidden="false" customHeight="true" outlineLevel="0" collapsed="false">
      <c r="A3592" s="1" t="n">
        <v>13591</v>
      </c>
      <c r="B3592" s="14" t="n">
        <v>48152</v>
      </c>
      <c r="C3592" s="1" t="n">
        <v>1845</v>
      </c>
      <c r="D3592" s="1" t="s">
        <v>37</v>
      </c>
      <c r="E3592" s="1" t="s">
        <v>35</v>
      </c>
      <c r="F3592" s="1" t="n">
        <v>3</v>
      </c>
      <c r="G3592" s="15" t="n">
        <v>220.19</v>
      </c>
      <c r="H3592" s="16" t="n">
        <v>0.24</v>
      </c>
      <c r="I3592" s="1" t="s">
        <v>31</v>
      </c>
      <c r="J3592" s="1" t="n">
        <v>7</v>
      </c>
      <c r="K3592" s="1" t="n">
        <v>1.3</v>
      </c>
      <c r="L3592" s="15" t="n">
        <v>502.03</v>
      </c>
      <c r="M3592" s="15" t="n">
        <f aca="false">F3592*G3592</f>
        <v>660.57</v>
      </c>
      <c r="N3592" s="15" t="n">
        <f aca="false">M3592-L3592</f>
        <v>158.54</v>
      </c>
      <c r="O3592" s="1" t="n">
        <f aca="false">YEAR(B3592)</f>
        <v>2031</v>
      </c>
      <c r="P3592" s="1" t="n">
        <f aca="false">MONTH(B3592)</f>
        <v>10</v>
      </c>
      <c r="Q3592" s="1" t="str">
        <f aca="false">TEXT(B3592,"mmm")</f>
        <v>Oct</v>
      </c>
      <c r="R3592" s="1" t="str">
        <f aca="false">"Q"&amp;ROUNDUP(MONTH(B3592)/3,0)</f>
        <v>Q4</v>
      </c>
    </row>
    <row r="3593" customFormat="false" ht="15" hidden="false" customHeight="true" outlineLevel="0" collapsed="false">
      <c r="A3593" s="1" t="n">
        <v>13592</v>
      </c>
      <c r="B3593" s="14" t="n">
        <v>48153</v>
      </c>
      <c r="C3593" s="1" t="n">
        <v>1123</v>
      </c>
      <c r="D3593" s="1" t="s">
        <v>34</v>
      </c>
      <c r="E3593" s="1" t="s">
        <v>35</v>
      </c>
      <c r="F3593" s="1" t="n">
        <v>2</v>
      </c>
      <c r="G3593" s="15" t="n">
        <v>140.71</v>
      </c>
      <c r="H3593" s="16" t="n">
        <v>0.23</v>
      </c>
      <c r="I3593" s="1" t="s">
        <v>31</v>
      </c>
      <c r="J3593" s="1" t="n">
        <v>7</v>
      </c>
      <c r="K3593" s="1" t="n">
        <v>4.6</v>
      </c>
      <c r="L3593" s="15" t="n">
        <v>216.69</v>
      </c>
      <c r="M3593" s="15" t="n">
        <f aca="false">F3593*G3593</f>
        <v>281.42</v>
      </c>
      <c r="N3593" s="15" t="n">
        <f aca="false">M3593-L3593</f>
        <v>64.73</v>
      </c>
      <c r="O3593" s="1" t="n">
        <f aca="false">YEAR(B3593)</f>
        <v>2031</v>
      </c>
      <c r="P3593" s="1" t="n">
        <f aca="false">MONTH(B3593)</f>
        <v>11</v>
      </c>
      <c r="Q3593" s="1" t="str">
        <f aca="false">TEXT(B3593,"mmm")</f>
        <v>Nov</v>
      </c>
      <c r="R3593" s="1" t="str">
        <f aca="false">"Q"&amp;ROUNDUP(MONTH(B3593)/3,0)</f>
        <v>Q4</v>
      </c>
    </row>
    <row r="3594" customFormat="false" ht="15" hidden="false" customHeight="true" outlineLevel="0" collapsed="false">
      <c r="A3594" s="1" t="n">
        <v>13593</v>
      </c>
      <c r="B3594" s="14" t="n">
        <v>48154</v>
      </c>
      <c r="C3594" s="1" t="n">
        <v>1984</v>
      </c>
      <c r="D3594" s="1" t="s">
        <v>34</v>
      </c>
      <c r="E3594" s="1" t="s">
        <v>32</v>
      </c>
      <c r="F3594" s="1" t="n">
        <v>6</v>
      </c>
      <c r="G3594" s="15" t="n">
        <v>83.13</v>
      </c>
      <c r="H3594" s="16" t="n">
        <v>0.13</v>
      </c>
      <c r="I3594" s="1" t="s">
        <v>33</v>
      </c>
      <c r="J3594" s="1" t="n">
        <v>4</v>
      </c>
      <c r="K3594" s="1" t="n">
        <v>3.9</v>
      </c>
      <c r="L3594" s="15" t="n">
        <v>433.94</v>
      </c>
      <c r="M3594" s="15" t="n">
        <f aca="false">F3594*G3594</f>
        <v>498.78</v>
      </c>
      <c r="N3594" s="15" t="n">
        <f aca="false">M3594-L3594</f>
        <v>64.84</v>
      </c>
      <c r="O3594" s="1" t="n">
        <f aca="false">YEAR(B3594)</f>
        <v>2031</v>
      </c>
      <c r="P3594" s="1" t="n">
        <f aca="false">MONTH(B3594)</f>
        <v>11</v>
      </c>
      <c r="Q3594" s="1" t="str">
        <f aca="false">TEXT(B3594,"mmm")</f>
        <v>Nov</v>
      </c>
      <c r="R3594" s="1" t="str">
        <f aca="false">"Q"&amp;ROUNDUP(MONTH(B3594)/3,0)</f>
        <v>Q4</v>
      </c>
    </row>
    <row r="3595" customFormat="false" ht="15" hidden="false" customHeight="true" outlineLevel="0" collapsed="false">
      <c r="A3595" s="1" t="n">
        <v>13594</v>
      </c>
      <c r="B3595" s="14" t="n">
        <v>48155</v>
      </c>
      <c r="C3595" s="1" t="n">
        <v>1625</v>
      </c>
      <c r="D3595" s="1" t="s">
        <v>34</v>
      </c>
      <c r="E3595" s="1" t="s">
        <v>28</v>
      </c>
      <c r="F3595" s="1" t="n">
        <v>6</v>
      </c>
      <c r="G3595" s="15" t="n">
        <v>529.66</v>
      </c>
      <c r="H3595" s="16" t="n">
        <v>0.02</v>
      </c>
      <c r="I3595" s="1" t="s">
        <v>31</v>
      </c>
      <c r="J3595" s="1" t="n">
        <v>2</v>
      </c>
      <c r="K3595" s="1" t="n">
        <v>4.1</v>
      </c>
      <c r="L3595" s="15" t="n">
        <v>3114.4</v>
      </c>
      <c r="M3595" s="15" t="n">
        <f aca="false">F3595*G3595</f>
        <v>3177.96</v>
      </c>
      <c r="N3595" s="15" t="n">
        <f aca="false">M3595-L3595</f>
        <v>63.5599999999999</v>
      </c>
      <c r="O3595" s="1" t="n">
        <f aca="false">YEAR(B3595)</f>
        <v>2031</v>
      </c>
      <c r="P3595" s="1" t="n">
        <f aca="false">MONTH(B3595)</f>
        <v>11</v>
      </c>
      <c r="Q3595" s="1" t="str">
        <f aca="false">TEXT(B3595,"mmm")</f>
        <v>Nov</v>
      </c>
      <c r="R3595" s="1" t="str">
        <f aca="false">"Q"&amp;ROUNDUP(MONTH(B3595)/3,0)</f>
        <v>Q4</v>
      </c>
    </row>
    <row r="3596" customFormat="false" ht="15" hidden="false" customHeight="true" outlineLevel="0" collapsed="false">
      <c r="A3596" s="1" t="n">
        <v>13595</v>
      </c>
      <c r="B3596" s="14" t="n">
        <v>48156</v>
      </c>
      <c r="C3596" s="1" t="n">
        <v>1789</v>
      </c>
      <c r="D3596" s="1" t="s">
        <v>30</v>
      </c>
      <c r="E3596" s="1" t="s">
        <v>32</v>
      </c>
      <c r="F3596" s="1" t="n">
        <v>3</v>
      </c>
      <c r="G3596" s="15" t="n">
        <v>272.58</v>
      </c>
      <c r="H3596" s="16" t="n">
        <v>0.29</v>
      </c>
      <c r="I3596" s="1" t="s">
        <v>33</v>
      </c>
      <c r="J3596" s="1" t="n">
        <v>2</v>
      </c>
      <c r="K3596" s="1" t="n">
        <v>1.3</v>
      </c>
      <c r="L3596" s="15" t="n">
        <v>580.6</v>
      </c>
      <c r="M3596" s="15" t="n">
        <f aca="false">F3596*G3596</f>
        <v>817.74</v>
      </c>
      <c r="N3596" s="15" t="n">
        <f aca="false">M3596-L3596</f>
        <v>237.14</v>
      </c>
      <c r="O3596" s="1" t="n">
        <f aca="false">YEAR(B3596)</f>
        <v>2031</v>
      </c>
      <c r="P3596" s="1" t="n">
        <f aca="false">MONTH(B3596)</f>
        <v>11</v>
      </c>
      <c r="Q3596" s="1" t="str">
        <f aca="false">TEXT(B3596,"mmm")</f>
        <v>Nov</v>
      </c>
      <c r="R3596" s="1" t="str">
        <f aca="false">"Q"&amp;ROUNDUP(MONTH(B3596)/3,0)</f>
        <v>Q4</v>
      </c>
    </row>
    <row r="3597" customFormat="false" ht="15" hidden="false" customHeight="true" outlineLevel="0" collapsed="false">
      <c r="A3597" s="1" t="n">
        <v>13596</v>
      </c>
      <c r="B3597" s="14" t="n">
        <v>48157</v>
      </c>
      <c r="C3597" s="1" t="n">
        <v>1413</v>
      </c>
      <c r="D3597" s="1" t="s">
        <v>34</v>
      </c>
      <c r="E3597" s="1" t="s">
        <v>28</v>
      </c>
      <c r="F3597" s="1" t="n">
        <v>4</v>
      </c>
      <c r="G3597" s="15" t="n">
        <v>380.75</v>
      </c>
      <c r="H3597" s="16" t="n">
        <v>0.06</v>
      </c>
      <c r="I3597" s="1" t="s">
        <v>31</v>
      </c>
      <c r="J3597" s="1" t="n">
        <v>7</v>
      </c>
      <c r="K3597" s="1" t="n">
        <v>1.8</v>
      </c>
      <c r="L3597" s="15" t="n">
        <v>1431.62</v>
      </c>
      <c r="M3597" s="15" t="n">
        <f aca="false">F3597*G3597</f>
        <v>1523</v>
      </c>
      <c r="N3597" s="15" t="n">
        <f aca="false">M3597-L3597</f>
        <v>91.3800000000001</v>
      </c>
      <c r="O3597" s="1" t="n">
        <f aca="false">YEAR(B3597)</f>
        <v>2031</v>
      </c>
      <c r="P3597" s="1" t="n">
        <f aca="false">MONTH(B3597)</f>
        <v>11</v>
      </c>
      <c r="Q3597" s="1" t="str">
        <f aca="false">TEXT(B3597,"mmm")</f>
        <v>Nov</v>
      </c>
      <c r="R3597" s="1" t="str">
        <f aca="false">"Q"&amp;ROUNDUP(MONTH(B3597)/3,0)</f>
        <v>Q4</v>
      </c>
    </row>
    <row r="3598" customFormat="false" ht="15" hidden="false" customHeight="true" outlineLevel="0" collapsed="false">
      <c r="A3598" s="1" t="n">
        <v>13597</v>
      </c>
      <c r="B3598" s="14" t="n">
        <v>48158</v>
      </c>
      <c r="C3598" s="1" t="n">
        <v>1979</v>
      </c>
      <c r="D3598" s="1" t="s">
        <v>30</v>
      </c>
      <c r="E3598" s="1" t="s">
        <v>28</v>
      </c>
      <c r="F3598" s="1" t="n">
        <v>6</v>
      </c>
      <c r="G3598" s="15" t="n">
        <v>301.89</v>
      </c>
      <c r="H3598" s="16" t="n">
        <v>0.13</v>
      </c>
      <c r="I3598" s="1" t="s">
        <v>33</v>
      </c>
      <c r="J3598" s="1" t="n">
        <v>10</v>
      </c>
      <c r="K3598" s="1" t="n">
        <v>4.7</v>
      </c>
      <c r="L3598" s="15" t="n">
        <v>1575.87</v>
      </c>
      <c r="M3598" s="15" t="n">
        <f aca="false">F3598*G3598</f>
        <v>1811.34</v>
      </c>
      <c r="N3598" s="15" t="n">
        <f aca="false">M3598-L3598</f>
        <v>235.47</v>
      </c>
      <c r="O3598" s="1" t="n">
        <f aca="false">YEAR(B3598)</f>
        <v>2031</v>
      </c>
      <c r="P3598" s="1" t="n">
        <f aca="false">MONTH(B3598)</f>
        <v>11</v>
      </c>
      <c r="Q3598" s="1" t="str">
        <f aca="false">TEXT(B3598,"mmm")</f>
        <v>Nov</v>
      </c>
      <c r="R3598" s="1" t="str">
        <f aca="false">"Q"&amp;ROUNDUP(MONTH(B3598)/3,0)</f>
        <v>Q4</v>
      </c>
    </row>
    <row r="3599" customFormat="false" ht="15" hidden="false" customHeight="true" outlineLevel="0" collapsed="false">
      <c r="A3599" s="1" t="n">
        <v>13598</v>
      </c>
      <c r="B3599" s="14" t="n">
        <v>48159</v>
      </c>
      <c r="C3599" s="1" t="n">
        <v>1724</v>
      </c>
      <c r="D3599" s="1" t="s">
        <v>30</v>
      </c>
      <c r="E3599" s="1" t="s">
        <v>36</v>
      </c>
      <c r="F3599" s="1" t="n">
        <v>3</v>
      </c>
      <c r="G3599" s="15" t="n">
        <v>525.45</v>
      </c>
      <c r="H3599" s="16" t="n">
        <v>0.21</v>
      </c>
      <c r="I3599" s="1" t="s">
        <v>31</v>
      </c>
      <c r="J3599" s="1" t="n">
        <v>7</v>
      </c>
      <c r="K3599" s="1" t="n">
        <v>1.5</v>
      </c>
      <c r="L3599" s="15" t="n">
        <v>1245.32</v>
      </c>
      <c r="M3599" s="15" t="n">
        <f aca="false">F3599*G3599</f>
        <v>1576.35</v>
      </c>
      <c r="N3599" s="15" t="n">
        <f aca="false">M3599-L3599</f>
        <v>331.03</v>
      </c>
      <c r="O3599" s="1" t="n">
        <f aca="false">YEAR(B3599)</f>
        <v>2031</v>
      </c>
      <c r="P3599" s="1" t="n">
        <f aca="false">MONTH(B3599)</f>
        <v>11</v>
      </c>
      <c r="Q3599" s="1" t="str">
        <f aca="false">TEXT(B3599,"mmm")</f>
        <v>Nov</v>
      </c>
      <c r="R3599" s="1" t="str">
        <f aca="false">"Q"&amp;ROUNDUP(MONTH(B3599)/3,0)</f>
        <v>Q4</v>
      </c>
    </row>
    <row r="3600" customFormat="false" ht="15" hidden="false" customHeight="true" outlineLevel="0" collapsed="false">
      <c r="A3600" s="1" t="n">
        <v>13599</v>
      </c>
      <c r="B3600" s="14" t="n">
        <v>48160</v>
      </c>
      <c r="C3600" s="1" t="n">
        <v>1171</v>
      </c>
      <c r="D3600" s="1" t="s">
        <v>27</v>
      </c>
      <c r="E3600" s="1" t="s">
        <v>35</v>
      </c>
      <c r="F3600" s="1" t="n">
        <v>6</v>
      </c>
      <c r="G3600" s="15" t="n">
        <v>334.96</v>
      </c>
      <c r="H3600" s="16" t="n">
        <v>0.17</v>
      </c>
      <c r="I3600" s="1" t="s">
        <v>33</v>
      </c>
      <c r="J3600" s="1" t="n">
        <v>10</v>
      </c>
      <c r="K3600" s="1" t="n">
        <v>3.5</v>
      </c>
      <c r="L3600" s="15" t="n">
        <v>1668.1</v>
      </c>
      <c r="M3600" s="15" t="n">
        <f aca="false">F3600*G3600</f>
        <v>2009.76</v>
      </c>
      <c r="N3600" s="15" t="n">
        <f aca="false">M3600-L3600</f>
        <v>341.66</v>
      </c>
      <c r="O3600" s="1" t="n">
        <f aca="false">YEAR(B3600)</f>
        <v>2031</v>
      </c>
      <c r="P3600" s="1" t="n">
        <f aca="false">MONTH(B3600)</f>
        <v>11</v>
      </c>
      <c r="Q3600" s="1" t="str">
        <f aca="false">TEXT(B3600,"mmm")</f>
        <v>Nov</v>
      </c>
      <c r="R3600" s="1" t="str">
        <f aca="false">"Q"&amp;ROUNDUP(MONTH(B3600)/3,0)</f>
        <v>Q4</v>
      </c>
    </row>
    <row r="3601" customFormat="false" ht="15" hidden="false" customHeight="true" outlineLevel="0" collapsed="false">
      <c r="A3601" s="1" t="n">
        <v>13600</v>
      </c>
      <c r="B3601" s="14" t="n">
        <v>48161</v>
      </c>
      <c r="C3601" s="1" t="n">
        <v>1287</v>
      </c>
      <c r="D3601" s="1" t="s">
        <v>34</v>
      </c>
      <c r="E3601" s="1" t="s">
        <v>28</v>
      </c>
      <c r="F3601" s="1" t="n">
        <v>5</v>
      </c>
      <c r="G3601" s="15" t="n">
        <v>296.26</v>
      </c>
      <c r="H3601" s="16" t="n">
        <v>0.07</v>
      </c>
      <c r="I3601" s="1" t="s">
        <v>33</v>
      </c>
      <c r="J3601" s="1" t="n">
        <v>7</v>
      </c>
      <c r="K3601" s="1" t="n">
        <v>4.1</v>
      </c>
      <c r="L3601" s="15" t="n">
        <v>1377.61</v>
      </c>
      <c r="M3601" s="15" t="n">
        <f aca="false">F3601*G3601</f>
        <v>1481.3</v>
      </c>
      <c r="N3601" s="15" t="n">
        <f aca="false">M3601-L3601</f>
        <v>103.69</v>
      </c>
      <c r="O3601" s="1" t="n">
        <f aca="false">YEAR(B3601)</f>
        <v>2031</v>
      </c>
      <c r="P3601" s="1" t="n">
        <f aca="false">MONTH(B3601)</f>
        <v>11</v>
      </c>
      <c r="Q3601" s="1" t="str">
        <f aca="false">TEXT(B3601,"mmm")</f>
        <v>Nov</v>
      </c>
      <c r="R3601" s="1" t="str">
        <f aca="false">"Q"&amp;ROUNDUP(MONTH(B3601)/3,0)</f>
        <v>Q4</v>
      </c>
    </row>
    <row r="3602" customFormat="false" ht="15" hidden="false" customHeight="true" outlineLevel="0" collapsed="false">
      <c r="A3602" s="1" t="n">
        <v>13601</v>
      </c>
      <c r="B3602" s="14" t="n">
        <v>48162</v>
      </c>
      <c r="C3602" s="1" t="n">
        <v>1434</v>
      </c>
      <c r="D3602" s="1" t="s">
        <v>34</v>
      </c>
      <c r="E3602" s="1" t="s">
        <v>35</v>
      </c>
      <c r="F3602" s="1" t="n">
        <v>6</v>
      </c>
      <c r="G3602" s="15" t="n">
        <v>555.89</v>
      </c>
      <c r="H3602" s="16" t="n">
        <v>0.05</v>
      </c>
      <c r="I3602" s="1" t="s">
        <v>29</v>
      </c>
      <c r="J3602" s="1" t="n">
        <v>8</v>
      </c>
      <c r="K3602" s="1" t="n">
        <v>1.9</v>
      </c>
      <c r="L3602" s="15" t="n">
        <v>3168.57</v>
      </c>
      <c r="M3602" s="15" t="n">
        <f aca="false">F3602*G3602</f>
        <v>3335.34</v>
      </c>
      <c r="N3602" s="15" t="n">
        <f aca="false">M3602-L3602</f>
        <v>166.77</v>
      </c>
      <c r="O3602" s="1" t="n">
        <f aca="false">YEAR(B3602)</f>
        <v>2031</v>
      </c>
      <c r="P3602" s="1" t="n">
        <f aca="false">MONTH(B3602)</f>
        <v>11</v>
      </c>
      <c r="Q3602" s="1" t="str">
        <f aca="false">TEXT(B3602,"mmm")</f>
        <v>Nov</v>
      </c>
      <c r="R3602" s="1" t="str">
        <f aca="false">"Q"&amp;ROUNDUP(MONTH(B3602)/3,0)</f>
        <v>Q4</v>
      </c>
    </row>
    <row r="3603" customFormat="false" ht="15" hidden="false" customHeight="true" outlineLevel="0" collapsed="false">
      <c r="A3603" s="1" t="n">
        <v>13602</v>
      </c>
      <c r="B3603" s="14" t="n">
        <v>48163</v>
      </c>
      <c r="C3603" s="1" t="n">
        <v>1685</v>
      </c>
      <c r="D3603" s="1" t="s">
        <v>34</v>
      </c>
      <c r="E3603" s="1" t="s">
        <v>35</v>
      </c>
      <c r="F3603" s="1" t="n">
        <v>1</v>
      </c>
      <c r="G3603" s="15" t="n">
        <v>436.02</v>
      </c>
      <c r="H3603" s="16" t="n">
        <v>0.04</v>
      </c>
      <c r="I3603" s="1" t="s">
        <v>29</v>
      </c>
      <c r="J3603" s="1" t="n">
        <v>3</v>
      </c>
      <c r="K3603" s="1" t="n">
        <v>3.8</v>
      </c>
      <c r="L3603" s="15" t="n">
        <v>418.58</v>
      </c>
      <c r="M3603" s="15" t="n">
        <f aca="false">F3603*G3603</f>
        <v>436.02</v>
      </c>
      <c r="N3603" s="15" t="n">
        <f aca="false">M3603-L3603</f>
        <v>17.44</v>
      </c>
      <c r="O3603" s="1" t="n">
        <f aca="false">YEAR(B3603)</f>
        <v>2031</v>
      </c>
      <c r="P3603" s="1" t="n">
        <f aca="false">MONTH(B3603)</f>
        <v>11</v>
      </c>
      <c r="Q3603" s="1" t="str">
        <f aca="false">TEXT(B3603,"mmm")</f>
        <v>Nov</v>
      </c>
      <c r="R3603" s="1" t="str">
        <f aca="false">"Q"&amp;ROUNDUP(MONTH(B3603)/3,0)</f>
        <v>Q4</v>
      </c>
    </row>
    <row r="3604" customFormat="false" ht="15" hidden="false" customHeight="true" outlineLevel="0" collapsed="false">
      <c r="A3604" s="1" t="n">
        <v>13603</v>
      </c>
      <c r="B3604" s="14" t="n">
        <v>48164</v>
      </c>
      <c r="C3604" s="1" t="n">
        <v>1112</v>
      </c>
      <c r="D3604" s="1" t="s">
        <v>30</v>
      </c>
      <c r="E3604" s="1" t="s">
        <v>35</v>
      </c>
      <c r="F3604" s="1" t="n">
        <v>3</v>
      </c>
      <c r="G3604" s="15" t="n">
        <v>80.26</v>
      </c>
      <c r="H3604" s="16" t="n">
        <v>0.3</v>
      </c>
      <c r="I3604" s="1" t="s">
        <v>31</v>
      </c>
      <c r="J3604" s="1" t="n">
        <v>11</v>
      </c>
      <c r="K3604" s="1" t="n">
        <v>1.3</v>
      </c>
      <c r="L3604" s="15" t="n">
        <v>168.55</v>
      </c>
      <c r="M3604" s="15" t="n">
        <f aca="false">F3604*G3604</f>
        <v>240.78</v>
      </c>
      <c r="N3604" s="15" t="n">
        <f aca="false">M3604-L3604</f>
        <v>72.23</v>
      </c>
      <c r="O3604" s="1" t="n">
        <f aca="false">YEAR(B3604)</f>
        <v>2031</v>
      </c>
      <c r="P3604" s="1" t="n">
        <f aca="false">MONTH(B3604)</f>
        <v>11</v>
      </c>
      <c r="Q3604" s="1" t="str">
        <f aca="false">TEXT(B3604,"mmm")</f>
        <v>Nov</v>
      </c>
      <c r="R3604" s="1" t="str">
        <f aca="false">"Q"&amp;ROUNDUP(MONTH(B3604)/3,0)</f>
        <v>Q4</v>
      </c>
    </row>
    <row r="3605" customFormat="false" ht="15" hidden="false" customHeight="true" outlineLevel="0" collapsed="false">
      <c r="A3605" s="1" t="n">
        <v>13604</v>
      </c>
      <c r="B3605" s="14" t="n">
        <v>48165</v>
      </c>
      <c r="C3605" s="1" t="n">
        <v>1887</v>
      </c>
      <c r="D3605" s="1" t="s">
        <v>34</v>
      </c>
      <c r="E3605" s="1" t="s">
        <v>32</v>
      </c>
      <c r="F3605" s="1" t="n">
        <v>7</v>
      </c>
      <c r="G3605" s="15" t="n">
        <v>118.96</v>
      </c>
      <c r="H3605" s="16" t="n">
        <v>0.01</v>
      </c>
      <c r="I3605" s="1" t="s">
        <v>31</v>
      </c>
      <c r="J3605" s="1" t="n">
        <v>5</v>
      </c>
      <c r="K3605" s="1" t="n">
        <v>3</v>
      </c>
      <c r="L3605" s="15" t="n">
        <v>824.39</v>
      </c>
      <c r="M3605" s="15" t="n">
        <f aca="false">F3605*G3605</f>
        <v>832.72</v>
      </c>
      <c r="N3605" s="15" t="n">
        <f aca="false">M3605-L3605</f>
        <v>8.32999999999993</v>
      </c>
      <c r="O3605" s="1" t="n">
        <f aca="false">YEAR(B3605)</f>
        <v>2031</v>
      </c>
      <c r="P3605" s="1" t="n">
        <f aca="false">MONTH(B3605)</f>
        <v>11</v>
      </c>
      <c r="Q3605" s="1" t="str">
        <f aca="false">TEXT(B3605,"mmm")</f>
        <v>Nov</v>
      </c>
      <c r="R3605" s="1" t="str">
        <f aca="false">"Q"&amp;ROUNDUP(MONTH(B3605)/3,0)</f>
        <v>Q4</v>
      </c>
    </row>
    <row r="3606" customFormat="false" ht="15" hidden="false" customHeight="true" outlineLevel="0" collapsed="false">
      <c r="A3606" s="1" t="n">
        <v>13605</v>
      </c>
      <c r="B3606" s="14" t="n">
        <v>48166</v>
      </c>
      <c r="C3606" s="1" t="n">
        <v>1916</v>
      </c>
      <c r="D3606" s="1" t="s">
        <v>37</v>
      </c>
      <c r="E3606" s="1" t="s">
        <v>35</v>
      </c>
      <c r="F3606" s="1" t="n">
        <v>2</v>
      </c>
      <c r="G3606" s="15" t="n">
        <v>475.47</v>
      </c>
      <c r="H3606" s="16" t="n">
        <v>0.34</v>
      </c>
      <c r="I3606" s="1" t="s">
        <v>33</v>
      </c>
      <c r="J3606" s="1" t="n">
        <v>6</v>
      </c>
      <c r="K3606" s="1" t="n">
        <v>2.3</v>
      </c>
      <c r="L3606" s="15" t="n">
        <v>627.62</v>
      </c>
      <c r="M3606" s="15" t="n">
        <f aca="false">F3606*G3606</f>
        <v>950.94</v>
      </c>
      <c r="N3606" s="15" t="n">
        <f aca="false">M3606-L3606</f>
        <v>323.32</v>
      </c>
      <c r="O3606" s="1" t="n">
        <f aca="false">YEAR(B3606)</f>
        <v>2031</v>
      </c>
      <c r="P3606" s="1" t="n">
        <f aca="false">MONTH(B3606)</f>
        <v>11</v>
      </c>
      <c r="Q3606" s="1" t="str">
        <f aca="false">TEXT(B3606,"mmm")</f>
        <v>Nov</v>
      </c>
      <c r="R3606" s="1" t="str">
        <f aca="false">"Q"&amp;ROUNDUP(MONTH(B3606)/3,0)</f>
        <v>Q4</v>
      </c>
    </row>
    <row r="3607" customFormat="false" ht="15" hidden="false" customHeight="true" outlineLevel="0" collapsed="false">
      <c r="A3607" s="1" t="n">
        <v>13606</v>
      </c>
      <c r="B3607" s="14" t="n">
        <v>48167</v>
      </c>
      <c r="C3607" s="1" t="n">
        <v>1994</v>
      </c>
      <c r="D3607" s="1" t="s">
        <v>30</v>
      </c>
      <c r="E3607" s="1" t="s">
        <v>28</v>
      </c>
      <c r="F3607" s="1" t="n">
        <v>3</v>
      </c>
      <c r="G3607" s="15" t="n">
        <v>503.97</v>
      </c>
      <c r="H3607" s="16" t="n">
        <v>0.07</v>
      </c>
      <c r="I3607" s="1" t="s">
        <v>33</v>
      </c>
      <c r="J3607" s="1" t="n">
        <v>8</v>
      </c>
      <c r="K3607" s="1" t="n">
        <v>3.6</v>
      </c>
      <c r="L3607" s="15" t="n">
        <v>1406.08</v>
      </c>
      <c r="M3607" s="15" t="n">
        <f aca="false">F3607*G3607</f>
        <v>1511.91</v>
      </c>
      <c r="N3607" s="15" t="n">
        <f aca="false">M3607-L3607</f>
        <v>105.83</v>
      </c>
      <c r="O3607" s="1" t="n">
        <f aca="false">YEAR(B3607)</f>
        <v>2031</v>
      </c>
      <c r="P3607" s="1" t="n">
        <f aca="false">MONTH(B3607)</f>
        <v>11</v>
      </c>
      <c r="Q3607" s="1" t="str">
        <f aca="false">TEXT(B3607,"mmm")</f>
        <v>Nov</v>
      </c>
      <c r="R3607" s="1" t="str">
        <f aca="false">"Q"&amp;ROUNDUP(MONTH(B3607)/3,0)</f>
        <v>Q4</v>
      </c>
    </row>
    <row r="3608" customFormat="false" ht="15" hidden="false" customHeight="true" outlineLevel="0" collapsed="false">
      <c r="A3608" s="1" t="n">
        <v>13607</v>
      </c>
      <c r="B3608" s="14" t="n">
        <v>48168</v>
      </c>
      <c r="C3608" s="1" t="n">
        <v>1121</v>
      </c>
      <c r="D3608" s="1" t="s">
        <v>30</v>
      </c>
      <c r="E3608" s="1" t="s">
        <v>32</v>
      </c>
      <c r="F3608" s="1" t="n">
        <v>4</v>
      </c>
      <c r="G3608" s="15" t="n">
        <v>333.94</v>
      </c>
      <c r="H3608" s="16" t="n">
        <v>0.04</v>
      </c>
      <c r="I3608" s="1" t="s">
        <v>31</v>
      </c>
      <c r="J3608" s="1" t="n">
        <v>8</v>
      </c>
      <c r="K3608" s="1" t="n">
        <v>4.6</v>
      </c>
      <c r="L3608" s="15" t="n">
        <v>1282.33</v>
      </c>
      <c r="M3608" s="15" t="n">
        <f aca="false">F3608*G3608</f>
        <v>1335.76</v>
      </c>
      <c r="N3608" s="15" t="n">
        <f aca="false">M3608-L3608</f>
        <v>53.4300000000001</v>
      </c>
      <c r="O3608" s="1" t="n">
        <f aca="false">YEAR(B3608)</f>
        <v>2031</v>
      </c>
      <c r="P3608" s="1" t="n">
        <f aca="false">MONTH(B3608)</f>
        <v>11</v>
      </c>
      <c r="Q3608" s="1" t="str">
        <f aca="false">TEXT(B3608,"mmm")</f>
        <v>Nov</v>
      </c>
      <c r="R3608" s="1" t="str">
        <f aca="false">"Q"&amp;ROUNDUP(MONTH(B3608)/3,0)</f>
        <v>Q4</v>
      </c>
    </row>
    <row r="3609" customFormat="false" ht="15" hidden="false" customHeight="true" outlineLevel="0" collapsed="false">
      <c r="A3609" s="1" t="n">
        <v>13608</v>
      </c>
      <c r="B3609" s="14" t="n">
        <v>48169</v>
      </c>
      <c r="C3609" s="1" t="n">
        <v>1543</v>
      </c>
      <c r="D3609" s="1" t="s">
        <v>30</v>
      </c>
      <c r="E3609" s="1" t="s">
        <v>35</v>
      </c>
      <c r="F3609" s="1" t="n">
        <v>6</v>
      </c>
      <c r="G3609" s="15" t="n">
        <v>339.36</v>
      </c>
      <c r="H3609" s="16" t="n">
        <v>0.2</v>
      </c>
      <c r="I3609" s="1" t="s">
        <v>31</v>
      </c>
      <c r="J3609" s="1" t="n">
        <v>10</v>
      </c>
      <c r="K3609" s="1" t="n">
        <v>1.5</v>
      </c>
      <c r="L3609" s="15" t="n">
        <v>1628.93</v>
      </c>
      <c r="M3609" s="15" t="n">
        <f aca="false">F3609*G3609</f>
        <v>2036.16</v>
      </c>
      <c r="N3609" s="15" t="n">
        <f aca="false">M3609-L3609</f>
        <v>407.23</v>
      </c>
      <c r="O3609" s="1" t="n">
        <f aca="false">YEAR(B3609)</f>
        <v>2031</v>
      </c>
      <c r="P3609" s="1" t="n">
        <f aca="false">MONTH(B3609)</f>
        <v>11</v>
      </c>
      <c r="Q3609" s="1" t="str">
        <f aca="false">TEXT(B3609,"mmm")</f>
        <v>Nov</v>
      </c>
      <c r="R3609" s="1" t="str">
        <f aca="false">"Q"&amp;ROUNDUP(MONTH(B3609)/3,0)</f>
        <v>Q4</v>
      </c>
    </row>
    <row r="3610" customFormat="false" ht="15" hidden="false" customHeight="true" outlineLevel="0" collapsed="false">
      <c r="A3610" s="1" t="n">
        <v>13609</v>
      </c>
      <c r="B3610" s="14" t="n">
        <v>48170</v>
      </c>
      <c r="C3610" s="1" t="n">
        <v>1221</v>
      </c>
      <c r="D3610" s="1" t="s">
        <v>34</v>
      </c>
      <c r="E3610" s="1" t="s">
        <v>36</v>
      </c>
      <c r="F3610" s="1" t="n">
        <v>3</v>
      </c>
      <c r="G3610" s="15" t="n">
        <v>384.68</v>
      </c>
      <c r="H3610" s="16" t="n">
        <v>0.03</v>
      </c>
      <c r="I3610" s="1" t="s">
        <v>33</v>
      </c>
      <c r="J3610" s="1" t="n">
        <v>3</v>
      </c>
      <c r="K3610" s="1" t="n">
        <v>2.8</v>
      </c>
      <c r="L3610" s="15" t="n">
        <v>1119.42</v>
      </c>
      <c r="M3610" s="15" t="n">
        <f aca="false">F3610*G3610</f>
        <v>1154.04</v>
      </c>
      <c r="N3610" s="15" t="n">
        <f aca="false">M3610-L3610</f>
        <v>34.6199999999999</v>
      </c>
      <c r="O3610" s="1" t="n">
        <f aca="false">YEAR(B3610)</f>
        <v>2031</v>
      </c>
      <c r="P3610" s="1" t="n">
        <f aca="false">MONTH(B3610)</f>
        <v>11</v>
      </c>
      <c r="Q3610" s="1" t="str">
        <f aca="false">TEXT(B3610,"mmm")</f>
        <v>Nov</v>
      </c>
      <c r="R3610" s="1" t="str">
        <f aca="false">"Q"&amp;ROUNDUP(MONTH(B3610)/3,0)</f>
        <v>Q4</v>
      </c>
    </row>
    <row r="3611" customFormat="false" ht="15" hidden="false" customHeight="true" outlineLevel="0" collapsed="false">
      <c r="A3611" s="1" t="n">
        <v>13610</v>
      </c>
      <c r="B3611" s="14" t="n">
        <v>48171</v>
      </c>
      <c r="C3611" s="1" t="n">
        <v>1630</v>
      </c>
      <c r="D3611" s="1" t="s">
        <v>34</v>
      </c>
      <c r="E3611" s="1" t="s">
        <v>35</v>
      </c>
      <c r="F3611" s="1" t="n">
        <v>5</v>
      </c>
      <c r="G3611" s="15" t="n">
        <v>271.88</v>
      </c>
      <c r="H3611" s="16" t="n">
        <v>0.21</v>
      </c>
      <c r="I3611" s="1" t="s">
        <v>29</v>
      </c>
      <c r="J3611" s="1" t="n">
        <v>4</v>
      </c>
      <c r="K3611" s="1" t="n">
        <v>2.7</v>
      </c>
      <c r="L3611" s="15" t="n">
        <v>1073.93</v>
      </c>
      <c r="M3611" s="15" t="n">
        <f aca="false">F3611*G3611</f>
        <v>1359.4</v>
      </c>
      <c r="N3611" s="15" t="n">
        <f aca="false">M3611-L3611</f>
        <v>285.47</v>
      </c>
      <c r="O3611" s="1" t="n">
        <f aca="false">YEAR(B3611)</f>
        <v>2031</v>
      </c>
      <c r="P3611" s="1" t="n">
        <f aca="false">MONTH(B3611)</f>
        <v>11</v>
      </c>
      <c r="Q3611" s="1" t="str">
        <f aca="false">TEXT(B3611,"mmm")</f>
        <v>Nov</v>
      </c>
      <c r="R3611" s="1" t="str">
        <f aca="false">"Q"&amp;ROUNDUP(MONTH(B3611)/3,0)</f>
        <v>Q4</v>
      </c>
    </row>
    <row r="3612" customFormat="false" ht="15" hidden="false" customHeight="true" outlineLevel="0" collapsed="false">
      <c r="A3612" s="1" t="n">
        <v>13611</v>
      </c>
      <c r="B3612" s="14" t="n">
        <v>48172</v>
      </c>
      <c r="C3612" s="1" t="n">
        <v>1038</v>
      </c>
      <c r="D3612" s="1" t="s">
        <v>34</v>
      </c>
      <c r="E3612" s="1" t="s">
        <v>35</v>
      </c>
      <c r="F3612" s="1" t="n">
        <v>3</v>
      </c>
      <c r="G3612" s="15" t="n">
        <v>412.92</v>
      </c>
      <c r="H3612" s="16" t="n">
        <v>0.3</v>
      </c>
      <c r="I3612" s="1" t="s">
        <v>29</v>
      </c>
      <c r="J3612" s="1" t="n">
        <v>6</v>
      </c>
      <c r="K3612" s="1" t="n">
        <v>2.3</v>
      </c>
      <c r="L3612" s="15" t="n">
        <v>867.13</v>
      </c>
      <c r="M3612" s="15" t="n">
        <f aca="false">F3612*G3612</f>
        <v>1238.76</v>
      </c>
      <c r="N3612" s="15" t="n">
        <f aca="false">M3612-L3612</f>
        <v>371.63</v>
      </c>
      <c r="O3612" s="1" t="n">
        <f aca="false">YEAR(B3612)</f>
        <v>2031</v>
      </c>
      <c r="P3612" s="1" t="n">
        <f aca="false">MONTH(B3612)</f>
        <v>11</v>
      </c>
      <c r="Q3612" s="1" t="str">
        <f aca="false">TEXT(B3612,"mmm")</f>
        <v>Nov</v>
      </c>
      <c r="R3612" s="1" t="str">
        <f aca="false">"Q"&amp;ROUNDUP(MONTH(B3612)/3,0)</f>
        <v>Q4</v>
      </c>
    </row>
    <row r="3613" customFormat="false" ht="15" hidden="false" customHeight="true" outlineLevel="0" collapsed="false">
      <c r="A3613" s="1" t="n">
        <v>13612</v>
      </c>
      <c r="B3613" s="14" t="n">
        <v>48173</v>
      </c>
      <c r="C3613" s="1" t="n">
        <v>1496</v>
      </c>
      <c r="D3613" s="1" t="s">
        <v>30</v>
      </c>
      <c r="E3613" s="1" t="s">
        <v>32</v>
      </c>
      <c r="F3613" s="1" t="n">
        <v>5</v>
      </c>
      <c r="G3613" s="15" t="n">
        <v>78.46</v>
      </c>
      <c r="H3613" s="16" t="n">
        <v>0.02</v>
      </c>
      <c r="I3613" s="1" t="s">
        <v>31</v>
      </c>
      <c r="J3613" s="1" t="n">
        <v>4</v>
      </c>
      <c r="K3613" s="1" t="n">
        <v>2.9</v>
      </c>
      <c r="L3613" s="15" t="n">
        <v>384.45</v>
      </c>
      <c r="M3613" s="15" t="n">
        <f aca="false">F3613*G3613</f>
        <v>392.3</v>
      </c>
      <c r="N3613" s="15" t="n">
        <f aca="false">M3613-L3613</f>
        <v>7.84999999999997</v>
      </c>
      <c r="O3613" s="1" t="n">
        <f aca="false">YEAR(B3613)</f>
        <v>2031</v>
      </c>
      <c r="P3613" s="1" t="n">
        <f aca="false">MONTH(B3613)</f>
        <v>11</v>
      </c>
      <c r="Q3613" s="1" t="str">
        <f aca="false">TEXT(B3613,"mmm")</f>
        <v>Nov</v>
      </c>
      <c r="R3613" s="1" t="str">
        <f aca="false">"Q"&amp;ROUNDUP(MONTH(B3613)/3,0)</f>
        <v>Q4</v>
      </c>
    </row>
    <row r="3614" customFormat="false" ht="15" hidden="false" customHeight="true" outlineLevel="0" collapsed="false">
      <c r="A3614" s="1" t="n">
        <v>13613</v>
      </c>
      <c r="B3614" s="14" t="n">
        <v>48174</v>
      </c>
      <c r="C3614" s="1" t="n">
        <v>1779</v>
      </c>
      <c r="D3614" s="1" t="s">
        <v>34</v>
      </c>
      <c r="E3614" s="1" t="s">
        <v>28</v>
      </c>
      <c r="F3614" s="1" t="n">
        <v>6</v>
      </c>
      <c r="G3614" s="15" t="n">
        <v>577.35</v>
      </c>
      <c r="H3614" s="16" t="n">
        <v>0.28</v>
      </c>
      <c r="I3614" s="1" t="s">
        <v>31</v>
      </c>
      <c r="J3614" s="1" t="n">
        <v>10</v>
      </c>
      <c r="K3614" s="1" t="n">
        <v>4.5</v>
      </c>
      <c r="L3614" s="15" t="n">
        <v>2494.15</v>
      </c>
      <c r="M3614" s="15" t="n">
        <f aca="false">F3614*G3614</f>
        <v>3464.1</v>
      </c>
      <c r="N3614" s="15" t="n">
        <f aca="false">M3614-L3614</f>
        <v>969.95</v>
      </c>
      <c r="O3614" s="1" t="n">
        <f aca="false">YEAR(B3614)</f>
        <v>2031</v>
      </c>
      <c r="P3614" s="1" t="n">
        <f aca="false">MONTH(B3614)</f>
        <v>11</v>
      </c>
      <c r="Q3614" s="1" t="str">
        <f aca="false">TEXT(B3614,"mmm")</f>
        <v>Nov</v>
      </c>
      <c r="R3614" s="1" t="str">
        <f aca="false">"Q"&amp;ROUNDUP(MONTH(B3614)/3,0)</f>
        <v>Q4</v>
      </c>
    </row>
    <row r="3615" customFormat="false" ht="15" hidden="false" customHeight="true" outlineLevel="0" collapsed="false">
      <c r="A3615" s="1" t="n">
        <v>13614</v>
      </c>
      <c r="B3615" s="14" t="n">
        <v>48175</v>
      </c>
      <c r="C3615" s="1" t="n">
        <v>1232</v>
      </c>
      <c r="D3615" s="1" t="s">
        <v>34</v>
      </c>
      <c r="E3615" s="1" t="s">
        <v>35</v>
      </c>
      <c r="F3615" s="1" t="n">
        <v>2</v>
      </c>
      <c r="G3615" s="15" t="n">
        <v>453.84</v>
      </c>
      <c r="H3615" s="16" t="n">
        <v>0.14</v>
      </c>
      <c r="I3615" s="1" t="s">
        <v>31</v>
      </c>
      <c r="J3615" s="1" t="n">
        <v>4</v>
      </c>
      <c r="K3615" s="1" t="n">
        <v>4.9</v>
      </c>
      <c r="L3615" s="15" t="n">
        <v>780.6</v>
      </c>
      <c r="M3615" s="15" t="n">
        <f aca="false">F3615*G3615</f>
        <v>907.68</v>
      </c>
      <c r="N3615" s="15" t="n">
        <f aca="false">M3615-L3615</f>
        <v>127.08</v>
      </c>
      <c r="O3615" s="1" t="n">
        <f aca="false">YEAR(B3615)</f>
        <v>2031</v>
      </c>
      <c r="P3615" s="1" t="n">
        <f aca="false">MONTH(B3615)</f>
        <v>11</v>
      </c>
      <c r="Q3615" s="1" t="str">
        <f aca="false">TEXT(B3615,"mmm")</f>
        <v>Nov</v>
      </c>
      <c r="R3615" s="1" t="str">
        <f aca="false">"Q"&amp;ROUNDUP(MONTH(B3615)/3,0)</f>
        <v>Q4</v>
      </c>
    </row>
    <row r="3616" customFormat="false" ht="15" hidden="false" customHeight="true" outlineLevel="0" collapsed="false">
      <c r="A3616" s="1" t="n">
        <v>13615</v>
      </c>
      <c r="B3616" s="14" t="n">
        <v>48176</v>
      </c>
      <c r="C3616" s="1" t="n">
        <v>1942</v>
      </c>
      <c r="D3616" s="1" t="s">
        <v>27</v>
      </c>
      <c r="E3616" s="1" t="s">
        <v>32</v>
      </c>
      <c r="F3616" s="1" t="n">
        <v>6</v>
      </c>
      <c r="G3616" s="15" t="n">
        <v>384.24</v>
      </c>
      <c r="H3616" s="16" t="n">
        <v>0.06</v>
      </c>
      <c r="I3616" s="1" t="s">
        <v>33</v>
      </c>
      <c r="J3616" s="1" t="n">
        <v>5</v>
      </c>
      <c r="K3616" s="1" t="n">
        <v>1</v>
      </c>
      <c r="L3616" s="15" t="n">
        <v>2167.11</v>
      </c>
      <c r="M3616" s="15" t="n">
        <f aca="false">F3616*G3616</f>
        <v>2305.44</v>
      </c>
      <c r="N3616" s="15" t="n">
        <f aca="false">M3616-L3616</f>
        <v>138.33</v>
      </c>
      <c r="O3616" s="1" t="n">
        <f aca="false">YEAR(B3616)</f>
        <v>2031</v>
      </c>
      <c r="P3616" s="1" t="n">
        <f aca="false">MONTH(B3616)</f>
        <v>11</v>
      </c>
      <c r="Q3616" s="1" t="str">
        <f aca="false">TEXT(B3616,"mmm")</f>
        <v>Nov</v>
      </c>
      <c r="R3616" s="1" t="str">
        <f aca="false">"Q"&amp;ROUNDUP(MONTH(B3616)/3,0)</f>
        <v>Q4</v>
      </c>
    </row>
    <row r="3617" customFormat="false" ht="15" hidden="false" customHeight="true" outlineLevel="0" collapsed="false">
      <c r="A3617" s="1" t="n">
        <v>13616</v>
      </c>
      <c r="B3617" s="14" t="n">
        <v>48177</v>
      </c>
      <c r="C3617" s="1" t="n">
        <v>1529</v>
      </c>
      <c r="D3617" s="1" t="s">
        <v>34</v>
      </c>
      <c r="E3617" s="1" t="s">
        <v>32</v>
      </c>
      <c r="F3617" s="1" t="n">
        <v>4</v>
      </c>
      <c r="G3617" s="15" t="n">
        <v>200.05</v>
      </c>
      <c r="H3617" s="16" t="n">
        <v>0.06</v>
      </c>
      <c r="I3617" s="1" t="s">
        <v>33</v>
      </c>
      <c r="J3617" s="1" t="n">
        <v>10</v>
      </c>
      <c r="K3617" s="1" t="n">
        <v>4</v>
      </c>
      <c r="L3617" s="15" t="n">
        <v>752.19</v>
      </c>
      <c r="M3617" s="15" t="n">
        <f aca="false">F3617*G3617</f>
        <v>800.2</v>
      </c>
      <c r="N3617" s="15" t="n">
        <f aca="false">M3617-L3617</f>
        <v>48.01</v>
      </c>
      <c r="O3617" s="1" t="n">
        <f aca="false">YEAR(B3617)</f>
        <v>2031</v>
      </c>
      <c r="P3617" s="1" t="n">
        <f aca="false">MONTH(B3617)</f>
        <v>11</v>
      </c>
      <c r="Q3617" s="1" t="str">
        <f aca="false">TEXT(B3617,"mmm")</f>
        <v>Nov</v>
      </c>
      <c r="R3617" s="1" t="str">
        <f aca="false">"Q"&amp;ROUNDUP(MONTH(B3617)/3,0)</f>
        <v>Q4</v>
      </c>
    </row>
    <row r="3618" customFormat="false" ht="15" hidden="false" customHeight="true" outlineLevel="0" collapsed="false">
      <c r="A3618" s="1" t="n">
        <v>13617</v>
      </c>
      <c r="B3618" s="14" t="n">
        <v>48178</v>
      </c>
      <c r="C3618" s="1" t="n">
        <v>1148</v>
      </c>
      <c r="D3618" s="1" t="s">
        <v>37</v>
      </c>
      <c r="E3618" s="1" t="s">
        <v>28</v>
      </c>
      <c r="F3618" s="1" t="n">
        <v>1</v>
      </c>
      <c r="G3618" s="15" t="n">
        <v>109.16</v>
      </c>
      <c r="H3618" s="16" t="n">
        <v>0.32</v>
      </c>
      <c r="I3618" s="1" t="s">
        <v>33</v>
      </c>
      <c r="J3618" s="1" t="n">
        <v>7</v>
      </c>
      <c r="K3618" s="1" t="n">
        <v>3.5</v>
      </c>
      <c r="L3618" s="15" t="n">
        <v>74.23</v>
      </c>
      <c r="M3618" s="15" t="n">
        <f aca="false">F3618*G3618</f>
        <v>109.16</v>
      </c>
      <c r="N3618" s="15" t="n">
        <f aca="false">M3618-L3618</f>
        <v>34.93</v>
      </c>
      <c r="O3618" s="1" t="n">
        <f aca="false">YEAR(B3618)</f>
        <v>2031</v>
      </c>
      <c r="P3618" s="1" t="n">
        <f aca="false">MONTH(B3618)</f>
        <v>11</v>
      </c>
      <c r="Q3618" s="1" t="str">
        <f aca="false">TEXT(B3618,"mmm")</f>
        <v>Nov</v>
      </c>
      <c r="R3618" s="1" t="str">
        <f aca="false">"Q"&amp;ROUNDUP(MONTH(B3618)/3,0)</f>
        <v>Q4</v>
      </c>
    </row>
    <row r="3619" customFormat="false" ht="15" hidden="false" customHeight="true" outlineLevel="0" collapsed="false">
      <c r="A3619" s="1" t="n">
        <v>13618</v>
      </c>
      <c r="B3619" s="14" t="n">
        <v>48179</v>
      </c>
      <c r="C3619" s="1" t="n">
        <v>1396</v>
      </c>
      <c r="D3619" s="1" t="s">
        <v>37</v>
      </c>
      <c r="E3619" s="1" t="s">
        <v>32</v>
      </c>
      <c r="F3619" s="1" t="n">
        <v>2</v>
      </c>
      <c r="G3619" s="15" t="n">
        <v>254.47</v>
      </c>
      <c r="H3619" s="16" t="n">
        <v>0.04</v>
      </c>
      <c r="I3619" s="1" t="s">
        <v>33</v>
      </c>
      <c r="J3619" s="1" t="n">
        <v>2</v>
      </c>
      <c r="K3619" s="1" t="n">
        <v>5</v>
      </c>
      <c r="L3619" s="15" t="n">
        <v>488.58</v>
      </c>
      <c r="M3619" s="15" t="n">
        <f aca="false">F3619*G3619</f>
        <v>508.94</v>
      </c>
      <c r="N3619" s="15" t="n">
        <f aca="false">M3619-L3619</f>
        <v>20.36</v>
      </c>
      <c r="O3619" s="1" t="n">
        <f aca="false">YEAR(B3619)</f>
        <v>2031</v>
      </c>
      <c r="P3619" s="1" t="n">
        <f aca="false">MONTH(B3619)</f>
        <v>11</v>
      </c>
      <c r="Q3619" s="1" t="str">
        <f aca="false">TEXT(B3619,"mmm")</f>
        <v>Nov</v>
      </c>
      <c r="R3619" s="1" t="str">
        <f aca="false">"Q"&amp;ROUNDUP(MONTH(B3619)/3,0)</f>
        <v>Q4</v>
      </c>
    </row>
    <row r="3620" customFormat="false" ht="15" hidden="false" customHeight="true" outlineLevel="0" collapsed="false">
      <c r="A3620" s="1" t="n">
        <v>13619</v>
      </c>
      <c r="B3620" s="14" t="n">
        <v>48180</v>
      </c>
      <c r="C3620" s="1" t="n">
        <v>1660</v>
      </c>
      <c r="D3620" s="1" t="s">
        <v>34</v>
      </c>
      <c r="E3620" s="1" t="s">
        <v>28</v>
      </c>
      <c r="F3620" s="1" t="n">
        <v>2</v>
      </c>
      <c r="G3620" s="15" t="n">
        <v>402.02</v>
      </c>
      <c r="H3620" s="16" t="n">
        <v>0.3</v>
      </c>
      <c r="I3620" s="1" t="s">
        <v>31</v>
      </c>
      <c r="J3620" s="1" t="n">
        <v>2</v>
      </c>
      <c r="K3620" s="1" t="n">
        <v>1.4</v>
      </c>
      <c r="L3620" s="15" t="n">
        <v>562.83</v>
      </c>
      <c r="M3620" s="15" t="n">
        <f aca="false">F3620*G3620</f>
        <v>804.04</v>
      </c>
      <c r="N3620" s="15" t="n">
        <f aca="false">M3620-L3620</f>
        <v>241.21</v>
      </c>
      <c r="O3620" s="1" t="n">
        <f aca="false">YEAR(B3620)</f>
        <v>2031</v>
      </c>
      <c r="P3620" s="1" t="n">
        <f aca="false">MONTH(B3620)</f>
        <v>11</v>
      </c>
      <c r="Q3620" s="1" t="str">
        <f aca="false">TEXT(B3620,"mmm")</f>
        <v>Nov</v>
      </c>
      <c r="R3620" s="1" t="str">
        <f aca="false">"Q"&amp;ROUNDUP(MONTH(B3620)/3,0)</f>
        <v>Q4</v>
      </c>
    </row>
    <row r="3621" customFormat="false" ht="15" hidden="false" customHeight="true" outlineLevel="0" collapsed="false">
      <c r="A3621" s="1" t="n">
        <v>13620</v>
      </c>
      <c r="B3621" s="14" t="n">
        <v>48181</v>
      </c>
      <c r="C3621" s="1" t="n">
        <v>1637</v>
      </c>
      <c r="D3621" s="1" t="s">
        <v>34</v>
      </c>
      <c r="E3621" s="1" t="s">
        <v>36</v>
      </c>
      <c r="F3621" s="1" t="n">
        <v>1</v>
      </c>
      <c r="G3621" s="15" t="n">
        <v>385.72</v>
      </c>
      <c r="H3621" s="16" t="n">
        <v>0.19</v>
      </c>
      <c r="I3621" s="1" t="s">
        <v>31</v>
      </c>
      <c r="J3621" s="1" t="n">
        <v>10</v>
      </c>
      <c r="K3621" s="1" t="n">
        <v>4.2</v>
      </c>
      <c r="L3621" s="15" t="n">
        <v>312.43</v>
      </c>
      <c r="M3621" s="15" t="n">
        <f aca="false">F3621*G3621</f>
        <v>385.72</v>
      </c>
      <c r="N3621" s="15" t="n">
        <f aca="false">M3621-L3621</f>
        <v>73.29</v>
      </c>
      <c r="O3621" s="1" t="n">
        <f aca="false">YEAR(B3621)</f>
        <v>2031</v>
      </c>
      <c r="P3621" s="1" t="n">
        <f aca="false">MONTH(B3621)</f>
        <v>11</v>
      </c>
      <c r="Q3621" s="1" t="str">
        <f aca="false">TEXT(B3621,"mmm")</f>
        <v>Nov</v>
      </c>
      <c r="R3621" s="1" t="str">
        <f aca="false">"Q"&amp;ROUNDUP(MONTH(B3621)/3,0)</f>
        <v>Q4</v>
      </c>
    </row>
    <row r="3622" customFormat="false" ht="15" hidden="false" customHeight="true" outlineLevel="0" collapsed="false">
      <c r="A3622" s="1" t="n">
        <v>13621</v>
      </c>
      <c r="B3622" s="14" t="n">
        <v>48182</v>
      </c>
      <c r="C3622" s="1" t="n">
        <v>1903</v>
      </c>
      <c r="D3622" s="1" t="s">
        <v>34</v>
      </c>
      <c r="E3622" s="1" t="s">
        <v>35</v>
      </c>
      <c r="F3622" s="1" t="n">
        <v>3</v>
      </c>
      <c r="G3622" s="15" t="n">
        <v>238.85</v>
      </c>
      <c r="H3622" s="16" t="n">
        <v>0.01</v>
      </c>
      <c r="I3622" s="1" t="s">
        <v>29</v>
      </c>
      <c r="J3622" s="1" t="n">
        <v>9</v>
      </c>
      <c r="K3622" s="1" t="n">
        <v>4.7</v>
      </c>
      <c r="L3622" s="15" t="n">
        <v>709.38</v>
      </c>
      <c r="M3622" s="15" t="n">
        <f aca="false">F3622*G3622</f>
        <v>716.55</v>
      </c>
      <c r="N3622" s="15" t="n">
        <f aca="false">M3622-L3622</f>
        <v>7.16999999999996</v>
      </c>
      <c r="O3622" s="1" t="n">
        <f aca="false">YEAR(B3622)</f>
        <v>2031</v>
      </c>
      <c r="P3622" s="1" t="n">
        <f aca="false">MONTH(B3622)</f>
        <v>11</v>
      </c>
      <c r="Q3622" s="1" t="str">
        <f aca="false">TEXT(B3622,"mmm")</f>
        <v>Nov</v>
      </c>
      <c r="R3622" s="1" t="str">
        <f aca="false">"Q"&amp;ROUNDUP(MONTH(B3622)/3,0)</f>
        <v>Q4</v>
      </c>
    </row>
    <row r="3623" customFormat="false" ht="15" hidden="false" customHeight="true" outlineLevel="0" collapsed="false">
      <c r="A3623" s="1" t="n">
        <v>13622</v>
      </c>
      <c r="B3623" s="14" t="n">
        <v>48183</v>
      </c>
      <c r="C3623" s="1" t="n">
        <v>1301</v>
      </c>
      <c r="D3623" s="1" t="s">
        <v>37</v>
      </c>
      <c r="E3623" s="1" t="s">
        <v>32</v>
      </c>
      <c r="F3623" s="1" t="n">
        <v>6</v>
      </c>
      <c r="G3623" s="15" t="n">
        <v>373.77</v>
      </c>
      <c r="H3623" s="16" t="n">
        <v>0.16</v>
      </c>
      <c r="I3623" s="1" t="s">
        <v>31</v>
      </c>
      <c r="J3623" s="1" t="n">
        <v>4</v>
      </c>
      <c r="K3623" s="1" t="n">
        <v>4.6</v>
      </c>
      <c r="L3623" s="15" t="n">
        <v>1883.8</v>
      </c>
      <c r="M3623" s="15" t="n">
        <f aca="false">F3623*G3623</f>
        <v>2242.62</v>
      </c>
      <c r="N3623" s="15" t="n">
        <f aca="false">M3623-L3623</f>
        <v>358.82</v>
      </c>
      <c r="O3623" s="1" t="n">
        <f aca="false">YEAR(B3623)</f>
        <v>2031</v>
      </c>
      <c r="P3623" s="1" t="n">
        <f aca="false">MONTH(B3623)</f>
        <v>12</v>
      </c>
      <c r="Q3623" s="1" t="str">
        <f aca="false">TEXT(B3623,"mmm")</f>
        <v>Dec</v>
      </c>
      <c r="R3623" s="1" t="str">
        <f aca="false">"Q"&amp;ROUNDUP(MONTH(B3623)/3,0)</f>
        <v>Q4</v>
      </c>
    </row>
    <row r="3624" customFormat="false" ht="15" hidden="false" customHeight="true" outlineLevel="0" collapsed="false">
      <c r="A3624" s="1" t="n">
        <v>13623</v>
      </c>
      <c r="B3624" s="14" t="n">
        <v>48184</v>
      </c>
      <c r="C3624" s="1" t="n">
        <v>1359</v>
      </c>
      <c r="D3624" s="1" t="s">
        <v>30</v>
      </c>
      <c r="E3624" s="1" t="s">
        <v>36</v>
      </c>
      <c r="F3624" s="1" t="n">
        <v>3</v>
      </c>
      <c r="G3624" s="15" t="n">
        <v>491.04</v>
      </c>
      <c r="H3624" s="16" t="n">
        <v>0.29</v>
      </c>
      <c r="I3624" s="1" t="s">
        <v>31</v>
      </c>
      <c r="J3624" s="1" t="n">
        <v>5</v>
      </c>
      <c r="K3624" s="1" t="n">
        <v>3.2</v>
      </c>
      <c r="L3624" s="15" t="n">
        <v>1045.92</v>
      </c>
      <c r="M3624" s="15" t="n">
        <f aca="false">F3624*G3624</f>
        <v>1473.12</v>
      </c>
      <c r="N3624" s="15" t="n">
        <f aca="false">M3624-L3624</f>
        <v>427.2</v>
      </c>
      <c r="O3624" s="1" t="n">
        <f aca="false">YEAR(B3624)</f>
        <v>2031</v>
      </c>
      <c r="P3624" s="1" t="n">
        <f aca="false">MONTH(B3624)</f>
        <v>12</v>
      </c>
      <c r="Q3624" s="1" t="str">
        <f aca="false">TEXT(B3624,"mmm")</f>
        <v>Dec</v>
      </c>
      <c r="R3624" s="1" t="str">
        <f aca="false">"Q"&amp;ROUNDUP(MONTH(B3624)/3,0)</f>
        <v>Q4</v>
      </c>
    </row>
    <row r="3625" customFormat="false" ht="15" hidden="false" customHeight="true" outlineLevel="0" collapsed="false">
      <c r="A3625" s="1" t="n">
        <v>13624</v>
      </c>
      <c r="B3625" s="14" t="n">
        <v>48185</v>
      </c>
      <c r="C3625" s="1" t="n">
        <v>1237</v>
      </c>
      <c r="D3625" s="1" t="s">
        <v>37</v>
      </c>
      <c r="E3625" s="1" t="s">
        <v>32</v>
      </c>
      <c r="F3625" s="1" t="n">
        <v>3</v>
      </c>
      <c r="G3625" s="15" t="n">
        <v>30.38</v>
      </c>
      <c r="H3625" s="16" t="n">
        <v>0.25</v>
      </c>
      <c r="I3625" s="1" t="s">
        <v>33</v>
      </c>
      <c r="J3625" s="1" t="n">
        <v>3</v>
      </c>
      <c r="K3625" s="1" t="n">
        <v>2.3</v>
      </c>
      <c r="L3625" s="15" t="n">
        <v>68.36</v>
      </c>
      <c r="M3625" s="15" t="n">
        <f aca="false">F3625*G3625</f>
        <v>91.14</v>
      </c>
      <c r="N3625" s="15" t="n">
        <f aca="false">M3625-L3625</f>
        <v>22.78</v>
      </c>
      <c r="O3625" s="1" t="n">
        <f aca="false">YEAR(B3625)</f>
        <v>2031</v>
      </c>
      <c r="P3625" s="1" t="n">
        <f aca="false">MONTH(B3625)</f>
        <v>12</v>
      </c>
      <c r="Q3625" s="1" t="str">
        <f aca="false">TEXT(B3625,"mmm")</f>
        <v>Dec</v>
      </c>
      <c r="R3625" s="1" t="str">
        <f aca="false">"Q"&amp;ROUNDUP(MONTH(B3625)/3,0)</f>
        <v>Q4</v>
      </c>
    </row>
    <row r="3626" customFormat="false" ht="15" hidden="false" customHeight="true" outlineLevel="0" collapsed="false">
      <c r="A3626" s="1" t="n">
        <v>13625</v>
      </c>
      <c r="B3626" s="14" t="n">
        <v>48186</v>
      </c>
      <c r="C3626" s="1" t="n">
        <v>1646</v>
      </c>
      <c r="D3626" s="1" t="s">
        <v>27</v>
      </c>
      <c r="E3626" s="1" t="s">
        <v>32</v>
      </c>
      <c r="F3626" s="1" t="n">
        <v>6</v>
      </c>
      <c r="G3626" s="15" t="n">
        <v>278.61</v>
      </c>
      <c r="H3626" s="16" t="n">
        <v>0.17</v>
      </c>
      <c r="I3626" s="1" t="s">
        <v>33</v>
      </c>
      <c r="J3626" s="1" t="n">
        <v>2</v>
      </c>
      <c r="K3626" s="1" t="n">
        <v>3.6</v>
      </c>
      <c r="L3626" s="15" t="n">
        <v>1387.48</v>
      </c>
      <c r="M3626" s="15" t="n">
        <f aca="false">F3626*G3626</f>
        <v>1671.66</v>
      </c>
      <c r="N3626" s="15" t="n">
        <f aca="false">M3626-L3626</f>
        <v>284.18</v>
      </c>
      <c r="O3626" s="1" t="n">
        <f aca="false">YEAR(B3626)</f>
        <v>2031</v>
      </c>
      <c r="P3626" s="1" t="n">
        <f aca="false">MONTH(B3626)</f>
        <v>12</v>
      </c>
      <c r="Q3626" s="1" t="str">
        <f aca="false">TEXT(B3626,"mmm")</f>
        <v>Dec</v>
      </c>
      <c r="R3626" s="1" t="str">
        <f aca="false">"Q"&amp;ROUNDUP(MONTH(B3626)/3,0)</f>
        <v>Q4</v>
      </c>
    </row>
    <row r="3627" customFormat="false" ht="15" hidden="false" customHeight="true" outlineLevel="0" collapsed="false">
      <c r="A3627" s="1" t="n">
        <v>13626</v>
      </c>
      <c r="B3627" s="14" t="n">
        <v>48187</v>
      </c>
      <c r="C3627" s="1" t="n">
        <v>1662</v>
      </c>
      <c r="D3627" s="1" t="s">
        <v>37</v>
      </c>
      <c r="E3627" s="1" t="s">
        <v>36</v>
      </c>
      <c r="F3627" s="1" t="n">
        <v>4</v>
      </c>
      <c r="G3627" s="15" t="n">
        <v>458.75</v>
      </c>
      <c r="H3627" s="16" t="n">
        <v>0.3</v>
      </c>
      <c r="I3627" s="1" t="s">
        <v>29</v>
      </c>
      <c r="J3627" s="1" t="n">
        <v>10</v>
      </c>
      <c r="K3627" s="1" t="n">
        <v>2.2</v>
      </c>
      <c r="L3627" s="15" t="n">
        <v>1284.5</v>
      </c>
      <c r="M3627" s="15" t="n">
        <f aca="false">F3627*G3627</f>
        <v>1835</v>
      </c>
      <c r="N3627" s="15" t="n">
        <f aca="false">M3627-L3627</f>
        <v>550.5</v>
      </c>
      <c r="O3627" s="1" t="n">
        <f aca="false">YEAR(B3627)</f>
        <v>2031</v>
      </c>
      <c r="P3627" s="1" t="n">
        <f aca="false">MONTH(B3627)</f>
        <v>12</v>
      </c>
      <c r="Q3627" s="1" t="str">
        <f aca="false">TEXT(B3627,"mmm")</f>
        <v>Dec</v>
      </c>
      <c r="R3627" s="1" t="str">
        <f aca="false">"Q"&amp;ROUNDUP(MONTH(B3627)/3,0)</f>
        <v>Q4</v>
      </c>
    </row>
    <row r="3628" customFormat="false" ht="15" hidden="false" customHeight="true" outlineLevel="0" collapsed="false">
      <c r="A3628" s="1" t="n">
        <v>13627</v>
      </c>
      <c r="B3628" s="14" t="n">
        <v>48188</v>
      </c>
      <c r="C3628" s="1" t="n">
        <v>1235</v>
      </c>
      <c r="D3628" s="1" t="s">
        <v>34</v>
      </c>
      <c r="E3628" s="1" t="s">
        <v>32</v>
      </c>
      <c r="F3628" s="1" t="n">
        <v>2</v>
      </c>
      <c r="G3628" s="15" t="n">
        <v>334.49</v>
      </c>
      <c r="H3628" s="16" t="n">
        <v>0.04</v>
      </c>
      <c r="I3628" s="1" t="s">
        <v>31</v>
      </c>
      <c r="J3628" s="1" t="n">
        <v>8</v>
      </c>
      <c r="K3628" s="1" t="n">
        <v>2.6</v>
      </c>
      <c r="L3628" s="15" t="n">
        <v>642.22</v>
      </c>
      <c r="M3628" s="15" t="n">
        <f aca="false">F3628*G3628</f>
        <v>668.98</v>
      </c>
      <c r="N3628" s="15" t="n">
        <f aca="false">M3628-L3628</f>
        <v>26.76</v>
      </c>
      <c r="O3628" s="1" t="n">
        <f aca="false">YEAR(B3628)</f>
        <v>2031</v>
      </c>
      <c r="P3628" s="1" t="n">
        <f aca="false">MONTH(B3628)</f>
        <v>12</v>
      </c>
      <c r="Q3628" s="1" t="str">
        <f aca="false">TEXT(B3628,"mmm")</f>
        <v>Dec</v>
      </c>
      <c r="R3628" s="1" t="str">
        <f aca="false">"Q"&amp;ROUNDUP(MONTH(B3628)/3,0)</f>
        <v>Q4</v>
      </c>
    </row>
    <row r="3629" customFormat="false" ht="15" hidden="false" customHeight="true" outlineLevel="0" collapsed="false">
      <c r="A3629" s="1" t="n">
        <v>13628</v>
      </c>
      <c r="B3629" s="14" t="n">
        <v>48189</v>
      </c>
      <c r="C3629" s="1" t="n">
        <v>1735</v>
      </c>
      <c r="D3629" s="1" t="s">
        <v>34</v>
      </c>
      <c r="E3629" s="1" t="s">
        <v>32</v>
      </c>
      <c r="F3629" s="1" t="n">
        <v>5</v>
      </c>
      <c r="G3629" s="15" t="n">
        <v>396.11</v>
      </c>
      <c r="H3629" s="16" t="n">
        <v>0.32</v>
      </c>
      <c r="I3629" s="1" t="s">
        <v>33</v>
      </c>
      <c r="J3629" s="1" t="n">
        <v>4</v>
      </c>
      <c r="K3629" s="1" t="n">
        <v>2.8</v>
      </c>
      <c r="L3629" s="15" t="n">
        <v>1346.77</v>
      </c>
      <c r="M3629" s="15" t="n">
        <f aca="false">F3629*G3629</f>
        <v>1980.55</v>
      </c>
      <c r="N3629" s="15" t="n">
        <f aca="false">M3629-L3629</f>
        <v>633.78</v>
      </c>
      <c r="O3629" s="1" t="n">
        <f aca="false">YEAR(B3629)</f>
        <v>2031</v>
      </c>
      <c r="P3629" s="1" t="n">
        <f aca="false">MONTH(B3629)</f>
        <v>12</v>
      </c>
      <c r="Q3629" s="1" t="str">
        <f aca="false">TEXT(B3629,"mmm")</f>
        <v>Dec</v>
      </c>
      <c r="R3629" s="1" t="str">
        <f aca="false">"Q"&amp;ROUNDUP(MONTH(B3629)/3,0)</f>
        <v>Q4</v>
      </c>
    </row>
    <row r="3630" customFormat="false" ht="15" hidden="false" customHeight="true" outlineLevel="0" collapsed="false">
      <c r="A3630" s="1" t="n">
        <v>13629</v>
      </c>
      <c r="B3630" s="14" t="n">
        <v>48190</v>
      </c>
      <c r="C3630" s="1" t="n">
        <v>1202</v>
      </c>
      <c r="D3630" s="1" t="s">
        <v>37</v>
      </c>
      <c r="E3630" s="1" t="s">
        <v>36</v>
      </c>
      <c r="F3630" s="1" t="n">
        <v>1</v>
      </c>
      <c r="G3630" s="15" t="n">
        <v>317.26</v>
      </c>
      <c r="H3630" s="16" t="n">
        <v>0.3</v>
      </c>
      <c r="I3630" s="1" t="s">
        <v>33</v>
      </c>
      <c r="J3630" s="1" t="n">
        <v>1</v>
      </c>
      <c r="K3630" s="1" t="n">
        <v>2.2</v>
      </c>
      <c r="L3630" s="15" t="n">
        <v>222.08</v>
      </c>
      <c r="M3630" s="15" t="n">
        <f aca="false">F3630*G3630</f>
        <v>317.26</v>
      </c>
      <c r="N3630" s="15" t="n">
        <f aca="false">M3630-L3630</f>
        <v>95.18</v>
      </c>
      <c r="O3630" s="1" t="n">
        <f aca="false">YEAR(B3630)</f>
        <v>2031</v>
      </c>
      <c r="P3630" s="1" t="n">
        <f aca="false">MONTH(B3630)</f>
        <v>12</v>
      </c>
      <c r="Q3630" s="1" t="str">
        <f aca="false">TEXT(B3630,"mmm")</f>
        <v>Dec</v>
      </c>
      <c r="R3630" s="1" t="str">
        <f aca="false">"Q"&amp;ROUNDUP(MONTH(B3630)/3,0)</f>
        <v>Q4</v>
      </c>
    </row>
    <row r="3631" customFormat="false" ht="15" hidden="false" customHeight="true" outlineLevel="0" collapsed="false">
      <c r="A3631" s="1" t="n">
        <v>13630</v>
      </c>
      <c r="B3631" s="14" t="n">
        <v>48191</v>
      </c>
      <c r="C3631" s="1" t="n">
        <v>1255</v>
      </c>
      <c r="D3631" s="1" t="s">
        <v>34</v>
      </c>
      <c r="E3631" s="1" t="s">
        <v>32</v>
      </c>
      <c r="F3631" s="1" t="n">
        <v>2</v>
      </c>
      <c r="G3631" s="15" t="n">
        <v>595.25</v>
      </c>
      <c r="H3631" s="16" t="n">
        <v>0.25</v>
      </c>
      <c r="I3631" s="1" t="s">
        <v>29</v>
      </c>
      <c r="J3631" s="1" t="n">
        <v>6</v>
      </c>
      <c r="K3631" s="1" t="n">
        <v>2.4</v>
      </c>
      <c r="L3631" s="15" t="n">
        <v>892.88</v>
      </c>
      <c r="M3631" s="15" t="n">
        <f aca="false">F3631*G3631</f>
        <v>1190.5</v>
      </c>
      <c r="N3631" s="15" t="n">
        <f aca="false">M3631-L3631</f>
        <v>297.62</v>
      </c>
      <c r="O3631" s="1" t="n">
        <f aca="false">YEAR(B3631)</f>
        <v>2031</v>
      </c>
      <c r="P3631" s="1" t="n">
        <f aca="false">MONTH(B3631)</f>
        <v>12</v>
      </c>
      <c r="Q3631" s="1" t="str">
        <f aca="false">TEXT(B3631,"mmm")</f>
        <v>Dec</v>
      </c>
      <c r="R3631" s="1" t="str">
        <f aca="false">"Q"&amp;ROUNDUP(MONTH(B3631)/3,0)</f>
        <v>Q4</v>
      </c>
    </row>
    <row r="3632" customFormat="false" ht="15" hidden="false" customHeight="true" outlineLevel="0" collapsed="false">
      <c r="A3632" s="1" t="n">
        <v>13631</v>
      </c>
      <c r="B3632" s="14" t="n">
        <v>48192</v>
      </c>
      <c r="C3632" s="1" t="n">
        <v>1597</v>
      </c>
      <c r="D3632" s="1" t="s">
        <v>34</v>
      </c>
      <c r="E3632" s="1" t="s">
        <v>28</v>
      </c>
      <c r="F3632" s="1" t="n">
        <v>3</v>
      </c>
      <c r="G3632" s="15" t="n">
        <v>46.95</v>
      </c>
      <c r="H3632" s="16" t="n">
        <v>0.29</v>
      </c>
      <c r="I3632" s="1" t="s">
        <v>33</v>
      </c>
      <c r="J3632" s="1" t="n">
        <v>6</v>
      </c>
      <c r="K3632" s="1" t="n">
        <v>1</v>
      </c>
      <c r="L3632" s="15" t="n">
        <v>100</v>
      </c>
      <c r="M3632" s="15" t="n">
        <f aca="false">F3632*G3632</f>
        <v>140.85</v>
      </c>
      <c r="N3632" s="15" t="n">
        <f aca="false">M3632-L3632</f>
        <v>40.85</v>
      </c>
      <c r="O3632" s="1" t="n">
        <f aca="false">YEAR(B3632)</f>
        <v>2031</v>
      </c>
      <c r="P3632" s="1" t="n">
        <f aca="false">MONTH(B3632)</f>
        <v>12</v>
      </c>
      <c r="Q3632" s="1" t="str">
        <f aca="false">TEXT(B3632,"mmm")</f>
        <v>Dec</v>
      </c>
      <c r="R3632" s="1" t="str">
        <f aca="false">"Q"&amp;ROUNDUP(MONTH(B3632)/3,0)</f>
        <v>Q4</v>
      </c>
    </row>
    <row r="3633" customFormat="false" ht="15" hidden="false" customHeight="true" outlineLevel="0" collapsed="false">
      <c r="A3633" s="1" t="n">
        <v>13632</v>
      </c>
      <c r="B3633" s="14" t="n">
        <v>48193</v>
      </c>
      <c r="C3633" s="1" t="n">
        <v>1661</v>
      </c>
      <c r="D3633" s="1" t="s">
        <v>37</v>
      </c>
      <c r="E3633" s="1" t="s">
        <v>32</v>
      </c>
      <c r="F3633" s="1" t="n">
        <v>1</v>
      </c>
      <c r="G3633" s="15" t="n">
        <v>302.26</v>
      </c>
      <c r="H3633" s="16" t="n">
        <v>0.19</v>
      </c>
      <c r="I3633" s="1" t="s">
        <v>29</v>
      </c>
      <c r="J3633" s="1" t="n">
        <v>2</v>
      </c>
      <c r="K3633" s="1" t="n">
        <v>2.2</v>
      </c>
      <c r="L3633" s="15" t="n">
        <v>244.83</v>
      </c>
      <c r="M3633" s="15" t="n">
        <f aca="false">F3633*G3633</f>
        <v>302.26</v>
      </c>
      <c r="N3633" s="15" t="n">
        <f aca="false">M3633-L3633</f>
        <v>57.43</v>
      </c>
      <c r="O3633" s="1" t="n">
        <f aca="false">YEAR(B3633)</f>
        <v>2031</v>
      </c>
      <c r="P3633" s="1" t="n">
        <f aca="false">MONTH(B3633)</f>
        <v>12</v>
      </c>
      <c r="Q3633" s="1" t="str">
        <f aca="false">TEXT(B3633,"mmm")</f>
        <v>Dec</v>
      </c>
      <c r="R3633" s="1" t="str">
        <f aca="false">"Q"&amp;ROUNDUP(MONTH(B3633)/3,0)</f>
        <v>Q4</v>
      </c>
    </row>
    <row r="3634" customFormat="false" ht="15" hidden="false" customHeight="true" outlineLevel="0" collapsed="false">
      <c r="A3634" s="1" t="n">
        <v>13633</v>
      </c>
      <c r="B3634" s="14" t="n">
        <v>48194</v>
      </c>
      <c r="C3634" s="1" t="n">
        <v>1234</v>
      </c>
      <c r="D3634" s="1" t="s">
        <v>30</v>
      </c>
      <c r="E3634" s="1" t="s">
        <v>35</v>
      </c>
      <c r="F3634" s="1" t="n">
        <v>5</v>
      </c>
      <c r="G3634" s="15" t="n">
        <v>68.48</v>
      </c>
      <c r="H3634" s="16" t="n">
        <v>0.24</v>
      </c>
      <c r="I3634" s="1" t="s">
        <v>31</v>
      </c>
      <c r="J3634" s="1" t="n">
        <v>2</v>
      </c>
      <c r="K3634" s="1" t="n">
        <v>2.9</v>
      </c>
      <c r="L3634" s="15" t="n">
        <v>260.22</v>
      </c>
      <c r="M3634" s="15" t="n">
        <f aca="false">F3634*G3634</f>
        <v>342.4</v>
      </c>
      <c r="N3634" s="15" t="n">
        <f aca="false">M3634-L3634</f>
        <v>82.18</v>
      </c>
      <c r="O3634" s="1" t="n">
        <f aca="false">YEAR(B3634)</f>
        <v>2031</v>
      </c>
      <c r="P3634" s="1" t="n">
        <f aca="false">MONTH(B3634)</f>
        <v>12</v>
      </c>
      <c r="Q3634" s="1" t="str">
        <f aca="false">TEXT(B3634,"mmm")</f>
        <v>Dec</v>
      </c>
      <c r="R3634" s="1" t="str">
        <f aca="false">"Q"&amp;ROUNDUP(MONTH(B3634)/3,0)</f>
        <v>Q4</v>
      </c>
    </row>
    <row r="3635" customFormat="false" ht="15" hidden="false" customHeight="true" outlineLevel="0" collapsed="false">
      <c r="A3635" s="1" t="n">
        <v>13634</v>
      </c>
      <c r="B3635" s="14" t="n">
        <v>48195</v>
      </c>
      <c r="C3635" s="1" t="n">
        <v>1344</v>
      </c>
      <c r="D3635" s="1" t="s">
        <v>27</v>
      </c>
      <c r="E3635" s="1" t="s">
        <v>32</v>
      </c>
      <c r="F3635" s="1" t="n">
        <v>2</v>
      </c>
      <c r="G3635" s="15" t="n">
        <v>108.47</v>
      </c>
      <c r="H3635" s="16" t="n">
        <v>0.2</v>
      </c>
      <c r="I3635" s="1" t="s">
        <v>33</v>
      </c>
      <c r="J3635" s="1" t="n">
        <v>8</v>
      </c>
      <c r="K3635" s="1" t="n">
        <v>1.7</v>
      </c>
      <c r="L3635" s="15" t="n">
        <v>173.55</v>
      </c>
      <c r="M3635" s="15" t="n">
        <f aca="false">F3635*G3635</f>
        <v>216.94</v>
      </c>
      <c r="N3635" s="15" t="n">
        <f aca="false">M3635-L3635</f>
        <v>43.39</v>
      </c>
      <c r="O3635" s="1" t="n">
        <f aca="false">YEAR(B3635)</f>
        <v>2031</v>
      </c>
      <c r="P3635" s="1" t="n">
        <f aca="false">MONTH(B3635)</f>
        <v>12</v>
      </c>
      <c r="Q3635" s="1" t="str">
        <f aca="false">TEXT(B3635,"mmm")</f>
        <v>Dec</v>
      </c>
      <c r="R3635" s="1" t="str">
        <f aca="false">"Q"&amp;ROUNDUP(MONTH(B3635)/3,0)</f>
        <v>Q4</v>
      </c>
    </row>
    <row r="3636" customFormat="false" ht="15" hidden="false" customHeight="true" outlineLevel="0" collapsed="false">
      <c r="A3636" s="1" t="n">
        <v>13635</v>
      </c>
      <c r="B3636" s="14" t="n">
        <v>48196</v>
      </c>
      <c r="C3636" s="1" t="n">
        <v>1533</v>
      </c>
      <c r="D3636" s="1" t="s">
        <v>37</v>
      </c>
      <c r="E3636" s="1" t="s">
        <v>35</v>
      </c>
      <c r="F3636" s="1" t="n">
        <v>2</v>
      </c>
      <c r="G3636" s="15" t="n">
        <v>239.08</v>
      </c>
      <c r="H3636" s="16" t="n">
        <v>0.12</v>
      </c>
      <c r="I3636" s="1" t="s">
        <v>31</v>
      </c>
      <c r="J3636" s="1" t="n">
        <v>11</v>
      </c>
      <c r="K3636" s="1" t="n">
        <v>4.2</v>
      </c>
      <c r="L3636" s="15" t="n">
        <v>420.78</v>
      </c>
      <c r="M3636" s="15" t="n">
        <f aca="false">F3636*G3636</f>
        <v>478.16</v>
      </c>
      <c r="N3636" s="15" t="n">
        <f aca="false">M3636-L3636</f>
        <v>57.3800000000001</v>
      </c>
      <c r="O3636" s="1" t="n">
        <f aca="false">YEAR(B3636)</f>
        <v>2031</v>
      </c>
      <c r="P3636" s="1" t="n">
        <f aca="false">MONTH(B3636)</f>
        <v>12</v>
      </c>
      <c r="Q3636" s="1" t="str">
        <f aca="false">TEXT(B3636,"mmm")</f>
        <v>Dec</v>
      </c>
      <c r="R3636" s="1" t="str">
        <f aca="false">"Q"&amp;ROUNDUP(MONTH(B3636)/3,0)</f>
        <v>Q4</v>
      </c>
    </row>
    <row r="3637" customFormat="false" ht="15" hidden="false" customHeight="true" outlineLevel="0" collapsed="false">
      <c r="A3637" s="1" t="n">
        <v>13636</v>
      </c>
      <c r="B3637" s="14" t="n">
        <v>48197</v>
      </c>
      <c r="C3637" s="1" t="n">
        <v>1859</v>
      </c>
      <c r="D3637" s="1" t="s">
        <v>34</v>
      </c>
      <c r="E3637" s="1" t="s">
        <v>35</v>
      </c>
      <c r="F3637" s="1" t="n">
        <v>4</v>
      </c>
      <c r="G3637" s="15" t="n">
        <v>105.99</v>
      </c>
      <c r="H3637" s="16" t="n">
        <v>0.2</v>
      </c>
      <c r="I3637" s="1" t="s">
        <v>31</v>
      </c>
      <c r="J3637" s="1" t="n">
        <v>7</v>
      </c>
      <c r="K3637" s="1" t="n">
        <v>3.2</v>
      </c>
      <c r="L3637" s="15" t="n">
        <v>339.17</v>
      </c>
      <c r="M3637" s="15" t="n">
        <f aca="false">F3637*G3637</f>
        <v>423.96</v>
      </c>
      <c r="N3637" s="15" t="n">
        <f aca="false">M3637-L3637</f>
        <v>84.79</v>
      </c>
      <c r="O3637" s="1" t="n">
        <f aca="false">YEAR(B3637)</f>
        <v>2031</v>
      </c>
      <c r="P3637" s="1" t="n">
        <f aca="false">MONTH(B3637)</f>
        <v>12</v>
      </c>
      <c r="Q3637" s="1" t="str">
        <f aca="false">TEXT(B3637,"mmm")</f>
        <v>Dec</v>
      </c>
      <c r="R3637" s="1" t="str">
        <f aca="false">"Q"&amp;ROUNDUP(MONTH(B3637)/3,0)</f>
        <v>Q4</v>
      </c>
    </row>
    <row r="3638" customFormat="false" ht="15" hidden="false" customHeight="true" outlineLevel="0" collapsed="false">
      <c r="A3638" s="1" t="n">
        <v>13637</v>
      </c>
      <c r="B3638" s="14" t="n">
        <v>48198</v>
      </c>
      <c r="C3638" s="1" t="n">
        <v>1796</v>
      </c>
      <c r="D3638" s="1" t="s">
        <v>27</v>
      </c>
      <c r="E3638" s="1" t="s">
        <v>32</v>
      </c>
      <c r="F3638" s="1" t="n">
        <v>2</v>
      </c>
      <c r="G3638" s="15" t="n">
        <v>578.76</v>
      </c>
      <c r="H3638" s="16" t="n">
        <v>0.09</v>
      </c>
      <c r="I3638" s="1" t="s">
        <v>31</v>
      </c>
      <c r="J3638" s="1" t="n">
        <v>2</v>
      </c>
      <c r="K3638" s="1" t="n">
        <v>4.2</v>
      </c>
      <c r="L3638" s="15" t="n">
        <v>1053.34</v>
      </c>
      <c r="M3638" s="15" t="n">
        <f aca="false">F3638*G3638</f>
        <v>1157.52</v>
      </c>
      <c r="N3638" s="15" t="n">
        <f aca="false">M3638-L3638</f>
        <v>104.18</v>
      </c>
      <c r="O3638" s="1" t="n">
        <f aca="false">YEAR(B3638)</f>
        <v>2031</v>
      </c>
      <c r="P3638" s="1" t="n">
        <f aca="false">MONTH(B3638)</f>
        <v>12</v>
      </c>
      <c r="Q3638" s="1" t="str">
        <f aca="false">TEXT(B3638,"mmm")</f>
        <v>Dec</v>
      </c>
      <c r="R3638" s="1" t="str">
        <f aca="false">"Q"&amp;ROUNDUP(MONTH(B3638)/3,0)</f>
        <v>Q4</v>
      </c>
    </row>
    <row r="3639" customFormat="false" ht="15" hidden="false" customHeight="true" outlineLevel="0" collapsed="false">
      <c r="A3639" s="1" t="n">
        <v>13638</v>
      </c>
      <c r="B3639" s="14" t="n">
        <v>48199</v>
      </c>
      <c r="C3639" s="1" t="n">
        <v>1780</v>
      </c>
      <c r="D3639" s="1" t="s">
        <v>34</v>
      </c>
      <c r="E3639" s="1" t="s">
        <v>36</v>
      </c>
      <c r="F3639" s="1" t="n">
        <v>2</v>
      </c>
      <c r="G3639" s="15" t="n">
        <v>568.87</v>
      </c>
      <c r="H3639" s="16" t="n">
        <v>0.15</v>
      </c>
      <c r="I3639" s="1" t="s">
        <v>33</v>
      </c>
      <c r="J3639" s="1" t="n">
        <v>10</v>
      </c>
      <c r="K3639" s="1" t="n">
        <v>1.5</v>
      </c>
      <c r="L3639" s="15" t="n">
        <v>967.08</v>
      </c>
      <c r="M3639" s="15" t="n">
        <f aca="false">F3639*G3639</f>
        <v>1137.74</v>
      </c>
      <c r="N3639" s="15" t="n">
        <f aca="false">M3639-L3639</f>
        <v>170.66</v>
      </c>
      <c r="O3639" s="1" t="n">
        <f aca="false">YEAR(B3639)</f>
        <v>2031</v>
      </c>
      <c r="P3639" s="1" t="n">
        <f aca="false">MONTH(B3639)</f>
        <v>12</v>
      </c>
      <c r="Q3639" s="1" t="str">
        <f aca="false">TEXT(B3639,"mmm")</f>
        <v>Dec</v>
      </c>
      <c r="R3639" s="1" t="str">
        <f aca="false">"Q"&amp;ROUNDUP(MONTH(B3639)/3,0)</f>
        <v>Q4</v>
      </c>
    </row>
    <row r="3640" customFormat="false" ht="15" hidden="false" customHeight="true" outlineLevel="0" collapsed="false">
      <c r="A3640" s="1" t="n">
        <v>13639</v>
      </c>
      <c r="B3640" s="14" t="n">
        <v>48200</v>
      </c>
      <c r="C3640" s="1" t="n">
        <v>1465</v>
      </c>
      <c r="D3640" s="1" t="s">
        <v>34</v>
      </c>
      <c r="E3640" s="1" t="s">
        <v>28</v>
      </c>
      <c r="F3640" s="1" t="n">
        <v>5</v>
      </c>
      <c r="G3640" s="15" t="n">
        <v>211.62</v>
      </c>
      <c r="H3640" s="16" t="n">
        <v>0.1</v>
      </c>
      <c r="I3640" s="1" t="s">
        <v>31</v>
      </c>
      <c r="J3640" s="1" t="n">
        <v>1</v>
      </c>
      <c r="K3640" s="1" t="n">
        <v>4.3</v>
      </c>
      <c r="L3640" s="15" t="n">
        <v>952.29</v>
      </c>
      <c r="M3640" s="15" t="n">
        <f aca="false">F3640*G3640</f>
        <v>1058.1</v>
      </c>
      <c r="N3640" s="15" t="n">
        <f aca="false">M3640-L3640</f>
        <v>105.81</v>
      </c>
      <c r="O3640" s="1" t="n">
        <f aca="false">YEAR(B3640)</f>
        <v>2031</v>
      </c>
      <c r="P3640" s="1" t="n">
        <f aca="false">MONTH(B3640)</f>
        <v>12</v>
      </c>
      <c r="Q3640" s="1" t="str">
        <f aca="false">TEXT(B3640,"mmm")</f>
        <v>Dec</v>
      </c>
      <c r="R3640" s="1" t="str">
        <f aca="false">"Q"&amp;ROUNDUP(MONTH(B3640)/3,0)</f>
        <v>Q4</v>
      </c>
    </row>
    <row r="3641" customFormat="false" ht="15" hidden="false" customHeight="true" outlineLevel="0" collapsed="false">
      <c r="A3641" s="1" t="n">
        <v>13640</v>
      </c>
      <c r="B3641" s="14" t="n">
        <v>48201</v>
      </c>
      <c r="C3641" s="1" t="n">
        <v>1769</v>
      </c>
      <c r="D3641" s="1" t="s">
        <v>30</v>
      </c>
      <c r="E3641" s="1" t="s">
        <v>28</v>
      </c>
      <c r="F3641" s="1" t="n">
        <v>5</v>
      </c>
      <c r="G3641" s="15" t="n">
        <v>389.25</v>
      </c>
      <c r="H3641" s="16" t="n">
        <v>0.04</v>
      </c>
      <c r="I3641" s="1" t="s">
        <v>29</v>
      </c>
      <c r="J3641" s="1" t="n">
        <v>11</v>
      </c>
      <c r="K3641" s="1" t="n">
        <v>4.8</v>
      </c>
      <c r="L3641" s="15" t="n">
        <v>1868.4</v>
      </c>
      <c r="M3641" s="15" t="n">
        <f aca="false">F3641*G3641</f>
        <v>1946.25</v>
      </c>
      <c r="N3641" s="15" t="n">
        <f aca="false">M3641-L3641</f>
        <v>77.8499999999999</v>
      </c>
      <c r="O3641" s="1" t="n">
        <f aca="false">YEAR(B3641)</f>
        <v>2031</v>
      </c>
      <c r="P3641" s="1" t="n">
        <f aca="false">MONTH(B3641)</f>
        <v>12</v>
      </c>
      <c r="Q3641" s="1" t="str">
        <f aca="false">TEXT(B3641,"mmm")</f>
        <v>Dec</v>
      </c>
      <c r="R3641" s="1" t="str">
        <f aca="false">"Q"&amp;ROUNDUP(MONTH(B3641)/3,0)</f>
        <v>Q4</v>
      </c>
    </row>
    <row r="3642" customFormat="false" ht="15" hidden="false" customHeight="true" outlineLevel="0" collapsed="false">
      <c r="A3642" s="1" t="n">
        <v>13641</v>
      </c>
      <c r="B3642" s="14" t="n">
        <v>48202</v>
      </c>
      <c r="C3642" s="1" t="n">
        <v>1540</v>
      </c>
      <c r="D3642" s="1" t="s">
        <v>34</v>
      </c>
      <c r="E3642" s="1" t="s">
        <v>32</v>
      </c>
      <c r="F3642" s="1" t="n">
        <v>1</v>
      </c>
      <c r="G3642" s="15" t="n">
        <v>327.25</v>
      </c>
      <c r="H3642" s="16" t="n">
        <v>0.11</v>
      </c>
      <c r="I3642" s="1" t="s">
        <v>33</v>
      </c>
      <c r="J3642" s="1" t="n">
        <v>8</v>
      </c>
      <c r="K3642" s="1" t="n">
        <v>2.4</v>
      </c>
      <c r="L3642" s="15" t="n">
        <v>291.25</v>
      </c>
      <c r="M3642" s="15" t="n">
        <f aca="false">F3642*G3642</f>
        <v>327.25</v>
      </c>
      <c r="N3642" s="15" t="n">
        <f aca="false">M3642-L3642</f>
        <v>36</v>
      </c>
      <c r="O3642" s="1" t="n">
        <f aca="false">YEAR(B3642)</f>
        <v>2031</v>
      </c>
      <c r="P3642" s="1" t="n">
        <f aca="false">MONTH(B3642)</f>
        <v>12</v>
      </c>
      <c r="Q3642" s="1" t="str">
        <f aca="false">TEXT(B3642,"mmm")</f>
        <v>Dec</v>
      </c>
      <c r="R3642" s="1" t="str">
        <f aca="false">"Q"&amp;ROUNDUP(MONTH(B3642)/3,0)</f>
        <v>Q4</v>
      </c>
    </row>
    <row r="3643" customFormat="false" ht="15" hidden="false" customHeight="true" outlineLevel="0" collapsed="false">
      <c r="A3643" s="1" t="n">
        <v>13642</v>
      </c>
      <c r="B3643" s="14" t="n">
        <v>48203</v>
      </c>
      <c r="C3643" s="1" t="n">
        <v>1212</v>
      </c>
      <c r="D3643" s="1" t="s">
        <v>30</v>
      </c>
      <c r="E3643" s="1" t="s">
        <v>36</v>
      </c>
      <c r="F3643" s="1" t="n">
        <v>3</v>
      </c>
      <c r="G3643" s="15" t="n">
        <v>492.12</v>
      </c>
      <c r="H3643" s="16" t="n">
        <v>0.3</v>
      </c>
      <c r="I3643" s="1" t="s">
        <v>31</v>
      </c>
      <c r="J3643" s="1" t="n">
        <v>10</v>
      </c>
      <c r="K3643" s="1" t="n">
        <v>2.1</v>
      </c>
      <c r="L3643" s="15" t="n">
        <v>1033.45</v>
      </c>
      <c r="M3643" s="15" t="n">
        <f aca="false">F3643*G3643</f>
        <v>1476.36</v>
      </c>
      <c r="N3643" s="15" t="n">
        <f aca="false">M3643-L3643</f>
        <v>442.91</v>
      </c>
      <c r="O3643" s="1" t="n">
        <f aca="false">YEAR(B3643)</f>
        <v>2031</v>
      </c>
      <c r="P3643" s="1" t="n">
        <f aca="false">MONTH(B3643)</f>
        <v>12</v>
      </c>
      <c r="Q3643" s="1" t="str">
        <f aca="false">TEXT(B3643,"mmm")</f>
        <v>Dec</v>
      </c>
      <c r="R3643" s="1" t="str">
        <f aca="false">"Q"&amp;ROUNDUP(MONTH(B3643)/3,0)</f>
        <v>Q4</v>
      </c>
    </row>
    <row r="3644" customFormat="false" ht="15" hidden="false" customHeight="true" outlineLevel="0" collapsed="false">
      <c r="A3644" s="1" t="n">
        <v>13643</v>
      </c>
      <c r="B3644" s="14" t="n">
        <v>48204</v>
      </c>
      <c r="C3644" s="1" t="n">
        <v>1462</v>
      </c>
      <c r="D3644" s="1" t="s">
        <v>34</v>
      </c>
      <c r="E3644" s="1" t="s">
        <v>36</v>
      </c>
      <c r="F3644" s="1" t="n">
        <v>5</v>
      </c>
      <c r="G3644" s="15" t="n">
        <v>382.06</v>
      </c>
      <c r="H3644" s="16" t="n">
        <v>0.13</v>
      </c>
      <c r="I3644" s="1" t="s">
        <v>33</v>
      </c>
      <c r="J3644" s="1" t="n">
        <v>2</v>
      </c>
      <c r="K3644" s="1" t="n">
        <v>3.6</v>
      </c>
      <c r="L3644" s="15" t="n">
        <v>1661.96</v>
      </c>
      <c r="M3644" s="15" t="n">
        <f aca="false">F3644*G3644</f>
        <v>1910.3</v>
      </c>
      <c r="N3644" s="15" t="n">
        <f aca="false">M3644-L3644</f>
        <v>248.34</v>
      </c>
      <c r="O3644" s="1" t="n">
        <f aca="false">YEAR(B3644)</f>
        <v>2031</v>
      </c>
      <c r="P3644" s="1" t="n">
        <f aca="false">MONTH(B3644)</f>
        <v>12</v>
      </c>
      <c r="Q3644" s="1" t="str">
        <f aca="false">TEXT(B3644,"mmm")</f>
        <v>Dec</v>
      </c>
      <c r="R3644" s="1" t="str">
        <f aca="false">"Q"&amp;ROUNDUP(MONTH(B3644)/3,0)</f>
        <v>Q4</v>
      </c>
    </row>
    <row r="3645" customFormat="false" ht="15" hidden="false" customHeight="true" outlineLevel="0" collapsed="false">
      <c r="A3645" s="1" t="n">
        <v>13644</v>
      </c>
      <c r="B3645" s="14" t="n">
        <v>48205</v>
      </c>
      <c r="C3645" s="1" t="n">
        <v>1435</v>
      </c>
      <c r="D3645" s="1" t="s">
        <v>30</v>
      </c>
      <c r="E3645" s="1" t="s">
        <v>28</v>
      </c>
      <c r="F3645" s="1" t="n">
        <v>1</v>
      </c>
      <c r="G3645" s="15" t="n">
        <v>15.15</v>
      </c>
      <c r="H3645" s="16" t="n">
        <v>0.26</v>
      </c>
      <c r="I3645" s="1" t="s">
        <v>31</v>
      </c>
      <c r="J3645" s="1" t="n">
        <v>5</v>
      </c>
      <c r="K3645" s="1" t="n">
        <v>3.5</v>
      </c>
      <c r="L3645" s="15" t="n">
        <v>11.21</v>
      </c>
      <c r="M3645" s="15" t="n">
        <f aca="false">F3645*G3645</f>
        <v>15.15</v>
      </c>
      <c r="N3645" s="15" t="n">
        <f aca="false">M3645-L3645</f>
        <v>3.94</v>
      </c>
      <c r="O3645" s="1" t="n">
        <f aca="false">YEAR(B3645)</f>
        <v>2031</v>
      </c>
      <c r="P3645" s="1" t="n">
        <f aca="false">MONTH(B3645)</f>
        <v>12</v>
      </c>
      <c r="Q3645" s="1" t="str">
        <f aca="false">TEXT(B3645,"mmm")</f>
        <v>Dec</v>
      </c>
      <c r="R3645" s="1" t="str">
        <f aca="false">"Q"&amp;ROUNDUP(MONTH(B3645)/3,0)</f>
        <v>Q4</v>
      </c>
    </row>
    <row r="3646" customFormat="false" ht="15" hidden="false" customHeight="true" outlineLevel="0" collapsed="false">
      <c r="A3646" s="1" t="n">
        <v>13645</v>
      </c>
      <c r="B3646" s="14" t="n">
        <v>48206</v>
      </c>
      <c r="C3646" s="1" t="n">
        <v>1282</v>
      </c>
      <c r="D3646" s="1" t="s">
        <v>30</v>
      </c>
      <c r="E3646" s="1" t="s">
        <v>36</v>
      </c>
      <c r="F3646" s="1" t="n">
        <v>2</v>
      </c>
      <c r="G3646" s="15" t="n">
        <v>461.46</v>
      </c>
      <c r="H3646" s="16" t="n">
        <v>0.06</v>
      </c>
      <c r="I3646" s="1" t="s">
        <v>31</v>
      </c>
      <c r="J3646" s="1" t="n">
        <v>6</v>
      </c>
      <c r="K3646" s="1" t="n">
        <v>1.4</v>
      </c>
      <c r="L3646" s="15" t="n">
        <v>867.54</v>
      </c>
      <c r="M3646" s="15" t="n">
        <f aca="false">F3646*G3646</f>
        <v>922.92</v>
      </c>
      <c r="N3646" s="15" t="n">
        <f aca="false">M3646-L3646</f>
        <v>55.38</v>
      </c>
      <c r="O3646" s="1" t="n">
        <f aca="false">YEAR(B3646)</f>
        <v>2031</v>
      </c>
      <c r="P3646" s="1" t="n">
        <f aca="false">MONTH(B3646)</f>
        <v>12</v>
      </c>
      <c r="Q3646" s="1" t="str">
        <f aca="false">TEXT(B3646,"mmm")</f>
        <v>Dec</v>
      </c>
      <c r="R3646" s="1" t="str">
        <f aca="false">"Q"&amp;ROUNDUP(MONTH(B3646)/3,0)</f>
        <v>Q4</v>
      </c>
    </row>
    <row r="3647" customFormat="false" ht="15" hidden="false" customHeight="true" outlineLevel="0" collapsed="false">
      <c r="A3647" s="1" t="n">
        <v>13646</v>
      </c>
      <c r="B3647" s="14" t="n">
        <v>48207</v>
      </c>
      <c r="C3647" s="1" t="n">
        <v>1561</v>
      </c>
      <c r="D3647" s="1" t="s">
        <v>37</v>
      </c>
      <c r="E3647" s="1" t="s">
        <v>32</v>
      </c>
      <c r="F3647" s="1" t="n">
        <v>1</v>
      </c>
      <c r="G3647" s="15" t="n">
        <v>451.91</v>
      </c>
      <c r="H3647" s="16" t="n">
        <v>0.15</v>
      </c>
      <c r="I3647" s="1" t="s">
        <v>33</v>
      </c>
      <c r="J3647" s="1" t="n">
        <v>10</v>
      </c>
      <c r="K3647" s="1" t="n">
        <v>4.7</v>
      </c>
      <c r="L3647" s="15" t="n">
        <v>384.12</v>
      </c>
      <c r="M3647" s="15" t="n">
        <f aca="false">F3647*G3647</f>
        <v>451.91</v>
      </c>
      <c r="N3647" s="15" t="n">
        <f aca="false">M3647-L3647</f>
        <v>67.79</v>
      </c>
      <c r="O3647" s="1" t="n">
        <f aca="false">YEAR(B3647)</f>
        <v>2031</v>
      </c>
      <c r="P3647" s="1" t="n">
        <f aca="false">MONTH(B3647)</f>
        <v>12</v>
      </c>
      <c r="Q3647" s="1" t="str">
        <f aca="false">TEXT(B3647,"mmm")</f>
        <v>Dec</v>
      </c>
      <c r="R3647" s="1" t="str">
        <f aca="false">"Q"&amp;ROUNDUP(MONTH(B3647)/3,0)</f>
        <v>Q4</v>
      </c>
    </row>
    <row r="3648" customFormat="false" ht="15" hidden="false" customHeight="true" outlineLevel="0" collapsed="false">
      <c r="A3648" s="1" t="n">
        <v>13647</v>
      </c>
      <c r="B3648" s="14" t="n">
        <v>48208</v>
      </c>
      <c r="C3648" s="1" t="n">
        <v>1606</v>
      </c>
      <c r="D3648" s="1" t="s">
        <v>37</v>
      </c>
      <c r="E3648" s="1" t="s">
        <v>32</v>
      </c>
      <c r="F3648" s="1" t="n">
        <v>1</v>
      </c>
      <c r="G3648" s="15" t="n">
        <v>313.19</v>
      </c>
      <c r="H3648" s="16" t="n">
        <v>0.04</v>
      </c>
      <c r="I3648" s="1" t="s">
        <v>29</v>
      </c>
      <c r="J3648" s="1" t="n">
        <v>1</v>
      </c>
      <c r="K3648" s="1" t="n">
        <v>2.9</v>
      </c>
      <c r="L3648" s="15" t="n">
        <v>300.66</v>
      </c>
      <c r="M3648" s="15" t="n">
        <f aca="false">F3648*G3648</f>
        <v>313.19</v>
      </c>
      <c r="N3648" s="15" t="n">
        <f aca="false">M3648-L3648</f>
        <v>12.53</v>
      </c>
      <c r="O3648" s="1" t="n">
        <f aca="false">YEAR(B3648)</f>
        <v>2031</v>
      </c>
      <c r="P3648" s="1" t="n">
        <f aca="false">MONTH(B3648)</f>
        <v>12</v>
      </c>
      <c r="Q3648" s="1" t="str">
        <f aca="false">TEXT(B3648,"mmm")</f>
        <v>Dec</v>
      </c>
      <c r="R3648" s="1" t="str">
        <f aca="false">"Q"&amp;ROUNDUP(MONTH(B3648)/3,0)</f>
        <v>Q4</v>
      </c>
    </row>
    <row r="3649" customFormat="false" ht="15" hidden="false" customHeight="true" outlineLevel="0" collapsed="false">
      <c r="A3649" s="1" t="n">
        <v>13648</v>
      </c>
      <c r="B3649" s="14" t="n">
        <v>48209</v>
      </c>
      <c r="C3649" s="1" t="n">
        <v>1462</v>
      </c>
      <c r="D3649" s="1" t="s">
        <v>34</v>
      </c>
      <c r="E3649" s="1" t="s">
        <v>36</v>
      </c>
      <c r="F3649" s="1" t="n">
        <v>1</v>
      </c>
      <c r="G3649" s="15" t="n">
        <v>543.21</v>
      </c>
      <c r="H3649" s="16" t="n">
        <v>0.05</v>
      </c>
      <c r="I3649" s="1" t="s">
        <v>33</v>
      </c>
      <c r="J3649" s="1" t="n">
        <v>2</v>
      </c>
      <c r="K3649" s="1" t="n">
        <v>4.1</v>
      </c>
      <c r="L3649" s="15" t="n">
        <v>516.05</v>
      </c>
      <c r="M3649" s="15" t="n">
        <f aca="false">F3649*G3649</f>
        <v>543.21</v>
      </c>
      <c r="N3649" s="15" t="n">
        <f aca="false">M3649-L3649</f>
        <v>27.1600000000001</v>
      </c>
      <c r="O3649" s="1" t="n">
        <f aca="false">YEAR(B3649)</f>
        <v>2031</v>
      </c>
      <c r="P3649" s="1" t="n">
        <f aca="false">MONTH(B3649)</f>
        <v>12</v>
      </c>
      <c r="Q3649" s="1" t="str">
        <f aca="false">TEXT(B3649,"mmm")</f>
        <v>Dec</v>
      </c>
      <c r="R3649" s="1" t="str">
        <f aca="false">"Q"&amp;ROUNDUP(MONTH(B3649)/3,0)</f>
        <v>Q4</v>
      </c>
    </row>
    <row r="3650" customFormat="false" ht="15" hidden="false" customHeight="true" outlineLevel="0" collapsed="false">
      <c r="A3650" s="1" t="n">
        <v>13649</v>
      </c>
      <c r="B3650" s="14" t="n">
        <v>48210</v>
      </c>
      <c r="C3650" s="1" t="n">
        <v>1406</v>
      </c>
      <c r="D3650" s="1" t="s">
        <v>30</v>
      </c>
      <c r="E3650" s="1" t="s">
        <v>32</v>
      </c>
      <c r="F3650" s="1" t="n">
        <v>6</v>
      </c>
      <c r="G3650" s="15" t="n">
        <v>546.44</v>
      </c>
      <c r="H3650" s="16" t="n">
        <v>0.22</v>
      </c>
      <c r="I3650" s="1" t="s">
        <v>29</v>
      </c>
      <c r="J3650" s="1" t="n">
        <v>10</v>
      </c>
      <c r="K3650" s="1" t="n">
        <v>2.4</v>
      </c>
      <c r="L3650" s="15" t="n">
        <v>2557.34</v>
      </c>
      <c r="M3650" s="15" t="n">
        <f aca="false">F3650*G3650</f>
        <v>3278.64</v>
      </c>
      <c r="N3650" s="15" t="n">
        <f aca="false">M3650-L3650</f>
        <v>721.3</v>
      </c>
      <c r="O3650" s="1" t="n">
        <f aca="false">YEAR(B3650)</f>
        <v>2031</v>
      </c>
      <c r="P3650" s="1" t="n">
        <f aca="false">MONTH(B3650)</f>
        <v>12</v>
      </c>
      <c r="Q3650" s="1" t="str">
        <f aca="false">TEXT(B3650,"mmm")</f>
        <v>Dec</v>
      </c>
      <c r="R3650" s="1" t="str">
        <f aca="false">"Q"&amp;ROUNDUP(MONTH(B3650)/3,0)</f>
        <v>Q4</v>
      </c>
    </row>
    <row r="3651" customFormat="false" ht="15" hidden="false" customHeight="true" outlineLevel="0" collapsed="false">
      <c r="A3651" s="1" t="n">
        <v>13650</v>
      </c>
      <c r="B3651" s="14" t="n">
        <v>48211</v>
      </c>
      <c r="C3651" s="1" t="n">
        <v>1087</v>
      </c>
      <c r="D3651" s="1" t="s">
        <v>30</v>
      </c>
      <c r="E3651" s="1" t="s">
        <v>35</v>
      </c>
      <c r="F3651" s="1" t="n">
        <v>1</v>
      </c>
      <c r="G3651" s="15" t="n">
        <v>321.49</v>
      </c>
      <c r="H3651" s="16" t="n">
        <v>0.21</v>
      </c>
      <c r="I3651" s="1" t="s">
        <v>33</v>
      </c>
      <c r="J3651" s="1" t="n">
        <v>4</v>
      </c>
      <c r="K3651" s="1" t="n">
        <v>2</v>
      </c>
      <c r="L3651" s="15" t="n">
        <v>253.98</v>
      </c>
      <c r="M3651" s="15" t="n">
        <f aca="false">F3651*G3651</f>
        <v>321.49</v>
      </c>
      <c r="N3651" s="15" t="n">
        <f aca="false">M3651-L3651</f>
        <v>67.51</v>
      </c>
      <c r="O3651" s="1" t="n">
        <f aca="false">YEAR(B3651)</f>
        <v>2031</v>
      </c>
      <c r="P3651" s="1" t="n">
        <f aca="false">MONTH(B3651)</f>
        <v>12</v>
      </c>
      <c r="Q3651" s="1" t="str">
        <f aca="false">TEXT(B3651,"mmm")</f>
        <v>Dec</v>
      </c>
      <c r="R3651" s="1" t="str">
        <f aca="false">"Q"&amp;ROUNDUP(MONTH(B3651)/3,0)</f>
        <v>Q4</v>
      </c>
    </row>
    <row r="3652" customFormat="false" ht="15" hidden="false" customHeight="true" outlineLevel="0" collapsed="false">
      <c r="A3652" s="1" t="n">
        <v>13651</v>
      </c>
      <c r="B3652" s="14" t="n">
        <v>48212</v>
      </c>
      <c r="C3652" s="1" t="n">
        <v>1043</v>
      </c>
      <c r="D3652" s="1" t="s">
        <v>34</v>
      </c>
      <c r="E3652" s="1" t="s">
        <v>28</v>
      </c>
      <c r="F3652" s="1" t="n">
        <v>5</v>
      </c>
      <c r="G3652" s="15" t="n">
        <v>370.67</v>
      </c>
      <c r="H3652" s="16" t="n">
        <v>0.07</v>
      </c>
      <c r="I3652" s="1" t="s">
        <v>31</v>
      </c>
      <c r="J3652" s="1" t="n">
        <v>2</v>
      </c>
      <c r="K3652" s="1" t="n">
        <v>1.4</v>
      </c>
      <c r="L3652" s="15" t="n">
        <v>1723.62</v>
      </c>
      <c r="M3652" s="15" t="n">
        <f aca="false">F3652*G3652</f>
        <v>1853.35</v>
      </c>
      <c r="N3652" s="15" t="n">
        <f aca="false">M3652-L3652</f>
        <v>129.73</v>
      </c>
      <c r="O3652" s="1" t="n">
        <f aca="false">YEAR(B3652)</f>
        <v>2031</v>
      </c>
      <c r="P3652" s="1" t="n">
        <f aca="false">MONTH(B3652)</f>
        <v>12</v>
      </c>
      <c r="Q3652" s="1" t="str">
        <f aca="false">TEXT(B3652,"mmm")</f>
        <v>Dec</v>
      </c>
      <c r="R3652" s="1" t="str">
        <f aca="false">"Q"&amp;ROUNDUP(MONTH(B3652)/3,0)</f>
        <v>Q4</v>
      </c>
    </row>
    <row r="3653" customFormat="false" ht="15" hidden="false" customHeight="true" outlineLevel="0" collapsed="false">
      <c r="A3653" s="1" t="n">
        <v>13652</v>
      </c>
      <c r="B3653" s="14" t="n">
        <v>48213</v>
      </c>
      <c r="C3653" s="1" t="n">
        <v>1460</v>
      </c>
      <c r="D3653" s="1" t="s">
        <v>37</v>
      </c>
      <c r="E3653" s="1" t="s">
        <v>32</v>
      </c>
      <c r="F3653" s="1" t="n">
        <v>7</v>
      </c>
      <c r="G3653" s="15" t="n">
        <v>597.97</v>
      </c>
      <c r="H3653" s="16" t="n">
        <v>0.17</v>
      </c>
      <c r="I3653" s="1" t="s">
        <v>33</v>
      </c>
      <c r="J3653" s="1" t="n">
        <v>11</v>
      </c>
      <c r="K3653" s="1" t="n">
        <v>2.1</v>
      </c>
      <c r="L3653" s="15" t="n">
        <v>3474.21</v>
      </c>
      <c r="M3653" s="15" t="n">
        <f aca="false">F3653*G3653</f>
        <v>4185.79</v>
      </c>
      <c r="N3653" s="15" t="n">
        <f aca="false">M3653-L3653</f>
        <v>711.58</v>
      </c>
      <c r="O3653" s="1" t="n">
        <f aca="false">YEAR(B3653)</f>
        <v>2031</v>
      </c>
      <c r="P3653" s="1" t="n">
        <f aca="false">MONTH(B3653)</f>
        <v>12</v>
      </c>
      <c r="Q3653" s="1" t="str">
        <f aca="false">TEXT(B3653,"mmm")</f>
        <v>Dec</v>
      </c>
      <c r="R3653" s="1" t="str">
        <f aca="false">"Q"&amp;ROUNDUP(MONTH(B3653)/3,0)</f>
        <v>Q4</v>
      </c>
    </row>
    <row r="3654" customFormat="false" ht="15" hidden="false" customHeight="true" outlineLevel="0" collapsed="false">
      <c r="A3654" s="1" t="n">
        <v>13653</v>
      </c>
      <c r="B3654" s="14" t="n">
        <v>48214</v>
      </c>
      <c r="C3654" s="1" t="n">
        <v>1277</v>
      </c>
      <c r="D3654" s="1" t="s">
        <v>37</v>
      </c>
      <c r="E3654" s="1" t="s">
        <v>36</v>
      </c>
      <c r="F3654" s="1" t="n">
        <v>7</v>
      </c>
      <c r="G3654" s="15" t="n">
        <v>189.81</v>
      </c>
      <c r="H3654" s="16" t="n">
        <v>0.3</v>
      </c>
      <c r="I3654" s="1" t="s">
        <v>33</v>
      </c>
      <c r="J3654" s="1" t="n">
        <v>6</v>
      </c>
      <c r="K3654" s="1" t="n">
        <v>5</v>
      </c>
      <c r="L3654" s="15" t="n">
        <v>930.07</v>
      </c>
      <c r="M3654" s="15" t="n">
        <f aca="false">F3654*G3654</f>
        <v>1328.67</v>
      </c>
      <c r="N3654" s="15" t="n">
        <f aca="false">M3654-L3654</f>
        <v>398.6</v>
      </c>
      <c r="O3654" s="1" t="n">
        <f aca="false">YEAR(B3654)</f>
        <v>2032</v>
      </c>
      <c r="P3654" s="1" t="n">
        <f aca="false">MONTH(B3654)</f>
        <v>1</v>
      </c>
      <c r="Q3654" s="1" t="str">
        <f aca="false">TEXT(B3654,"mmm")</f>
        <v>Jan</v>
      </c>
      <c r="R3654" s="1" t="str">
        <f aca="false">"Q"&amp;ROUNDUP(MONTH(B3654)/3,0)</f>
        <v>Q1</v>
      </c>
    </row>
    <row r="3655" customFormat="false" ht="15" hidden="false" customHeight="true" outlineLevel="0" collapsed="false">
      <c r="A3655" s="1" t="n">
        <v>13654</v>
      </c>
      <c r="B3655" s="14" t="n">
        <v>48215</v>
      </c>
      <c r="C3655" s="1" t="n">
        <v>1682</v>
      </c>
      <c r="D3655" s="1" t="s">
        <v>34</v>
      </c>
      <c r="E3655" s="1" t="s">
        <v>28</v>
      </c>
      <c r="F3655" s="1" t="n">
        <v>7</v>
      </c>
      <c r="G3655" s="15" t="n">
        <v>204.9</v>
      </c>
      <c r="H3655" s="16" t="n">
        <v>0.06</v>
      </c>
      <c r="I3655" s="1" t="s">
        <v>31</v>
      </c>
      <c r="J3655" s="1" t="n">
        <v>4</v>
      </c>
      <c r="K3655" s="1" t="n">
        <v>3.6</v>
      </c>
      <c r="L3655" s="15" t="n">
        <v>1348.24</v>
      </c>
      <c r="M3655" s="15" t="n">
        <f aca="false">F3655*G3655</f>
        <v>1434.3</v>
      </c>
      <c r="N3655" s="15" t="n">
        <f aca="false">M3655-L3655</f>
        <v>86.06</v>
      </c>
      <c r="O3655" s="1" t="n">
        <f aca="false">YEAR(B3655)</f>
        <v>2032</v>
      </c>
      <c r="P3655" s="1" t="n">
        <f aca="false">MONTH(B3655)</f>
        <v>1</v>
      </c>
      <c r="Q3655" s="1" t="str">
        <f aca="false">TEXT(B3655,"mmm")</f>
        <v>Jan</v>
      </c>
      <c r="R3655" s="1" t="str">
        <f aca="false">"Q"&amp;ROUNDUP(MONTH(B3655)/3,0)</f>
        <v>Q1</v>
      </c>
    </row>
    <row r="3656" customFormat="false" ht="15" hidden="false" customHeight="true" outlineLevel="0" collapsed="false">
      <c r="A3656" s="1" t="n">
        <v>13655</v>
      </c>
      <c r="B3656" s="14" t="n">
        <v>48216</v>
      </c>
      <c r="C3656" s="1" t="n">
        <v>1420</v>
      </c>
      <c r="D3656" s="1" t="s">
        <v>30</v>
      </c>
      <c r="E3656" s="1" t="s">
        <v>32</v>
      </c>
      <c r="F3656" s="1" t="n">
        <v>7</v>
      </c>
      <c r="G3656" s="15" t="n">
        <v>121.92</v>
      </c>
      <c r="H3656" s="16" t="n">
        <v>0.01</v>
      </c>
      <c r="I3656" s="1" t="s">
        <v>29</v>
      </c>
      <c r="J3656" s="1" t="n">
        <v>11</v>
      </c>
      <c r="K3656" s="1" t="n">
        <v>4.2</v>
      </c>
      <c r="L3656" s="15" t="n">
        <v>844.91</v>
      </c>
      <c r="M3656" s="15" t="n">
        <f aca="false">F3656*G3656</f>
        <v>853.44</v>
      </c>
      <c r="N3656" s="15" t="n">
        <f aca="false">M3656-L3656</f>
        <v>8.53000000000009</v>
      </c>
      <c r="O3656" s="1" t="n">
        <f aca="false">YEAR(B3656)</f>
        <v>2032</v>
      </c>
      <c r="P3656" s="1" t="n">
        <f aca="false">MONTH(B3656)</f>
        <v>1</v>
      </c>
      <c r="Q3656" s="1" t="str">
        <f aca="false">TEXT(B3656,"mmm")</f>
        <v>Jan</v>
      </c>
      <c r="R3656" s="1" t="str">
        <f aca="false">"Q"&amp;ROUNDUP(MONTH(B3656)/3,0)</f>
        <v>Q1</v>
      </c>
    </row>
    <row r="3657" customFormat="false" ht="15" hidden="false" customHeight="true" outlineLevel="0" collapsed="false">
      <c r="A3657" s="1" t="n">
        <v>13656</v>
      </c>
      <c r="B3657" s="14" t="n">
        <v>48217</v>
      </c>
      <c r="C3657" s="1" t="n">
        <v>1700</v>
      </c>
      <c r="D3657" s="1" t="s">
        <v>34</v>
      </c>
      <c r="E3657" s="1" t="s">
        <v>28</v>
      </c>
      <c r="F3657" s="1" t="n">
        <v>6</v>
      </c>
      <c r="G3657" s="15" t="n">
        <v>539.08</v>
      </c>
      <c r="H3657" s="16" t="n">
        <v>0.23</v>
      </c>
      <c r="I3657" s="1" t="s">
        <v>33</v>
      </c>
      <c r="J3657" s="1" t="n">
        <v>3</v>
      </c>
      <c r="K3657" s="1" t="n">
        <v>4.8</v>
      </c>
      <c r="L3657" s="15" t="n">
        <v>2490.55</v>
      </c>
      <c r="M3657" s="15" t="n">
        <f aca="false">F3657*G3657</f>
        <v>3234.48</v>
      </c>
      <c r="N3657" s="15" t="n">
        <f aca="false">M3657-L3657</f>
        <v>743.93</v>
      </c>
      <c r="O3657" s="1" t="n">
        <f aca="false">YEAR(B3657)</f>
        <v>2032</v>
      </c>
      <c r="P3657" s="1" t="n">
        <f aca="false">MONTH(B3657)</f>
        <v>1</v>
      </c>
      <c r="Q3657" s="1" t="str">
        <f aca="false">TEXT(B3657,"mmm")</f>
        <v>Jan</v>
      </c>
      <c r="R3657" s="1" t="str">
        <f aca="false">"Q"&amp;ROUNDUP(MONTH(B3657)/3,0)</f>
        <v>Q1</v>
      </c>
    </row>
    <row r="3658" customFormat="false" ht="15" hidden="false" customHeight="true" outlineLevel="0" collapsed="false">
      <c r="A3658" s="1" t="n">
        <v>13657</v>
      </c>
      <c r="B3658" s="14" t="n">
        <v>48218</v>
      </c>
      <c r="C3658" s="1" t="n">
        <v>1352</v>
      </c>
      <c r="D3658" s="1" t="s">
        <v>30</v>
      </c>
      <c r="E3658" s="1" t="s">
        <v>36</v>
      </c>
      <c r="F3658" s="1" t="n">
        <v>3</v>
      </c>
      <c r="G3658" s="15" t="n">
        <v>450.53</v>
      </c>
      <c r="H3658" s="16" t="n">
        <v>0.02</v>
      </c>
      <c r="I3658" s="1" t="s">
        <v>31</v>
      </c>
      <c r="J3658" s="1" t="n">
        <v>6</v>
      </c>
      <c r="K3658" s="1" t="n">
        <v>1.3</v>
      </c>
      <c r="L3658" s="15" t="n">
        <v>1324.56</v>
      </c>
      <c r="M3658" s="15" t="n">
        <f aca="false">F3658*G3658</f>
        <v>1351.59</v>
      </c>
      <c r="N3658" s="15" t="n">
        <f aca="false">M3658-L3658</f>
        <v>27.03</v>
      </c>
      <c r="O3658" s="1" t="n">
        <f aca="false">YEAR(B3658)</f>
        <v>2032</v>
      </c>
      <c r="P3658" s="1" t="n">
        <f aca="false">MONTH(B3658)</f>
        <v>1</v>
      </c>
      <c r="Q3658" s="1" t="str">
        <f aca="false">TEXT(B3658,"mmm")</f>
        <v>Jan</v>
      </c>
      <c r="R3658" s="1" t="str">
        <f aca="false">"Q"&amp;ROUNDUP(MONTH(B3658)/3,0)</f>
        <v>Q1</v>
      </c>
    </row>
    <row r="3659" customFormat="false" ht="15" hidden="false" customHeight="true" outlineLevel="0" collapsed="false">
      <c r="A3659" s="1" t="n">
        <v>13658</v>
      </c>
      <c r="B3659" s="14" t="n">
        <v>48219</v>
      </c>
      <c r="C3659" s="1" t="n">
        <v>1695</v>
      </c>
      <c r="D3659" s="1" t="s">
        <v>34</v>
      </c>
      <c r="E3659" s="1" t="s">
        <v>35</v>
      </c>
      <c r="F3659" s="1" t="n">
        <v>1</v>
      </c>
      <c r="G3659" s="15" t="n">
        <v>76.8</v>
      </c>
      <c r="H3659" s="16" t="n">
        <v>0.34</v>
      </c>
      <c r="I3659" s="1" t="s">
        <v>29</v>
      </c>
      <c r="J3659" s="1" t="n">
        <v>9</v>
      </c>
      <c r="K3659" s="1" t="n">
        <v>1.7</v>
      </c>
      <c r="L3659" s="15" t="n">
        <v>50.69</v>
      </c>
      <c r="M3659" s="15" t="n">
        <f aca="false">F3659*G3659</f>
        <v>76.8</v>
      </c>
      <c r="N3659" s="15" t="n">
        <f aca="false">M3659-L3659</f>
        <v>26.11</v>
      </c>
      <c r="O3659" s="1" t="n">
        <f aca="false">YEAR(B3659)</f>
        <v>2032</v>
      </c>
      <c r="P3659" s="1" t="n">
        <f aca="false">MONTH(B3659)</f>
        <v>1</v>
      </c>
      <c r="Q3659" s="1" t="str">
        <f aca="false">TEXT(B3659,"mmm")</f>
        <v>Jan</v>
      </c>
      <c r="R3659" s="1" t="str">
        <f aca="false">"Q"&amp;ROUNDUP(MONTH(B3659)/3,0)</f>
        <v>Q1</v>
      </c>
    </row>
    <row r="3660" customFormat="false" ht="15" hidden="false" customHeight="true" outlineLevel="0" collapsed="false">
      <c r="A3660" s="1" t="n">
        <v>13659</v>
      </c>
      <c r="B3660" s="14" t="n">
        <v>48220</v>
      </c>
      <c r="C3660" s="1" t="n">
        <v>1514</v>
      </c>
      <c r="D3660" s="1" t="s">
        <v>27</v>
      </c>
      <c r="E3660" s="1" t="s">
        <v>35</v>
      </c>
      <c r="F3660" s="1" t="n">
        <v>4</v>
      </c>
      <c r="G3660" s="15" t="n">
        <v>589.33</v>
      </c>
      <c r="H3660" s="16" t="n">
        <v>0.21</v>
      </c>
      <c r="I3660" s="1" t="s">
        <v>31</v>
      </c>
      <c r="J3660" s="1" t="n">
        <v>8</v>
      </c>
      <c r="K3660" s="1" t="n">
        <v>4.7</v>
      </c>
      <c r="L3660" s="15" t="n">
        <v>1862.28</v>
      </c>
      <c r="M3660" s="15" t="n">
        <f aca="false">F3660*G3660</f>
        <v>2357.32</v>
      </c>
      <c r="N3660" s="15" t="n">
        <f aca="false">M3660-L3660</f>
        <v>495.04</v>
      </c>
      <c r="O3660" s="1" t="n">
        <f aca="false">YEAR(B3660)</f>
        <v>2032</v>
      </c>
      <c r="P3660" s="1" t="n">
        <f aca="false">MONTH(B3660)</f>
        <v>1</v>
      </c>
      <c r="Q3660" s="1" t="str">
        <f aca="false">TEXT(B3660,"mmm")</f>
        <v>Jan</v>
      </c>
      <c r="R3660" s="1" t="str">
        <f aca="false">"Q"&amp;ROUNDUP(MONTH(B3660)/3,0)</f>
        <v>Q1</v>
      </c>
    </row>
    <row r="3661" customFormat="false" ht="15" hidden="false" customHeight="true" outlineLevel="0" collapsed="false">
      <c r="A3661" s="1" t="n">
        <v>13660</v>
      </c>
      <c r="B3661" s="14" t="n">
        <v>48221</v>
      </c>
      <c r="C3661" s="1" t="n">
        <v>1702</v>
      </c>
      <c r="D3661" s="1" t="s">
        <v>37</v>
      </c>
      <c r="E3661" s="1" t="s">
        <v>32</v>
      </c>
      <c r="F3661" s="1" t="n">
        <v>7</v>
      </c>
      <c r="G3661" s="15" t="n">
        <v>442.61</v>
      </c>
      <c r="H3661" s="16" t="n">
        <v>0.16</v>
      </c>
      <c r="I3661" s="1" t="s">
        <v>29</v>
      </c>
      <c r="J3661" s="1" t="n">
        <v>2</v>
      </c>
      <c r="K3661" s="1" t="n">
        <v>3.3</v>
      </c>
      <c r="L3661" s="15" t="n">
        <v>2602.55</v>
      </c>
      <c r="M3661" s="15" t="n">
        <f aca="false">F3661*G3661</f>
        <v>3098.27</v>
      </c>
      <c r="N3661" s="15" t="n">
        <f aca="false">M3661-L3661</f>
        <v>495.72</v>
      </c>
      <c r="O3661" s="1" t="n">
        <f aca="false">YEAR(B3661)</f>
        <v>2032</v>
      </c>
      <c r="P3661" s="1" t="n">
        <f aca="false">MONTH(B3661)</f>
        <v>1</v>
      </c>
      <c r="Q3661" s="1" t="str">
        <f aca="false">TEXT(B3661,"mmm")</f>
        <v>Jan</v>
      </c>
      <c r="R3661" s="1" t="str">
        <f aca="false">"Q"&amp;ROUNDUP(MONTH(B3661)/3,0)</f>
        <v>Q1</v>
      </c>
    </row>
    <row r="3662" customFormat="false" ht="15" hidden="false" customHeight="true" outlineLevel="0" collapsed="false">
      <c r="A3662" s="1" t="n">
        <v>13661</v>
      </c>
      <c r="B3662" s="14" t="n">
        <v>48222</v>
      </c>
      <c r="C3662" s="1" t="n">
        <v>1629</v>
      </c>
      <c r="D3662" s="1" t="s">
        <v>30</v>
      </c>
      <c r="E3662" s="1" t="s">
        <v>35</v>
      </c>
      <c r="F3662" s="1" t="n">
        <v>2</v>
      </c>
      <c r="G3662" s="15" t="n">
        <v>512.56</v>
      </c>
      <c r="H3662" s="16" t="n">
        <v>0.15</v>
      </c>
      <c r="I3662" s="1" t="s">
        <v>31</v>
      </c>
      <c r="J3662" s="1" t="n">
        <v>3</v>
      </c>
      <c r="K3662" s="1" t="n">
        <v>3.5</v>
      </c>
      <c r="L3662" s="15" t="n">
        <v>871.35</v>
      </c>
      <c r="M3662" s="15" t="n">
        <f aca="false">F3662*G3662</f>
        <v>1025.12</v>
      </c>
      <c r="N3662" s="15" t="n">
        <f aca="false">M3662-L3662</f>
        <v>153.77</v>
      </c>
      <c r="O3662" s="1" t="n">
        <f aca="false">YEAR(B3662)</f>
        <v>2032</v>
      </c>
      <c r="P3662" s="1" t="n">
        <f aca="false">MONTH(B3662)</f>
        <v>1</v>
      </c>
      <c r="Q3662" s="1" t="str">
        <f aca="false">TEXT(B3662,"mmm")</f>
        <v>Jan</v>
      </c>
      <c r="R3662" s="1" t="str">
        <f aca="false">"Q"&amp;ROUNDUP(MONTH(B3662)/3,0)</f>
        <v>Q1</v>
      </c>
    </row>
    <row r="3663" customFormat="false" ht="15" hidden="false" customHeight="true" outlineLevel="0" collapsed="false">
      <c r="A3663" s="1" t="n">
        <v>13662</v>
      </c>
      <c r="B3663" s="14" t="n">
        <v>48223</v>
      </c>
      <c r="C3663" s="1" t="n">
        <v>1018</v>
      </c>
      <c r="D3663" s="1" t="s">
        <v>30</v>
      </c>
      <c r="E3663" s="1" t="s">
        <v>32</v>
      </c>
      <c r="F3663" s="1" t="n">
        <v>7</v>
      </c>
      <c r="G3663" s="15" t="n">
        <v>43.17</v>
      </c>
      <c r="H3663" s="16" t="n">
        <v>0.2</v>
      </c>
      <c r="I3663" s="1" t="s">
        <v>33</v>
      </c>
      <c r="J3663" s="1" t="n">
        <v>2</v>
      </c>
      <c r="K3663" s="1" t="n">
        <v>2.7</v>
      </c>
      <c r="L3663" s="15" t="n">
        <v>241.75</v>
      </c>
      <c r="M3663" s="15" t="n">
        <f aca="false">F3663*G3663</f>
        <v>302.19</v>
      </c>
      <c r="N3663" s="15" t="n">
        <f aca="false">M3663-L3663</f>
        <v>60.44</v>
      </c>
      <c r="O3663" s="1" t="n">
        <f aca="false">YEAR(B3663)</f>
        <v>2032</v>
      </c>
      <c r="P3663" s="1" t="n">
        <f aca="false">MONTH(B3663)</f>
        <v>1</v>
      </c>
      <c r="Q3663" s="1" t="str">
        <f aca="false">TEXT(B3663,"mmm")</f>
        <v>Jan</v>
      </c>
      <c r="R3663" s="1" t="str">
        <f aca="false">"Q"&amp;ROUNDUP(MONTH(B3663)/3,0)</f>
        <v>Q1</v>
      </c>
    </row>
    <row r="3664" customFormat="false" ht="15" hidden="false" customHeight="true" outlineLevel="0" collapsed="false">
      <c r="A3664" s="1" t="n">
        <v>13663</v>
      </c>
      <c r="B3664" s="14" t="n">
        <v>48224</v>
      </c>
      <c r="C3664" s="1" t="n">
        <v>1022</v>
      </c>
      <c r="D3664" s="1" t="s">
        <v>27</v>
      </c>
      <c r="E3664" s="1" t="s">
        <v>28</v>
      </c>
      <c r="F3664" s="1" t="n">
        <v>7</v>
      </c>
      <c r="G3664" s="15" t="n">
        <v>310.4</v>
      </c>
      <c r="H3664" s="16" t="n">
        <v>0.03</v>
      </c>
      <c r="I3664" s="1" t="s">
        <v>33</v>
      </c>
      <c r="J3664" s="1" t="n">
        <v>10</v>
      </c>
      <c r="K3664" s="1" t="n">
        <v>4.3</v>
      </c>
      <c r="L3664" s="15" t="n">
        <v>2107.62</v>
      </c>
      <c r="M3664" s="15" t="n">
        <f aca="false">F3664*G3664</f>
        <v>2172.8</v>
      </c>
      <c r="N3664" s="15" t="n">
        <f aca="false">M3664-L3664</f>
        <v>65.1799999999998</v>
      </c>
      <c r="O3664" s="1" t="n">
        <f aca="false">YEAR(B3664)</f>
        <v>2032</v>
      </c>
      <c r="P3664" s="1" t="n">
        <f aca="false">MONTH(B3664)</f>
        <v>1</v>
      </c>
      <c r="Q3664" s="1" t="str">
        <f aca="false">TEXT(B3664,"mmm")</f>
        <v>Jan</v>
      </c>
      <c r="R3664" s="1" t="str">
        <f aca="false">"Q"&amp;ROUNDUP(MONTH(B3664)/3,0)</f>
        <v>Q1</v>
      </c>
    </row>
    <row r="3665" customFormat="false" ht="15" hidden="false" customHeight="true" outlineLevel="0" collapsed="false">
      <c r="A3665" s="1" t="n">
        <v>13664</v>
      </c>
      <c r="B3665" s="14" t="n">
        <v>48225</v>
      </c>
      <c r="C3665" s="1" t="n">
        <v>1412</v>
      </c>
      <c r="D3665" s="1" t="s">
        <v>30</v>
      </c>
      <c r="E3665" s="1" t="s">
        <v>32</v>
      </c>
      <c r="F3665" s="1" t="n">
        <v>2</v>
      </c>
      <c r="G3665" s="15" t="n">
        <v>423.68</v>
      </c>
      <c r="H3665" s="16" t="n">
        <v>0.33</v>
      </c>
      <c r="I3665" s="1" t="s">
        <v>33</v>
      </c>
      <c r="J3665" s="1" t="n">
        <v>7</v>
      </c>
      <c r="K3665" s="1" t="n">
        <v>3.1</v>
      </c>
      <c r="L3665" s="15" t="n">
        <v>567.73</v>
      </c>
      <c r="M3665" s="15" t="n">
        <f aca="false">F3665*G3665</f>
        <v>847.36</v>
      </c>
      <c r="N3665" s="15" t="n">
        <f aca="false">M3665-L3665</f>
        <v>279.63</v>
      </c>
      <c r="O3665" s="1" t="n">
        <f aca="false">YEAR(B3665)</f>
        <v>2032</v>
      </c>
      <c r="P3665" s="1" t="n">
        <f aca="false">MONTH(B3665)</f>
        <v>1</v>
      </c>
      <c r="Q3665" s="1" t="str">
        <f aca="false">TEXT(B3665,"mmm")</f>
        <v>Jan</v>
      </c>
      <c r="R3665" s="1" t="str">
        <f aca="false">"Q"&amp;ROUNDUP(MONTH(B3665)/3,0)</f>
        <v>Q1</v>
      </c>
    </row>
    <row r="3666" customFormat="false" ht="15" hidden="false" customHeight="true" outlineLevel="0" collapsed="false">
      <c r="A3666" s="1" t="n">
        <v>13665</v>
      </c>
      <c r="B3666" s="14" t="n">
        <v>48226</v>
      </c>
      <c r="C3666" s="1" t="n">
        <v>1029</v>
      </c>
      <c r="D3666" s="1" t="s">
        <v>34</v>
      </c>
      <c r="E3666" s="1" t="s">
        <v>32</v>
      </c>
      <c r="F3666" s="1" t="n">
        <v>6</v>
      </c>
      <c r="G3666" s="15" t="n">
        <v>332.62</v>
      </c>
      <c r="H3666" s="16" t="n">
        <v>0.22</v>
      </c>
      <c r="I3666" s="1" t="s">
        <v>31</v>
      </c>
      <c r="J3666" s="1" t="n">
        <v>9</v>
      </c>
      <c r="K3666" s="1" t="n">
        <v>4.3</v>
      </c>
      <c r="L3666" s="15" t="n">
        <v>1556.66</v>
      </c>
      <c r="M3666" s="15" t="n">
        <f aca="false">F3666*G3666</f>
        <v>1995.72</v>
      </c>
      <c r="N3666" s="15" t="n">
        <f aca="false">M3666-L3666</f>
        <v>439.06</v>
      </c>
      <c r="O3666" s="1" t="n">
        <f aca="false">YEAR(B3666)</f>
        <v>2032</v>
      </c>
      <c r="P3666" s="1" t="n">
        <f aca="false">MONTH(B3666)</f>
        <v>1</v>
      </c>
      <c r="Q3666" s="1" t="str">
        <f aca="false">TEXT(B3666,"mmm")</f>
        <v>Jan</v>
      </c>
      <c r="R3666" s="1" t="str">
        <f aca="false">"Q"&amp;ROUNDUP(MONTH(B3666)/3,0)</f>
        <v>Q1</v>
      </c>
    </row>
    <row r="3667" customFormat="false" ht="15" hidden="false" customHeight="true" outlineLevel="0" collapsed="false">
      <c r="A3667" s="1" t="n">
        <v>13666</v>
      </c>
      <c r="B3667" s="14" t="n">
        <v>48227</v>
      </c>
      <c r="C3667" s="1" t="n">
        <v>1806</v>
      </c>
      <c r="D3667" s="1" t="s">
        <v>30</v>
      </c>
      <c r="E3667" s="1" t="s">
        <v>32</v>
      </c>
      <c r="F3667" s="1" t="n">
        <v>2</v>
      </c>
      <c r="G3667" s="15" t="n">
        <v>404.99</v>
      </c>
      <c r="H3667" s="16" t="n">
        <v>0.06</v>
      </c>
      <c r="I3667" s="1" t="s">
        <v>31</v>
      </c>
      <c r="J3667" s="1" t="n">
        <v>1</v>
      </c>
      <c r="K3667" s="1" t="n">
        <v>5</v>
      </c>
      <c r="L3667" s="15" t="n">
        <v>761.38</v>
      </c>
      <c r="M3667" s="15" t="n">
        <f aca="false">F3667*G3667</f>
        <v>809.98</v>
      </c>
      <c r="N3667" s="15" t="n">
        <f aca="false">M3667-L3667</f>
        <v>48.6</v>
      </c>
      <c r="O3667" s="1" t="n">
        <f aca="false">YEAR(B3667)</f>
        <v>2032</v>
      </c>
      <c r="P3667" s="1" t="n">
        <f aca="false">MONTH(B3667)</f>
        <v>1</v>
      </c>
      <c r="Q3667" s="1" t="str">
        <f aca="false">TEXT(B3667,"mmm")</f>
        <v>Jan</v>
      </c>
      <c r="R3667" s="1" t="str">
        <f aca="false">"Q"&amp;ROUNDUP(MONTH(B3667)/3,0)</f>
        <v>Q1</v>
      </c>
    </row>
    <row r="3668" customFormat="false" ht="15" hidden="false" customHeight="true" outlineLevel="0" collapsed="false">
      <c r="A3668" s="1" t="n">
        <v>13667</v>
      </c>
      <c r="B3668" s="14" t="n">
        <v>48228</v>
      </c>
      <c r="C3668" s="1" t="n">
        <v>1107</v>
      </c>
      <c r="D3668" s="1" t="s">
        <v>37</v>
      </c>
      <c r="E3668" s="1" t="s">
        <v>35</v>
      </c>
      <c r="F3668" s="1" t="n">
        <v>2</v>
      </c>
      <c r="G3668" s="15" t="n">
        <v>493.46</v>
      </c>
      <c r="H3668" s="16" t="n">
        <v>0.2</v>
      </c>
      <c r="I3668" s="1" t="s">
        <v>31</v>
      </c>
      <c r="J3668" s="1" t="n">
        <v>11</v>
      </c>
      <c r="K3668" s="1" t="n">
        <v>3.6</v>
      </c>
      <c r="L3668" s="15" t="n">
        <v>789.54</v>
      </c>
      <c r="M3668" s="15" t="n">
        <f aca="false">F3668*G3668</f>
        <v>986.92</v>
      </c>
      <c r="N3668" s="15" t="n">
        <f aca="false">M3668-L3668</f>
        <v>197.38</v>
      </c>
      <c r="O3668" s="1" t="n">
        <f aca="false">YEAR(B3668)</f>
        <v>2032</v>
      </c>
      <c r="P3668" s="1" t="n">
        <f aca="false">MONTH(B3668)</f>
        <v>1</v>
      </c>
      <c r="Q3668" s="1" t="str">
        <f aca="false">TEXT(B3668,"mmm")</f>
        <v>Jan</v>
      </c>
      <c r="R3668" s="1" t="str">
        <f aca="false">"Q"&amp;ROUNDUP(MONTH(B3668)/3,0)</f>
        <v>Q1</v>
      </c>
    </row>
    <row r="3669" customFormat="false" ht="15" hidden="false" customHeight="true" outlineLevel="0" collapsed="false">
      <c r="A3669" s="1" t="n">
        <v>13668</v>
      </c>
      <c r="B3669" s="14" t="n">
        <v>48229</v>
      </c>
      <c r="C3669" s="1" t="n">
        <v>1366</v>
      </c>
      <c r="D3669" s="1" t="s">
        <v>30</v>
      </c>
      <c r="E3669" s="1" t="s">
        <v>32</v>
      </c>
      <c r="F3669" s="1" t="n">
        <v>6</v>
      </c>
      <c r="G3669" s="15" t="n">
        <v>233.99</v>
      </c>
      <c r="H3669" s="16" t="n">
        <v>0.05</v>
      </c>
      <c r="I3669" s="1" t="s">
        <v>29</v>
      </c>
      <c r="J3669" s="1" t="n">
        <v>3</v>
      </c>
      <c r="K3669" s="1" t="n">
        <v>3.1</v>
      </c>
      <c r="L3669" s="15" t="n">
        <v>1333.74</v>
      </c>
      <c r="M3669" s="15" t="n">
        <f aca="false">F3669*G3669</f>
        <v>1403.94</v>
      </c>
      <c r="N3669" s="15" t="n">
        <f aca="false">M3669-L3669</f>
        <v>70.2000000000001</v>
      </c>
      <c r="O3669" s="1" t="n">
        <f aca="false">YEAR(B3669)</f>
        <v>2032</v>
      </c>
      <c r="P3669" s="1" t="n">
        <f aca="false">MONTH(B3669)</f>
        <v>1</v>
      </c>
      <c r="Q3669" s="1" t="str">
        <f aca="false">TEXT(B3669,"mmm")</f>
        <v>Jan</v>
      </c>
      <c r="R3669" s="1" t="str">
        <f aca="false">"Q"&amp;ROUNDUP(MONTH(B3669)/3,0)</f>
        <v>Q1</v>
      </c>
    </row>
    <row r="3670" customFormat="false" ht="15" hidden="false" customHeight="true" outlineLevel="0" collapsed="false">
      <c r="A3670" s="1" t="n">
        <v>13669</v>
      </c>
      <c r="B3670" s="14" t="n">
        <v>48230</v>
      </c>
      <c r="C3670" s="1" t="n">
        <v>1280</v>
      </c>
      <c r="D3670" s="1" t="s">
        <v>37</v>
      </c>
      <c r="E3670" s="1" t="s">
        <v>36</v>
      </c>
      <c r="F3670" s="1" t="n">
        <v>2</v>
      </c>
      <c r="G3670" s="15" t="n">
        <v>511.47</v>
      </c>
      <c r="H3670" s="16" t="n">
        <v>0.01</v>
      </c>
      <c r="I3670" s="1" t="s">
        <v>31</v>
      </c>
      <c r="J3670" s="1" t="n">
        <v>6</v>
      </c>
      <c r="K3670" s="1" t="n">
        <v>2.5</v>
      </c>
      <c r="L3670" s="15" t="n">
        <v>1012.71</v>
      </c>
      <c r="M3670" s="15" t="n">
        <f aca="false">F3670*G3670</f>
        <v>1022.94</v>
      </c>
      <c r="N3670" s="15" t="n">
        <f aca="false">M3670-L3670</f>
        <v>10.23</v>
      </c>
      <c r="O3670" s="1" t="n">
        <f aca="false">YEAR(B3670)</f>
        <v>2032</v>
      </c>
      <c r="P3670" s="1" t="n">
        <f aca="false">MONTH(B3670)</f>
        <v>1</v>
      </c>
      <c r="Q3670" s="1" t="str">
        <f aca="false">TEXT(B3670,"mmm")</f>
        <v>Jan</v>
      </c>
      <c r="R3670" s="1" t="str">
        <f aca="false">"Q"&amp;ROUNDUP(MONTH(B3670)/3,0)</f>
        <v>Q1</v>
      </c>
    </row>
    <row r="3671" customFormat="false" ht="15" hidden="false" customHeight="true" outlineLevel="0" collapsed="false">
      <c r="A3671" s="1" t="n">
        <v>13670</v>
      </c>
      <c r="B3671" s="14" t="n">
        <v>48231</v>
      </c>
      <c r="C3671" s="1" t="n">
        <v>1127</v>
      </c>
      <c r="D3671" s="1" t="s">
        <v>27</v>
      </c>
      <c r="E3671" s="1" t="s">
        <v>32</v>
      </c>
      <c r="F3671" s="1" t="n">
        <v>1</v>
      </c>
      <c r="G3671" s="15" t="n">
        <v>110.31</v>
      </c>
      <c r="H3671" s="16" t="n">
        <v>0.22</v>
      </c>
      <c r="I3671" s="1" t="s">
        <v>33</v>
      </c>
      <c r="J3671" s="1" t="n">
        <v>4</v>
      </c>
      <c r="K3671" s="1" t="n">
        <v>1.8</v>
      </c>
      <c r="L3671" s="15" t="n">
        <v>86.04</v>
      </c>
      <c r="M3671" s="15" t="n">
        <f aca="false">F3671*G3671</f>
        <v>110.31</v>
      </c>
      <c r="N3671" s="15" t="n">
        <f aca="false">M3671-L3671</f>
        <v>24.27</v>
      </c>
      <c r="O3671" s="1" t="n">
        <f aca="false">YEAR(B3671)</f>
        <v>2032</v>
      </c>
      <c r="P3671" s="1" t="n">
        <f aca="false">MONTH(B3671)</f>
        <v>1</v>
      </c>
      <c r="Q3671" s="1" t="str">
        <f aca="false">TEXT(B3671,"mmm")</f>
        <v>Jan</v>
      </c>
      <c r="R3671" s="1" t="str">
        <f aca="false">"Q"&amp;ROUNDUP(MONTH(B3671)/3,0)</f>
        <v>Q1</v>
      </c>
    </row>
    <row r="3672" customFormat="false" ht="15" hidden="false" customHeight="true" outlineLevel="0" collapsed="false">
      <c r="A3672" s="1" t="n">
        <v>13671</v>
      </c>
      <c r="B3672" s="14" t="n">
        <v>48232</v>
      </c>
      <c r="C3672" s="1" t="n">
        <v>1228</v>
      </c>
      <c r="D3672" s="1" t="s">
        <v>27</v>
      </c>
      <c r="E3672" s="1" t="s">
        <v>28</v>
      </c>
      <c r="F3672" s="1" t="n">
        <v>7</v>
      </c>
      <c r="G3672" s="15" t="n">
        <v>173.47</v>
      </c>
      <c r="H3672" s="16" t="n">
        <v>0.23</v>
      </c>
      <c r="I3672" s="1" t="s">
        <v>29</v>
      </c>
      <c r="J3672" s="1" t="n">
        <v>10</v>
      </c>
      <c r="K3672" s="1" t="n">
        <v>3.6</v>
      </c>
      <c r="L3672" s="15" t="n">
        <v>935</v>
      </c>
      <c r="M3672" s="15" t="n">
        <f aca="false">F3672*G3672</f>
        <v>1214.29</v>
      </c>
      <c r="N3672" s="15" t="n">
        <f aca="false">M3672-L3672</f>
        <v>279.29</v>
      </c>
      <c r="O3672" s="1" t="n">
        <f aca="false">YEAR(B3672)</f>
        <v>2032</v>
      </c>
      <c r="P3672" s="1" t="n">
        <f aca="false">MONTH(B3672)</f>
        <v>1</v>
      </c>
      <c r="Q3672" s="1" t="str">
        <f aca="false">TEXT(B3672,"mmm")</f>
        <v>Jan</v>
      </c>
      <c r="R3672" s="1" t="str">
        <f aca="false">"Q"&amp;ROUNDUP(MONTH(B3672)/3,0)</f>
        <v>Q1</v>
      </c>
    </row>
    <row r="3673" customFormat="false" ht="15" hidden="false" customHeight="true" outlineLevel="0" collapsed="false">
      <c r="A3673" s="1" t="n">
        <v>13672</v>
      </c>
      <c r="B3673" s="14" t="n">
        <v>48233</v>
      </c>
      <c r="C3673" s="1" t="n">
        <v>1110</v>
      </c>
      <c r="D3673" s="1" t="s">
        <v>27</v>
      </c>
      <c r="E3673" s="1" t="s">
        <v>36</v>
      </c>
      <c r="F3673" s="1" t="n">
        <v>3</v>
      </c>
      <c r="G3673" s="15" t="n">
        <v>40.36</v>
      </c>
      <c r="H3673" s="16" t="n">
        <v>0.2</v>
      </c>
      <c r="I3673" s="1" t="s">
        <v>29</v>
      </c>
      <c r="J3673" s="1" t="n">
        <v>10</v>
      </c>
      <c r="K3673" s="1" t="n">
        <v>1.3</v>
      </c>
      <c r="L3673" s="15" t="n">
        <v>96.86</v>
      </c>
      <c r="M3673" s="15" t="n">
        <f aca="false">F3673*G3673</f>
        <v>121.08</v>
      </c>
      <c r="N3673" s="15" t="n">
        <f aca="false">M3673-L3673</f>
        <v>24.22</v>
      </c>
      <c r="O3673" s="1" t="n">
        <f aca="false">YEAR(B3673)</f>
        <v>2032</v>
      </c>
      <c r="P3673" s="1" t="n">
        <f aca="false">MONTH(B3673)</f>
        <v>1</v>
      </c>
      <c r="Q3673" s="1" t="str">
        <f aca="false">TEXT(B3673,"mmm")</f>
        <v>Jan</v>
      </c>
      <c r="R3673" s="1" t="str">
        <f aca="false">"Q"&amp;ROUNDUP(MONTH(B3673)/3,0)</f>
        <v>Q1</v>
      </c>
    </row>
    <row r="3674" customFormat="false" ht="15" hidden="false" customHeight="true" outlineLevel="0" collapsed="false">
      <c r="A3674" s="1" t="n">
        <v>13673</v>
      </c>
      <c r="B3674" s="14" t="n">
        <v>48234</v>
      </c>
      <c r="C3674" s="1" t="n">
        <v>1135</v>
      </c>
      <c r="D3674" s="1" t="s">
        <v>34</v>
      </c>
      <c r="E3674" s="1" t="s">
        <v>28</v>
      </c>
      <c r="F3674" s="1" t="n">
        <v>6</v>
      </c>
      <c r="G3674" s="15" t="n">
        <v>228.19</v>
      </c>
      <c r="H3674" s="16" t="n">
        <v>0.06</v>
      </c>
      <c r="I3674" s="1" t="s">
        <v>31</v>
      </c>
      <c r="J3674" s="1" t="n">
        <v>1</v>
      </c>
      <c r="K3674" s="1" t="n">
        <v>4.8</v>
      </c>
      <c r="L3674" s="15" t="n">
        <v>1286.99</v>
      </c>
      <c r="M3674" s="15" t="n">
        <f aca="false">F3674*G3674</f>
        <v>1369.14</v>
      </c>
      <c r="N3674" s="15" t="n">
        <f aca="false">M3674-L3674</f>
        <v>82.1499999999999</v>
      </c>
      <c r="O3674" s="1" t="n">
        <f aca="false">YEAR(B3674)</f>
        <v>2032</v>
      </c>
      <c r="P3674" s="1" t="n">
        <f aca="false">MONTH(B3674)</f>
        <v>1</v>
      </c>
      <c r="Q3674" s="1" t="str">
        <f aca="false">TEXT(B3674,"mmm")</f>
        <v>Jan</v>
      </c>
      <c r="R3674" s="1" t="str">
        <f aca="false">"Q"&amp;ROUNDUP(MONTH(B3674)/3,0)</f>
        <v>Q1</v>
      </c>
    </row>
    <row r="3675" customFormat="false" ht="15" hidden="false" customHeight="true" outlineLevel="0" collapsed="false">
      <c r="A3675" s="1" t="n">
        <v>13674</v>
      </c>
      <c r="B3675" s="14" t="n">
        <v>48235</v>
      </c>
      <c r="C3675" s="1" t="n">
        <v>1361</v>
      </c>
      <c r="D3675" s="1" t="s">
        <v>30</v>
      </c>
      <c r="E3675" s="1" t="s">
        <v>28</v>
      </c>
      <c r="F3675" s="1" t="n">
        <v>4</v>
      </c>
      <c r="G3675" s="15" t="n">
        <v>237.25</v>
      </c>
      <c r="H3675" s="16" t="n">
        <v>0.21</v>
      </c>
      <c r="I3675" s="1" t="s">
        <v>29</v>
      </c>
      <c r="J3675" s="1" t="n">
        <v>9</v>
      </c>
      <c r="K3675" s="1" t="n">
        <v>3.6</v>
      </c>
      <c r="L3675" s="15" t="n">
        <v>749.71</v>
      </c>
      <c r="M3675" s="15" t="n">
        <f aca="false">F3675*G3675</f>
        <v>949</v>
      </c>
      <c r="N3675" s="15" t="n">
        <f aca="false">M3675-L3675</f>
        <v>199.29</v>
      </c>
      <c r="O3675" s="1" t="n">
        <f aca="false">YEAR(B3675)</f>
        <v>2032</v>
      </c>
      <c r="P3675" s="1" t="n">
        <f aca="false">MONTH(B3675)</f>
        <v>1</v>
      </c>
      <c r="Q3675" s="1" t="str">
        <f aca="false">TEXT(B3675,"mmm")</f>
        <v>Jan</v>
      </c>
      <c r="R3675" s="1" t="str">
        <f aca="false">"Q"&amp;ROUNDUP(MONTH(B3675)/3,0)</f>
        <v>Q1</v>
      </c>
    </row>
    <row r="3676" customFormat="false" ht="15" hidden="false" customHeight="true" outlineLevel="0" collapsed="false">
      <c r="A3676" s="1" t="n">
        <v>13675</v>
      </c>
      <c r="B3676" s="14" t="n">
        <v>48236</v>
      </c>
      <c r="C3676" s="1" t="n">
        <v>1185</v>
      </c>
      <c r="D3676" s="1" t="s">
        <v>37</v>
      </c>
      <c r="E3676" s="1" t="s">
        <v>28</v>
      </c>
      <c r="F3676" s="1" t="n">
        <v>6</v>
      </c>
      <c r="G3676" s="15" t="n">
        <v>486.08</v>
      </c>
      <c r="H3676" s="16" t="n">
        <v>0.02</v>
      </c>
      <c r="I3676" s="1" t="s">
        <v>31</v>
      </c>
      <c r="J3676" s="1" t="n">
        <v>7</v>
      </c>
      <c r="K3676" s="1" t="n">
        <v>4.8</v>
      </c>
      <c r="L3676" s="15" t="n">
        <v>2858.15</v>
      </c>
      <c r="M3676" s="15" t="n">
        <f aca="false">F3676*G3676</f>
        <v>2916.48</v>
      </c>
      <c r="N3676" s="15" t="n">
        <f aca="false">M3676-L3676</f>
        <v>58.3299999999999</v>
      </c>
      <c r="O3676" s="1" t="n">
        <f aca="false">YEAR(B3676)</f>
        <v>2032</v>
      </c>
      <c r="P3676" s="1" t="n">
        <f aca="false">MONTH(B3676)</f>
        <v>1</v>
      </c>
      <c r="Q3676" s="1" t="str">
        <f aca="false">TEXT(B3676,"mmm")</f>
        <v>Jan</v>
      </c>
      <c r="R3676" s="1" t="str">
        <f aca="false">"Q"&amp;ROUNDUP(MONTH(B3676)/3,0)</f>
        <v>Q1</v>
      </c>
    </row>
    <row r="3677" customFormat="false" ht="15" hidden="false" customHeight="true" outlineLevel="0" collapsed="false">
      <c r="A3677" s="1" t="n">
        <v>13676</v>
      </c>
      <c r="B3677" s="14" t="n">
        <v>48237</v>
      </c>
      <c r="C3677" s="1" t="n">
        <v>1655</v>
      </c>
      <c r="D3677" s="1" t="s">
        <v>37</v>
      </c>
      <c r="E3677" s="1" t="s">
        <v>36</v>
      </c>
      <c r="F3677" s="1" t="n">
        <v>5</v>
      </c>
      <c r="G3677" s="15" t="n">
        <v>397.08</v>
      </c>
      <c r="H3677" s="16" t="n">
        <v>0.21</v>
      </c>
      <c r="I3677" s="1" t="s">
        <v>33</v>
      </c>
      <c r="J3677" s="1" t="n">
        <v>11</v>
      </c>
      <c r="K3677" s="1" t="n">
        <v>2.1</v>
      </c>
      <c r="L3677" s="15" t="n">
        <v>1568.47</v>
      </c>
      <c r="M3677" s="15" t="n">
        <f aca="false">F3677*G3677</f>
        <v>1985.4</v>
      </c>
      <c r="N3677" s="15" t="n">
        <f aca="false">M3677-L3677</f>
        <v>416.93</v>
      </c>
      <c r="O3677" s="1" t="n">
        <f aca="false">YEAR(B3677)</f>
        <v>2032</v>
      </c>
      <c r="P3677" s="1" t="n">
        <f aca="false">MONTH(B3677)</f>
        <v>1</v>
      </c>
      <c r="Q3677" s="1" t="str">
        <f aca="false">TEXT(B3677,"mmm")</f>
        <v>Jan</v>
      </c>
      <c r="R3677" s="1" t="str">
        <f aca="false">"Q"&amp;ROUNDUP(MONTH(B3677)/3,0)</f>
        <v>Q1</v>
      </c>
    </row>
    <row r="3678" customFormat="false" ht="15" hidden="false" customHeight="true" outlineLevel="0" collapsed="false">
      <c r="A3678" s="1" t="n">
        <v>13677</v>
      </c>
      <c r="B3678" s="14" t="n">
        <v>48238</v>
      </c>
      <c r="C3678" s="1" t="n">
        <v>1583</v>
      </c>
      <c r="D3678" s="1" t="s">
        <v>30</v>
      </c>
      <c r="E3678" s="1" t="s">
        <v>36</v>
      </c>
      <c r="F3678" s="1" t="n">
        <v>4</v>
      </c>
      <c r="G3678" s="15" t="n">
        <v>270.48</v>
      </c>
      <c r="H3678" s="16" t="n">
        <v>0.19</v>
      </c>
      <c r="I3678" s="1" t="s">
        <v>33</v>
      </c>
      <c r="J3678" s="1" t="n">
        <v>7</v>
      </c>
      <c r="K3678" s="1" t="n">
        <v>4.8</v>
      </c>
      <c r="L3678" s="15" t="n">
        <v>876.36</v>
      </c>
      <c r="M3678" s="15" t="n">
        <f aca="false">F3678*G3678</f>
        <v>1081.92</v>
      </c>
      <c r="N3678" s="15" t="n">
        <f aca="false">M3678-L3678</f>
        <v>205.56</v>
      </c>
      <c r="O3678" s="1" t="n">
        <f aca="false">YEAR(B3678)</f>
        <v>2032</v>
      </c>
      <c r="P3678" s="1" t="n">
        <f aca="false">MONTH(B3678)</f>
        <v>1</v>
      </c>
      <c r="Q3678" s="1" t="str">
        <f aca="false">TEXT(B3678,"mmm")</f>
        <v>Jan</v>
      </c>
      <c r="R3678" s="1" t="str">
        <f aca="false">"Q"&amp;ROUNDUP(MONTH(B3678)/3,0)</f>
        <v>Q1</v>
      </c>
    </row>
    <row r="3679" customFormat="false" ht="15" hidden="false" customHeight="true" outlineLevel="0" collapsed="false">
      <c r="A3679" s="1" t="n">
        <v>13678</v>
      </c>
      <c r="B3679" s="14" t="n">
        <v>48239</v>
      </c>
      <c r="C3679" s="1" t="n">
        <v>1128</v>
      </c>
      <c r="D3679" s="1" t="s">
        <v>34</v>
      </c>
      <c r="E3679" s="1" t="s">
        <v>35</v>
      </c>
      <c r="F3679" s="1" t="n">
        <v>5</v>
      </c>
      <c r="G3679" s="15" t="n">
        <v>396.49</v>
      </c>
      <c r="H3679" s="16" t="n">
        <v>0.23</v>
      </c>
      <c r="I3679" s="1" t="s">
        <v>31</v>
      </c>
      <c r="J3679" s="1" t="n">
        <v>1</v>
      </c>
      <c r="K3679" s="1" t="n">
        <v>3.4</v>
      </c>
      <c r="L3679" s="15" t="n">
        <v>1526.49</v>
      </c>
      <c r="M3679" s="15" t="n">
        <f aca="false">F3679*G3679</f>
        <v>1982.45</v>
      </c>
      <c r="N3679" s="15" t="n">
        <f aca="false">M3679-L3679</f>
        <v>455.96</v>
      </c>
      <c r="O3679" s="1" t="n">
        <f aca="false">YEAR(B3679)</f>
        <v>2032</v>
      </c>
      <c r="P3679" s="1" t="n">
        <f aca="false">MONTH(B3679)</f>
        <v>1</v>
      </c>
      <c r="Q3679" s="1" t="str">
        <f aca="false">TEXT(B3679,"mmm")</f>
        <v>Jan</v>
      </c>
      <c r="R3679" s="1" t="str">
        <f aca="false">"Q"&amp;ROUNDUP(MONTH(B3679)/3,0)</f>
        <v>Q1</v>
      </c>
    </row>
    <row r="3680" customFormat="false" ht="15" hidden="false" customHeight="true" outlineLevel="0" collapsed="false">
      <c r="A3680" s="1" t="n">
        <v>13679</v>
      </c>
      <c r="B3680" s="14" t="n">
        <v>48240</v>
      </c>
      <c r="C3680" s="1" t="n">
        <v>1875</v>
      </c>
      <c r="D3680" s="1" t="s">
        <v>37</v>
      </c>
      <c r="E3680" s="1" t="s">
        <v>36</v>
      </c>
      <c r="F3680" s="1" t="n">
        <v>6</v>
      </c>
      <c r="G3680" s="15" t="n">
        <v>45.88</v>
      </c>
      <c r="H3680" s="16" t="n">
        <v>0.31</v>
      </c>
      <c r="I3680" s="1" t="s">
        <v>31</v>
      </c>
      <c r="J3680" s="1" t="n">
        <v>9</v>
      </c>
      <c r="K3680" s="1" t="n">
        <v>4.2</v>
      </c>
      <c r="L3680" s="15" t="n">
        <v>189.94</v>
      </c>
      <c r="M3680" s="15" t="n">
        <f aca="false">F3680*G3680</f>
        <v>275.28</v>
      </c>
      <c r="N3680" s="15" t="n">
        <f aca="false">M3680-L3680</f>
        <v>85.34</v>
      </c>
      <c r="O3680" s="1" t="n">
        <f aca="false">YEAR(B3680)</f>
        <v>2032</v>
      </c>
      <c r="P3680" s="1" t="n">
        <f aca="false">MONTH(B3680)</f>
        <v>1</v>
      </c>
      <c r="Q3680" s="1" t="str">
        <f aca="false">TEXT(B3680,"mmm")</f>
        <v>Jan</v>
      </c>
      <c r="R3680" s="1" t="str">
        <f aca="false">"Q"&amp;ROUNDUP(MONTH(B3680)/3,0)</f>
        <v>Q1</v>
      </c>
    </row>
    <row r="3681" customFormat="false" ht="15" hidden="false" customHeight="true" outlineLevel="0" collapsed="false">
      <c r="A3681" s="1" t="n">
        <v>13680</v>
      </c>
      <c r="B3681" s="14" t="n">
        <v>48241</v>
      </c>
      <c r="C3681" s="1" t="n">
        <v>1260</v>
      </c>
      <c r="D3681" s="1" t="s">
        <v>37</v>
      </c>
      <c r="E3681" s="1" t="s">
        <v>32</v>
      </c>
      <c r="F3681" s="1" t="n">
        <v>5</v>
      </c>
      <c r="G3681" s="15" t="n">
        <v>120.46</v>
      </c>
      <c r="H3681" s="16" t="n">
        <v>0.3</v>
      </c>
      <c r="I3681" s="1" t="s">
        <v>33</v>
      </c>
      <c r="J3681" s="1" t="n">
        <v>8</v>
      </c>
      <c r="K3681" s="1" t="n">
        <v>1.7</v>
      </c>
      <c r="L3681" s="15" t="n">
        <v>421.61</v>
      </c>
      <c r="M3681" s="15" t="n">
        <f aca="false">F3681*G3681</f>
        <v>602.3</v>
      </c>
      <c r="N3681" s="15" t="n">
        <f aca="false">M3681-L3681</f>
        <v>180.69</v>
      </c>
      <c r="O3681" s="1" t="n">
        <f aca="false">YEAR(B3681)</f>
        <v>2032</v>
      </c>
      <c r="P3681" s="1" t="n">
        <f aca="false">MONTH(B3681)</f>
        <v>1</v>
      </c>
      <c r="Q3681" s="1" t="str">
        <f aca="false">TEXT(B3681,"mmm")</f>
        <v>Jan</v>
      </c>
      <c r="R3681" s="1" t="str">
        <f aca="false">"Q"&amp;ROUNDUP(MONTH(B3681)/3,0)</f>
        <v>Q1</v>
      </c>
    </row>
    <row r="3682" customFormat="false" ht="15" hidden="false" customHeight="true" outlineLevel="0" collapsed="false">
      <c r="A3682" s="1" t="n">
        <v>13681</v>
      </c>
      <c r="B3682" s="14" t="n">
        <v>48242</v>
      </c>
      <c r="C3682" s="1" t="n">
        <v>1514</v>
      </c>
      <c r="D3682" s="1" t="s">
        <v>34</v>
      </c>
      <c r="E3682" s="1" t="s">
        <v>28</v>
      </c>
      <c r="F3682" s="1" t="n">
        <v>4</v>
      </c>
      <c r="G3682" s="15" t="n">
        <v>381.76</v>
      </c>
      <c r="H3682" s="16" t="n">
        <v>0.34</v>
      </c>
      <c r="I3682" s="1" t="s">
        <v>31</v>
      </c>
      <c r="J3682" s="1" t="n">
        <v>11</v>
      </c>
      <c r="K3682" s="1" t="n">
        <v>3</v>
      </c>
      <c r="L3682" s="15" t="n">
        <v>1007.85</v>
      </c>
      <c r="M3682" s="15" t="n">
        <f aca="false">F3682*G3682</f>
        <v>1527.04</v>
      </c>
      <c r="N3682" s="15" t="n">
        <f aca="false">M3682-L3682</f>
        <v>519.19</v>
      </c>
      <c r="O3682" s="1" t="n">
        <f aca="false">YEAR(B3682)</f>
        <v>2032</v>
      </c>
      <c r="P3682" s="1" t="n">
        <f aca="false">MONTH(B3682)</f>
        <v>1</v>
      </c>
      <c r="Q3682" s="1" t="str">
        <f aca="false">TEXT(B3682,"mmm")</f>
        <v>Jan</v>
      </c>
      <c r="R3682" s="1" t="str">
        <f aca="false">"Q"&amp;ROUNDUP(MONTH(B3682)/3,0)</f>
        <v>Q1</v>
      </c>
    </row>
    <row r="3683" customFormat="false" ht="15" hidden="false" customHeight="true" outlineLevel="0" collapsed="false">
      <c r="A3683" s="1" t="n">
        <v>13682</v>
      </c>
      <c r="B3683" s="14" t="n">
        <v>48243</v>
      </c>
      <c r="C3683" s="1" t="n">
        <v>1448</v>
      </c>
      <c r="D3683" s="1" t="s">
        <v>30</v>
      </c>
      <c r="E3683" s="1" t="s">
        <v>35</v>
      </c>
      <c r="F3683" s="1" t="n">
        <v>1</v>
      </c>
      <c r="G3683" s="15" t="n">
        <v>390.2</v>
      </c>
      <c r="H3683" s="16" t="n">
        <v>0.34</v>
      </c>
      <c r="I3683" s="1" t="s">
        <v>29</v>
      </c>
      <c r="J3683" s="1" t="n">
        <v>10</v>
      </c>
      <c r="K3683" s="1" t="n">
        <v>3.3</v>
      </c>
      <c r="L3683" s="15" t="n">
        <v>257.53</v>
      </c>
      <c r="M3683" s="15" t="n">
        <f aca="false">F3683*G3683</f>
        <v>390.2</v>
      </c>
      <c r="N3683" s="15" t="n">
        <f aca="false">M3683-L3683</f>
        <v>132.67</v>
      </c>
      <c r="O3683" s="1" t="n">
        <f aca="false">YEAR(B3683)</f>
        <v>2032</v>
      </c>
      <c r="P3683" s="1" t="n">
        <f aca="false">MONTH(B3683)</f>
        <v>1</v>
      </c>
      <c r="Q3683" s="1" t="str">
        <f aca="false">TEXT(B3683,"mmm")</f>
        <v>Jan</v>
      </c>
      <c r="R3683" s="1" t="str">
        <f aca="false">"Q"&amp;ROUNDUP(MONTH(B3683)/3,0)</f>
        <v>Q1</v>
      </c>
    </row>
    <row r="3684" customFormat="false" ht="15" hidden="false" customHeight="true" outlineLevel="0" collapsed="false">
      <c r="A3684" s="1" t="n">
        <v>13683</v>
      </c>
      <c r="B3684" s="14" t="n">
        <v>48244</v>
      </c>
      <c r="C3684" s="1" t="n">
        <v>1899</v>
      </c>
      <c r="D3684" s="1" t="s">
        <v>34</v>
      </c>
      <c r="E3684" s="1" t="s">
        <v>36</v>
      </c>
      <c r="F3684" s="1" t="n">
        <v>6</v>
      </c>
      <c r="G3684" s="15" t="n">
        <v>467.87</v>
      </c>
      <c r="H3684" s="16" t="n">
        <v>0.27</v>
      </c>
      <c r="I3684" s="1" t="s">
        <v>31</v>
      </c>
      <c r="J3684" s="1" t="n">
        <v>5</v>
      </c>
      <c r="K3684" s="1" t="n">
        <v>2.6</v>
      </c>
      <c r="L3684" s="15" t="n">
        <v>2049.27</v>
      </c>
      <c r="M3684" s="15" t="n">
        <f aca="false">F3684*G3684</f>
        <v>2807.22</v>
      </c>
      <c r="N3684" s="15" t="n">
        <f aca="false">M3684-L3684</f>
        <v>757.95</v>
      </c>
      <c r="O3684" s="1" t="n">
        <f aca="false">YEAR(B3684)</f>
        <v>2032</v>
      </c>
      <c r="P3684" s="1" t="n">
        <f aca="false">MONTH(B3684)</f>
        <v>1</v>
      </c>
      <c r="Q3684" s="1" t="str">
        <f aca="false">TEXT(B3684,"mmm")</f>
        <v>Jan</v>
      </c>
      <c r="R3684" s="1" t="str">
        <f aca="false">"Q"&amp;ROUNDUP(MONTH(B3684)/3,0)</f>
        <v>Q1</v>
      </c>
    </row>
    <row r="3685" customFormat="false" ht="15" hidden="false" customHeight="true" outlineLevel="0" collapsed="false">
      <c r="A3685" s="1" t="n">
        <v>13684</v>
      </c>
      <c r="B3685" s="14" t="n">
        <v>48245</v>
      </c>
      <c r="C3685" s="1" t="n">
        <v>1103</v>
      </c>
      <c r="D3685" s="1" t="s">
        <v>34</v>
      </c>
      <c r="E3685" s="1" t="s">
        <v>28</v>
      </c>
      <c r="F3685" s="1" t="n">
        <v>6</v>
      </c>
      <c r="G3685" s="15" t="n">
        <v>250.75</v>
      </c>
      <c r="H3685" s="16" t="n">
        <v>0.33</v>
      </c>
      <c r="I3685" s="1" t="s">
        <v>29</v>
      </c>
      <c r="J3685" s="1" t="n">
        <v>4</v>
      </c>
      <c r="K3685" s="1" t="n">
        <v>2</v>
      </c>
      <c r="L3685" s="15" t="n">
        <v>1008.01</v>
      </c>
      <c r="M3685" s="15" t="n">
        <f aca="false">F3685*G3685</f>
        <v>1504.5</v>
      </c>
      <c r="N3685" s="15" t="n">
        <f aca="false">M3685-L3685</f>
        <v>496.49</v>
      </c>
      <c r="O3685" s="1" t="n">
        <f aca="false">YEAR(B3685)</f>
        <v>2032</v>
      </c>
      <c r="P3685" s="1" t="n">
        <f aca="false">MONTH(B3685)</f>
        <v>2</v>
      </c>
      <c r="Q3685" s="1" t="str">
        <f aca="false">TEXT(B3685,"mmm")</f>
        <v>Feb</v>
      </c>
      <c r="R3685" s="1" t="str">
        <f aca="false">"Q"&amp;ROUNDUP(MONTH(B3685)/3,0)</f>
        <v>Q1</v>
      </c>
    </row>
    <row r="3686" customFormat="false" ht="15" hidden="false" customHeight="true" outlineLevel="0" collapsed="false">
      <c r="A3686" s="1" t="n">
        <v>13685</v>
      </c>
      <c r="B3686" s="14" t="n">
        <v>48246</v>
      </c>
      <c r="C3686" s="1" t="n">
        <v>1482</v>
      </c>
      <c r="D3686" s="1" t="s">
        <v>34</v>
      </c>
      <c r="E3686" s="1" t="s">
        <v>36</v>
      </c>
      <c r="F3686" s="1" t="n">
        <v>2</v>
      </c>
      <c r="G3686" s="15" t="n">
        <v>437.69</v>
      </c>
      <c r="H3686" s="16" t="n">
        <v>0.3</v>
      </c>
      <c r="I3686" s="1" t="s">
        <v>33</v>
      </c>
      <c r="J3686" s="1" t="n">
        <v>1</v>
      </c>
      <c r="K3686" s="1" t="n">
        <v>4.6</v>
      </c>
      <c r="L3686" s="15" t="n">
        <v>612.77</v>
      </c>
      <c r="M3686" s="15" t="n">
        <f aca="false">F3686*G3686</f>
        <v>875.38</v>
      </c>
      <c r="N3686" s="15" t="n">
        <f aca="false">M3686-L3686</f>
        <v>262.61</v>
      </c>
      <c r="O3686" s="1" t="n">
        <f aca="false">YEAR(B3686)</f>
        <v>2032</v>
      </c>
      <c r="P3686" s="1" t="n">
        <f aca="false">MONTH(B3686)</f>
        <v>2</v>
      </c>
      <c r="Q3686" s="1" t="str">
        <f aca="false">TEXT(B3686,"mmm")</f>
        <v>Feb</v>
      </c>
      <c r="R3686" s="1" t="str">
        <f aca="false">"Q"&amp;ROUNDUP(MONTH(B3686)/3,0)</f>
        <v>Q1</v>
      </c>
    </row>
    <row r="3687" customFormat="false" ht="15" hidden="false" customHeight="true" outlineLevel="0" collapsed="false">
      <c r="A3687" s="1" t="n">
        <v>13686</v>
      </c>
      <c r="B3687" s="14" t="n">
        <v>48247</v>
      </c>
      <c r="C3687" s="1" t="n">
        <v>1223</v>
      </c>
      <c r="D3687" s="1" t="s">
        <v>30</v>
      </c>
      <c r="E3687" s="1" t="s">
        <v>35</v>
      </c>
      <c r="F3687" s="1" t="n">
        <v>6</v>
      </c>
      <c r="G3687" s="15" t="n">
        <v>415.13</v>
      </c>
      <c r="H3687" s="16" t="n">
        <v>0.25</v>
      </c>
      <c r="I3687" s="1" t="s">
        <v>29</v>
      </c>
      <c r="J3687" s="1" t="n">
        <v>9</v>
      </c>
      <c r="K3687" s="1" t="n">
        <v>1.3</v>
      </c>
      <c r="L3687" s="15" t="n">
        <v>1868.08</v>
      </c>
      <c r="M3687" s="15" t="n">
        <f aca="false">F3687*G3687</f>
        <v>2490.78</v>
      </c>
      <c r="N3687" s="15" t="n">
        <f aca="false">M3687-L3687</f>
        <v>622.7</v>
      </c>
      <c r="O3687" s="1" t="n">
        <f aca="false">YEAR(B3687)</f>
        <v>2032</v>
      </c>
      <c r="P3687" s="1" t="n">
        <f aca="false">MONTH(B3687)</f>
        <v>2</v>
      </c>
      <c r="Q3687" s="1" t="str">
        <f aca="false">TEXT(B3687,"mmm")</f>
        <v>Feb</v>
      </c>
      <c r="R3687" s="1" t="str">
        <f aca="false">"Q"&amp;ROUNDUP(MONTH(B3687)/3,0)</f>
        <v>Q1</v>
      </c>
    </row>
    <row r="3688" customFormat="false" ht="15" hidden="false" customHeight="true" outlineLevel="0" collapsed="false">
      <c r="A3688" s="1" t="n">
        <v>13687</v>
      </c>
      <c r="B3688" s="14" t="n">
        <v>48248</v>
      </c>
      <c r="C3688" s="1" t="n">
        <v>1831</v>
      </c>
      <c r="D3688" s="1" t="s">
        <v>30</v>
      </c>
      <c r="E3688" s="1" t="s">
        <v>36</v>
      </c>
      <c r="F3688" s="1" t="n">
        <v>7</v>
      </c>
      <c r="G3688" s="15" t="n">
        <v>578.59</v>
      </c>
      <c r="H3688" s="16" t="n">
        <v>0.03</v>
      </c>
      <c r="I3688" s="1" t="s">
        <v>33</v>
      </c>
      <c r="J3688" s="1" t="n">
        <v>8</v>
      </c>
      <c r="K3688" s="1" t="n">
        <v>1.6</v>
      </c>
      <c r="L3688" s="15" t="n">
        <v>3928.63</v>
      </c>
      <c r="M3688" s="15" t="n">
        <f aca="false">F3688*G3688</f>
        <v>4050.13</v>
      </c>
      <c r="N3688" s="15" t="n">
        <f aca="false">M3688-L3688</f>
        <v>121.5</v>
      </c>
      <c r="O3688" s="1" t="n">
        <f aca="false">YEAR(B3688)</f>
        <v>2032</v>
      </c>
      <c r="P3688" s="1" t="n">
        <f aca="false">MONTH(B3688)</f>
        <v>2</v>
      </c>
      <c r="Q3688" s="1" t="str">
        <f aca="false">TEXT(B3688,"mmm")</f>
        <v>Feb</v>
      </c>
      <c r="R3688" s="1" t="str">
        <f aca="false">"Q"&amp;ROUNDUP(MONTH(B3688)/3,0)</f>
        <v>Q1</v>
      </c>
    </row>
    <row r="3689" customFormat="false" ht="15" hidden="false" customHeight="true" outlineLevel="0" collapsed="false">
      <c r="A3689" s="1" t="n">
        <v>13688</v>
      </c>
      <c r="B3689" s="14" t="n">
        <v>48249</v>
      </c>
      <c r="C3689" s="1" t="n">
        <v>1873</v>
      </c>
      <c r="D3689" s="1" t="s">
        <v>30</v>
      </c>
      <c r="E3689" s="1" t="s">
        <v>36</v>
      </c>
      <c r="F3689" s="1" t="n">
        <v>7</v>
      </c>
      <c r="G3689" s="15" t="n">
        <v>140.85</v>
      </c>
      <c r="H3689" s="16" t="n">
        <v>0.02</v>
      </c>
      <c r="I3689" s="1" t="s">
        <v>29</v>
      </c>
      <c r="J3689" s="1" t="n">
        <v>2</v>
      </c>
      <c r="K3689" s="1" t="n">
        <v>2.3</v>
      </c>
      <c r="L3689" s="15" t="n">
        <v>966.23</v>
      </c>
      <c r="M3689" s="15" t="n">
        <f aca="false">F3689*G3689</f>
        <v>985.95</v>
      </c>
      <c r="N3689" s="15" t="n">
        <f aca="false">M3689-L3689</f>
        <v>19.7199999999999</v>
      </c>
      <c r="O3689" s="1" t="n">
        <f aca="false">YEAR(B3689)</f>
        <v>2032</v>
      </c>
      <c r="P3689" s="1" t="n">
        <f aca="false">MONTH(B3689)</f>
        <v>2</v>
      </c>
      <c r="Q3689" s="1" t="str">
        <f aca="false">TEXT(B3689,"mmm")</f>
        <v>Feb</v>
      </c>
      <c r="R3689" s="1" t="str">
        <f aca="false">"Q"&amp;ROUNDUP(MONTH(B3689)/3,0)</f>
        <v>Q1</v>
      </c>
    </row>
    <row r="3690" customFormat="false" ht="15" hidden="false" customHeight="true" outlineLevel="0" collapsed="false">
      <c r="A3690" s="1" t="n">
        <v>13689</v>
      </c>
      <c r="B3690" s="14" t="n">
        <v>48250</v>
      </c>
      <c r="C3690" s="1" t="n">
        <v>1865</v>
      </c>
      <c r="D3690" s="1" t="s">
        <v>37</v>
      </c>
      <c r="E3690" s="1" t="s">
        <v>28</v>
      </c>
      <c r="F3690" s="1" t="n">
        <v>6</v>
      </c>
      <c r="G3690" s="15" t="n">
        <v>337.73</v>
      </c>
      <c r="H3690" s="16" t="n">
        <v>0.29</v>
      </c>
      <c r="I3690" s="1" t="s">
        <v>31</v>
      </c>
      <c r="J3690" s="1" t="n">
        <v>4</v>
      </c>
      <c r="K3690" s="1" t="n">
        <v>4.7</v>
      </c>
      <c r="L3690" s="15" t="n">
        <v>1438.73</v>
      </c>
      <c r="M3690" s="15" t="n">
        <f aca="false">F3690*G3690</f>
        <v>2026.38</v>
      </c>
      <c r="N3690" s="15" t="n">
        <f aca="false">M3690-L3690</f>
        <v>587.65</v>
      </c>
      <c r="O3690" s="1" t="n">
        <f aca="false">YEAR(B3690)</f>
        <v>2032</v>
      </c>
      <c r="P3690" s="1" t="n">
        <f aca="false">MONTH(B3690)</f>
        <v>2</v>
      </c>
      <c r="Q3690" s="1" t="str">
        <f aca="false">TEXT(B3690,"mmm")</f>
        <v>Feb</v>
      </c>
      <c r="R3690" s="1" t="str">
        <f aca="false">"Q"&amp;ROUNDUP(MONTH(B3690)/3,0)</f>
        <v>Q1</v>
      </c>
    </row>
    <row r="3691" customFormat="false" ht="15" hidden="false" customHeight="true" outlineLevel="0" collapsed="false">
      <c r="A3691" s="1" t="n">
        <v>13690</v>
      </c>
      <c r="B3691" s="14" t="n">
        <v>48251</v>
      </c>
      <c r="C3691" s="1" t="n">
        <v>1490</v>
      </c>
      <c r="D3691" s="1" t="s">
        <v>37</v>
      </c>
      <c r="E3691" s="1" t="s">
        <v>32</v>
      </c>
      <c r="F3691" s="1" t="n">
        <v>1</v>
      </c>
      <c r="G3691" s="15" t="n">
        <v>367.03</v>
      </c>
      <c r="H3691" s="16" t="n">
        <v>0.17</v>
      </c>
      <c r="I3691" s="1" t="s">
        <v>33</v>
      </c>
      <c r="J3691" s="1" t="n">
        <v>4</v>
      </c>
      <c r="K3691" s="1" t="n">
        <v>3.3</v>
      </c>
      <c r="L3691" s="15" t="n">
        <v>304.63</v>
      </c>
      <c r="M3691" s="15" t="n">
        <f aca="false">F3691*G3691</f>
        <v>367.03</v>
      </c>
      <c r="N3691" s="15" t="n">
        <f aca="false">M3691-L3691</f>
        <v>62.4</v>
      </c>
      <c r="O3691" s="1" t="n">
        <f aca="false">YEAR(B3691)</f>
        <v>2032</v>
      </c>
      <c r="P3691" s="1" t="n">
        <f aca="false">MONTH(B3691)</f>
        <v>2</v>
      </c>
      <c r="Q3691" s="1" t="str">
        <f aca="false">TEXT(B3691,"mmm")</f>
        <v>Feb</v>
      </c>
      <c r="R3691" s="1" t="str">
        <f aca="false">"Q"&amp;ROUNDUP(MONTH(B3691)/3,0)</f>
        <v>Q1</v>
      </c>
    </row>
    <row r="3692" customFormat="false" ht="15" hidden="false" customHeight="true" outlineLevel="0" collapsed="false">
      <c r="A3692" s="1" t="n">
        <v>13691</v>
      </c>
      <c r="B3692" s="14" t="n">
        <v>48252</v>
      </c>
      <c r="C3692" s="1" t="n">
        <v>1472</v>
      </c>
      <c r="D3692" s="1" t="s">
        <v>34</v>
      </c>
      <c r="E3692" s="1" t="s">
        <v>36</v>
      </c>
      <c r="F3692" s="1" t="n">
        <v>2</v>
      </c>
      <c r="G3692" s="15" t="n">
        <v>599.21</v>
      </c>
      <c r="H3692" s="16" t="n">
        <v>0.29</v>
      </c>
      <c r="I3692" s="1" t="s">
        <v>31</v>
      </c>
      <c r="J3692" s="1" t="n">
        <v>7</v>
      </c>
      <c r="K3692" s="1" t="n">
        <v>2.5</v>
      </c>
      <c r="L3692" s="15" t="n">
        <v>850.88</v>
      </c>
      <c r="M3692" s="15" t="n">
        <f aca="false">F3692*G3692</f>
        <v>1198.42</v>
      </c>
      <c r="N3692" s="15" t="n">
        <f aca="false">M3692-L3692</f>
        <v>347.54</v>
      </c>
      <c r="O3692" s="1" t="n">
        <f aca="false">YEAR(B3692)</f>
        <v>2032</v>
      </c>
      <c r="P3692" s="1" t="n">
        <f aca="false">MONTH(B3692)</f>
        <v>2</v>
      </c>
      <c r="Q3692" s="1" t="str">
        <f aca="false">TEXT(B3692,"mmm")</f>
        <v>Feb</v>
      </c>
      <c r="R3692" s="1" t="str">
        <f aca="false">"Q"&amp;ROUNDUP(MONTH(B3692)/3,0)</f>
        <v>Q1</v>
      </c>
    </row>
    <row r="3693" customFormat="false" ht="15" hidden="false" customHeight="true" outlineLevel="0" collapsed="false">
      <c r="A3693" s="1" t="n">
        <v>13692</v>
      </c>
      <c r="B3693" s="14" t="n">
        <v>48253</v>
      </c>
      <c r="C3693" s="1" t="n">
        <v>1009</v>
      </c>
      <c r="D3693" s="1" t="s">
        <v>34</v>
      </c>
      <c r="E3693" s="1" t="s">
        <v>35</v>
      </c>
      <c r="F3693" s="1" t="n">
        <v>3</v>
      </c>
      <c r="G3693" s="15" t="n">
        <v>132.69</v>
      </c>
      <c r="H3693" s="16" t="n">
        <v>0.11</v>
      </c>
      <c r="I3693" s="1" t="s">
        <v>31</v>
      </c>
      <c r="J3693" s="1" t="n">
        <v>3</v>
      </c>
      <c r="K3693" s="1" t="n">
        <v>2.6</v>
      </c>
      <c r="L3693" s="15" t="n">
        <v>354.28</v>
      </c>
      <c r="M3693" s="15" t="n">
        <f aca="false">F3693*G3693</f>
        <v>398.07</v>
      </c>
      <c r="N3693" s="15" t="n">
        <f aca="false">M3693-L3693</f>
        <v>43.79</v>
      </c>
      <c r="O3693" s="1" t="n">
        <f aca="false">YEAR(B3693)</f>
        <v>2032</v>
      </c>
      <c r="P3693" s="1" t="n">
        <f aca="false">MONTH(B3693)</f>
        <v>2</v>
      </c>
      <c r="Q3693" s="1" t="str">
        <f aca="false">TEXT(B3693,"mmm")</f>
        <v>Feb</v>
      </c>
      <c r="R3693" s="1" t="str">
        <f aca="false">"Q"&amp;ROUNDUP(MONTH(B3693)/3,0)</f>
        <v>Q1</v>
      </c>
    </row>
    <row r="3694" customFormat="false" ht="15" hidden="false" customHeight="true" outlineLevel="0" collapsed="false">
      <c r="A3694" s="1" t="n">
        <v>13693</v>
      </c>
      <c r="B3694" s="14" t="n">
        <v>48254</v>
      </c>
      <c r="C3694" s="1" t="n">
        <v>1404</v>
      </c>
      <c r="D3694" s="1" t="s">
        <v>27</v>
      </c>
      <c r="E3694" s="1" t="s">
        <v>36</v>
      </c>
      <c r="F3694" s="1" t="n">
        <v>5</v>
      </c>
      <c r="G3694" s="15" t="n">
        <v>321.08</v>
      </c>
      <c r="H3694" s="16" t="n">
        <v>0.14</v>
      </c>
      <c r="I3694" s="1" t="s">
        <v>33</v>
      </c>
      <c r="J3694" s="1" t="n">
        <v>8</v>
      </c>
      <c r="K3694" s="1" t="n">
        <v>4.4</v>
      </c>
      <c r="L3694" s="15" t="n">
        <v>1380.64</v>
      </c>
      <c r="M3694" s="15" t="n">
        <f aca="false">F3694*G3694</f>
        <v>1605.4</v>
      </c>
      <c r="N3694" s="15" t="n">
        <f aca="false">M3694-L3694</f>
        <v>224.76</v>
      </c>
      <c r="O3694" s="1" t="n">
        <f aca="false">YEAR(B3694)</f>
        <v>2032</v>
      </c>
      <c r="P3694" s="1" t="n">
        <f aca="false">MONTH(B3694)</f>
        <v>2</v>
      </c>
      <c r="Q3694" s="1" t="str">
        <f aca="false">TEXT(B3694,"mmm")</f>
        <v>Feb</v>
      </c>
      <c r="R3694" s="1" t="str">
        <f aca="false">"Q"&amp;ROUNDUP(MONTH(B3694)/3,0)</f>
        <v>Q1</v>
      </c>
    </row>
    <row r="3695" customFormat="false" ht="15" hidden="false" customHeight="true" outlineLevel="0" collapsed="false">
      <c r="A3695" s="1" t="n">
        <v>13694</v>
      </c>
      <c r="B3695" s="14" t="n">
        <v>48255</v>
      </c>
      <c r="C3695" s="1" t="n">
        <v>1895</v>
      </c>
      <c r="D3695" s="1" t="s">
        <v>34</v>
      </c>
      <c r="E3695" s="1" t="s">
        <v>36</v>
      </c>
      <c r="F3695" s="1" t="n">
        <v>4</v>
      </c>
      <c r="G3695" s="15" t="n">
        <v>217.52</v>
      </c>
      <c r="H3695" s="16" t="n">
        <v>0.25</v>
      </c>
      <c r="I3695" s="1" t="s">
        <v>33</v>
      </c>
      <c r="J3695" s="1" t="n">
        <v>11</v>
      </c>
      <c r="K3695" s="1" t="n">
        <v>1.1</v>
      </c>
      <c r="L3695" s="15" t="n">
        <v>652.56</v>
      </c>
      <c r="M3695" s="15" t="n">
        <f aca="false">F3695*G3695</f>
        <v>870.08</v>
      </c>
      <c r="N3695" s="15" t="n">
        <f aca="false">M3695-L3695</f>
        <v>217.52</v>
      </c>
      <c r="O3695" s="1" t="n">
        <f aca="false">YEAR(B3695)</f>
        <v>2032</v>
      </c>
      <c r="P3695" s="1" t="n">
        <f aca="false">MONTH(B3695)</f>
        <v>2</v>
      </c>
      <c r="Q3695" s="1" t="str">
        <f aca="false">TEXT(B3695,"mmm")</f>
        <v>Feb</v>
      </c>
      <c r="R3695" s="1" t="str">
        <f aca="false">"Q"&amp;ROUNDUP(MONTH(B3695)/3,0)</f>
        <v>Q1</v>
      </c>
    </row>
    <row r="3696" customFormat="false" ht="15" hidden="false" customHeight="true" outlineLevel="0" collapsed="false">
      <c r="A3696" s="1" t="n">
        <v>13695</v>
      </c>
      <c r="B3696" s="14" t="n">
        <v>48256</v>
      </c>
      <c r="C3696" s="1" t="n">
        <v>1301</v>
      </c>
      <c r="D3696" s="1" t="s">
        <v>27</v>
      </c>
      <c r="E3696" s="1" t="s">
        <v>32</v>
      </c>
      <c r="F3696" s="1" t="n">
        <v>3</v>
      </c>
      <c r="G3696" s="15" t="n">
        <v>322.65</v>
      </c>
      <c r="H3696" s="16" t="n">
        <v>0.32</v>
      </c>
      <c r="I3696" s="1" t="s">
        <v>31</v>
      </c>
      <c r="J3696" s="1" t="n">
        <v>7</v>
      </c>
      <c r="K3696" s="1" t="n">
        <v>1</v>
      </c>
      <c r="L3696" s="15" t="n">
        <v>658.21</v>
      </c>
      <c r="M3696" s="15" t="n">
        <f aca="false">F3696*G3696</f>
        <v>967.95</v>
      </c>
      <c r="N3696" s="15" t="n">
        <f aca="false">M3696-L3696</f>
        <v>309.74</v>
      </c>
      <c r="O3696" s="1" t="n">
        <f aca="false">YEAR(B3696)</f>
        <v>2032</v>
      </c>
      <c r="P3696" s="1" t="n">
        <f aca="false">MONTH(B3696)</f>
        <v>2</v>
      </c>
      <c r="Q3696" s="1" t="str">
        <f aca="false">TEXT(B3696,"mmm")</f>
        <v>Feb</v>
      </c>
      <c r="R3696" s="1" t="str">
        <f aca="false">"Q"&amp;ROUNDUP(MONTH(B3696)/3,0)</f>
        <v>Q1</v>
      </c>
    </row>
    <row r="3697" customFormat="false" ht="15" hidden="false" customHeight="true" outlineLevel="0" collapsed="false">
      <c r="A3697" s="1" t="n">
        <v>13696</v>
      </c>
      <c r="B3697" s="14" t="n">
        <v>48257</v>
      </c>
      <c r="C3697" s="1" t="n">
        <v>1230</v>
      </c>
      <c r="D3697" s="1" t="s">
        <v>37</v>
      </c>
      <c r="E3697" s="1" t="s">
        <v>28</v>
      </c>
      <c r="F3697" s="1" t="n">
        <v>2</v>
      </c>
      <c r="G3697" s="15" t="n">
        <v>150.8</v>
      </c>
      <c r="H3697" s="16" t="n">
        <v>0.03</v>
      </c>
      <c r="I3697" s="1" t="s">
        <v>33</v>
      </c>
      <c r="J3697" s="1" t="n">
        <v>10</v>
      </c>
      <c r="K3697" s="1" t="n">
        <v>1.2</v>
      </c>
      <c r="L3697" s="15" t="n">
        <v>292.55</v>
      </c>
      <c r="M3697" s="15" t="n">
        <f aca="false">F3697*G3697</f>
        <v>301.6</v>
      </c>
      <c r="N3697" s="15" t="n">
        <f aca="false">M3697-L3697</f>
        <v>9.05000000000001</v>
      </c>
      <c r="O3697" s="1" t="n">
        <f aca="false">YEAR(B3697)</f>
        <v>2032</v>
      </c>
      <c r="P3697" s="1" t="n">
        <f aca="false">MONTH(B3697)</f>
        <v>2</v>
      </c>
      <c r="Q3697" s="1" t="str">
        <f aca="false">TEXT(B3697,"mmm")</f>
        <v>Feb</v>
      </c>
      <c r="R3697" s="1" t="str">
        <f aca="false">"Q"&amp;ROUNDUP(MONTH(B3697)/3,0)</f>
        <v>Q1</v>
      </c>
    </row>
    <row r="3698" customFormat="false" ht="15" hidden="false" customHeight="true" outlineLevel="0" collapsed="false">
      <c r="A3698" s="1" t="n">
        <v>13697</v>
      </c>
      <c r="B3698" s="14" t="n">
        <v>48258</v>
      </c>
      <c r="C3698" s="1" t="n">
        <v>1730</v>
      </c>
      <c r="D3698" s="1" t="s">
        <v>30</v>
      </c>
      <c r="E3698" s="1" t="s">
        <v>35</v>
      </c>
      <c r="F3698" s="1" t="n">
        <v>7</v>
      </c>
      <c r="G3698" s="15" t="n">
        <v>42.85</v>
      </c>
      <c r="H3698" s="16" t="n">
        <v>0.3</v>
      </c>
      <c r="I3698" s="1" t="s">
        <v>33</v>
      </c>
      <c r="J3698" s="1" t="n">
        <v>4</v>
      </c>
      <c r="K3698" s="1" t="n">
        <v>2.9</v>
      </c>
      <c r="L3698" s="15" t="n">
        <v>209.96</v>
      </c>
      <c r="M3698" s="15" t="n">
        <f aca="false">F3698*G3698</f>
        <v>299.95</v>
      </c>
      <c r="N3698" s="15" t="n">
        <f aca="false">M3698-L3698</f>
        <v>89.99</v>
      </c>
      <c r="O3698" s="1" t="n">
        <f aca="false">YEAR(B3698)</f>
        <v>2032</v>
      </c>
      <c r="P3698" s="1" t="n">
        <f aca="false">MONTH(B3698)</f>
        <v>2</v>
      </c>
      <c r="Q3698" s="1" t="str">
        <f aca="false">TEXT(B3698,"mmm")</f>
        <v>Feb</v>
      </c>
      <c r="R3698" s="1" t="str">
        <f aca="false">"Q"&amp;ROUNDUP(MONTH(B3698)/3,0)</f>
        <v>Q1</v>
      </c>
    </row>
    <row r="3699" customFormat="false" ht="15" hidden="false" customHeight="true" outlineLevel="0" collapsed="false">
      <c r="A3699" s="1" t="n">
        <v>13698</v>
      </c>
      <c r="B3699" s="14" t="n">
        <v>48259</v>
      </c>
      <c r="C3699" s="1" t="n">
        <v>1922</v>
      </c>
      <c r="D3699" s="1" t="s">
        <v>27</v>
      </c>
      <c r="E3699" s="1" t="s">
        <v>28</v>
      </c>
      <c r="F3699" s="1" t="n">
        <v>7</v>
      </c>
      <c r="G3699" s="15" t="n">
        <v>349.95</v>
      </c>
      <c r="H3699" s="16" t="n">
        <v>0.28</v>
      </c>
      <c r="I3699" s="1" t="s">
        <v>31</v>
      </c>
      <c r="J3699" s="1" t="n">
        <v>9</v>
      </c>
      <c r="K3699" s="1" t="n">
        <v>3.3</v>
      </c>
      <c r="L3699" s="15" t="n">
        <v>1763.75</v>
      </c>
      <c r="M3699" s="15" t="n">
        <f aca="false">F3699*G3699</f>
        <v>2449.65</v>
      </c>
      <c r="N3699" s="15" t="n">
        <f aca="false">M3699-L3699</f>
        <v>685.9</v>
      </c>
      <c r="O3699" s="1" t="n">
        <f aca="false">YEAR(B3699)</f>
        <v>2032</v>
      </c>
      <c r="P3699" s="1" t="n">
        <f aca="false">MONTH(B3699)</f>
        <v>2</v>
      </c>
      <c r="Q3699" s="1" t="str">
        <f aca="false">TEXT(B3699,"mmm")</f>
        <v>Feb</v>
      </c>
      <c r="R3699" s="1" t="str">
        <f aca="false">"Q"&amp;ROUNDUP(MONTH(B3699)/3,0)</f>
        <v>Q1</v>
      </c>
    </row>
    <row r="3700" customFormat="false" ht="15" hidden="false" customHeight="true" outlineLevel="0" collapsed="false">
      <c r="A3700" s="1" t="n">
        <v>13699</v>
      </c>
      <c r="B3700" s="14" t="n">
        <v>48260</v>
      </c>
      <c r="C3700" s="1" t="n">
        <v>1065</v>
      </c>
      <c r="D3700" s="1" t="s">
        <v>34</v>
      </c>
      <c r="E3700" s="1" t="s">
        <v>28</v>
      </c>
      <c r="F3700" s="1" t="n">
        <v>7</v>
      </c>
      <c r="G3700" s="15" t="n">
        <v>211.47</v>
      </c>
      <c r="H3700" s="16" t="n">
        <v>0.11</v>
      </c>
      <c r="I3700" s="1" t="s">
        <v>33</v>
      </c>
      <c r="J3700" s="1" t="n">
        <v>6</v>
      </c>
      <c r="K3700" s="1" t="n">
        <v>3.5</v>
      </c>
      <c r="L3700" s="15" t="n">
        <v>1317.46</v>
      </c>
      <c r="M3700" s="15" t="n">
        <f aca="false">F3700*G3700</f>
        <v>1480.29</v>
      </c>
      <c r="N3700" s="15" t="n">
        <f aca="false">M3700-L3700</f>
        <v>162.83</v>
      </c>
      <c r="O3700" s="1" t="n">
        <f aca="false">YEAR(B3700)</f>
        <v>2032</v>
      </c>
      <c r="P3700" s="1" t="n">
        <f aca="false">MONTH(B3700)</f>
        <v>2</v>
      </c>
      <c r="Q3700" s="1" t="str">
        <f aca="false">TEXT(B3700,"mmm")</f>
        <v>Feb</v>
      </c>
      <c r="R3700" s="1" t="str">
        <f aca="false">"Q"&amp;ROUNDUP(MONTH(B3700)/3,0)</f>
        <v>Q1</v>
      </c>
    </row>
    <row r="3701" customFormat="false" ht="15" hidden="false" customHeight="true" outlineLevel="0" collapsed="false">
      <c r="A3701" s="1" t="n">
        <v>13700</v>
      </c>
      <c r="B3701" s="14" t="n">
        <v>48261</v>
      </c>
      <c r="C3701" s="1" t="n">
        <v>1936</v>
      </c>
      <c r="D3701" s="1" t="s">
        <v>34</v>
      </c>
      <c r="E3701" s="1" t="s">
        <v>28</v>
      </c>
      <c r="F3701" s="1" t="n">
        <v>1</v>
      </c>
      <c r="G3701" s="15" t="n">
        <v>121.44</v>
      </c>
      <c r="H3701" s="16" t="n">
        <v>0.12</v>
      </c>
      <c r="I3701" s="1" t="s">
        <v>33</v>
      </c>
      <c r="J3701" s="1" t="n">
        <v>3</v>
      </c>
      <c r="K3701" s="1" t="n">
        <v>3.9</v>
      </c>
      <c r="L3701" s="15" t="n">
        <v>106.87</v>
      </c>
      <c r="M3701" s="15" t="n">
        <f aca="false">F3701*G3701</f>
        <v>121.44</v>
      </c>
      <c r="N3701" s="15" t="n">
        <f aca="false">M3701-L3701</f>
        <v>14.57</v>
      </c>
      <c r="O3701" s="1" t="n">
        <f aca="false">YEAR(B3701)</f>
        <v>2032</v>
      </c>
      <c r="P3701" s="1" t="n">
        <f aca="false">MONTH(B3701)</f>
        <v>2</v>
      </c>
      <c r="Q3701" s="1" t="str">
        <f aca="false">TEXT(B3701,"mmm")</f>
        <v>Feb</v>
      </c>
      <c r="R3701" s="1" t="str">
        <f aca="false">"Q"&amp;ROUNDUP(MONTH(B3701)/3,0)</f>
        <v>Q1</v>
      </c>
    </row>
    <row r="3702" customFormat="false" ht="15" hidden="false" customHeight="true" outlineLevel="0" collapsed="false">
      <c r="A3702" s="1" t="n">
        <v>13701</v>
      </c>
      <c r="B3702" s="14" t="n">
        <v>48262</v>
      </c>
      <c r="C3702" s="1" t="n">
        <v>1111</v>
      </c>
      <c r="D3702" s="1" t="s">
        <v>30</v>
      </c>
      <c r="E3702" s="1" t="s">
        <v>36</v>
      </c>
      <c r="F3702" s="1" t="n">
        <v>7</v>
      </c>
      <c r="G3702" s="15" t="n">
        <v>204.5</v>
      </c>
      <c r="H3702" s="16" t="n">
        <v>0.02</v>
      </c>
      <c r="I3702" s="1" t="s">
        <v>31</v>
      </c>
      <c r="J3702" s="1" t="n">
        <v>7</v>
      </c>
      <c r="K3702" s="1" t="n">
        <v>1.8</v>
      </c>
      <c r="L3702" s="15" t="n">
        <v>1402.87</v>
      </c>
      <c r="M3702" s="15" t="n">
        <f aca="false">F3702*G3702</f>
        <v>1431.5</v>
      </c>
      <c r="N3702" s="15" t="n">
        <f aca="false">M3702-L3702</f>
        <v>28.6300000000001</v>
      </c>
      <c r="O3702" s="1" t="n">
        <f aca="false">YEAR(B3702)</f>
        <v>2032</v>
      </c>
      <c r="P3702" s="1" t="n">
        <f aca="false">MONTH(B3702)</f>
        <v>2</v>
      </c>
      <c r="Q3702" s="1" t="str">
        <f aca="false">TEXT(B3702,"mmm")</f>
        <v>Feb</v>
      </c>
      <c r="R3702" s="1" t="str">
        <f aca="false">"Q"&amp;ROUNDUP(MONTH(B3702)/3,0)</f>
        <v>Q1</v>
      </c>
    </row>
    <row r="3703" customFormat="false" ht="15" hidden="false" customHeight="true" outlineLevel="0" collapsed="false">
      <c r="A3703" s="1" t="n">
        <v>13702</v>
      </c>
      <c r="B3703" s="14" t="n">
        <v>48263</v>
      </c>
      <c r="C3703" s="1" t="n">
        <v>1012</v>
      </c>
      <c r="D3703" s="1" t="s">
        <v>30</v>
      </c>
      <c r="E3703" s="1" t="s">
        <v>32</v>
      </c>
      <c r="F3703" s="1" t="n">
        <v>4</v>
      </c>
      <c r="G3703" s="15" t="n">
        <v>43.83</v>
      </c>
      <c r="H3703" s="16" t="n">
        <v>0.01</v>
      </c>
      <c r="I3703" s="1" t="s">
        <v>33</v>
      </c>
      <c r="J3703" s="1" t="n">
        <v>6</v>
      </c>
      <c r="K3703" s="1" t="n">
        <v>2</v>
      </c>
      <c r="L3703" s="15" t="n">
        <v>173.57</v>
      </c>
      <c r="M3703" s="15" t="n">
        <f aca="false">F3703*G3703</f>
        <v>175.32</v>
      </c>
      <c r="N3703" s="15" t="n">
        <f aca="false">M3703-L3703</f>
        <v>1.75</v>
      </c>
      <c r="O3703" s="1" t="n">
        <f aca="false">YEAR(B3703)</f>
        <v>2032</v>
      </c>
      <c r="P3703" s="1" t="n">
        <f aca="false">MONTH(B3703)</f>
        <v>2</v>
      </c>
      <c r="Q3703" s="1" t="str">
        <f aca="false">TEXT(B3703,"mmm")</f>
        <v>Feb</v>
      </c>
      <c r="R3703" s="1" t="str">
        <f aca="false">"Q"&amp;ROUNDUP(MONTH(B3703)/3,0)</f>
        <v>Q1</v>
      </c>
    </row>
    <row r="3704" customFormat="false" ht="15" hidden="false" customHeight="true" outlineLevel="0" collapsed="false">
      <c r="A3704" s="1" t="n">
        <v>13703</v>
      </c>
      <c r="B3704" s="14" t="n">
        <v>48264</v>
      </c>
      <c r="C3704" s="1" t="n">
        <v>1392</v>
      </c>
      <c r="D3704" s="1" t="s">
        <v>27</v>
      </c>
      <c r="E3704" s="1" t="s">
        <v>36</v>
      </c>
      <c r="F3704" s="1" t="n">
        <v>5</v>
      </c>
      <c r="G3704" s="15" t="n">
        <v>571.01</v>
      </c>
      <c r="H3704" s="16" t="n">
        <v>0.17</v>
      </c>
      <c r="I3704" s="1" t="s">
        <v>33</v>
      </c>
      <c r="J3704" s="1" t="n">
        <v>8</v>
      </c>
      <c r="K3704" s="1" t="n">
        <v>2</v>
      </c>
      <c r="L3704" s="15" t="n">
        <v>2369.69</v>
      </c>
      <c r="M3704" s="15" t="n">
        <f aca="false">F3704*G3704</f>
        <v>2855.05</v>
      </c>
      <c r="N3704" s="15" t="n">
        <f aca="false">M3704-L3704</f>
        <v>485.36</v>
      </c>
      <c r="O3704" s="1" t="n">
        <f aca="false">YEAR(B3704)</f>
        <v>2032</v>
      </c>
      <c r="P3704" s="1" t="n">
        <f aca="false">MONTH(B3704)</f>
        <v>2</v>
      </c>
      <c r="Q3704" s="1" t="str">
        <f aca="false">TEXT(B3704,"mmm")</f>
        <v>Feb</v>
      </c>
      <c r="R3704" s="1" t="str">
        <f aca="false">"Q"&amp;ROUNDUP(MONTH(B3704)/3,0)</f>
        <v>Q1</v>
      </c>
    </row>
    <row r="3705" customFormat="false" ht="15" hidden="false" customHeight="true" outlineLevel="0" collapsed="false">
      <c r="A3705" s="1" t="n">
        <v>13704</v>
      </c>
      <c r="B3705" s="14" t="n">
        <v>48265</v>
      </c>
      <c r="C3705" s="1" t="n">
        <v>1499</v>
      </c>
      <c r="D3705" s="1" t="s">
        <v>34</v>
      </c>
      <c r="E3705" s="1" t="s">
        <v>35</v>
      </c>
      <c r="F3705" s="1" t="n">
        <v>6</v>
      </c>
      <c r="G3705" s="15" t="n">
        <v>354.97</v>
      </c>
      <c r="H3705" s="16" t="n">
        <v>0.03</v>
      </c>
      <c r="I3705" s="1" t="s">
        <v>29</v>
      </c>
      <c r="J3705" s="1" t="n">
        <v>5</v>
      </c>
      <c r="K3705" s="1" t="n">
        <v>1.6</v>
      </c>
      <c r="L3705" s="15" t="n">
        <v>2065.93</v>
      </c>
      <c r="M3705" s="15" t="n">
        <f aca="false">F3705*G3705</f>
        <v>2129.82</v>
      </c>
      <c r="N3705" s="15" t="n">
        <f aca="false">M3705-L3705</f>
        <v>63.8900000000003</v>
      </c>
      <c r="O3705" s="1" t="n">
        <f aca="false">YEAR(B3705)</f>
        <v>2032</v>
      </c>
      <c r="P3705" s="1" t="n">
        <f aca="false">MONTH(B3705)</f>
        <v>2</v>
      </c>
      <c r="Q3705" s="1" t="str">
        <f aca="false">TEXT(B3705,"mmm")</f>
        <v>Feb</v>
      </c>
      <c r="R3705" s="1" t="str">
        <f aca="false">"Q"&amp;ROUNDUP(MONTH(B3705)/3,0)</f>
        <v>Q1</v>
      </c>
    </row>
    <row r="3706" customFormat="false" ht="15" hidden="false" customHeight="true" outlineLevel="0" collapsed="false">
      <c r="A3706" s="1" t="n">
        <v>13705</v>
      </c>
      <c r="B3706" s="14" t="n">
        <v>48266</v>
      </c>
      <c r="C3706" s="1" t="n">
        <v>1931</v>
      </c>
      <c r="D3706" s="1" t="s">
        <v>30</v>
      </c>
      <c r="E3706" s="1" t="s">
        <v>32</v>
      </c>
      <c r="F3706" s="1" t="n">
        <v>6</v>
      </c>
      <c r="G3706" s="15" t="n">
        <v>491.64</v>
      </c>
      <c r="H3706" s="16" t="n">
        <v>0.07</v>
      </c>
      <c r="I3706" s="1" t="s">
        <v>31</v>
      </c>
      <c r="J3706" s="1" t="n">
        <v>6</v>
      </c>
      <c r="K3706" s="1" t="n">
        <v>2</v>
      </c>
      <c r="L3706" s="15" t="n">
        <v>2743.35</v>
      </c>
      <c r="M3706" s="15" t="n">
        <f aca="false">F3706*G3706</f>
        <v>2949.84</v>
      </c>
      <c r="N3706" s="15" t="n">
        <f aca="false">M3706-L3706</f>
        <v>206.49</v>
      </c>
      <c r="O3706" s="1" t="n">
        <f aca="false">YEAR(B3706)</f>
        <v>2032</v>
      </c>
      <c r="P3706" s="1" t="n">
        <f aca="false">MONTH(B3706)</f>
        <v>2</v>
      </c>
      <c r="Q3706" s="1" t="str">
        <f aca="false">TEXT(B3706,"mmm")</f>
        <v>Feb</v>
      </c>
      <c r="R3706" s="1" t="str">
        <f aca="false">"Q"&amp;ROUNDUP(MONTH(B3706)/3,0)</f>
        <v>Q1</v>
      </c>
    </row>
    <row r="3707" customFormat="false" ht="15" hidden="false" customHeight="true" outlineLevel="0" collapsed="false">
      <c r="A3707" s="1" t="n">
        <v>13706</v>
      </c>
      <c r="B3707" s="14" t="n">
        <v>48267</v>
      </c>
      <c r="C3707" s="1" t="n">
        <v>1597</v>
      </c>
      <c r="D3707" s="1" t="s">
        <v>30</v>
      </c>
      <c r="E3707" s="1" t="s">
        <v>28</v>
      </c>
      <c r="F3707" s="1" t="n">
        <v>3</v>
      </c>
      <c r="G3707" s="15" t="n">
        <v>262.52</v>
      </c>
      <c r="H3707" s="16" t="n">
        <v>0.3</v>
      </c>
      <c r="I3707" s="1" t="s">
        <v>29</v>
      </c>
      <c r="J3707" s="1" t="n">
        <v>1</v>
      </c>
      <c r="K3707" s="1" t="n">
        <v>3.5</v>
      </c>
      <c r="L3707" s="15" t="n">
        <v>551.29</v>
      </c>
      <c r="M3707" s="15" t="n">
        <f aca="false">F3707*G3707</f>
        <v>787.56</v>
      </c>
      <c r="N3707" s="15" t="n">
        <f aca="false">M3707-L3707</f>
        <v>236.27</v>
      </c>
      <c r="O3707" s="1" t="n">
        <f aca="false">YEAR(B3707)</f>
        <v>2032</v>
      </c>
      <c r="P3707" s="1" t="n">
        <f aca="false">MONTH(B3707)</f>
        <v>2</v>
      </c>
      <c r="Q3707" s="1" t="str">
        <f aca="false">TEXT(B3707,"mmm")</f>
        <v>Feb</v>
      </c>
      <c r="R3707" s="1" t="str">
        <f aca="false">"Q"&amp;ROUNDUP(MONTH(B3707)/3,0)</f>
        <v>Q1</v>
      </c>
    </row>
    <row r="3708" customFormat="false" ht="15" hidden="false" customHeight="true" outlineLevel="0" collapsed="false">
      <c r="A3708" s="1" t="n">
        <v>13707</v>
      </c>
      <c r="B3708" s="14" t="n">
        <v>48268</v>
      </c>
      <c r="C3708" s="1" t="n">
        <v>1233</v>
      </c>
      <c r="D3708" s="1" t="s">
        <v>37</v>
      </c>
      <c r="E3708" s="1" t="s">
        <v>32</v>
      </c>
      <c r="F3708" s="1" t="n">
        <v>5</v>
      </c>
      <c r="G3708" s="15" t="n">
        <v>543.44</v>
      </c>
      <c r="H3708" s="16" t="n">
        <v>0.2</v>
      </c>
      <c r="I3708" s="1" t="s">
        <v>31</v>
      </c>
      <c r="J3708" s="1" t="n">
        <v>8</v>
      </c>
      <c r="K3708" s="1" t="n">
        <v>2.5</v>
      </c>
      <c r="L3708" s="15" t="n">
        <v>2173.76</v>
      </c>
      <c r="M3708" s="15" t="n">
        <f aca="false">F3708*G3708</f>
        <v>2717.2</v>
      </c>
      <c r="N3708" s="15" t="n">
        <f aca="false">M3708-L3708</f>
        <v>543.44</v>
      </c>
      <c r="O3708" s="1" t="n">
        <f aca="false">YEAR(B3708)</f>
        <v>2032</v>
      </c>
      <c r="P3708" s="1" t="n">
        <f aca="false">MONTH(B3708)</f>
        <v>2</v>
      </c>
      <c r="Q3708" s="1" t="str">
        <f aca="false">TEXT(B3708,"mmm")</f>
        <v>Feb</v>
      </c>
      <c r="R3708" s="1" t="str">
        <f aca="false">"Q"&amp;ROUNDUP(MONTH(B3708)/3,0)</f>
        <v>Q1</v>
      </c>
    </row>
    <row r="3709" customFormat="false" ht="15" hidden="false" customHeight="true" outlineLevel="0" collapsed="false">
      <c r="A3709" s="1" t="n">
        <v>13708</v>
      </c>
      <c r="B3709" s="14" t="n">
        <v>48269</v>
      </c>
      <c r="C3709" s="1" t="n">
        <v>1601</v>
      </c>
      <c r="D3709" s="1" t="s">
        <v>34</v>
      </c>
      <c r="E3709" s="1" t="s">
        <v>35</v>
      </c>
      <c r="F3709" s="1" t="n">
        <v>2</v>
      </c>
      <c r="G3709" s="15" t="n">
        <v>297.74</v>
      </c>
      <c r="H3709" s="16" t="n">
        <v>0.22</v>
      </c>
      <c r="I3709" s="1" t="s">
        <v>31</v>
      </c>
      <c r="J3709" s="1" t="n">
        <v>1</v>
      </c>
      <c r="K3709" s="1" t="n">
        <v>4.1</v>
      </c>
      <c r="L3709" s="15" t="n">
        <v>464.47</v>
      </c>
      <c r="M3709" s="15" t="n">
        <f aca="false">F3709*G3709</f>
        <v>595.48</v>
      </c>
      <c r="N3709" s="15" t="n">
        <f aca="false">M3709-L3709</f>
        <v>131.01</v>
      </c>
      <c r="O3709" s="1" t="n">
        <f aca="false">YEAR(B3709)</f>
        <v>2032</v>
      </c>
      <c r="P3709" s="1" t="n">
        <f aca="false">MONTH(B3709)</f>
        <v>2</v>
      </c>
      <c r="Q3709" s="1" t="str">
        <f aca="false">TEXT(B3709,"mmm")</f>
        <v>Feb</v>
      </c>
      <c r="R3709" s="1" t="str">
        <f aca="false">"Q"&amp;ROUNDUP(MONTH(B3709)/3,0)</f>
        <v>Q1</v>
      </c>
    </row>
    <row r="3710" customFormat="false" ht="15" hidden="false" customHeight="true" outlineLevel="0" collapsed="false">
      <c r="A3710" s="1" t="n">
        <v>13709</v>
      </c>
      <c r="B3710" s="14" t="n">
        <v>48270</v>
      </c>
      <c r="C3710" s="1" t="n">
        <v>1313</v>
      </c>
      <c r="D3710" s="1" t="s">
        <v>30</v>
      </c>
      <c r="E3710" s="1" t="s">
        <v>36</v>
      </c>
      <c r="F3710" s="1" t="n">
        <v>5</v>
      </c>
      <c r="G3710" s="15" t="n">
        <v>350.76</v>
      </c>
      <c r="H3710" s="16" t="n">
        <v>0.07</v>
      </c>
      <c r="I3710" s="1" t="s">
        <v>31</v>
      </c>
      <c r="J3710" s="1" t="n">
        <v>3</v>
      </c>
      <c r="K3710" s="1" t="n">
        <v>3.1</v>
      </c>
      <c r="L3710" s="15" t="n">
        <v>1631.03</v>
      </c>
      <c r="M3710" s="15" t="n">
        <f aca="false">F3710*G3710</f>
        <v>1753.8</v>
      </c>
      <c r="N3710" s="15" t="n">
        <f aca="false">M3710-L3710</f>
        <v>122.77</v>
      </c>
      <c r="O3710" s="1" t="n">
        <f aca="false">YEAR(B3710)</f>
        <v>2032</v>
      </c>
      <c r="P3710" s="1" t="n">
        <f aca="false">MONTH(B3710)</f>
        <v>2</v>
      </c>
      <c r="Q3710" s="1" t="str">
        <f aca="false">TEXT(B3710,"mmm")</f>
        <v>Feb</v>
      </c>
      <c r="R3710" s="1" t="str">
        <f aca="false">"Q"&amp;ROUNDUP(MONTH(B3710)/3,0)</f>
        <v>Q1</v>
      </c>
    </row>
    <row r="3711" customFormat="false" ht="15" hidden="false" customHeight="true" outlineLevel="0" collapsed="false">
      <c r="A3711" s="1" t="n">
        <v>13710</v>
      </c>
      <c r="B3711" s="14" t="n">
        <v>48271</v>
      </c>
      <c r="C3711" s="1" t="n">
        <v>1565</v>
      </c>
      <c r="D3711" s="1" t="s">
        <v>37</v>
      </c>
      <c r="E3711" s="1" t="s">
        <v>36</v>
      </c>
      <c r="F3711" s="1" t="n">
        <v>1</v>
      </c>
      <c r="G3711" s="15" t="n">
        <v>302.7</v>
      </c>
      <c r="H3711" s="16" t="n">
        <v>0.29</v>
      </c>
      <c r="I3711" s="1" t="s">
        <v>29</v>
      </c>
      <c r="J3711" s="1" t="n">
        <v>2</v>
      </c>
      <c r="K3711" s="1" t="n">
        <v>1.8</v>
      </c>
      <c r="L3711" s="15" t="n">
        <v>214.92</v>
      </c>
      <c r="M3711" s="15" t="n">
        <f aca="false">F3711*G3711</f>
        <v>302.7</v>
      </c>
      <c r="N3711" s="15" t="n">
        <f aca="false">M3711-L3711</f>
        <v>87.78</v>
      </c>
      <c r="O3711" s="1" t="n">
        <f aca="false">YEAR(B3711)</f>
        <v>2032</v>
      </c>
      <c r="P3711" s="1" t="n">
        <f aca="false">MONTH(B3711)</f>
        <v>2</v>
      </c>
      <c r="Q3711" s="1" t="str">
        <f aca="false">TEXT(B3711,"mmm")</f>
        <v>Feb</v>
      </c>
      <c r="R3711" s="1" t="str">
        <f aca="false">"Q"&amp;ROUNDUP(MONTH(B3711)/3,0)</f>
        <v>Q1</v>
      </c>
    </row>
    <row r="3712" customFormat="false" ht="15" hidden="false" customHeight="true" outlineLevel="0" collapsed="false">
      <c r="A3712" s="1" t="n">
        <v>13711</v>
      </c>
      <c r="B3712" s="14" t="n">
        <v>48272</v>
      </c>
      <c r="C3712" s="1" t="n">
        <v>1011</v>
      </c>
      <c r="D3712" s="1" t="s">
        <v>34</v>
      </c>
      <c r="E3712" s="1" t="s">
        <v>28</v>
      </c>
      <c r="F3712" s="1" t="n">
        <v>3</v>
      </c>
      <c r="G3712" s="15" t="n">
        <v>443.97</v>
      </c>
      <c r="H3712" s="16" t="n">
        <v>0.3</v>
      </c>
      <c r="I3712" s="1" t="s">
        <v>33</v>
      </c>
      <c r="J3712" s="1" t="n">
        <v>6</v>
      </c>
      <c r="K3712" s="1" t="n">
        <v>2.9</v>
      </c>
      <c r="L3712" s="15" t="n">
        <v>932.34</v>
      </c>
      <c r="M3712" s="15" t="n">
        <f aca="false">F3712*G3712</f>
        <v>1331.91</v>
      </c>
      <c r="N3712" s="15" t="n">
        <f aca="false">M3712-L3712</f>
        <v>399.57</v>
      </c>
      <c r="O3712" s="1" t="n">
        <f aca="false">YEAR(B3712)</f>
        <v>2032</v>
      </c>
      <c r="P3712" s="1" t="n">
        <f aca="false">MONTH(B3712)</f>
        <v>2</v>
      </c>
      <c r="Q3712" s="1" t="str">
        <f aca="false">TEXT(B3712,"mmm")</f>
        <v>Feb</v>
      </c>
      <c r="R3712" s="1" t="str">
        <f aca="false">"Q"&amp;ROUNDUP(MONTH(B3712)/3,0)</f>
        <v>Q1</v>
      </c>
    </row>
    <row r="3713" customFormat="false" ht="15" hidden="false" customHeight="true" outlineLevel="0" collapsed="false">
      <c r="A3713" s="1" t="n">
        <v>13712</v>
      </c>
      <c r="B3713" s="14" t="n">
        <v>48273</v>
      </c>
      <c r="C3713" s="1" t="n">
        <v>1208</v>
      </c>
      <c r="D3713" s="1" t="s">
        <v>37</v>
      </c>
      <c r="E3713" s="1" t="s">
        <v>36</v>
      </c>
      <c r="F3713" s="1" t="n">
        <v>3</v>
      </c>
      <c r="G3713" s="15" t="n">
        <v>346.49</v>
      </c>
      <c r="H3713" s="16" t="n">
        <v>0.18</v>
      </c>
      <c r="I3713" s="1" t="s">
        <v>31</v>
      </c>
      <c r="J3713" s="1" t="n">
        <v>8</v>
      </c>
      <c r="K3713" s="1" t="n">
        <v>3.4</v>
      </c>
      <c r="L3713" s="15" t="n">
        <v>852.37</v>
      </c>
      <c r="M3713" s="15" t="n">
        <f aca="false">F3713*G3713</f>
        <v>1039.47</v>
      </c>
      <c r="N3713" s="15" t="n">
        <f aca="false">M3713-L3713</f>
        <v>187.1</v>
      </c>
      <c r="O3713" s="1" t="n">
        <f aca="false">YEAR(B3713)</f>
        <v>2032</v>
      </c>
      <c r="P3713" s="1" t="n">
        <f aca="false">MONTH(B3713)</f>
        <v>2</v>
      </c>
      <c r="Q3713" s="1" t="str">
        <f aca="false">TEXT(B3713,"mmm")</f>
        <v>Feb</v>
      </c>
      <c r="R3713" s="1" t="str">
        <f aca="false">"Q"&amp;ROUNDUP(MONTH(B3713)/3,0)</f>
        <v>Q1</v>
      </c>
    </row>
    <row r="3714" customFormat="false" ht="15" hidden="false" customHeight="true" outlineLevel="0" collapsed="false">
      <c r="A3714" s="1" t="n">
        <v>13713</v>
      </c>
      <c r="B3714" s="14" t="n">
        <v>48274</v>
      </c>
      <c r="C3714" s="1" t="n">
        <v>1973</v>
      </c>
      <c r="D3714" s="1" t="s">
        <v>30</v>
      </c>
      <c r="E3714" s="1" t="s">
        <v>36</v>
      </c>
      <c r="F3714" s="1" t="n">
        <v>1</v>
      </c>
      <c r="G3714" s="15" t="n">
        <v>173.89</v>
      </c>
      <c r="H3714" s="16" t="n">
        <v>0.32</v>
      </c>
      <c r="I3714" s="1" t="s">
        <v>31</v>
      </c>
      <c r="J3714" s="1" t="n">
        <v>8</v>
      </c>
      <c r="K3714" s="1" t="n">
        <v>4.5</v>
      </c>
      <c r="L3714" s="15" t="n">
        <v>118.25</v>
      </c>
      <c r="M3714" s="15" t="n">
        <f aca="false">F3714*G3714</f>
        <v>173.89</v>
      </c>
      <c r="N3714" s="15" t="n">
        <f aca="false">M3714-L3714</f>
        <v>55.64</v>
      </c>
      <c r="O3714" s="1" t="n">
        <f aca="false">YEAR(B3714)</f>
        <v>2032</v>
      </c>
      <c r="P3714" s="1" t="n">
        <f aca="false">MONTH(B3714)</f>
        <v>3</v>
      </c>
      <c r="Q3714" s="1" t="str">
        <f aca="false">TEXT(B3714,"mmm")</f>
        <v>Mar</v>
      </c>
      <c r="R3714" s="1" t="str">
        <f aca="false">"Q"&amp;ROUNDUP(MONTH(B3714)/3,0)</f>
        <v>Q1</v>
      </c>
    </row>
    <row r="3715" customFormat="false" ht="15" hidden="false" customHeight="true" outlineLevel="0" collapsed="false">
      <c r="A3715" s="1" t="n">
        <v>13714</v>
      </c>
      <c r="B3715" s="14" t="n">
        <v>48275</v>
      </c>
      <c r="C3715" s="1" t="n">
        <v>1013</v>
      </c>
      <c r="D3715" s="1" t="s">
        <v>37</v>
      </c>
      <c r="E3715" s="1" t="s">
        <v>35</v>
      </c>
      <c r="F3715" s="1" t="n">
        <v>5</v>
      </c>
      <c r="G3715" s="15" t="n">
        <v>100.14</v>
      </c>
      <c r="H3715" s="16" t="n">
        <v>0.3</v>
      </c>
      <c r="I3715" s="1" t="s">
        <v>31</v>
      </c>
      <c r="J3715" s="1" t="n">
        <v>7</v>
      </c>
      <c r="K3715" s="1" t="n">
        <v>4.3</v>
      </c>
      <c r="L3715" s="15" t="n">
        <v>350.49</v>
      </c>
      <c r="M3715" s="15" t="n">
        <f aca="false">F3715*G3715</f>
        <v>500.7</v>
      </c>
      <c r="N3715" s="15" t="n">
        <f aca="false">M3715-L3715</f>
        <v>150.21</v>
      </c>
      <c r="O3715" s="1" t="n">
        <f aca="false">YEAR(B3715)</f>
        <v>2032</v>
      </c>
      <c r="P3715" s="1" t="n">
        <f aca="false">MONTH(B3715)</f>
        <v>3</v>
      </c>
      <c r="Q3715" s="1" t="str">
        <f aca="false">TEXT(B3715,"mmm")</f>
        <v>Mar</v>
      </c>
      <c r="R3715" s="1" t="str">
        <f aca="false">"Q"&amp;ROUNDUP(MONTH(B3715)/3,0)</f>
        <v>Q1</v>
      </c>
    </row>
    <row r="3716" customFormat="false" ht="15" hidden="false" customHeight="true" outlineLevel="0" collapsed="false">
      <c r="A3716" s="1" t="n">
        <v>13715</v>
      </c>
      <c r="B3716" s="14" t="n">
        <v>48276</v>
      </c>
      <c r="C3716" s="1" t="n">
        <v>1632</v>
      </c>
      <c r="D3716" s="1" t="s">
        <v>37</v>
      </c>
      <c r="E3716" s="1" t="s">
        <v>32</v>
      </c>
      <c r="F3716" s="1" t="n">
        <v>7</v>
      </c>
      <c r="G3716" s="15" t="n">
        <v>369.58</v>
      </c>
      <c r="H3716" s="16" t="n">
        <v>0.26</v>
      </c>
      <c r="I3716" s="1" t="s">
        <v>31</v>
      </c>
      <c r="J3716" s="1" t="n">
        <v>7</v>
      </c>
      <c r="K3716" s="1" t="n">
        <v>2.7</v>
      </c>
      <c r="L3716" s="15" t="n">
        <v>1914.42</v>
      </c>
      <c r="M3716" s="15" t="n">
        <f aca="false">F3716*G3716</f>
        <v>2587.06</v>
      </c>
      <c r="N3716" s="15" t="n">
        <f aca="false">M3716-L3716</f>
        <v>672.64</v>
      </c>
      <c r="O3716" s="1" t="n">
        <f aca="false">YEAR(B3716)</f>
        <v>2032</v>
      </c>
      <c r="P3716" s="1" t="n">
        <f aca="false">MONTH(B3716)</f>
        <v>3</v>
      </c>
      <c r="Q3716" s="1" t="str">
        <f aca="false">TEXT(B3716,"mmm")</f>
        <v>Mar</v>
      </c>
      <c r="R3716" s="1" t="str">
        <f aca="false">"Q"&amp;ROUNDUP(MONTH(B3716)/3,0)</f>
        <v>Q1</v>
      </c>
    </row>
    <row r="3717" customFormat="false" ht="15" hidden="false" customHeight="true" outlineLevel="0" collapsed="false">
      <c r="A3717" s="1" t="n">
        <v>13716</v>
      </c>
      <c r="B3717" s="14" t="n">
        <v>48277</v>
      </c>
      <c r="C3717" s="1" t="n">
        <v>1417</v>
      </c>
      <c r="D3717" s="1" t="s">
        <v>34</v>
      </c>
      <c r="E3717" s="1" t="s">
        <v>36</v>
      </c>
      <c r="F3717" s="1" t="n">
        <v>1</v>
      </c>
      <c r="G3717" s="15" t="n">
        <v>301.17</v>
      </c>
      <c r="H3717" s="16" t="n">
        <v>0.26</v>
      </c>
      <c r="I3717" s="1" t="s">
        <v>33</v>
      </c>
      <c r="J3717" s="1" t="n">
        <v>8</v>
      </c>
      <c r="K3717" s="1" t="n">
        <v>3.6</v>
      </c>
      <c r="L3717" s="15" t="n">
        <v>222.87</v>
      </c>
      <c r="M3717" s="15" t="n">
        <f aca="false">F3717*G3717</f>
        <v>301.17</v>
      </c>
      <c r="N3717" s="15" t="n">
        <f aca="false">M3717-L3717</f>
        <v>78.3</v>
      </c>
      <c r="O3717" s="1" t="n">
        <f aca="false">YEAR(B3717)</f>
        <v>2032</v>
      </c>
      <c r="P3717" s="1" t="n">
        <f aca="false">MONTH(B3717)</f>
        <v>3</v>
      </c>
      <c r="Q3717" s="1" t="str">
        <f aca="false">TEXT(B3717,"mmm")</f>
        <v>Mar</v>
      </c>
      <c r="R3717" s="1" t="str">
        <f aca="false">"Q"&amp;ROUNDUP(MONTH(B3717)/3,0)</f>
        <v>Q1</v>
      </c>
    </row>
    <row r="3718" customFormat="false" ht="15" hidden="false" customHeight="true" outlineLevel="0" collapsed="false">
      <c r="A3718" s="1" t="n">
        <v>13717</v>
      </c>
      <c r="B3718" s="14" t="n">
        <v>48278</v>
      </c>
      <c r="C3718" s="1" t="n">
        <v>1436</v>
      </c>
      <c r="D3718" s="1" t="s">
        <v>30</v>
      </c>
      <c r="E3718" s="1" t="s">
        <v>35</v>
      </c>
      <c r="F3718" s="1" t="n">
        <v>7</v>
      </c>
      <c r="G3718" s="15" t="n">
        <v>71.15</v>
      </c>
      <c r="H3718" s="16" t="n">
        <v>0.04</v>
      </c>
      <c r="I3718" s="1" t="s">
        <v>33</v>
      </c>
      <c r="J3718" s="1" t="n">
        <v>5</v>
      </c>
      <c r="K3718" s="1" t="n">
        <v>2.2</v>
      </c>
      <c r="L3718" s="15" t="n">
        <v>478.13</v>
      </c>
      <c r="M3718" s="15" t="n">
        <f aca="false">F3718*G3718</f>
        <v>498.05</v>
      </c>
      <c r="N3718" s="15" t="n">
        <f aca="false">M3718-L3718</f>
        <v>19.9200000000001</v>
      </c>
      <c r="O3718" s="1" t="n">
        <f aca="false">YEAR(B3718)</f>
        <v>2032</v>
      </c>
      <c r="P3718" s="1" t="n">
        <f aca="false">MONTH(B3718)</f>
        <v>3</v>
      </c>
      <c r="Q3718" s="1" t="str">
        <f aca="false">TEXT(B3718,"mmm")</f>
        <v>Mar</v>
      </c>
      <c r="R3718" s="1" t="str">
        <f aca="false">"Q"&amp;ROUNDUP(MONTH(B3718)/3,0)</f>
        <v>Q1</v>
      </c>
    </row>
    <row r="3719" customFormat="false" ht="15" hidden="false" customHeight="true" outlineLevel="0" collapsed="false">
      <c r="A3719" s="1" t="n">
        <v>13718</v>
      </c>
      <c r="B3719" s="14" t="n">
        <v>48279</v>
      </c>
      <c r="C3719" s="1" t="n">
        <v>1376</v>
      </c>
      <c r="D3719" s="1" t="s">
        <v>27</v>
      </c>
      <c r="E3719" s="1" t="s">
        <v>35</v>
      </c>
      <c r="F3719" s="1" t="n">
        <v>4</v>
      </c>
      <c r="G3719" s="15" t="n">
        <v>246.44</v>
      </c>
      <c r="H3719" s="16" t="n">
        <v>0.09</v>
      </c>
      <c r="I3719" s="1" t="s">
        <v>29</v>
      </c>
      <c r="J3719" s="1" t="n">
        <v>3</v>
      </c>
      <c r="K3719" s="1" t="n">
        <v>3.5</v>
      </c>
      <c r="L3719" s="15" t="n">
        <v>897.04</v>
      </c>
      <c r="M3719" s="15" t="n">
        <f aca="false">F3719*G3719</f>
        <v>985.76</v>
      </c>
      <c r="N3719" s="15" t="n">
        <f aca="false">M3719-L3719</f>
        <v>88.72</v>
      </c>
      <c r="O3719" s="1" t="n">
        <f aca="false">YEAR(B3719)</f>
        <v>2032</v>
      </c>
      <c r="P3719" s="1" t="n">
        <f aca="false">MONTH(B3719)</f>
        <v>3</v>
      </c>
      <c r="Q3719" s="1" t="str">
        <f aca="false">TEXT(B3719,"mmm")</f>
        <v>Mar</v>
      </c>
      <c r="R3719" s="1" t="str">
        <f aca="false">"Q"&amp;ROUNDUP(MONTH(B3719)/3,0)</f>
        <v>Q1</v>
      </c>
    </row>
    <row r="3720" customFormat="false" ht="15" hidden="false" customHeight="true" outlineLevel="0" collapsed="false">
      <c r="A3720" s="1" t="n">
        <v>13719</v>
      </c>
      <c r="B3720" s="14" t="n">
        <v>48280</v>
      </c>
      <c r="C3720" s="1" t="n">
        <v>1019</v>
      </c>
      <c r="D3720" s="1" t="s">
        <v>30</v>
      </c>
      <c r="E3720" s="1" t="s">
        <v>28</v>
      </c>
      <c r="F3720" s="1" t="n">
        <v>1</v>
      </c>
      <c r="G3720" s="15" t="n">
        <v>316.14</v>
      </c>
      <c r="H3720" s="16" t="n">
        <v>0.02</v>
      </c>
      <c r="I3720" s="1" t="s">
        <v>29</v>
      </c>
      <c r="J3720" s="1" t="n">
        <v>2</v>
      </c>
      <c r="K3720" s="1" t="n">
        <v>4.7</v>
      </c>
      <c r="L3720" s="15" t="n">
        <v>309.82</v>
      </c>
      <c r="M3720" s="15" t="n">
        <f aca="false">F3720*G3720</f>
        <v>316.14</v>
      </c>
      <c r="N3720" s="15" t="n">
        <f aca="false">M3720-L3720</f>
        <v>6.31999999999999</v>
      </c>
      <c r="O3720" s="1" t="n">
        <f aca="false">YEAR(B3720)</f>
        <v>2032</v>
      </c>
      <c r="P3720" s="1" t="n">
        <f aca="false">MONTH(B3720)</f>
        <v>3</v>
      </c>
      <c r="Q3720" s="1" t="str">
        <f aca="false">TEXT(B3720,"mmm")</f>
        <v>Mar</v>
      </c>
      <c r="R3720" s="1" t="str">
        <f aca="false">"Q"&amp;ROUNDUP(MONTH(B3720)/3,0)</f>
        <v>Q1</v>
      </c>
    </row>
    <row r="3721" customFormat="false" ht="15" hidden="false" customHeight="true" outlineLevel="0" collapsed="false">
      <c r="A3721" s="1" t="n">
        <v>13720</v>
      </c>
      <c r="B3721" s="14" t="n">
        <v>48281</v>
      </c>
      <c r="C3721" s="1" t="n">
        <v>1586</v>
      </c>
      <c r="D3721" s="1" t="s">
        <v>27</v>
      </c>
      <c r="E3721" s="1" t="s">
        <v>35</v>
      </c>
      <c r="F3721" s="1" t="n">
        <v>7</v>
      </c>
      <c r="G3721" s="15" t="n">
        <v>498.73</v>
      </c>
      <c r="H3721" s="16" t="n">
        <v>0</v>
      </c>
      <c r="I3721" s="1" t="s">
        <v>33</v>
      </c>
      <c r="J3721" s="1" t="n">
        <v>3</v>
      </c>
      <c r="K3721" s="1" t="n">
        <v>3.5</v>
      </c>
      <c r="L3721" s="15" t="n">
        <v>3491.11</v>
      </c>
      <c r="M3721" s="15" t="n">
        <f aca="false">F3721*G3721</f>
        <v>3491.11</v>
      </c>
      <c r="N3721" s="15" t="n">
        <f aca="false">M3721-L3721</f>
        <v>0</v>
      </c>
      <c r="O3721" s="1" t="n">
        <f aca="false">YEAR(B3721)</f>
        <v>2032</v>
      </c>
      <c r="P3721" s="1" t="n">
        <f aca="false">MONTH(B3721)</f>
        <v>3</v>
      </c>
      <c r="Q3721" s="1" t="str">
        <f aca="false">TEXT(B3721,"mmm")</f>
        <v>Mar</v>
      </c>
      <c r="R3721" s="1" t="str">
        <f aca="false">"Q"&amp;ROUNDUP(MONTH(B3721)/3,0)</f>
        <v>Q1</v>
      </c>
    </row>
    <row r="3722" customFormat="false" ht="15" hidden="false" customHeight="true" outlineLevel="0" collapsed="false">
      <c r="A3722" s="1" t="n">
        <v>13721</v>
      </c>
      <c r="B3722" s="14" t="n">
        <v>48282</v>
      </c>
      <c r="C3722" s="1" t="n">
        <v>1911</v>
      </c>
      <c r="D3722" s="1" t="s">
        <v>30</v>
      </c>
      <c r="E3722" s="1" t="s">
        <v>28</v>
      </c>
      <c r="F3722" s="1" t="n">
        <v>5</v>
      </c>
      <c r="G3722" s="15" t="n">
        <v>59.52</v>
      </c>
      <c r="H3722" s="16" t="n">
        <v>0.06</v>
      </c>
      <c r="I3722" s="1" t="s">
        <v>31</v>
      </c>
      <c r="J3722" s="1" t="n">
        <v>11</v>
      </c>
      <c r="K3722" s="1" t="n">
        <v>2.2</v>
      </c>
      <c r="L3722" s="15" t="n">
        <v>279.74</v>
      </c>
      <c r="M3722" s="15" t="n">
        <f aca="false">F3722*G3722</f>
        <v>297.6</v>
      </c>
      <c r="N3722" s="15" t="n">
        <f aca="false">M3722-L3722</f>
        <v>17.86</v>
      </c>
      <c r="O3722" s="1" t="n">
        <f aca="false">YEAR(B3722)</f>
        <v>2032</v>
      </c>
      <c r="P3722" s="1" t="n">
        <f aca="false">MONTH(B3722)</f>
        <v>3</v>
      </c>
      <c r="Q3722" s="1" t="str">
        <f aca="false">TEXT(B3722,"mmm")</f>
        <v>Mar</v>
      </c>
      <c r="R3722" s="1" t="str">
        <f aca="false">"Q"&amp;ROUNDUP(MONTH(B3722)/3,0)</f>
        <v>Q1</v>
      </c>
    </row>
    <row r="3723" customFormat="false" ht="15" hidden="false" customHeight="true" outlineLevel="0" collapsed="false">
      <c r="A3723" s="1" t="n">
        <v>13722</v>
      </c>
      <c r="B3723" s="14" t="n">
        <v>48283</v>
      </c>
      <c r="C3723" s="1" t="n">
        <v>1754</v>
      </c>
      <c r="D3723" s="1" t="s">
        <v>34</v>
      </c>
      <c r="E3723" s="1" t="s">
        <v>36</v>
      </c>
      <c r="F3723" s="1" t="n">
        <v>7</v>
      </c>
      <c r="G3723" s="15" t="n">
        <v>218.87</v>
      </c>
      <c r="H3723" s="16" t="n">
        <v>0.31</v>
      </c>
      <c r="I3723" s="1" t="s">
        <v>31</v>
      </c>
      <c r="J3723" s="1" t="n">
        <v>11</v>
      </c>
      <c r="K3723" s="1" t="n">
        <v>3.6</v>
      </c>
      <c r="L3723" s="15" t="n">
        <v>1057.14</v>
      </c>
      <c r="M3723" s="15" t="n">
        <f aca="false">F3723*G3723</f>
        <v>1532.09</v>
      </c>
      <c r="N3723" s="15" t="n">
        <f aca="false">M3723-L3723</f>
        <v>474.95</v>
      </c>
      <c r="O3723" s="1" t="n">
        <f aca="false">YEAR(B3723)</f>
        <v>2032</v>
      </c>
      <c r="P3723" s="1" t="n">
        <f aca="false">MONTH(B3723)</f>
        <v>3</v>
      </c>
      <c r="Q3723" s="1" t="str">
        <f aca="false">TEXT(B3723,"mmm")</f>
        <v>Mar</v>
      </c>
      <c r="R3723" s="1" t="str">
        <f aca="false">"Q"&amp;ROUNDUP(MONTH(B3723)/3,0)</f>
        <v>Q1</v>
      </c>
    </row>
    <row r="3724" customFormat="false" ht="15" hidden="false" customHeight="true" outlineLevel="0" collapsed="false">
      <c r="A3724" s="1" t="n">
        <v>13723</v>
      </c>
      <c r="B3724" s="14" t="n">
        <v>48284</v>
      </c>
      <c r="C3724" s="1" t="n">
        <v>1734</v>
      </c>
      <c r="D3724" s="1" t="s">
        <v>30</v>
      </c>
      <c r="E3724" s="1" t="s">
        <v>28</v>
      </c>
      <c r="F3724" s="1" t="n">
        <v>1</v>
      </c>
      <c r="G3724" s="15" t="n">
        <v>496.25</v>
      </c>
      <c r="H3724" s="16" t="n">
        <v>0.08</v>
      </c>
      <c r="I3724" s="1" t="s">
        <v>33</v>
      </c>
      <c r="J3724" s="1" t="n">
        <v>3</v>
      </c>
      <c r="K3724" s="1" t="n">
        <v>4.6</v>
      </c>
      <c r="L3724" s="15" t="n">
        <v>456.55</v>
      </c>
      <c r="M3724" s="15" t="n">
        <f aca="false">F3724*G3724</f>
        <v>496.25</v>
      </c>
      <c r="N3724" s="15" t="n">
        <f aca="false">M3724-L3724</f>
        <v>39.7</v>
      </c>
      <c r="O3724" s="1" t="n">
        <f aca="false">YEAR(B3724)</f>
        <v>2032</v>
      </c>
      <c r="P3724" s="1" t="n">
        <f aca="false">MONTH(B3724)</f>
        <v>3</v>
      </c>
      <c r="Q3724" s="1" t="str">
        <f aca="false">TEXT(B3724,"mmm")</f>
        <v>Mar</v>
      </c>
      <c r="R3724" s="1" t="str">
        <f aca="false">"Q"&amp;ROUNDUP(MONTH(B3724)/3,0)</f>
        <v>Q1</v>
      </c>
    </row>
    <row r="3725" customFormat="false" ht="15" hidden="false" customHeight="true" outlineLevel="0" collapsed="false">
      <c r="A3725" s="1" t="n">
        <v>13724</v>
      </c>
      <c r="B3725" s="14" t="n">
        <v>48285</v>
      </c>
      <c r="C3725" s="1" t="n">
        <v>1069</v>
      </c>
      <c r="D3725" s="1" t="s">
        <v>27</v>
      </c>
      <c r="E3725" s="1" t="s">
        <v>35</v>
      </c>
      <c r="F3725" s="1" t="n">
        <v>2</v>
      </c>
      <c r="G3725" s="15" t="n">
        <v>394.33</v>
      </c>
      <c r="H3725" s="16" t="n">
        <v>0.34</v>
      </c>
      <c r="I3725" s="1" t="s">
        <v>33</v>
      </c>
      <c r="J3725" s="1" t="n">
        <v>7</v>
      </c>
      <c r="K3725" s="1" t="n">
        <v>1.5</v>
      </c>
      <c r="L3725" s="15" t="n">
        <v>520.52</v>
      </c>
      <c r="M3725" s="15" t="n">
        <f aca="false">F3725*G3725</f>
        <v>788.66</v>
      </c>
      <c r="N3725" s="15" t="n">
        <f aca="false">M3725-L3725</f>
        <v>268.14</v>
      </c>
      <c r="O3725" s="1" t="n">
        <f aca="false">YEAR(B3725)</f>
        <v>2032</v>
      </c>
      <c r="P3725" s="1" t="n">
        <f aca="false">MONTH(B3725)</f>
        <v>3</v>
      </c>
      <c r="Q3725" s="1" t="str">
        <f aca="false">TEXT(B3725,"mmm")</f>
        <v>Mar</v>
      </c>
      <c r="R3725" s="1" t="str">
        <f aca="false">"Q"&amp;ROUNDUP(MONTH(B3725)/3,0)</f>
        <v>Q1</v>
      </c>
    </row>
    <row r="3726" customFormat="false" ht="15" hidden="false" customHeight="true" outlineLevel="0" collapsed="false">
      <c r="A3726" s="1" t="n">
        <v>13725</v>
      </c>
      <c r="B3726" s="14" t="n">
        <v>48286</v>
      </c>
      <c r="C3726" s="1" t="n">
        <v>1823</v>
      </c>
      <c r="D3726" s="1" t="s">
        <v>34</v>
      </c>
      <c r="E3726" s="1" t="s">
        <v>32</v>
      </c>
      <c r="F3726" s="1" t="n">
        <v>6</v>
      </c>
      <c r="G3726" s="15" t="n">
        <v>184.63</v>
      </c>
      <c r="H3726" s="16" t="n">
        <v>0.21</v>
      </c>
      <c r="I3726" s="1" t="s">
        <v>33</v>
      </c>
      <c r="J3726" s="1" t="n">
        <v>1</v>
      </c>
      <c r="K3726" s="1" t="n">
        <v>2.9</v>
      </c>
      <c r="L3726" s="15" t="n">
        <v>875.15</v>
      </c>
      <c r="M3726" s="15" t="n">
        <f aca="false">F3726*G3726</f>
        <v>1107.78</v>
      </c>
      <c r="N3726" s="15" t="n">
        <f aca="false">M3726-L3726</f>
        <v>232.63</v>
      </c>
      <c r="O3726" s="1" t="n">
        <f aca="false">YEAR(B3726)</f>
        <v>2032</v>
      </c>
      <c r="P3726" s="1" t="n">
        <f aca="false">MONTH(B3726)</f>
        <v>3</v>
      </c>
      <c r="Q3726" s="1" t="str">
        <f aca="false">TEXT(B3726,"mmm")</f>
        <v>Mar</v>
      </c>
      <c r="R3726" s="1" t="str">
        <f aca="false">"Q"&amp;ROUNDUP(MONTH(B3726)/3,0)</f>
        <v>Q1</v>
      </c>
    </row>
    <row r="3727" customFormat="false" ht="15" hidden="false" customHeight="true" outlineLevel="0" collapsed="false">
      <c r="A3727" s="1" t="n">
        <v>13726</v>
      </c>
      <c r="B3727" s="14" t="n">
        <v>48287</v>
      </c>
      <c r="C3727" s="1" t="n">
        <v>1210</v>
      </c>
      <c r="D3727" s="1" t="s">
        <v>27</v>
      </c>
      <c r="E3727" s="1" t="s">
        <v>32</v>
      </c>
      <c r="F3727" s="1" t="n">
        <v>1</v>
      </c>
      <c r="G3727" s="15" t="n">
        <v>509.52</v>
      </c>
      <c r="H3727" s="16" t="n">
        <v>0.08</v>
      </c>
      <c r="I3727" s="1" t="s">
        <v>29</v>
      </c>
      <c r="J3727" s="1" t="n">
        <v>7</v>
      </c>
      <c r="K3727" s="1" t="n">
        <v>2.3</v>
      </c>
      <c r="L3727" s="15" t="n">
        <v>468.76</v>
      </c>
      <c r="M3727" s="15" t="n">
        <f aca="false">F3727*G3727</f>
        <v>509.52</v>
      </c>
      <c r="N3727" s="15" t="n">
        <f aca="false">M3727-L3727</f>
        <v>40.76</v>
      </c>
      <c r="O3727" s="1" t="n">
        <f aca="false">YEAR(B3727)</f>
        <v>2032</v>
      </c>
      <c r="P3727" s="1" t="n">
        <f aca="false">MONTH(B3727)</f>
        <v>3</v>
      </c>
      <c r="Q3727" s="1" t="str">
        <f aca="false">TEXT(B3727,"mmm")</f>
        <v>Mar</v>
      </c>
      <c r="R3727" s="1" t="str">
        <f aca="false">"Q"&amp;ROUNDUP(MONTH(B3727)/3,0)</f>
        <v>Q1</v>
      </c>
    </row>
    <row r="3728" customFormat="false" ht="15" hidden="false" customHeight="true" outlineLevel="0" collapsed="false">
      <c r="A3728" s="1" t="n">
        <v>13727</v>
      </c>
      <c r="B3728" s="14" t="n">
        <v>48288</v>
      </c>
      <c r="C3728" s="1" t="n">
        <v>1100</v>
      </c>
      <c r="D3728" s="1" t="s">
        <v>27</v>
      </c>
      <c r="E3728" s="1" t="s">
        <v>36</v>
      </c>
      <c r="F3728" s="1" t="n">
        <v>6</v>
      </c>
      <c r="G3728" s="15" t="n">
        <v>303.58</v>
      </c>
      <c r="H3728" s="16" t="n">
        <v>0.17</v>
      </c>
      <c r="I3728" s="1" t="s">
        <v>29</v>
      </c>
      <c r="J3728" s="1" t="n">
        <v>6</v>
      </c>
      <c r="K3728" s="1" t="n">
        <v>2</v>
      </c>
      <c r="L3728" s="15" t="n">
        <v>1511.83</v>
      </c>
      <c r="M3728" s="15" t="n">
        <f aca="false">F3728*G3728</f>
        <v>1821.48</v>
      </c>
      <c r="N3728" s="15" t="n">
        <f aca="false">M3728-L3728</f>
        <v>309.65</v>
      </c>
      <c r="O3728" s="1" t="n">
        <f aca="false">YEAR(B3728)</f>
        <v>2032</v>
      </c>
      <c r="P3728" s="1" t="n">
        <f aca="false">MONTH(B3728)</f>
        <v>3</v>
      </c>
      <c r="Q3728" s="1" t="str">
        <f aca="false">TEXT(B3728,"mmm")</f>
        <v>Mar</v>
      </c>
      <c r="R3728" s="1" t="str">
        <f aca="false">"Q"&amp;ROUNDUP(MONTH(B3728)/3,0)</f>
        <v>Q1</v>
      </c>
    </row>
    <row r="3729" customFormat="false" ht="15" hidden="false" customHeight="true" outlineLevel="0" collapsed="false">
      <c r="A3729" s="1" t="n">
        <v>13728</v>
      </c>
      <c r="B3729" s="14" t="n">
        <v>48289</v>
      </c>
      <c r="C3729" s="1" t="n">
        <v>1697</v>
      </c>
      <c r="D3729" s="1" t="s">
        <v>30</v>
      </c>
      <c r="E3729" s="1" t="s">
        <v>36</v>
      </c>
      <c r="F3729" s="1" t="n">
        <v>1</v>
      </c>
      <c r="G3729" s="15" t="n">
        <v>306.54</v>
      </c>
      <c r="H3729" s="16" t="n">
        <v>0.08</v>
      </c>
      <c r="I3729" s="1" t="s">
        <v>31</v>
      </c>
      <c r="J3729" s="1" t="n">
        <v>11</v>
      </c>
      <c r="K3729" s="1" t="n">
        <v>2.6</v>
      </c>
      <c r="L3729" s="15" t="n">
        <v>282.02</v>
      </c>
      <c r="M3729" s="15" t="n">
        <f aca="false">F3729*G3729</f>
        <v>306.54</v>
      </c>
      <c r="N3729" s="15" t="n">
        <f aca="false">M3729-L3729</f>
        <v>24.52</v>
      </c>
      <c r="O3729" s="1" t="n">
        <f aca="false">YEAR(B3729)</f>
        <v>2032</v>
      </c>
      <c r="P3729" s="1" t="n">
        <f aca="false">MONTH(B3729)</f>
        <v>3</v>
      </c>
      <c r="Q3729" s="1" t="str">
        <f aca="false">TEXT(B3729,"mmm")</f>
        <v>Mar</v>
      </c>
      <c r="R3729" s="1" t="str">
        <f aca="false">"Q"&amp;ROUNDUP(MONTH(B3729)/3,0)</f>
        <v>Q1</v>
      </c>
    </row>
    <row r="3730" customFormat="false" ht="15" hidden="false" customHeight="true" outlineLevel="0" collapsed="false">
      <c r="A3730" s="1" t="n">
        <v>13729</v>
      </c>
      <c r="B3730" s="14" t="n">
        <v>48290</v>
      </c>
      <c r="C3730" s="1" t="n">
        <v>1131</v>
      </c>
      <c r="D3730" s="1" t="s">
        <v>34</v>
      </c>
      <c r="E3730" s="1" t="s">
        <v>32</v>
      </c>
      <c r="F3730" s="1" t="n">
        <v>5</v>
      </c>
      <c r="G3730" s="15" t="n">
        <v>586.3</v>
      </c>
      <c r="H3730" s="16" t="n">
        <v>0.34</v>
      </c>
      <c r="I3730" s="1" t="s">
        <v>31</v>
      </c>
      <c r="J3730" s="1" t="n">
        <v>10</v>
      </c>
      <c r="K3730" s="1" t="n">
        <v>2.6</v>
      </c>
      <c r="L3730" s="15" t="n">
        <v>1934.79</v>
      </c>
      <c r="M3730" s="15" t="n">
        <f aca="false">F3730*G3730</f>
        <v>2931.5</v>
      </c>
      <c r="N3730" s="15" t="n">
        <f aca="false">M3730-L3730</f>
        <v>996.71</v>
      </c>
      <c r="O3730" s="1" t="n">
        <f aca="false">YEAR(B3730)</f>
        <v>2032</v>
      </c>
      <c r="P3730" s="1" t="n">
        <f aca="false">MONTH(B3730)</f>
        <v>3</v>
      </c>
      <c r="Q3730" s="1" t="str">
        <f aca="false">TEXT(B3730,"mmm")</f>
        <v>Mar</v>
      </c>
      <c r="R3730" s="1" t="str">
        <f aca="false">"Q"&amp;ROUNDUP(MONTH(B3730)/3,0)</f>
        <v>Q1</v>
      </c>
    </row>
    <row r="3731" customFormat="false" ht="15" hidden="false" customHeight="true" outlineLevel="0" collapsed="false">
      <c r="A3731" s="1" t="n">
        <v>13730</v>
      </c>
      <c r="B3731" s="14" t="n">
        <v>48291</v>
      </c>
      <c r="C3731" s="1" t="n">
        <v>1622</v>
      </c>
      <c r="D3731" s="1" t="s">
        <v>37</v>
      </c>
      <c r="E3731" s="1" t="s">
        <v>28</v>
      </c>
      <c r="F3731" s="1" t="n">
        <v>4</v>
      </c>
      <c r="G3731" s="15" t="n">
        <v>569.06</v>
      </c>
      <c r="H3731" s="16" t="n">
        <v>0.3</v>
      </c>
      <c r="I3731" s="1" t="s">
        <v>29</v>
      </c>
      <c r="J3731" s="1" t="n">
        <v>2</v>
      </c>
      <c r="K3731" s="1" t="n">
        <v>1.8</v>
      </c>
      <c r="L3731" s="15" t="n">
        <v>1593.37</v>
      </c>
      <c r="M3731" s="15" t="n">
        <f aca="false">F3731*G3731</f>
        <v>2276.24</v>
      </c>
      <c r="N3731" s="15" t="n">
        <f aca="false">M3731-L3731</f>
        <v>682.87</v>
      </c>
      <c r="O3731" s="1" t="n">
        <f aca="false">YEAR(B3731)</f>
        <v>2032</v>
      </c>
      <c r="P3731" s="1" t="n">
        <f aca="false">MONTH(B3731)</f>
        <v>3</v>
      </c>
      <c r="Q3731" s="1" t="str">
        <f aca="false">TEXT(B3731,"mmm")</f>
        <v>Mar</v>
      </c>
      <c r="R3731" s="1" t="str">
        <f aca="false">"Q"&amp;ROUNDUP(MONTH(B3731)/3,0)</f>
        <v>Q1</v>
      </c>
    </row>
    <row r="3732" customFormat="false" ht="15" hidden="false" customHeight="true" outlineLevel="0" collapsed="false">
      <c r="A3732" s="1" t="n">
        <v>13731</v>
      </c>
      <c r="B3732" s="14" t="n">
        <v>48292</v>
      </c>
      <c r="C3732" s="1" t="n">
        <v>1380</v>
      </c>
      <c r="D3732" s="1" t="s">
        <v>34</v>
      </c>
      <c r="E3732" s="1" t="s">
        <v>36</v>
      </c>
      <c r="F3732" s="1" t="n">
        <v>4</v>
      </c>
      <c r="G3732" s="15" t="n">
        <v>224.74</v>
      </c>
      <c r="H3732" s="16" t="n">
        <v>0.01</v>
      </c>
      <c r="I3732" s="1" t="s">
        <v>29</v>
      </c>
      <c r="J3732" s="1" t="n">
        <v>10</v>
      </c>
      <c r="K3732" s="1" t="n">
        <v>2.6</v>
      </c>
      <c r="L3732" s="15" t="n">
        <v>889.97</v>
      </c>
      <c r="M3732" s="15" t="n">
        <f aca="false">F3732*G3732</f>
        <v>898.96</v>
      </c>
      <c r="N3732" s="15" t="n">
        <f aca="false">M3732-L3732</f>
        <v>8.99000000000001</v>
      </c>
      <c r="O3732" s="1" t="n">
        <f aca="false">YEAR(B3732)</f>
        <v>2032</v>
      </c>
      <c r="P3732" s="1" t="n">
        <f aca="false">MONTH(B3732)</f>
        <v>3</v>
      </c>
      <c r="Q3732" s="1" t="str">
        <f aca="false">TEXT(B3732,"mmm")</f>
        <v>Mar</v>
      </c>
      <c r="R3732" s="1" t="str">
        <f aca="false">"Q"&amp;ROUNDUP(MONTH(B3732)/3,0)</f>
        <v>Q1</v>
      </c>
    </row>
    <row r="3733" customFormat="false" ht="15" hidden="false" customHeight="true" outlineLevel="0" collapsed="false">
      <c r="A3733" s="1" t="n">
        <v>13732</v>
      </c>
      <c r="B3733" s="14" t="n">
        <v>48293</v>
      </c>
      <c r="C3733" s="1" t="n">
        <v>1131</v>
      </c>
      <c r="D3733" s="1" t="s">
        <v>37</v>
      </c>
      <c r="E3733" s="1" t="s">
        <v>35</v>
      </c>
      <c r="F3733" s="1" t="n">
        <v>6</v>
      </c>
      <c r="G3733" s="15" t="n">
        <v>97.24</v>
      </c>
      <c r="H3733" s="16" t="n">
        <v>0.33</v>
      </c>
      <c r="I3733" s="1" t="s">
        <v>31</v>
      </c>
      <c r="J3733" s="1" t="n">
        <v>1</v>
      </c>
      <c r="K3733" s="1" t="n">
        <v>3.5</v>
      </c>
      <c r="L3733" s="15" t="n">
        <v>390.9</v>
      </c>
      <c r="M3733" s="15" t="n">
        <f aca="false">F3733*G3733</f>
        <v>583.44</v>
      </c>
      <c r="N3733" s="15" t="n">
        <f aca="false">M3733-L3733</f>
        <v>192.54</v>
      </c>
      <c r="O3733" s="1" t="n">
        <f aca="false">YEAR(B3733)</f>
        <v>2032</v>
      </c>
      <c r="P3733" s="1" t="n">
        <f aca="false">MONTH(B3733)</f>
        <v>3</v>
      </c>
      <c r="Q3733" s="1" t="str">
        <f aca="false">TEXT(B3733,"mmm")</f>
        <v>Mar</v>
      </c>
      <c r="R3733" s="1" t="str">
        <f aca="false">"Q"&amp;ROUNDUP(MONTH(B3733)/3,0)</f>
        <v>Q1</v>
      </c>
    </row>
    <row r="3734" customFormat="false" ht="15" hidden="false" customHeight="true" outlineLevel="0" collapsed="false">
      <c r="A3734" s="1" t="n">
        <v>13733</v>
      </c>
      <c r="B3734" s="14" t="n">
        <v>48294</v>
      </c>
      <c r="C3734" s="1" t="n">
        <v>1019</v>
      </c>
      <c r="D3734" s="1" t="s">
        <v>30</v>
      </c>
      <c r="E3734" s="1" t="s">
        <v>36</v>
      </c>
      <c r="F3734" s="1" t="n">
        <v>5</v>
      </c>
      <c r="G3734" s="15" t="n">
        <v>205.52</v>
      </c>
      <c r="H3734" s="16" t="n">
        <v>0.25</v>
      </c>
      <c r="I3734" s="1" t="s">
        <v>33</v>
      </c>
      <c r="J3734" s="1" t="n">
        <v>9</v>
      </c>
      <c r="K3734" s="1" t="n">
        <v>1.1</v>
      </c>
      <c r="L3734" s="15" t="n">
        <v>770.7</v>
      </c>
      <c r="M3734" s="15" t="n">
        <f aca="false">F3734*G3734</f>
        <v>1027.6</v>
      </c>
      <c r="N3734" s="15" t="n">
        <f aca="false">M3734-L3734</f>
        <v>256.9</v>
      </c>
      <c r="O3734" s="1" t="n">
        <f aca="false">YEAR(B3734)</f>
        <v>2032</v>
      </c>
      <c r="P3734" s="1" t="n">
        <f aca="false">MONTH(B3734)</f>
        <v>3</v>
      </c>
      <c r="Q3734" s="1" t="str">
        <f aca="false">TEXT(B3734,"mmm")</f>
        <v>Mar</v>
      </c>
      <c r="R3734" s="1" t="str">
        <f aca="false">"Q"&amp;ROUNDUP(MONTH(B3734)/3,0)</f>
        <v>Q1</v>
      </c>
    </row>
    <row r="3735" customFormat="false" ht="15" hidden="false" customHeight="true" outlineLevel="0" collapsed="false">
      <c r="A3735" s="1" t="n">
        <v>13734</v>
      </c>
      <c r="B3735" s="14" t="n">
        <v>48295</v>
      </c>
      <c r="C3735" s="1" t="n">
        <v>1905</v>
      </c>
      <c r="D3735" s="1" t="s">
        <v>30</v>
      </c>
      <c r="E3735" s="1" t="s">
        <v>28</v>
      </c>
      <c r="F3735" s="1" t="n">
        <v>7</v>
      </c>
      <c r="G3735" s="15" t="n">
        <v>32.83</v>
      </c>
      <c r="H3735" s="16" t="n">
        <v>0.03</v>
      </c>
      <c r="I3735" s="1" t="s">
        <v>33</v>
      </c>
      <c r="J3735" s="1" t="n">
        <v>2</v>
      </c>
      <c r="K3735" s="1" t="n">
        <v>5</v>
      </c>
      <c r="L3735" s="15" t="n">
        <v>222.92</v>
      </c>
      <c r="M3735" s="15" t="n">
        <f aca="false">F3735*G3735</f>
        <v>229.81</v>
      </c>
      <c r="N3735" s="15" t="n">
        <f aca="false">M3735-L3735</f>
        <v>6.89000000000002</v>
      </c>
      <c r="O3735" s="1" t="n">
        <f aca="false">YEAR(B3735)</f>
        <v>2032</v>
      </c>
      <c r="P3735" s="1" t="n">
        <f aca="false">MONTH(B3735)</f>
        <v>3</v>
      </c>
      <c r="Q3735" s="1" t="str">
        <f aca="false">TEXT(B3735,"mmm")</f>
        <v>Mar</v>
      </c>
      <c r="R3735" s="1" t="str">
        <f aca="false">"Q"&amp;ROUNDUP(MONTH(B3735)/3,0)</f>
        <v>Q1</v>
      </c>
    </row>
    <row r="3736" customFormat="false" ht="15" hidden="false" customHeight="true" outlineLevel="0" collapsed="false">
      <c r="A3736" s="1" t="n">
        <v>13735</v>
      </c>
      <c r="B3736" s="14" t="n">
        <v>48296</v>
      </c>
      <c r="C3736" s="1" t="n">
        <v>1535</v>
      </c>
      <c r="D3736" s="1" t="s">
        <v>37</v>
      </c>
      <c r="E3736" s="1" t="s">
        <v>36</v>
      </c>
      <c r="F3736" s="1" t="n">
        <v>5</v>
      </c>
      <c r="G3736" s="15" t="n">
        <v>27.15</v>
      </c>
      <c r="H3736" s="16" t="n">
        <v>0.23</v>
      </c>
      <c r="I3736" s="1" t="s">
        <v>33</v>
      </c>
      <c r="J3736" s="1" t="n">
        <v>4</v>
      </c>
      <c r="K3736" s="1" t="n">
        <v>2.2</v>
      </c>
      <c r="L3736" s="15" t="n">
        <v>104.53</v>
      </c>
      <c r="M3736" s="15" t="n">
        <f aca="false">F3736*G3736</f>
        <v>135.75</v>
      </c>
      <c r="N3736" s="15" t="n">
        <f aca="false">M3736-L3736</f>
        <v>31.22</v>
      </c>
      <c r="O3736" s="1" t="n">
        <f aca="false">YEAR(B3736)</f>
        <v>2032</v>
      </c>
      <c r="P3736" s="1" t="n">
        <f aca="false">MONTH(B3736)</f>
        <v>3</v>
      </c>
      <c r="Q3736" s="1" t="str">
        <f aca="false">TEXT(B3736,"mmm")</f>
        <v>Mar</v>
      </c>
      <c r="R3736" s="1" t="str">
        <f aca="false">"Q"&amp;ROUNDUP(MONTH(B3736)/3,0)</f>
        <v>Q1</v>
      </c>
    </row>
    <row r="3737" customFormat="false" ht="15" hidden="false" customHeight="true" outlineLevel="0" collapsed="false">
      <c r="A3737" s="1" t="n">
        <v>13736</v>
      </c>
      <c r="B3737" s="14" t="n">
        <v>48297</v>
      </c>
      <c r="C3737" s="1" t="n">
        <v>1226</v>
      </c>
      <c r="D3737" s="1" t="s">
        <v>30</v>
      </c>
      <c r="E3737" s="1" t="s">
        <v>35</v>
      </c>
      <c r="F3737" s="1" t="n">
        <v>5</v>
      </c>
      <c r="G3737" s="15" t="n">
        <v>246.38</v>
      </c>
      <c r="H3737" s="16" t="n">
        <v>0.23</v>
      </c>
      <c r="I3737" s="1" t="s">
        <v>31</v>
      </c>
      <c r="J3737" s="1" t="n">
        <v>9</v>
      </c>
      <c r="K3737" s="1" t="n">
        <v>3.5</v>
      </c>
      <c r="L3737" s="15" t="n">
        <v>948.56</v>
      </c>
      <c r="M3737" s="15" t="n">
        <f aca="false">F3737*G3737</f>
        <v>1231.9</v>
      </c>
      <c r="N3737" s="15" t="n">
        <f aca="false">M3737-L3737</f>
        <v>283.34</v>
      </c>
      <c r="O3737" s="1" t="n">
        <f aca="false">YEAR(B3737)</f>
        <v>2032</v>
      </c>
      <c r="P3737" s="1" t="n">
        <f aca="false">MONTH(B3737)</f>
        <v>3</v>
      </c>
      <c r="Q3737" s="1" t="str">
        <f aca="false">TEXT(B3737,"mmm")</f>
        <v>Mar</v>
      </c>
      <c r="R3737" s="1" t="str">
        <f aca="false">"Q"&amp;ROUNDUP(MONTH(B3737)/3,0)</f>
        <v>Q1</v>
      </c>
    </row>
    <row r="3738" customFormat="false" ht="15" hidden="false" customHeight="true" outlineLevel="0" collapsed="false">
      <c r="A3738" s="1" t="n">
        <v>13737</v>
      </c>
      <c r="B3738" s="14" t="n">
        <v>48298</v>
      </c>
      <c r="C3738" s="1" t="n">
        <v>1153</v>
      </c>
      <c r="D3738" s="1" t="s">
        <v>30</v>
      </c>
      <c r="E3738" s="1" t="s">
        <v>35</v>
      </c>
      <c r="F3738" s="1" t="n">
        <v>2</v>
      </c>
      <c r="G3738" s="15" t="n">
        <v>565.5</v>
      </c>
      <c r="H3738" s="16" t="n">
        <v>0.08</v>
      </c>
      <c r="I3738" s="1" t="s">
        <v>29</v>
      </c>
      <c r="J3738" s="1" t="n">
        <v>9</v>
      </c>
      <c r="K3738" s="1" t="n">
        <v>2.1</v>
      </c>
      <c r="L3738" s="15" t="n">
        <v>1040.52</v>
      </c>
      <c r="M3738" s="15" t="n">
        <f aca="false">F3738*G3738</f>
        <v>1131</v>
      </c>
      <c r="N3738" s="15" t="n">
        <f aca="false">M3738-L3738</f>
        <v>90.48</v>
      </c>
      <c r="O3738" s="1" t="n">
        <f aca="false">YEAR(B3738)</f>
        <v>2032</v>
      </c>
      <c r="P3738" s="1" t="n">
        <f aca="false">MONTH(B3738)</f>
        <v>3</v>
      </c>
      <c r="Q3738" s="1" t="str">
        <f aca="false">TEXT(B3738,"mmm")</f>
        <v>Mar</v>
      </c>
      <c r="R3738" s="1" t="str">
        <f aca="false">"Q"&amp;ROUNDUP(MONTH(B3738)/3,0)</f>
        <v>Q1</v>
      </c>
    </row>
    <row r="3739" customFormat="false" ht="15" hidden="false" customHeight="true" outlineLevel="0" collapsed="false">
      <c r="A3739" s="1" t="n">
        <v>13738</v>
      </c>
      <c r="B3739" s="14" t="n">
        <v>48299</v>
      </c>
      <c r="C3739" s="1" t="n">
        <v>1804</v>
      </c>
      <c r="D3739" s="1" t="s">
        <v>30</v>
      </c>
      <c r="E3739" s="1" t="s">
        <v>35</v>
      </c>
      <c r="F3739" s="1" t="n">
        <v>3</v>
      </c>
      <c r="G3739" s="15" t="n">
        <v>524.74</v>
      </c>
      <c r="H3739" s="16" t="n">
        <v>0.27</v>
      </c>
      <c r="I3739" s="1" t="s">
        <v>33</v>
      </c>
      <c r="J3739" s="1" t="n">
        <v>11</v>
      </c>
      <c r="K3739" s="1" t="n">
        <v>2.6</v>
      </c>
      <c r="L3739" s="15" t="n">
        <v>1149.18</v>
      </c>
      <c r="M3739" s="15" t="n">
        <f aca="false">F3739*G3739</f>
        <v>1574.22</v>
      </c>
      <c r="N3739" s="15" t="n">
        <f aca="false">M3739-L3739</f>
        <v>425.04</v>
      </c>
      <c r="O3739" s="1" t="n">
        <f aca="false">YEAR(B3739)</f>
        <v>2032</v>
      </c>
      <c r="P3739" s="1" t="n">
        <f aca="false">MONTH(B3739)</f>
        <v>3</v>
      </c>
      <c r="Q3739" s="1" t="str">
        <f aca="false">TEXT(B3739,"mmm")</f>
        <v>Mar</v>
      </c>
      <c r="R3739" s="1" t="str">
        <f aca="false">"Q"&amp;ROUNDUP(MONTH(B3739)/3,0)</f>
        <v>Q1</v>
      </c>
    </row>
    <row r="3740" customFormat="false" ht="15" hidden="false" customHeight="true" outlineLevel="0" collapsed="false">
      <c r="A3740" s="1" t="n">
        <v>13739</v>
      </c>
      <c r="B3740" s="14" t="n">
        <v>48300</v>
      </c>
      <c r="C3740" s="1" t="n">
        <v>1741</v>
      </c>
      <c r="D3740" s="1" t="s">
        <v>30</v>
      </c>
      <c r="E3740" s="1" t="s">
        <v>28</v>
      </c>
      <c r="F3740" s="1" t="n">
        <v>1</v>
      </c>
      <c r="G3740" s="15" t="n">
        <v>314.19</v>
      </c>
      <c r="H3740" s="16" t="n">
        <v>0.03</v>
      </c>
      <c r="I3740" s="1" t="s">
        <v>31</v>
      </c>
      <c r="J3740" s="1" t="n">
        <v>1</v>
      </c>
      <c r="K3740" s="1" t="n">
        <v>3.2</v>
      </c>
      <c r="L3740" s="15" t="n">
        <v>304.76</v>
      </c>
      <c r="M3740" s="15" t="n">
        <f aca="false">F3740*G3740</f>
        <v>314.19</v>
      </c>
      <c r="N3740" s="15" t="n">
        <f aca="false">M3740-L3740</f>
        <v>9.43000000000001</v>
      </c>
      <c r="O3740" s="1" t="n">
        <f aca="false">YEAR(B3740)</f>
        <v>2032</v>
      </c>
      <c r="P3740" s="1" t="n">
        <f aca="false">MONTH(B3740)</f>
        <v>3</v>
      </c>
      <c r="Q3740" s="1" t="str">
        <f aca="false">TEXT(B3740,"mmm")</f>
        <v>Mar</v>
      </c>
      <c r="R3740" s="1" t="str">
        <f aca="false">"Q"&amp;ROUNDUP(MONTH(B3740)/3,0)</f>
        <v>Q1</v>
      </c>
    </row>
    <row r="3741" customFormat="false" ht="15" hidden="false" customHeight="true" outlineLevel="0" collapsed="false">
      <c r="A3741" s="1" t="n">
        <v>13740</v>
      </c>
      <c r="B3741" s="14" t="n">
        <v>48301</v>
      </c>
      <c r="C3741" s="1" t="n">
        <v>1468</v>
      </c>
      <c r="D3741" s="1" t="s">
        <v>30</v>
      </c>
      <c r="E3741" s="1" t="s">
        <v>28</v>
      </c>
      <c r="F3741" s="1" t="n">
        <v>5</v>
      </c>
      <c r="G3741" s="15" t="n">
        <v>345.66</v>
      </c>
      <c r="H3741" s="16" t="n">
        <v>0.17</v>
      </c>
      <c r="I3741" s="1" t="s">
        <v>33</v>
      </c>
      <c r="J3741" s="1" t="n">
        <v>2</v>
      </c>
      <c r="K3741" s="1" t="n">
        <v>3.4</v>
      </c>
      <c r="L3741" s="15" t="n">
        <v>1434.49</v>
      </c>
      <c r="M3741" s="15" t="n">
        <f aca="false">F3741*G3741</f>
        <v>1728.3</v>
      </c>
      <c r="N3741" s="15" t="n">
        <f aca="false">M3741-L3741</f>
        <v>293.81</v>
      </c>
      <c r="O3741" s="1" t="n">
        <f aca="false">YEAR(B3741)</f>
        <v>2032</v>
      </c>
      <c r="P3741" s="1" t="n">
        <f aca="false">MONTH(B3741)</f>
        <v>3</v>
      </c>
      <c r="Q3741" s="1" t="str">
        <f aca="false">TEXT(B3741,"mmm")</f>
        <v>Mar</v>
      </c>
      <c r="R3741" s="1" t="str">
        <f aca="false">"Q"&amp;ROUNDUP(MONTH(B3741)/3,0)</f>
        <v>Q1</v>
      </c>
    </row>
    <row r="3742" customFormat="false" ht="15" hidden="false" customHeight="true" outlineLevel="0" collapsed="false">
      <c r="A3742" s="1" t="n">
        <v>13741</v>
      </c>
      <c r="B3742" s="14" t="n">
        <v>48302</v>
      </c>
      <c r="C3742" s="1" t="n">
        <v>1821</v>
      </c>
      <c r="D3742" s="1" t="s">
        <v>37</v>
      </c>
      <c r="E3742" s="1" t="s">
        <v>35</v>
      </c>
      <c r="F3742" s="1" t="n">
        <v>5</v>
      </c>
      <c r="G3742" s="15" t="n">
        <v>18.47</v>
      </c>
      <c r="H3742" s="16" t="n">
        <v>0</v>
      </c>
      <c r="I3742" s="1" t="s">
        <v>33</v>
      </c>
      <c r="J3742" s="1" t="n">
        <v>2</v>
      </c>
      <c r="K3742" s="1" t="n">
        <v>4.1</v>
      </c>
      <c r="L3742" s="15" t="n">
        <v>92.35</v>
      </c>
      <c r="M3742" s="15" t="n">
        <f aca="false">F3742*G3742</f>
        <v>92.35</v>
      </c>
      <c r="N3742" s="15" t="n">
        <f aca="false">M3742-L3742</f>
        <v>0</v>
      </c>
      <c r="O3742" s="1" t="n">
        <f aca="false">YEAR(B3742)</f>
        <v>2032</v>
      </c>
      <c r="P3742" s="1" t="n">
        <f aca="false">MONTH(B3742)</f>
        <v>3</v>
      </c>
      <c r="Q3742" s="1" t="str">
        <f aca="false">TEXT(B3742,"mmm")</f>
        <v>Mar</v>
      </c>
      <c r="R3742" s="1" t="str">
        <f aca="false">"Q"&amp;ROUNDUP(MONTH(B3742)/3,0)</f>
        <v>Q1</v>
      </c>
    </row>
    <row r="3743" customFormat="false" ht="15" hidden="false" customHeight="true" outlineLevel="0" collapsed="false">
      <c r="A3743" s="1" t="n">
        <v>13742</v>
      </c>
      <c r="B3743" s="14" t="n">
        <v>48303</v>
      </c>
      <c r="C3743" s="1" t="n">
        <v>1999</v>
      </c>
      <c r="D3743" s="1" t="s">
        <v>30</v>
      </c>
      <c r="E3743" s="1" t="s">
        <v>35</v>
      </c>
      <c r="F3743" s="1" t="n">
        <v>5</v>
      </c>
      <c r="G3743" s="15" t="n">
        <v>141.07</v>
      </c>
      <c r="H3743" s="16" t="n">
        <v>0.34</v>
      </c>
      <c r="I3743" s="1" t="s">
        <v>29</v>
      </c>
      <c r="J3743" s="1" t="n">
        <v>2</v>
      </c>
      <c r="K3743" s="1" t="n">
        <v>4.2</v>
      </c>
      <c r="L3743" s="15" t="n">
        <v>465.53</v>
      </c>
      <c r="M3743" s="15" t="n">
        <f aca="false">F3743*G3743</f>
        <v>705.35</v>
      </c>
      <c r="N3743" s="15" t="n">
        <f aca="false">M3743-L3743</f>
        <v>239.82</v>
      </c>
      <c r="O3743" s="1" t="n">
        <f aca="false">YEAR(B3743)</f>
        <v>2032</v>
      </c>
      <c r="P3743" s="1" t="n">
        <f aca="false">MONTH(B3743)</f>
        <v>3</v>
      </c>
      <c r="Q3743" s="1" t="str">
        <f aca="false">TEXT(B3743,"mmm")</f>
        <v>Mar</v>
      </c>
      <c r="R3743" s="1" t="str">
        <f aca="false">"Q"&amp;ROUNDUP(MONTH(B3743)/3,0)</f>
        <v>Q1</v>
      </c>
    </row>
    <row r="3744" customFormat="false" ht="15" hidden="false" customHeight="true" outlineLevel="0" collapsed="false">
      <c r="A3744" s="1" t="n">
        <v>13743</v>
      </c>
      <c r="B3744" s="14" t="n">
        <v>48304</v>
      </c>
      <c r="C3744" s="1" t="n">
        <v>1870</v>
      </c>
      <c r="D3744" s="1" t="s">
        <v>30</v>
      </c>
      <c r="E3744" s="1" t="s">
        <v>28</v>
      </c>
      <c r="F3744" s="1" t="n">
        <v>4</v>
      </c>
      <c r="G3744" s="15" t="n">
        <v>29.49</v>
      </c>
      <c r="H3744" s="16" t="n">
        <v>0.26</v>
      </c>
      <c r="I3744" s="1" t="s">
        <v>31</v>
      </c>
      <c r="J3744" s="1" t="n">
        <v>8</v>
      </c>
      <c r="K3744" s="1" t="n">
        <v>3.1</v>
      </c>
      <c r="L3744" s="15" t="n">
        <v>87.29</v>
      </c>
      <c r="M3744" s="15" t="n">
        <f aca="false">F3744*G3744</f>
        <v>117.96</v>
      </c>
      <c r="N3744" s="15" t="n">
        <f aca="false">M3744-L3744</f>
        <v>30.67</v>
      </c>
      <c r="O3744" s="1" t="n">
        <f aca="false">YEAR(B3744)</f>
        <v>2032</v>
      </c>
      <c r="P3744" s="1" t="n">
        <f aca="false">MONTH(B3744)</f>
        <v>3</v>
      </c>
      <c r="Q3744" s="1" t="str">
        <f aca="false">TEXT(B3744,"mmm")</f>
        <v>Mar</v>
      </c>
      <c r="R3744" s="1" t="str">
        <f aca="false">"Q"&amp;ROUNDUP(MONTH(B3744)/3,0)</f>
        <v>Q1</v>
      </c>
    </row>
    <row r="3745" customFormat="false" ht="15" hidden="false" customHeight="true" outlineLevel="0" collapsed="false">
      <c r="A3745" s="1" t="n">
        <v>13744</v>
      </c>
      <c r="B3745" s="14" t="n">
        <v>48305</v>
      </c>
      <c r="C3745" s="1" t="n">
        <v>1404</v>
      </c>
      <c r="D3745" s="1" t="s">
        <v>37</v>
      </c>
      <c r="E3745" s="1" t="s">
        <v>28</v>
      </c>
      <c r="F3745" s="1" t="n">
        <v>5</v>
      </c>
      <c r="G3745" s="15" t="n">
        <v>456.41</v>
      </c>
      <c r="H3745" s="16" t="n">
        <v>0.06</v>
      </c>
      <c r="I3745" s="1" t="s">
        <v>29</v>
      </c>
      <c r="J3745" s="1" t="n">
        <v>8</v>
      </c>
      <c r="K3745" s="1" t="n">
        <v>1.3</v>
      </c>
      <c r="L3745" s="15" t="n">
        <v>2145.13</v>
      </c>
      <c r="M3745" s="15" t="n">
        <f aca="false">F3745*G3745</f>
        <v>2282.05</v>
      </c>
      <c r="N3745" s="15" t="n">
        <f aca="false">M3745-L3745</f>
        <v>136.92</v>
      </c>
      <c r="O3745" s="1" t="n">
        <f aca="false">YEAR(B3745)</f>
        <v>2032</v>
      </c>
      <c r="P3745" s="1" t="n">
        <f aca="false">MONTH(B3745)</f>
        <v>4</v>
      </c>
      <c r="Q3745" s="1" t="str">
        <f aca="false">TEXT(B3745,"mmm")</f>
        <v>Apr</v>
      </c>
      <c r="R3745" s="1" t="str">
        <f aca="false">"Q"&amp;ROUNDUP(MONTH(B3745)/3,0)</f>
        <v>Q2</v>
      </c>
    </row>
    <row r="3746" customFormat="false" ht="15" hidden="false" customHeight="true" outlineLevel="0" collapsed="false">
      <c r="A3746" s="1" t="n">
        <v>13745</v>
      </c>
      <c r="B3746" s="14" t="n">
        <v>48306</v>
      </c>
      <c r="C3746" s="1" t="n">
        <v>1201</v>
      </c>
      <c r="D3746" s="1" t="s">
        <v>34</v>
      </c>
      <c r="E3746" s="1" t="s">
        <v>28</v>
      </c>
      <c r="F3746" s="1" t="n">
        <v>1</v>
      </c>
      <c r="G3746" s="15" t="n">
        <v>100.2</v>
      </c>
      <c r="H3746" s="16" t="n">
        <v>0.12</v>
      </c>
      <c r="I3746" s="1" t="s">
        <v>31</v>
      </c>
      <c r="J3746" s="1" t="n">
        <v>10</v>
      </c>
      <c r="K3746" s="1" t="n">
        <v>3.2</v>
      </c>
      <c r="L3746" s="15" t="n">
        <v>88.18</v>
      </c>
      <c r="M3746" s="15" t="n">
        <f aca="false">F3746*G3746</f>
        <v>100.2</v>
      </c>
      <c r="N3746" s="15" t="n">
        <f aca="false">M3746-L3746</f>
        <v>12.02</v>
      </c>
      <c r="O3746" s="1" t="n">
        <f aca="false">YEAR(B3746)</f>
        <v>2032</v>
      </c>
      <c r="P3746" s="1" t="n">
        <f aca="false">MONTH(B3746)</f>
        <v>4</v>
      </c>
      <c r="Q3746" s="1" t="str">
        <f aca="false">TEXT(B3746,"mmm")</f>
        <v>Apr</v>
      </c>
      <c r="R3746" s="1" t="str">
        <f aca="false">"Q"&amp;ROUNDUP(MONTH(B3746)/3,0)</f>
        <v>Q2</v>
      </c>
    </row>
    <row r="3747" customFormat="false" ht="15" hidden="false" customHeight="true" outlineLevel="0" collapsed="false">
      <c r="A3747" s="1" t="n">
        <v>13746</v>
      </c>
      <c r="B3747" s="14" t="n">
        <v>48307</v>
      </c>
      <c r="C3747" s="1" t="n">
        <v>1037</v>
      </c>
      <c r="D3747" s="1" t="s">
        <v>34</v>
      </c>
      <c r="E3747" s="1" t="s">
        <v>32</v>
      </c>
      <c r="F3747" s="1" t="n">
        <v>7</v>
      </c>
      <c r="G3747" s="15" t="n">
        <v>523.39</v>
      </c>
      <c r="H3747" s="16" t="n">
        <v>0.06</v>
      </c>
      <c r="I3747" s="1" t="s">
        <v>33</v>
      </c>
      <c r="J3747" s="1" t="n">
        <v>8</v>
      </c>
      <c r="K3747" s="1" t="n">
        <v>2.9</v>
      </c>
      <c r="L3747" s="15" t="n">
        <v>3443.91</v>
      </c>
      <c r="M3747" s="15" t="n">
        <f aca="false">F3747*G3747</f>
        <v>3663.73</v>
      </c>
      <c r="N3747" s="15" t="n">
        <f aca="false">M3747-L3747</f>
        <v>219.82</v>
      </c>
      <c r="O3747" s="1" t="n">
        <f aca="false">YEAR(B3747)</f>
        <v>2032</v>
      </c>
      <c r="P3747" s="1" t="n">
        <f aca="false">MONTH(B3747)</f>
        <v>4</v>
      </c>
      <c r="Q3747" s="1" t="str">
        <f aca="false">TEXT(B3747,"mmm")</f>
        <v>Apr</v>
      </c>
      <c r="R3747" s="1" t="str">
        <f aca="false">"Q"&amp;ROUNDUP(MONTH(B3747)/3,0)</f>
        <v>Q2</v>
      </c>
    </row>
    <row r="3748" customFormat="false" ht="15" hidden="false" customHeight="true" outlineLevel="0" collapsed="false">
      <c r="A3748" s="1" t="n">
        <v>13747</v>
      </c>
      <c r="B3748" s="14" t="n">
        <v>48308</v>
      </c>
      <c r="C3748" s="1" t="n">
        <v>1941</v>
      </c>
      <c r="D3748" s="1" t="s">
        <v>27</v>
      </c>
      <c r="E3748" s="1" t="s">
        <v>28</v>
      </c>
      <c r="F3748" s="1" t="n">
        <v>7</v>
      </c>
      <c r="G3748" s="15" t="n">
        <v>391.34</v>
      </c>
      <c r="H3748" s="16" t="n">
        <v>0.27</v>
      </c>
      <c r="I3748" s="1" t="s">
        <v>33</v>
      </c>
      <c r="J3748" s="1" t="n">
        <v>4</v>
      </c>
      <c r="K3748" s="1" t="n">
        <v>1.9</v>
      </c>
      <c r="L3748" s="15" t="n">
        <v>1999.75</v>
      </c>
      <c r="M3748" s="15" t="n">
        <f aca="false">F3748*G3748</f>
        <v>2739.38</v>
      </c>
      <c r="N3748" s="15" t="n">
        <f aca="false">M3748-L3748</f>
        <v>739.63</v>
      </c>
      <c r="O3748" s="1" t="n">
        <f aca="false">YEAR(B3748)</f>
        <v>2032</v>
      </c>
      <c r="P3748" s="1" t="n">
        <f aca="false">MONTH(B3748)</f>
        <v>4</v>
      </c>
      <c r="Q3748" s="1" t="str">
        <f aca="false">TEXT(B3748,"mmm")</f>
        <v>Apr</v>
      </c>
      <c r="R3748" s="1" t="str">
        <f aca="false">"Q"&amp;ROUNDUP(MONTH(B3748)/3,0)</f>
        <v>Q2</v>
      </c>
    </row>
    <row r="3749" customFormat="false" ht="15" hidden="false" customHeight="true" outlineLevel="0" collapsed="false">
      <c r="A3749" s="1" t="n">
        <v>13748</v>
      </c>
      <c r="B3749" s="14" t="n">
        <v>48309</v>
      </c>
      <c r="C3749" s="1" t="n">
        <v>1771</v>
      </c>
      <c r="D3749" s="1" t="s">
        <v>37</v>
      </c>
      <c r="E3749" s="1" t="s">
        <v>35</v>
      </c>
      <c r="F3749" s="1" t="n">
        <v>5</v>
      </c>
      <c r="G3749" s="15" t="n">
        <v>149.21</v>
      </c>
      <c r="H3749" s="16" t="n">
        <v>0.02</v>
      </c>
      <c r="I3749" s="1" t="s">
        <v>31</v>
      </c>
      <c r="J3749" s="1" t="n">
        <v>8</v>
      </c>
      <c r="K3749" s="1" t="n">
        <v>1</v>
      </c>
      <c r="L3749" s="15" t="n">
        <v>731.13</v>
      </c>
      <c r="M3749" s="15" t="n">
        <f aca="false">F3749*G3749</f>
        <v>746.05</v>
      </c>
      <c r="N3749" s="15" t="n">
        <f aca="false">M3749-L3749</f>
        <v>14.9200000000001</v>
      </c>
      <c r="O3749" s="1" t="n">
        <f aca="false">YEAR(B3749)</f>
        <v>2032</v>
      </c>
      <c r="P3749" s="1" t="n">
        <f aca="false">MONTH(B3749)</f>
        <v>4</v>
      </c>
      <c r="Q3749" s="1" t="str">
        <f aca="false">TEXT(B3749,"mmm")</f>
        <v>Apr</v>
      </c>
      <c r="R3749" s="1" t="str">
        <f aca="false">"Q"&amp;ROUNDUP(MONTH(B3749)/3,0)</f>
        <v>Q2</v>
      </c>
    </row>
    <row r="3750" customFormat="false" ht="15" hidden="false" customHeight="true" outlineLevel="0" collapsed="false">
      <c r="A3750" s="1" t="n">
        <v>13749</v>
      </c>
      <c r="B3750" s="14" t="n">
        <v>48310</v>
      </c>
      <c r="C3750" s="1" t="n">
        <v>1187</v>
      </c>
      <c r="D3750" s="1" t="s">
        <v>30</v>
      </c>
      <c r="E3750" s="1" t="s">
        <v>32</v>
      </c>
      <c r="F3750" s="1" t="n">
        <v>1</v>
      </c>
      <c r="G3750" s="15" t="n">
        <v>107.27</v>
      </c>
      <c r="H3750" s="16" t="n">
        <v>0.29</v>
      </c>
      <c r="I3750" s="1" t="s">
        <v>33</v>
      </c>
      <c r="J3750" s="1" t="n">
        <v>7</v>
      </c>
      <c r="K3750" s="1" t="n">
        <v>2.3</v>
      </c>
      <c r="L3750" s="15" t="n">
        <v>76.16</v>
      </c>
      <c r="M3750" s="15" t="n">
        <f aca="false">F3750*G3750</f>
        <v>107.27</v>
      </c>
      <c r="N3750" s="15" t="n">
        <f aca="false">M3750-L3750</f>
        <v>31.11</v>
      </c>
      <c r="O3750" s="1" t="n">
        <f aca="false">YEAR(B3750)</f>
        <v>2032</v>
      </c>
      <c r="P3750" s="1" t="n">
        <f aca="false">MONTH(B3750)</f>
        <v>4</v>
      </c>
      <c r="Q3750" s="1" t="str">
        <f aca="false">TEXT(B3750,"mmm")</f>
        <v>Apr</v>
      </c>
      <c r="R3750" s="1" t="str">
        <f aca="false">"Q"&amp;ROUNDUP(MONTH(B3750)/3,0)</f>
        <v>Q2</v>
      </c>
    </row>
    <row r="3751" customFormat="false" ht="15" hidden="false" customHeight="true" outlineLevel="0" collapsed="false">
      <c r="A3751" s="1" t="n">
        <v>13750</v>
      </c>
      <c r="B3751" s="14" t="n">
        <v>48311</v>
      </c>
      <c r="C3751" s="1" t="n">
        <v>1056</v>
      </c>
      <c r="D3751" s="1" t="s">
        <v>30</v>
      </c>
      <c r="E3751" s="1" t="s">
        <v>28</v>
      </c>
      <c r="F3751" s="1" t="n">
        <v>2</v>
      </c>
      <c r="G3751" s="15" t="n">
        <v>382.16</v>
      </c>
      <c r="H3751" s="16" t="n">
        <v>0.33</v>
      </c>
      <c r="I3751" s="1" t="s">
        <v>29</v>
      </c>
      <c r="J3751" s="1" t="n">
        <v>8</v>
      </c>
      <c r="K3751" s="1" t="n">
        <v>2</v>
      </c>
      <c r="L3751" s="15" t="n">
        <v>512.09</v>
      </c>
      <c r="M3751" s="15" t="n">
        <f aca="false">F3751*G3751</f>
        <v>764.32</v>
      </c>
      <c r="N3751" s="15" t="n">
        <f aca="false">M3751-L3751</f>
        <v>252.23</v>
      </c>
      <c r="O3751" s="1" t="n">
        <f aca="false">YEAR(B3751)</f>
        <v>2032</v>
      </c>
      <c r="P3751" s="1" t="n">
        <f aca="false">MONTH(B3751)</f>
        <v>4</v>
      </c>
      <c r="Q3751" s="1" t="str">
        <f aca="false">TEXT(B3751,"mmm")</f>
        <v>Apr</v>
      </c>
      <c r="R3751" s="1" t="str">
        <f aca="false">"Q"&amp;ROUNDUP(MONTH(B3751)/3,0)</f>
        <v>Q2</v>
      </c>
    </row>
    <row r="3752" customFormat="false" ht="15" hidden="false" customHeight="true" outlineLevel="0" collapsed="false">
      <c r="A3752" s="1" t="n">
        <v>13751</v>
      </c>
      <c r="B3752" s="14" t="n">
        <v>48312</v>
      </c>
      <c r="C3752" s="1" t="n">
        <v>1940</v>
      </c>
      <c r="D3752" s="1" t="s">
        <v>34</v>
      </c>
      <c r="E3752" s="1" t="s">
        <v>35</v>
      </c>
      <c r="F3752" s="1" t="n">
        <v>7</v>
      </c>
      <c r="G3752" s="15" t="n">
        <v>541.99</v>
      </c>
      <c r="H3752" s="16" t="n">
        <v>0.24</v>
      </c>
      <c r="I3752" s="1" t="s">
        <v>33</v>
      </c>
      <c r="J3752" s="1" t="n">
        <v>1</v>
      </c>
      <c r="K3752" s="1" t="n">
        <v>2.9</v>
      </c>
      <c r="L3752" s="15" t="n">
        <v>2883.39</v>
      </c>
      <c r="M3752" s="15" t="n">
        <f aca="false">F3752*G3752</f>
        <v>3793.93</v>
      </c>
      <c r="N3752" s="15" t="n">
        <f aca="false">M3752-L3752</f>
        <v>910.54</v>
      </c>
      <c r="O3752" s="1" t="n">
        <f aca="false">YEAR(B3752)</f>
        <v>2032</v>
      </c>
      <c r="P3752" s="1" t="n">
        <f aca="false">MONTH(B3752)</f>
        <v>4</v>
      </c>
      <c r="Q3752" s="1" t="str">
        <f aca="false">TEXT(B3752,"mmm")</f>
        <v>Apr</v>
      </c>
      <c r="R3752" s="1" t="str">
        <f aca="false">"Q"&amp;ROUNDUP(MONTH(B3752)/3,0)</f>
        <v>Q2</v>
      </c>
    </row>
    <row r="3753" customFormat="false" ht="15" hidden="false" customHeight="true" outlineLevel="0" collapsed="false">
      <c r="A3753" s="1" t="n">
        <v>13752</v>
      </c>
      <c r="B3753" s="14" t="n">
        <v>48313</v>
      </c>
      <c r="C3753" s="1" t="n">
        <v>1019</v>
      </c>
      <c r="D3753" s="1" t="s">
        <v>30</v>
      </c>
      <c r="E3753" s="1" t="s">
        <v>36</v>
      </c>
      <c r="F3753" s="1" t="n">
        <v>3</v>
      </c>
      <c r="G3753" s="15" t="n">
        <v>435.24</v>
      </c>
      <c r="H3753" s="16" t="n">
        <v>0.07</v>
      </c>
      <c r="I3753" s="1" t="s">
        <v>33</v>
      </c>
      <c r="J3753" s="1" t="n">
        <v>3</v>
      </c>
      <c r="K3753" s="1" t="n">
        <v>4</v>
      </c>
      <c r="L3753" s="15" t="n">
        <v>1214.32</v>
      </c>
      <c r="M3753" s="15" t="n">
        <f aca="false">F3753*G3753</f>
        <v>1305.72</v>
      </c>
      <c r="N3753" s="15" t="n">
        <f aca="false">M3753-L3753</f>
        <v>91.4000000000001</v>
      </c>
      <c r="O3753" s="1" t="n">
        <f aca="false">YEAR(B3753)</f>
        <v>2032</v>
      </c>
      <c r="P3753" s="1" t="n">
        <f aca="false">MONTH(B3753)</f>
        <v>4</v>
      </c>
      <c r="Q3753" s="1" t="str">
        <f aca="false">TEXT(B3753,"mmm")</f>
        <v>Apr</v>
      </c>
      <c r="R3753" s="1" t="str">
        <f aca="false">"Q"&amp;ROUNDUP(MONTH(B3753)/3,0)</f>
        <v>Q2</v>
      </c>
    </row>
    <row r="3754" customFormat="false" ht="15" hidden="false" customHeight="true" outlineLevel="0" collapsed="false">
      <c r="A3754" s="1" t="n">
        <v>13753</v>
      </c>
      <c r="B3754" s="14" t="n">
        <v>48314</v>
      </c>
      <c r="C3754" s="1" t="n">
        <v>1272</v>
      </c>
      <c r="D3754" s="1" t="s">
        <v>30</v>
      </c>
      <c r="E3754" s="1" t="s">
        <v>32</v>
      </c>
      <c r="F3754" s="1" t="n">
        <v>4</v>
      </c>
      <c r="G3754" s="15" t="n">
        <v>218.9</v>
      </c>
      <c r="H3754" s="16" t="n">
        <v>0.13</v>
      </c>
      <c r="I3754" s="1" t="s">
        <v>31</v>
      </c>
      <c r="J3754" s="1" t="n">
        <v>10</v>
      </c>
      <c r="K3754" s="1" t="n">
        <v>2.8</v>
      </c>
      <c r="L3754" s="15" t="n">
        <v>761.77</v>
      </c>
      <c r="M3754" s="15" t="n">
        <f aca="false">F3754*G3754</f>
        <v>875.6</v>
      </c>
      <c r="N3754" s="15" t="n">
        <f aca="false">M3754-L3754</f>
        <v>113.83</v>
      </c>
      <c r="O3754" s="1" t="n">
        <f aca="false">YEAR(B3754)</f>
        <v>2032</v>
      </c>
      <c r="P3754" s="1" t="n">
        <f aca="false">MONTH(B3754)</f>
        <v>4</v>
      </c>
      <c r="Q3754" s="1" t="str">
        <f aca="false">TEXT(B3754,"mmm")</f>
        <v>Apr</v>
      </c>
      <c r="R3754" s="1" t="str">
        <f aca="false">"Q"&amp;ROUNDUP(MONTH(B3754)/3,0)</f>
        <v>Q2</v>
      </c>
    </row>
    <row r="3755" customFormat="false" ht="15" hidden="false" customHeight="true" outlineLevel="0" collapsed="false">
      <c r="A3755" s="1" t="n">
        <v>13754</v>
      </c>
      <c r="B3755" s="14" t="n">
        <v>48315</v>
      </c>
      <c r="C3755" s="1" t="n">
        <v>1118</v>
      </c>
      <c r="D3755" s="1" t="s">
        <v>30</v>
      </c>
      <c r="E3755" s="1" t="s">
        <v>35</v>
      </c>
      <c r="F3755" s="1" t="n">
        <v>1</v>
      </c>
      <c r="G3755" s="15" t="n">
        <v>358.62</v>
      </c>
      <c r="H3755" s="16" t="n">
        <v>0.17</v>
      </c>
      <c r="I3755" s="1" t="s">
        <v>31</v>
      </c>
      <c r="J3755" s="1" t="n">
        <v>6</v>
      </c>
      <c r="K3755" s="1" t="n">
        <v>4.8</v>
      </c>
      <c r="L3755" s="15" t="n">
        <v>297.65</v>
      </c>
      <c r="M3755" s="15" t="n">
        <f aca="false">F3755*G3755</f>
        <v>358.62</v>
      </c>
      <c r="N3755" s="15" t="n">
        <f aca="false">M3755-L3755</f>
        <v>60.97</v>
      </c>
      <c r="O3755" s="1" t="n">
        <f aca="false">YEAR(B3755)</f>
        <v>2032</v>
      </c>
      <c r="P3755" s="1" t="n">
        <f aca="false">MONTH(B3755)</f>
        <v>4</v>
      </c>
      <c r="Q3755" s="1" t="str">
        <f aca="false">TEXT(B3755,"mmm")</f>
        <v>Apr</v>
      </c>
      <c r="R3755" s="1" t="str">
        <f aca="false">"Q"&amp;ROUNDUP(MONTH(B3755)/3,0)</f>
        <v>Q2</v>
      </c>
    </row>
    <row r="3756" customFormat="false" ht="15" hidden="false" customHeight="true" outlineLevel="0" collapsed="false">
      <c r="A3756" s="1" t="n">
        <v>13755</v>
      </c>
      <c r="B3756" s="14" t="n">
        <v>48316</v>
      </c>
      <c r="C3756" s="1" t="n">
        <v>1582</v>
      </c>
      <c r="D3756" s="1" t="s">
        <v>30</v>
      </c>
      <c r="E3756" s="1" t="s">
        <v>36</v>
      </c>
      <c r="F3756" s="1" t="n">
        <v>7</v>
      </c>
      <c r="G3756" s="15" t="n">
        <v>196.8</v>
      </c>
      <c r="H3756" s="16" t="n">
        <v>0.21</v>
      </c>
      <c r="I3756" s="1" t="s">
        <v>31</v>
      </c>
      <c r="J3756" s="1" t="n">
        <v>1</v>
      </c>
      <c r="K3756" s="1" t="n">
        <v>1.9</v>
      </c>
      <c r="L3756" s="15" t="n">
        <v>1088.3</v>
      </c>
      <c r="M3756" s="15" t="n">
        <f aca="false">F3756*G3756</f>
        <v>1377.6</v>
      </c>
      <c r="N3756" s="15" t="n">
        <f aca="false">M3756-L3756</f>
        <v>289.3</v>
      </c>
      <c r="O3756" s="1" t="n">
        <f aca="false">YEAR(B3756)</f>
        <v>2032</v>
      </c>
      <c r="P3756" s="1" t="n">
        <f aca="false">MONTH(B3756)</f>
        <v>4</v>
      </c>
      <c r="Q3756" s="1" t="str">
        <f aca="false">TEXT(B3756,"mmm")</f>
        <v>Apr</v>
      </c>
      <c r="R3756" s="1" t="str">
        <f aca="false">"Q"&amp;ROUNDUP(MONTH(B3756)/3,0)</f>
        <v>Q2</v>
      </c>
    </row>
    <row r="3757" customFormat="false" ht="15" hidden="false" customHeight="true" outlineLevel="0" collapsed="false">
      <c r="A3757" s="1" t="n">
        <v>13756</v>
      </c>
      <c r="B3757" s="14" t="n">
        <v>48317</v>
      </c>
      <c r="C3757" s="1" t="n">
        <v>1515</v>
      </c>
      <c r="D3757" s="1" t="s">
        <v>34</v>
      </c>
      <c r="E3757" s="1" t="s">
        <v>35</v>
      </c>
      <c r="F3757" s="1" t="n">
        <v>7</v>
      </c>
      <c r="G3757" s="15" t="n">
        <v>599.5</v>
      </c>
      <c r="H3757" s="16" t="n">
        <v>0.23</v>
      </c>
      <c r="I3757" s="1" t="s">
        <v>29</v>
      </c>
      <c r="J3757" s="1" t="n">
        <v>4</v>
      </c>
      <c r="K3757" s="1" t="n">
        <v>1.9</v>
      </c>
      <c r="L3757" s="15" t="n">
        <v>3231.3</v>
      </c>
      <c r="M3757" s="15" t="n">
        <f aca="false">F3757*G3757</f>
        <v>4196.5</v>
      </c>
      <c r="N3757" s="15" t="n">
        <f aca="false">M3757-L3757</f>
        <v>965.2</v>
      </c>
      <c r="O3757" s="1" t="n">
        <f aca="false">YEAR(B3757)</f>
        <v>2032</v>
      </c>
      <c r="P3757" s="1" t="n">
        <f aca="false">MONTH(B3757)</f>
        <v>4</v>
      </c>
      <c r="Q3757" s="1" t="str">
        <f aca="false">TEXT(B3757,"mmm")</f>
        <v>Apr</v>
      </c>
      <c r="R3757" s="1" t="str">
        <f aca="false">"Q"&amp;ROUNDUP(MONTH(B3757)/3,0)</f>
        <v>Q2</v>
      </c>
    </row>
    <row r="3758" customFormat="false" ht="15" hidden="false" customHeight="true" outlineLevel="0" collapsed="false">
      <c r="A3758" s="1" t="n">
        <v>13757</v>
      </c>
      <c r="B3758" s="14" t="n">
        <v>48318</v>
      </c>
      <c r="C3758" s="1" t="n">
        <v>1220</v>
      </c>
      <c r="D3758" s="1" t="s">
        <v>34</v>
      </c>
      <c r="E3758" s="1" t="s">
        <v>28</v>
      </c>
      <c r="F3758" s="1" t="n">
        <v>6</v>
      </c>
      <c r="G3758" s="15" t="n">
        <v>453.07</v>
      </c>
      <c r="H3758" s="16" t="n">
        <v>0.19</v>
      </c>
      <c r="I3758" s="1" t="s">
        <v>33</v>
      </c>
      <c r="J3758" s="1" t="n">
        <v>9</v>
      </c>
      <c r="K3758" s="1" t="n">
        <v>3.4</v>
      </c>
      <c r="L3758" s="15" t="n">
        <v>2201.92</v>
      </c>
      <c r="M3758" s="15" t="n">
        <f aca="false">F3758*G3758</f>
        <v>2718.42</v>
      </c>
      <c r="N3758" s="15" t="n">
        <f aca="false">M3758-L3758</f>
        <v>516.5</v>
      </c>
      <c r="O3758" s="1" t="n">
        <f aca="false">YEAR(B3758)</f>
        <v>2032</v>
      </c>
      <c r="P3758" s="1" t="n">
        <f aca="false">MONTH(B3758)</f>
        <v>4</v>
      </c>
      <c r="Q3758" s="1" t="str">
        <f aca="false">TEXT(B3758,"mmm")</f>
        <v>Apr</v>
      </c>
      <c r="R3758" s="1" t="str">
        <f aca="false">"Q"&amp;ROUNDUP(MONTH(B3758)/3,0)</f>
        <v>Q2</v>
      </c>
    </row>
    <row r="3759" customFormat="false" ht="15" hidden="false" customHeight="true" outlineLevel="0" collapsed="false">
      <c r="A3759" s="1" t="n">
        <v>13758</v>
      </c>
      <c r="B3759" s="14" t="n">
        <v>48319</v>
      </c>
      <c r="C3759" s="1" t="n">
        <v>1525</v>
      </c>
      <c r="D3759" s="1" t="s">
        <v>27</v>
      </c>
      <c r="E3759" s="1" t="s">
        <v>28</v>
      </c>
      <c r="F3759" s="1" t="n">
        <v>2</v>
      </c>
      <c r="G3759" s="15" t="n">
        <v>374.41</v>
      </c>
      <c r="H3759" s="16" t="n">
        <v>0.12</v>
      </c>
      <c r="I3759" s="1" t="s">
        <v>29</v>
      </c>
      <c r="J3759" s="1" t="n">
        <v>7</v>
      </c>
      <c r="K3759" s="1" t="n">
        <v>4.6</v>
      </c>
      <c r="L3759" s="15" t="n">
        <v>658.96</v>
      </c>
      <c r="M3759" s="15" t="n">
        <f aca="false">F3759*G3759</f>
        <v>748.82</v>
      </c>
      <c r="N3759" s="15" t="n">
        <f aca="false">M3759-L3759</f>
        <v>89.86</v>
      </c>
      <c r="O3759" s="1" t="n">
        <f aca="false">YEAR(B3759)</f>
        <v>2032</v>
      </c>
      <c r="P3759" s="1" t="n">
        <f aca="false">MONTH(B3759)</f>
        <v>4</v>
      </c>
      <c r="Q3759" s="1" t="str">
        <f aca="false">TEXT(B3759,"mmm")</f>
        <v>Apr</v>
      </c>
      <c r="R3759" s="1" t="str">
        <f aca="false">"Q"&amp;ROUNDUP(MONTH(B3759)/3,0)</f>
        <v>Q2</v>
      </c>
    </row>
    <row r="3760" customFormat="false" ht="15" hidden="false" customHeight="true" outlineLevel="0" collapsed="false">
      <c r="A3760" s="1" t="n">
        <v>13759</v>
      </c>
      <c r="B3760" s="14" t="n">
        <v>48320</v>
      </c>
      <c r="C3760" s="1" t="n">
        <v>1514</v>
      </c>
      <c r="D3760" s="1" t="s">
        <v>30</v>
      </c>
      <c r="E3760" s="1" t="s">
        <v>36</v>
      </c>
      <c r="F3760" s="1" t="n">
        <v>3</v>
      </c>
      <c r="G3760" s="15" t="n">
        <v>262.61</v>
      </c>
      <c r="H3760" s="16" t="n">
        <v>0.31</v>
      </c>
      <c r="I3760" s="1" t="s">
        <v>31</v>
      </c>
      <c r="J3760" s="1" t="n">
        <v>1</v>
      </c>
      <c r="K3760" s="1" t="n">
        <v>3.7</v>
      </c>
      <c r="L3760" s="15" t="n">
        <v>543.6</v>
      </c>
      <c r="M3760" s="15" t="n">
        <f aca="false">F3760*G3760</f>
        <v>787.83</v>
      </c>
      <c r="N3760" s="15" t="n">
        <f aca="false">M3760-L3760</f>
        <v>244.23</v>
      </c>
      <c r="O3760" s="1" t="n">
        <f aca="false">YEAR(B3760)</f>
        <v>2032</v>
      </c>
      <c r="P3760" s="1" t="n">
        <f aca="false">MONTH(B3760)</f>
        <v>4</v>
      </c>
      <c r="Q3760" s="1" t="str">
        <f aca="false">TEXT(B3760,"mmm")</f>
        <v>Apr</v>
      </c>
      <c r="R3760" s="1" t="str">
        <f aca="false">"Q"&amp;ROUNDUP(MONTH(B3760)/3,0)</f>
        <v>Q2</v>
      </c>
    </row>
    <row r="3761" customFormat="false" ht="15" hidden="false" customHeight="true" outlineLevel="0" collapsed="false">
      <c r="A3761" s="1" t="n">
        <v>13760</v>
      </c>
      <c r="B3761" s="14" t="n">
        <v>48321</v>
      </c>
      <c r="C3761" s="1" t="n">
        <v>1727</v>
      </c>
      <c r="D3761" s="1" t="s">
        <v>30</v>
      </c>
      <c r="E3761" s="1" t="s">
        <v>28</v>
      </c>
      <c r="F3761" s="1" t="n">
        <v>3</v>
      </c>
      <c r="G3761" s="15" t="n">
        <v>376.62</v>
      </c>
      <c r="H3761" s="16" t="n">
        <v>0.03</v>
      </c>
      <c r="I3761" s="1" t="s">
        <v>33</v>
      </c>
      <c r="J3761" s="1" t="n">
        <v>6</v>
      </c>
      <c r="K3761" s="1" t="n">
        <v>3.7</v>
      </c>
      <c r="L3761" s="15" t="n">
        <v>1095.96</v>
      </c>
      <c r="M3761" s="15" t="n">
        <f aca="false">F3761*G3761</f>
        <v>1129.86</v>
      </c>
      <c r="N3761" s="15" t="n">
        <f aca="false">M3761-L3761</f>
        <v>33.9000000000001</v>
      </c>
      <c r="O3761" s="1" t="n">
        <f aca="false">YEAR(B3761)</f>
        <v>2032</v>
      </c>
      <c r="P3761" s="1" t="n">
        <f aca="false">MONTH(B3761)</f>
        <v>4</v>
      </c>
      <c r="Q3761" s="1" t="str">
        <f aca="false">TEXT(B3761,"mmm")</f>
        <v>Apr</v>
      </c>
      <c r="R3761" s="1" t="str">
        <f aca="false">"Q"&amp;ROUNDUP(MONTH(B3761)/3,0)</f>
        <v>Q2</v>
      </c>
    </row>
    <row r="3762" customFormat="false" ht="15" hidden="false" customHeight="true" outlineLevel="0" collapsed="false">
      <c r="A3762" s="1" t="n">
        <v>13761</v>
      </c>
      <c r="B3762" s="14" t="n">
        <v>48322</v>
      </c>
      <c r="C3762" s="1" t="n">
        <v>1740</v>
      </c>
      <c r="D3762" s="1" t="s">
        <v>34</v>
      </c>
      <c r="E3762" s="1" t="s">
        <v>35</v>
      </c>
      <c r="F3762" s="1" t="n">
        <v>3</v>
      </c>
      <c r="G3762" s="15" t="n">
        <v>214.85</v>
      </c>
      <c r="H3762" s="16" t="n">
        <v>0.16</v>
      </c>
      <c r="I3762" s="1" t="s">
        <v>31</v>
      </c>
      <c r="J3762" s="1" t="n">
        <v>6</v>
      </c>
      <c r="K3762" s="1" t="n">
        <v>4.2</v>
      </c>
      <c r="L3762" s="15" t="n">
        <v>541.42</v>
      </c>
      <c r="M3762" s="15" t="n">
        <f aca="false">F3762*G3762</f>
        <v>644.55</v>
      </c>
      <c r="N3762" s="15" t="n">
        <f aca="false">M3762-L3762</f>
        <v>103.13</v>
      </c>
      <c r="O3762" s="1" t="n">
        <f aca="false">YEAR(B3762)</f>
        <v>2032</v>
      </c>
      <c r="P3762" s="1" t="n">
        <f aca="false">MONTH(B3762)</f>
        <v>4</v>
      </c>
      <c r="Q3762" s="1" t="str">
        <f aca="false">TEXT(B3762,"mmm")</f>
        <v>Apr</v>
      </c>
      <c r="R3762" s="1" t="str">
        <f aca="false">"Q"&amp;ROUNDUP(MONTH(B3762)/3,0)</f>
        <v>Q2</v>
      </c>
    </row>
    <row r="3763" customFormat="false" ht="15" hidden="false" customHeight="true" outlineLevel="0" collapsed="false">
      <c r="A3763" s="1" t="n">
        <v>13762</v>
      </c>
      <c r="B3763" s="14" t="n">
        <v>48323</v>
      </c>
      <c r="C3763" s="1" t="n">
        <v>1335</v>
      </c>
      <c r="D3763" s="1" t="s">
        <v>34</v>
      </c>
      <c r="E3763" s="1" t="s">
        <v>36</v>
      </c>
      <c r="F3763" s="1" t="n">
        <v>1</v>
      </c>
      <c r="G3763" s="15" t="n">
        <v>31.89</v>
      </c>
      <c r="H3763" s="16" t="n">
        <v>0.27</v>
      </c>
      <c r="I3763" s="1" t="s">
        <v>33</v>
      </c>
      <c r="J3763" s="1" t="n">
        <v>2</v>
      </c>
      <c r="K3763" s="1" t="n">
        <v>3.7</v>
      </c>
      <c r="L3763" s="15" t="n">
        <v>23.28</v>
      </c>
      <c r="M3763" s="15" t="n">
        <f aca="false">F3763*G3763</f>
        <v>31.89</v>
      </c>
      <c r="N3763" s="15" t="n">
        <f aca="false">M3763-L3763</f>
        <v>8.61</v>
      </c>
      <c r="O3763" s="1" t="n">
        <f aca="false">YEAR(B3763)</f>
        <v>2032</v>
      </c>
      <c r="P3763" s="1" t="n">
        <f aca="false">MONTH(B3763)</f>
        <v>4</v>
      </c>
      <c r="Q3763" s="1" t="str">
        <f aca="false">TEXT(B3763,"mmm")</f>
        <v>Apr</v>
      </c>
      <c r="R3763" s="1" t="str">
        <f aca="false">"Q"&amp;ROUNDUP(MONTH(B3763)/3,0)</f>
        <v>Q2</v>
      </c>
    </row>
    <row r="3764" customFormat="false" ht="15" hidden="false" customHeight="true" outlineLevel="0" collapsed="false">
      <c r="A3764" s="1" t="n">
        <v>13763</v>
      </c>
      <c r="B3764" s="14" t="n">
        <v>48324</v>
      </c>
      <c r="C3764" s="1" t="n">
        <v>1697</v>
      </c>
      <c r="D3764" s="1" t="s">
        <v>37</v>
      </c>
      <c r="E3764" s="1" t="s">
        <v>35</v>
      </c>
      <c r="F3764" s="1" t="n">
        <v>2</v>
      </c>
      <c r="G3764" s="15" t="n">
        <v>246.13</v>
      </c>
      <c r="H3764" s="16" t="n">
        <v>0.02</v>
      </c>
      <c r="I3764" s="1" t="s">
        <v>31</v>
      </c>
      <c r="J3764" s="1" t="n">
        <v>6</v>
      </c>
      <c r="K3764" s="1" t="n">
        <v>4</v>
      </c>
      <c r="L3764" s="15" t="n">
        <v>482.41</v>
      </c>
      <c r="M3764" s="15" t="n">
        <f aca="false">F3764*G3764</f>
        <v>492.26</v>
      </c>
      <c r="N3764" s="15" t="n">
        <f aca="false">M3764-L3764</f>
        <v>9.84999999999997</v>
      </c>
      <c r="O3764" s="1" t="n">
        <f aca="false">YEAR(B3764)</f>
        <v>2032</v>
      </c>
      <c r="P3764" s="1" t="n">
        <f aca="false">MONTH(B3764)</f>
        <v>4</v>
      </c>
      <c r="Q3764" s="1" t="str">
        <f aca="false">TEXT(B3764,"mmm")</f>
        <v>Apr</v>
      </c>
      <c r="R3764" s="1" t="str">
        <f aca="false">"Q"&amp;ROUNDUP(MONTH(B3764)/3,0)</f>
        <v>Q2</v>
      </c>
    </row>
    <row r="3765" customFormat="false" ht="15" hidden="false" customHeight="true" outlineLevel="0" collapsed="false">
      <c r="A3765" s="1" t="n">
        <v>13764</v>
      </c>
      <c r="B3765" s="14" t="n">
        <v>48325</v>
      </c>
      <c r="C3765" s="1" t="n">
        <v>1054</v>
      </c>
      <c r="D3765" s="1" t="s">
        <v>30</v>
      </c>
      <c r="E3765" s="1" t="s">
        <v>35</v>
      </c>
      <c r="F3765" s="1" t="n">
        <v>5</v>
      </c>
      <c r="G3765" s="15" t="n">
        <v>559.33</v>
      </c>
      <c r="H3765" s="16" t="n">
        <v>0.25</v>
      </c>
      <c r="I3765" s="1" t="s">
        <v>31</v>
      </c>
      <c r="J3765" s="1" t="n">
        <v>10</v>
      </c>
      <c r="K3765" s="1" t="n">
        <v>4.5</v>
      </c>
      <c r="L3765" s="15" t="n">
        <v>2097.49</v>
      </c>
      <c r="M3765" s="15" t="n">
        <f aca="false">F3765*G3765</f>
        <v>2796.65</v>
      </c>
      <c r="N3765" s="15" t="n">
        <f aca="false">M3765-L3765</f>
        <v>699.16</v>
      </c>
      <c r="O3765" s="1" t="n">
        <f aca="false">YEAR(B3765)</f>
        <v>2032</v>
      </c>
      <c r="P3765" s="1" t="n">
        <f aca="false">MONTH(B3765)</f>
        <v>4</v>
      </c>
      <c r="Q3765" s="1" t="str">
        <f aca="false">TEXT(B3765,"mmm")</f>
        <v>Apr</v>
      </c>
      <c r="R3765" s="1" t="str">
        <f aca="false">"Q"&amp;ROUNDUP(MONTH(B3765)/3,0)</f>
        <v>Q2</v>
      </c>
    </row>
    <row r="3766" customFormat="false" ht="15" hidden="false" customHeight="true" outlineLevel="0" collapsed="false">
      <c r="A3766" s="1" t="n">
        <v>13765</v>
      </c>
      <c r="B3766" s="14" t="n">
        <v>48326</v>
      </c>
      <c r="C3766" s="1" t="n">
        <v>1499</v>
      </c>
      <c r="D3766" s="1" t="s">
        <v>30</v>
      </c>
      <c r="E3766" s="1" t="s">
        <v>35</v>
      </c>
      <c r="F3766" s="1" t="n">
        <v>6</v>
      </c>
      <c r="G3766" s="15" t="n">
        <v>381.39</v>
      </c>
      <c r="H3766" s="16" t="n">
        <v>0.29</v>
      </c>
      <c r="I3766" s="1" t="s">
        <v>33</v>
      </c>
      <c r="J3766" s="1" t="n">
        <v>2</v>
      </c>
      <c r="K3766" s="1" t="n">
        <v>1</v>
      </c>
      <c r="L3766" s="15" t="n">
        <v>1624.72</v>
      </c>
      <c r="M3766" s="15" t="n">
        <f aca="false">F3766*G3766</f>
        <v>2288.34</v>
      </c>
      <c r="N3766" s="15" t="n">
        <f aca="false">M3766-L3766</f>
        <v>663.62</v>
      </c>
      <c r="O3766" s="1" t="n">
        <f aca="false">YEAR(B3766)</f>
        <v>2032</v>
      </c>
      <c r="P3766" s="1" t="n">
        <f aca="false">MONTH(B3766)</f>
        <v>4</v>
      </c>
      <c r="Q3766" s="1" t="str">
        <f aca="false">TEXT(B3766,"mmm")</f>
        <v>Apr</v>
      </c>
      <c r="R3766" s="1" t="str">
        <f aca="false">"Q"&amp;ROUNDUP(MONTH(B3766)/3,0)</f>
        <v>Q2</v>
      </c>
    </row>
    <row r="3767" customFormat="false" ht="15" hidden="false" customHeight="true" outlineLevel="0" collapsed="false">
      <c r="A3767" s="1" t="n">
        <v>13766</v>
      </c>
      <c r="B3767" s="14" t="n">
        <v>48327</v>
      </c>
      <c r="C3767" s="1" t="n">
        <v>1899</v>
      </c>
      <c r="D3767" s="1" t="s">
        <v>34</v>
      </c>
      <c r="E3767" s="1" t="s">
        <v>28</v>
      </c>
      <c r="F3767" s="1" t="n">
        <v>2</v>
      </c>
      <c r="G3767" s="15" t="n">
        <v>64.11</v>
      </c>
      <c r="H3767" s="16" t="n">
        <v>0.23</v>
      </c>
      <c r="I3767" s="1" t="s">
        <v>31</v>
      </c>
      <c r="J3767" s="1" t="n">
        <v>8</v>
      </c>
      <c r="K3767" s="1" t="n">
        <v>4.5</v>
      </c>
      <c r="L3767" s="15" t="n">
        <v>98.73</v>
      </c>
      <c r="M3767" s="15" t="n">
        <f aca="false">F3767*G3767</f>
        <v>128.22</v>
      </c>
      <c r="N3767" s="15" t="n">
        <f aca="false">M3767-L3767</f>
        <v>29.49</v>
      </c>
      <c r="O3767" s="1" t="n">
        <f aca="false">YEAR(B3767)</f>
        <v>2032</v>
      </c>
      <c r="P3767" s="1" t="n">
        <f aca="false">MONTH(B3767)</f>
        <v>4</v>
      </c>
      <c r="Q3767" s="1" t="str">
        <f aca="false">TEXT(B3767,"mmm")</f>
        <v>Apr</v>
      </c>
      <c r="R3767" s="1" t="str">
        <f aca="false">"Q"&amp;ROUNDUP(MONTH(B3767)/3,0)</f>
        <v>Q2</v>
      </c>
    </row>
    <row r="3768" customFormat="false" ht="15" hidden="false" customHeight="true" outlineLevel="0" collapsed="false">
      <c r="A3768" s="1" t="n">
        <v>13767</v>
      </c>
      <c r="B3768" s="14" t="n">
        <v>48328</v>
      </c>
      <c r="C3768" s="1" t="n">
        <v>1887</v>
      </c>
      <c r="D3768" s="1" t="s">
        <v>37</v>
      </c>
      <c r="E3768" s="1" t="s">
        <v>28</v>
      </c>
      <c r="F3768" s="1" t="n">
        <v>2</v>
      </c>
      <c r="G3768" s="15" t="n">
        <v>532.72</v>
      </c>
      <c r="H3768" s="16" t="n">
        <v>0</v>
      </c>
      <c r="I3768" s="1" t="s">
        <v>33</v>
      </c>
      <c r="J3768" s="1" t="n">
        <v>7</v>
      </c>
      <c r="K3768" s="1" t="n">
        <v>1.9</v>
      </c>
      <c r="L3768" s="15" t="n">
        <v>1065.44</v>
      </c>
      <c r="M3768" s="15" t="n">
        <f aca="false">F3768*G3768</f>
        <v>1065.44</v>
      </c>
      <c r="N3768" s="15" t="n">
        <f aca="false">M3768-L3768</f>
        <v>0</v>
      </c>
      <c r="O3768" s="1" t="n">
        <f aca="false">YEAR(B3768)</f>
        <v>2032</v>
      </c>
      <c r="P3768" s="1" t="n">
        <f aca="false">MONTH(B3768)</f>
        <v>4</v>
      </c>
      <c r="Q3768" s="1" t="str">
        <f aca="false">TEXT(B3768,"mmm")</f>
        <v>Apr</v>
      </c>
      <c r="R3768" s="1" t="str">
        <f aca="false">"Q"&amp;ROUNDUP(MONTH(B3768)/3,0)</f>
        <v>Q2</v>
      </c>
    </row>
    <row r="3769" customFormat="false" ht="15" hidden="false" customHeight="true" outlineLevel="0" collapsed="false">
      <c r="A3769" s="1" t="n">
        <v>13768</v>
      </c>
      <c r="B3769" s="14" t="n">
        <v>48329</v>
      </c>
      <c r="C3769" s="1" t="n">
        <v>1765</v>
      </c>
      <c r="D3769" s="1" t="s">
        <v>34</v>
      </c>
      <c r="E3769" s="1" t="s">
        <v>35</v>
      </c>
      <c r="F3769" s="1" t="n">
        <v>7</v>
      </c>
      <c r="G3769" s="15" t="n">
        <v>172.29</v>
      </c>
      <c r="H3769" s="16" t="n">
        <v>0.06</v>
      </c>
      <c r="I3769" s="1" t="s">
        <v>33</v>
      </c>
      <c r="J3769" s="1" t="n">
        <v>6</v>
      </c>
      <c r="K3769" s="1" t="n">
        <v>4.6</v>
      </c>
      <c r="L3769" s="15" t="n">
        <v>1133.67</v>
      </c>
      <c r="M3769" s="15" t="n">
        <f aca="false">F3769*G3769</f>
        <v>1206.03</v>
      </c>
      <c r="N3769" s="15" t="n">
        <f aca="false">M3769-L3769</f>
        <v>72.3599999999999</v>
      </c>
      <c r="O3769" s="1" t="n">
        <f aca="false">YEAR(B3769)</f>
        <v>2032</v>
      </c>
      <c r="P3769" s="1" t="n">
        <f aca="false">MONTH(B3769)</f>
        <v>4</v>
      </c>
      <c r="Q3769" s="1" t="str">
        <f aca="false">TEXT(B3769,"mmm")</f>
        <v>Apr</v>
      </c>
      <c r="R3769" s="1" t="str">
        <f aca="false">"Q"&amp;ROUNDUP(MONTH(B3769)/3,0)</f>
        <v>Q2</v>
      </c>
    </row>
    <row r="3770" customFormat="false" ht="15" hidden="false" customHeight="true" outlineLevel="0" collapsed="false">
      <c r="A3770" s="1" t="n">
        <v>13769</v>
      </c>
      <c r="B3770" s="14" t="n">
        <v>48330</v>
      </c>
      <c r="C3770" s="1" t="n">
        <v>1535</v>
      </c>
      <c r="D3770" s="1" t="s">
        <v>34</v>
      </c>
      <c r="E3770" s="1" t="s">
        <v>32</v>
      </c>
      <c r="F3770" s="1" t="n">
        <v>2</v>
      </c>
      <c r="G3770" s="15" t="n">
        <v>157.61</v>
      </c>
      <c r="H3770" s="16" t="n">
        <v>0.12</v>
      </c>
      <c r="I3770" s="1" t="s">
        <v>33</v>
      </c>
      <c r="J3770" s="1" t="n">
        <v>10</v>
      </c>
      <c r="K3770" s="1" t="n">
        <v>2.1</v>
      </c>
      <c r="L3770" s="15" t="n">
        <v>277.39</v>
      </c>
      <c r="M3770" s="15" t="n">
        <f aca="false">F3770*G3770</f>
        <v>315.22</v>
      </c>
      <c r="N3770" s="15" t="n">
        <f aca="false">M3770-L3770</f>
        <v>37.83</v>
      </c>
      <c r="O3770" s="1" t="n">
        <f aca="false">YEAR(B3770)</f>
        <v>2032</v>
      </c>
      <c r="P3770" s="1" t="n">
        <f aca="false">MONTH(B3770)</f>
        <v>4</v>
      </c>
      <c r="Q3770" s="1" t="str">
        <f aca="false">TEXT(B3770,"mmm")</f>
        <v>Apr</v>
      </c>
      <c r="R3770" s="1" t="str">
        <f aca="false">"Q"&amp;ROUNDUP(MONTH(B3770)/3,0)</f>
        <v>Q2</v>
      </c>
    </row>
    <row r="3771" customFormat="false" ht="15" hidden="false" customHeight="true" outlineLevel="0" collapsed="false">
      <c r="A3771" s="1" t="n">
        <v>13770</v>
      </c>
      <c r="B3771" s="14" t="n">
        <v>48331</v>
      </c>
      <c r="C3771" s="1" t="n">
        <v>1161</v>
      </c>
      <c r="D3771" s="1" t="s">
        <v>30</v>
      </c>
      <c r="E3771" s="1" t="s">
        <v>35</v>
      </c>
      <c r="F3771" s="1" t="n">
        <v>1</v>
      </c>
      <c r="G3771" s="15" t="n">
        <v>188.8</v>
      </c>
      <c r="H3771" s="16" t="n">
        <v>0.08</v>
      </c>
      <c r="I3771" s="1" t="s">
        <v>29</v>
      </c>
      <c r="J3771" s="1" t="n">
        <v>6</v>
      </c>
      <c r="K3771" s="1" t="n">
        <v>2.8</v>
      </c>
      <c r="L3771" s="15" t="n">
        <v>173.7</v>
      </c>
      <c r="M3771" s="15" t="n">
        <f aca="false">F3771*G3771</f>
        <v>188.8</v>
      </c>
      <c r="N3771" s="15" t="n">
        <f aca="false">M3771-L3771</f>
        <v>15.1</v>
      </c>
      <c r="O3771" s="1" t="n">
        <f aca="false">YEAR(B3771)</f>
        <v>2032</v>
      </c>
      <c r="P3771" s="1" t="n">
        <f aca="false">MONTH(B3771)</f>
        <v>4</v>
      </c>
      <c r="Q3771" s="1" t="str">
        <f aca="false">TEXT(B3771,"mmm")</f>
        <v>Apr</v>
      </c>
      <c r="R3771" s="1" t="str">
        <f aca="false">"Q"&amp;ROUNDUP(MONTH(B3771)/3,0)</f>
        <v>Q2</v>
      </c>
    </row>
    <row r="3772" customFormat="false" ht="15" hidden="false" customHeight="true" outlineLevel="0" collapsed="false">
      <c r="A3772" s="1" t="n">
        <v>13771</v>
      </c>
      <c r="B3772" s="14" t="n">
        <v>48332</v>
      </c>
      <c r="C3772" s="1" t="n">
        <v>1669</v>
      </c>
      <c r="D3772" s="1" t="s">
        <v>34</v>
      </c>
      <c r="E3772" s="1" t="s">
        <v>35</v>
      </c>
      <c r="F3772" s="1" t="n">
        <v>6</v>
      </c>
      <c r="G3772" s="15" t="n">
        <v>352.66</v>
      </c>
      <c r="H3772" s="16" t="n">
        <v>0.34</v>
      </c>
      <c r="I3772" s="1" t="s">
        <v>31</v>
      </c>
      <c r="J3772" s="1" t="n">
        <v>9</v>
      </c>
      <c r="K3772" s="1" t="n">
        <v>4.7</v>
      </c>
      <c r="L3772" s="15" t="n">
        <v>1396.53</v>
      </c>
      <c r="M3772" s="15" t="n">
        <f aca="false">F3772*G3772</f>
        <v>2115.96</v>
      </c>
      <c r="N3772" s="15" t="n">
        <f aca="false">M3772-L3772</f>
        <v>719.43</v>
      </c>
      <c r="O3772" s="1" t="n">
        <f aca="false">YEAR(B3772)</f>
        <v>2032</v>
      </c>
      <c r="P3772" s="1" t="n">
        <f aca="false">MONTH(B3772)</f>
        <v>4</v>
      </c>
      <c r="Q3772" s="1" t="str">
        <f aca="false">TEXT(B3772,"mmm")</f>
        <v>Apr</v>
      </c>
      <c r="R3772" s="1" t="str">
        <f aca="false">"Q"&amp;ROUNDUP(MONTH(B3772)/3,0)</f>
        <v>Q2</v>
      </c>
    </row>
    <row r="3773" customFormat="false" ht="15" hidden="false" customHeight="true" outlineLevel="0" collapsed="false">
      <c r="A3773" s="1" t="n">
        <v>13772</v>
      </c>
      <c r="B3773" s="14" t="n">
        <v>48333</v>
      </c>
      <c r="C3773" s="1" t="n">
        <v>1593</v>
      </c>
      <c r="D3773" s="1" t="s">
        <v>34</v>
      </c>
      <c r="E3773" s="1" t="s">
        <v>36</v>
      </c>
      <c r="F3773" s="1" t="n">
        <v>1</v>
      </c>
      <c r="G3773" s="15" t="n">
        <v>333.64</v>
      </c>
      <c r="H3773" s="16" t="n">
        <v>0.23</v>
      </c>
      <c r="I3773" s="1" t="s">
        <v>33</v>
      </c>
      <c r="J3773" s="1" t="n">
        <v>9</v>
      </c>
      <c r="K3773" s="1" t="n">
        <v>1.4</v>
      </c>
      <c r="L3773" s="15" t="n">
        <v>256.9</v>
      </c>
      <c r="M3773" s="15" t="n">
        <f aca="false">F3773*G3773</f>
        <v>333.64</v>
      </c>
      <c r="N3773" s="15" t="n">
        <f aca="false">M3773-L3773</f>
        <v>76.74</v>
      </c>
      <c r="O3773" s="1" t="n">
        <f aca="false">YEAR(B3773)</f>
        <v>2032</v>
      </c>
      <c r="P3773" s="1" t="n">
        <f aca="false">MONTH(B3773)</f>
        <v>4</v>
      </c>
      <c r="Q3773" s="1" t="str">
        <f aca="false">TEXT(B3773,"mmm")</f>
        <v>Apr</v>
      </c>
      <c r="R3773" s="1" t="str">
        <f aca="false">"Q"&amp;ROUNDUP(MONTH(B3773)/3,0)</f>
        <v>Q2</v>
      </c>
    </row>
    <row r="3774" customFormat="false" ht="15" hidden="false" customHeight="true" outlineLevel="0" collapsed="false">
      <c r="A3774" s="1" t="n">
        <v>13773</v>
      </c>
      <c r="B3774" s="14" t="n">
        <v>48334</v>
      </c>
      <c r="C3774" s="1" t="n">
        <v>1914</v>
      </c>
      <c r="D3774" s="1" t="s">
        <v>30</v>
      </c>
      <c r="E3774" s="1" t="s">
        <v>35</v>
      </c>
      <c r="F3774" s="1" t="n">
        <v>6</v>
      </c>
      <c r="G3774" s="15" t="n">
        <v>302.48</v>
      </c>
      <c r="H3774" s="16" t="n">
        <v>0.1</v>
      </c>
      <c r="I3774" s="1" t="s">
        <v>29</v>
      </c>
      <c r="J3774" s="1" t="n">
        <v>10</v>
      </c>
      <c r="K3774" s="1" t="n">
        <v>4</v>
      </c>
      <c r="L3774" s="15" t="n">
        <v>1633.39</v>
      </c>
      <c r="M3774" s="15" t="n">
        <f aca="false">F3774*G3774</f>
        <v>1814.88</v>
      </c>
      <c r="N3774" s="15" t="n">
        <f aca="false">M3774-L3774</f>
        <v>181.49</v>
      </c>
      <c r="O3774" s="1" t="n">
        <f aca="false">YEAR(B3774)</f>
        <v>2032</v>
      </c>
      <c r="P3774" s="1" t="n">
        <f aca="false">MONTH(B3774)</f>
        <v>4</v>
      </c>
      <c r="Q3774" s="1" t="str">
        <f aca="false">TEXT(B3774,"mmm")</f>
        <v>Apr</v>
      </c>
      <c r="R3774" s="1" t="str">
        <f aca="false">"Q"&amp;ROUNDUP(MONTH(B3774)/3,0)</f>
        <v>Q2</v>
      </c>
    </row>
    <row r="3775" customFormat="false" ht="15" hidden="false" customHeight="true" outlineLevel="0" collapsed="false">
      <c r="A3775" s="1" t="n">
        <v>13774</v>
      </c>
      <c r="B3775" s="14" t="n">
        <v>48335</v>
      </c>
      <c r="C3775" s="1" t="n">
        <v>1158</v>
      </c>
      <c r="D3775" s="1" t="s">
        <v>37</v>
      </c>
      <c r="E3775" s="1" t="s">
        <v>28</v>
      </c>
      <c r="F3775" s="1" t="n">
        <v>6</v>
      </c>
      <c r="G3775" s="15" t="n">
        <v>434.76</v>
      </c>
      <c r="H3775" s="16" t="n">
        <v>0.33</v>
      </c>
      <c r="I3775" s="1" t="s">
        <v>33</v>
      </c>
      <c r="J3775" s="1" t="n">
        <v>10</v>
      </c>
      <c r="K3775" s="1" t="n">
        <v>2.6</v>
      </c>
      <c r="L3775" s="15" t="n">
        <v>1747.74</v>
      </c>
      <c r="M3775" s="15" t="n">
        <f aca="false">F3775*G3775</f>
        <v>2608.56</v>
      </c>
      <c r="N3775" s="15" t="n">
        <f aca="false">M3775-L3775</f>
        <v>860.82</v>
      </c>
      <c r="O3775" s="1" t="n">
        <f aca="false">YEAR(B3775)</f>
        <v>2032</v>
      </c>
      <c r="P3775" s="1" t="n">
        <f aca="false">MONTH(B3775)</f>
        <v>5</v>
      </c>
      <c r="Q3775" s="1" t="str">
        <f aca="false">TEXT(B3775,"mmm")</f>
        <v>May</v>
      </c>
      <c r="R3775" s="1" t="str">
        <f aca="false">"Q"&amp;ROUNDUP(MONTH(B3775)/3,0)</f>
        <v>Q2</v>
      </c>
    </row>
    <row r="3776" customFormat="false" ht="15" hidden="false" customHeight="true" outlineLevel="0" collapsed="false">
      <c r="A3776" s="1" t="n">
        <v>13775</v>
      </c>
      <c r="B3776" s="14" t="n">
        <v>48336</v>
      </c>
      <c r="C3776" s="1" t="n">
        <v>1187</v>
      </c>
      <c r="D3776" s="1" t="s">
        <v>37</v>
      </c>
      <c r="E3776" s="1" t="s">
        <v>36</v>
      </c>
      <c r="F3776" s="1" t="n">
        <v>7</v>
      </c>
      <c r="G3776" s="15" t="n">
        <v>200.17</v>
      </c>
      <c r="H3776" s="16" t="n">
        <v>0.26</v>
      </c>
      <c r="I3776" s="1" t="s">
        <v>31</v>
      </c>
      <c r="J3776" s="1" t="n">
        <v>2</v>
      </c>
      <c r="K3776" s="1" t="n">
        <v>1.1</v>
      </c>
      <c r="L3776" s="15" t="n">
        <v>1036.88</v>
      </c>
      <c r="M3776" s="15" t="n">
        <f aca="false">F3776*G3776</f>
        <v>1401.19</v>
      </c>
      <c r="N3776" s="15" t="n">
        <f aca="false">M3776-L3776</f>
        <v>364.31</v>
      </c>
      <c r="O3776" s="1" t="n">
        <f aca="false">YEAR(B3776)</f>
        <v>2032</v>
      </c>
      <c r="P3776" s="1" t="n">
        <f aca="false">MONTH(B3776)</f>
        <v>5</v>
      </c>
      <c r="Q3776" s="1" t="str">
        <f aca="false">TEXT(B3776,"mmm")</f>
        <v>May</v>
      </c>
      <c r="R3776" s="1" t="str">
        <f aca="false">"Q"&amp;ROUNDUP(MONTH(B3776)/3,0)</f>
        <v>Q2</v>
      </c>
    </row>
    <row r="3777" customFormat="false" ht="15" hidden="false" customHeight="true" outlineLevel="0" collapsed="false">
      <c r="A3777" s="1" t="n">
        <v>13776</v>
      </c>
      <c r="B3777" s="14" t="n">
        <v>48337</v>
      </c>
      <c r="C3777" s="1" t="n">
        <v>1059</v>
      </c>
      <c r="D3777" s="1" t="s">
        <v>30</v>
      </c>
      <c r="E3777" s="1" t="s">
        <v>32</v>
      </c>
      <c r="F3777" s="1" t="n">
        <v>1</v>
      </c>
      <c r="G3777" s="15" t="n">
        <v>472.51</v>
      </c>
      <c r="H3777" s="16" t="n">
        <v>0.1</v>
      </c>
      <c r="I3777" s="1" t="s">
        <v>29</v>
      </c>
      <c r="J3777" s="1" t="n">
        <v>3</v>
      </c>
      <c r="K3777" s="1" t="n">
        <v>4.8</v>
      </c>
      <c r="L3777" s="15" t="n">
        <v>425.26</v>
      </c>
      <c r="M3777" s="15" t="n">
        <f aca="false">F3777*G3777</f>
        <v>472.51</v>
      </c>
      <c r="N3777" s="15" t="n">
        <f aca="false">M3777-L3777</f>
        <v>47.25</v>
      </c>
      <c r="O3777" s="1" t="n">
        <f aca="false">YEAR(B3777)</f>
        <v>2032</v>
      </c>
      <c r="P3777" s="1" t="n">
        <f aca="false">MONTH(B3777)</f>
        <v>5</v>
      </c>
      <c r="Q3777" s="1" t="str">
        <f aca="false">TEXT(B3777,"mmm")</f>
        <v>May</v>
      </c>
      <c r="R3777" s="1" t="str">
        <f aca="false">"Q"&amp;ROUNDUP(MONTH(B3777)/3,0)</f>
        <v>Q2</v>
      </c>
    </row>
    <row r="3778" customFormat="false" ht="15" hidden="false" customHeight="true" outlineLevel="0" collapsed="false">
      <c r="A3778" s="1" t="n">
        <v>13777</v>
      </c>
      <c r="B3778" s="14" t="n">
        <v>48338</v>
      </c>
      <c r="C3778" s="1" t="n">
        <v>1914</v>
      </c>
      <c r="D3778" s="1" t="s">
        <v>34</v>
      </c>
      <c r="E3778" s="1" t="s">
        <v>36</v>
      </c>
      <c r="F3778" s="1" t="n">
        <v>6</v>
      </c>
      <c r="G3778" s="15" t="n">
        <v>117.56</v>
      </c>
      <c r="H3778" s="16" t="n">
        <v>0.13</v>
      </c>
      <c r="I3778" s="1" t="s">
        <v>31</v>
      </c>
      <c r="J3778" s="1" t="n">
        <v>10</v>
      </c>
      <c r="K3778" s="1" t="n">
        <v>1.5</v>
      </c>
      <c r="L3778" s="15" t="n">
        <v>613.66</v>
      </c>
      <c r="M3778" s="15" t="n">
        <f aca="false">F3778*G3778</f>
        <v>705.36</v>
      </c>
      <c r="N3778" s="15" t="n">
        <f aca="false">M3778-L3778</f>
        <v>91.7000000000001</v>
      </c>
      <c r="O3778" s="1" t="n">
        <f aca="false">YEAR(B3778)</f>
        <v>2032</v>
      </c>
      <c r="P3778" s="1" t="n">
        <f aca="false">MONTH(B3778)</f>
        <v>5</v>
      </c>
      <c r="Q3778" s="1" t="str">
        <f aca="false">TEXT(B3778,"mmm")</f>
        <v>May</v>
      </c>
      <c r="R3778" s="1" t="str">
        <f aca="false">"Q"&amp;ROUNDUP(MONTH(B3778)/3,0)</f>
        <v>Q2</v>
      </c>
    </row>
    <row r="3779" customFormat="false" ht="15" hidden="false" customHeight="true" outlineLevel="0" collapsed="false">
      <c r="A3779" s="1" t="n">
        <v>13778</v>
      </c>
      <c r="B3779" s="14" t="n">
        <v>48339</v>
      </c>
      <c r="C3779" s="1" t="n">
        <v>1816</v>
      </c>
      <c r="D3779" s="1" t="s">
        <v>34</v>
      </c>
      <c r="E3779" s="1" t="s">
        <v>32</v>
      </c>
      <c r="F3779" s="1" t="n">
        <v>2</v>
      </c>
      <c r="G3779" s="15" t="n">
        <v>472.83</v>
      </c>
      <c r="H3779" s="16" t="n">
        <v>0.07</v>
      </c>
      <c r="I3779" s="1" t="s">
        <v>31</v>
      </c>
      <c r="J3779" s="1" t="n">
        <v>7</v>
      </c>
      <c r="K3779" s="1" t="n">
        <v>4.1</v>
      </c>
      <c r="L3779" s="15" t="n">
        <v>879.46</v>
      </c>
      <c r="M3779" s="15" t="n">
        <f aca="false">F3779*G3779</f>
        <v>945.66</v>
      </c>
      <c r="N3779" s="15" t="n">
        <f aca="false">M3779-L3779</f>
        <v>66.1999999999999</v>
      </c>
      <c r="O3779" s="1" t="n">
        <f aca="false">YEAR(B3779)</f>
        <v>2032</v>
      </c>
      <c r="P3779" s="1" t="n">
        <f aca="false">MONTH(B3779)</f>
        <v>5</v>
      </c>
      <c r="Q3779" s="1" t="str">
        <f aca="false">TEXT(B3779,"mmm")</f>
        <v>May</v>
      </c>
      <c r="R3779" s="1" t="str">
        <f aca="false">"Q"&amp;ROUNDUP(MONTH(B3779)/3,0)</f>
        <v>Q2</v>
      </c>
    </row>
    <row r="3780" customFormat="false" ht="15" hidden="false" customHeight="true" outlineLevel="0" collapsed="false">
      <c r="A3780" s="1" t="n">
        <v>13779</v>
      </c>
      <c r="B3780" s="14" t="n">
        <v>48340</v>
      </c>
      <c r="C3780" s="1" t="n">
        <v>1318</v>
      </c>
      <c r="D3780" s="1" t="s">
        <v>27</v>
      </c>
      <c r="E3780" s="1" t="s">
        <v>36</v>
      </c>
      <c r="F3780" s="1" t="n">
        <v>1</v>
      </c>
      <c r="G3780" s="15" t="n">
        <v>403.33</v>
      </c>
      <c r="H3780" s="16" t="n">
        <v>0.34</v>
      </c>
      <c r="I3780" s="1" t="s">
        <v>31</v>
      </c>
      <c r="J3780" s="1" t="n">
        <v>11</v>
      </c>
      <c r="K3780" s="1" t="n">
        <v>2.5</v>
      </c>
      <c r="L3780" s="15" t="n">
        <v>266.2</v>
      </c>
      <c r="M3780" s="15" t="n">
        <f aca="false">F3780*G3780</f>
        <v>403.33</v>
      </c>
      <c r="N3780" s="15" t="n">
        <f aca="false">M3780-L3780</f>
        <v>137.13</v>
      </c>
      <c r="O3780" s="1" t="n">
        <f aca="false">YEAR(B3780)</f>
        <v>2032</v>
      </c>
      <c r="P3780" s="1" t="n">
        <f aca="false">MONTH(B3780)</f>
        <v>5</v>
      </c>
      <c r="Q3780" s="1" t="str">
        <f aca="false">TEXT(B3780,"mmm")</f>
        <v>May</v>
      </c>
      <c r="R3780" s="1" t="str">
        <f aca="false">"Q"&amp;ROUNDUP(MONTH(B3780)/3,0)</f>
        <v>Q2</v>
      </c>
    </row>
    <row r="3781" customFormat="false" ht="15" hidden="false" customHeight="true" outlineLevel="0" collapsed="false">
      <c r="A3781" s="1" t="n">
        <v>13780</v>
      </c>
      <c r="B3781" s="14" t="n">
        <v>48341</v>
      </c>
      <c r="C3781" s="1" t="n">
        <v>1877</v>
      </c>
      <c r="D3781" s="1" t="s">
        <v>30</v>
      </c>
      <c r="E3781" s="1" t="s">
        <v>36</v>
      </c>
      <c r="F3781" s="1" t="n">
        <v>6</v>
      </c>
      <c r="G3781" s="15" t="n">
        <v>414.68</v>
      </c>
      <c r="H3781" s="16" t="n">
        <v>0.18</v>
      </c>
      <c r="I3781" s="1" t="s">
        <v>31</v>
      </c>
      <c r="J3781" s="1" t="n">
        <v>10</v>
      </c>
      <c r="K3781" s="1" t="n">
        <v>4.2</v>
      </c>
      <c r="L3781" s="15" t="n">
        <v>2040.23</v>
      </c>
      <c r="M3781" s="15" t="n">
        <f aca="false">F3781*G3781</f>
        <v>2488.08</v>
      </c>
      <c r="N3781" s="15" t="n">
        <f aca="false">M3781-L3781</f>
        <v>447.85</v>
      </c>
      <c r="O3781" s="1" t="n">
        <f aca="false">YEAR(B3781)</f>
        <v>2032</v>
      </c>
      <c r="P3781" s="1" t="n">
        <f aca="false">MONTH(B3781)</f>
        <v>5</v>
      </c>
      <c r="Q3781" s="1" t="str">
        <f aca="false">TEXT(B3781,"mmm")</f>
        <v>May</v>
      </c>
      <c r="R3781" s="1" t="str">
        <f aca="false">"Q"&amp;ROUNDUP(MONTH(B3781)/3,0)</f>
        <v>Q2</v>
      </c>
    </row>
    <row r="3782" customFormat="false" ht="15" hidden="false" customHeight="true" outlineLevel="0" collapsed="false">
      <c r="A3782" s="1" t="n">
        <v>13781</v>
      </c>
      <c r="B3782" s="14" t="n">
        <v>48342</v>
      </c>
      <c r="C3782" s="1" t="n">
        <v>1210</v>
      </c>
      <c r="D3782" s="1" t="s">
        <v>37</v>
      </c>
      <c r="E3782" s="1" t="s">
        <v>32</v>
      </c>
      <c r="F3782" s="1" t="n">
        <v>3</v>
      </c>
      <c r="G3782" s="15" t="n">
        <v>296.71</v>
      </c>
      <c r="H3782" s="16" t="n">
        <v>0.31</v>
      </c>
      <c r="I3782" s="1" t="s">
        <v>31</v>
      </c>
      <c r="J3782" s="1" t="n">
        <v>9</v>
      </c>
      <c r="K3782" s="1" t="n">
        <v>4</v>
      </c>
      <c r="L3782" s="15" t="n">
        <v>614.19</v>
      </c>
      <c r="M3782" s="15" t="n">
        <f aca="false">F3782*G3782</f>
        <v>890.13</v>
      </c>
      <c r="N3782" s="15" t="n">
        <f aca="false">M3782-L3782</f>
        <v>275.94</v>
      </c>
      <c r="O3782" s="1" t="n">
        <f aca="false">YEAR(B3782)</f>
        <v>2032</v>
      </c>
      <c r="P3782" s="1" t="n">
        <f aca="false">MONTH(B3782)</f>
        <v>5</v>
      </c>
      <c r="Q3782" s="1" t="str">
        <f aca="false">TEXT(B3782,"mmm")</f>
        <v>May</v>
      </c>
      <c r="R3782" s="1" t="str">
        <f aca="false">"Q"&amp;ROUNDUP(MONTH(B3782)/3,0)</f>
        <v>Q2</v>
      </c>
    </row>
    <row r="3783" customFormat="false" ht="15" hidden="false" customHeight="true" outlineLevel="0" collapsed="false">
      <c r="A3783" s="1" t="n">
        <v>13782</v>
      </c>
      <c r="B3783" s="14" t="n">
        <v>48343</v>
      </c>
      <c r="C3783" s="1" t="n">
        <v>1405</v>
      </c>
      <c r="D3783" s="1" t="s">
        <v>34</v>
      </c>
      <c r="E3783" s="1" t="s">
        <v>28</v>
      </c>
      <c r="F3783" s="1" t="n">
        <v>1</v>
      </c>
      <c r="G3783" s="15" t="n">
        <v>405.2</v>
      </c>
      <c r="H3783" s="16" t="n">
        <v>0.12</v>
      </c>
      <c r="I3783" s="1" t="s">
        <v>31</v>
      </c>
      <c r="J3783" s="1" t="n">
        <v>6</v>
      </c>
      <c r="K3783" s="1" t="n">
        <v>3.5</v>
      </c>
      <c r="L3783" s="15" t="n">
        <v>356.58</v>
      </c>
      <c r="M3783" s="15" t="n">
        <f aca="false">F3783*G3783</f>
        <v>405.2</v>
      </c>
      <c r="N3783" s="15" t="n">
        <f aca="false">M3783-L3783</f>
        <v>48.62</v>
      </c>
      <c r="O3783" s="1" t="n">
        <f aca="false">YEAR(B3783)</f>
        <v>2032</v>
      </c>
      <c r="P3783" s="1" t="n">
        <f aca="false">MONTH(B3783)</f>
        <v>5</v>
      </c>
      <c r="Q3783" s="1" t="str">
        <f aca="false">TEXT(B3783,"mmm")</f>
        <v>May</v>
      </c>
      <c r="R3783" s="1" t="str">
        <f aca="false">"Q"&amp;ROUNDUP(MONTH(B3783)/3,0)</f>
        <v>Q2</v>
      </c>
    </row>
    <row r="3784" customFormat="false" ht="15" hidden="false" customHeight="true" outlineLevel="0" collapsed="false">
      <c r="A3784" s="1" t="n">
        <v>13783</v>
      </c>
      <c r="B3784" s="14" t="n">
        <v>48344</v>
      </c>
      <c r="C3784" s="1" t="n">
        <v>1663</v>
      </c>
      <c r="D3784" s="1" t="s">
        <v>30</v>
      </c>
      <c r="E3784" s="1" t="s">
        <v>28</v>
      </c>
      <c r="F3784" s="1" t="n">
        <v>7</v>
      </c>
      <c r="G3784" s="15" t="n">
        <v>61.68</v>
      </c>
      <c r="H3784" s="16" t="n">
        <v>0.3</v>
      </c>
      <c r="I3784" s="1" t="s">
        <v>31</v>
      </c>
      <c r="J3784" s="1" t="n">
        <v>11</v>
      </c>
      <c r="K3784" s="1" t="n">
        <v>4.8</v>
      </c>
      <c r="L3784" s="15" t="n">
        <v>302.23</v>
      </c>
      <c r="M3784" s="15" t="n">
        <f aca="false">F3784*G3784</f>
        <v>431.76</v>
      </c>
      <c r="N3784" s="15" t="n">
        <f aca="false">M3784-L3784</f>
        <v>129.53</v>
      </c>
      <c r="O3784" s="1" t="n">
        <f aca="false">YEAR(B3784)</f>
        <v>2032</v>
      </c>
      <c r="P3784" s="1" t="n">
        <f aca="false">MONTH(B3784)</f>
        <v>5</v>
      </c>
      <c r="Q3784" s="1" t="str">
        <f aca="false">TEXT(B3784,"mmm")</f>
        <v>May</v>
      </c>
      <c r="R3784" s="1" t="str">
        <f aca="false">"Q"&amp;ROUNDUP(MONTH(B3784)/3,0)</f>
        <v>Q2</v>
      </c>
    </row>
    <row r="3785" customFormat="false" ht="15" hidden="false" customHeight="true" outlineLevel="0" collapsed="false">
      <c r="A3785" s="1" t="n">
        <v>13784</v>
      </c>
      <c r="B3785" s="14" t="n">
        <v>48345</v>
      </c>
      <c r="C3785" s="1" t="n">
        <v>1108</v>
      </c>
      <c r="D3785" s="1" t="s">
        <v>34</v>
      </c>
      <c r="E3785" s="1" t="s">
        <v>28</v>
      </c>
      <c r="F3785" s="1" t="n">
        <v>4</v>
      </c>
      <c r="G3785" s="15" t="n">
        <v>513.16</v>
      </c>
      <c r="H3785" s="16" t="n">
        <v>0.02</v>
      </c>
      <c r="I3785" s="1" t="s">
        <v>31</v>
      </c>
      <c r="J3785" s="1" t="n">
        <v>1</v>
      </c>
      <c r="K3785" s="1" t="n">
        <v>1.4</v>
      </c>
      <c r="L3785" s="15" t="n">
        <v>2011.59</v>
      </c>
      <c r="M3785" s="15" t="n">
        <f aca="false">F3785*G3785</f>
        <v>2052.64</v>
      </c>
      <c r="N3785" s="15" t="n">
        <f aca="false">M3785-L3785</f>
        <v>41.05</v>
      </c>
      <c r="O3785" s="1" t="n">
        <f aca="false">YEAR(B3785)</f>
        <v>2032</v>
      </c>
      <c r="P3785" s="1" t="n">
        <f aca="false">MONTH(B3785)</f>
        <v>5</v>
      </c>
      <c r="Q3785" s="1" t="str">
        <f aca="false">TEXT(B3785,"mmm")</f>
        <v>May</v>
      </c>
      <c r="R3785" s="1" t="str">
        <f aca="false">"Q"&amp;ROUNDUP(MONTH(B3785)/3,0)</f>
        <v>Q2</v>
      </c>
    </row>
    <row r="3786" customFormat="false" ht="15" hidden="false" customHeight="true" outlineLevel="0" collapsed="false">
      <c r="A3786" s="1" t="n">
        <v>13785</v>
      </c>
      <c r="B3786" s="14" t="n">
        <v>48346</v>
      </c>
      <c r="C3786" s="1" t="n">
        <v>1075</v>
      </c>
      <c r="D3786" s="1" t="s">
        <v>30</v>
      </c>
      <c r="E3786" s="1" t="s">
        <v>36</v>
      </c>
      <c r="F3786" s="1" t="n">
        <v>1</v>
      </c>
      <c r="G3786" s="15" t="n">
        <v>47.5</v>
      </c>
      <c r="H3786" s="16" t="n">
        <v>0.34</v>
      </c>
      <c r="I3786" s="1" t="s">
        <v>31</v>
      </c>
      <c r="J3786" s="1" t="n">
        <v>11</v>
      </c>
      <c r="K3786" s="1" t="n">
        <v>4.2</v>
      </c>
      <c r="L3786" s="15" t="n">
        <v>31.35</v>
      </c>
      <c r="M3786" s="15" t="n">
        <f aca="false">F3786*G3786</f>
        <v>47.5</v>
      </c>
      <c r="N3786" s="15" t="n">
        <f aca="false">M3786-L3786</f>
        <v>16.15</v>
      </c>
      <c r="O3786" s="1" t="n">
        <f aca="false">YEAR(B3786)</f>
        <v>2032</v>
      </c>
      <c r="P3786" s="1" t="n">
        <f aca="false">MONTH(B3786)</f>
        <v>5</v>
      </c>
      <c r="Q3786" s="1" t="str">
        <f aca="false">TEXT(B3786,"mmm")</f>
        <v>May</v>
      </c>
      <c r="R3786" s="1" t="str">
        <f aca="false">"Q"&amp;ROUNDUP(MONTH(B3786)/3,0)</f>
        <v>Q2</v>
      </c>
    </row>
    <row r="3787" customFormat="false" ht="15" hidden="false" customHeight="true" outlineLevel="0" collapsed="false">
      <c r="A3787" s="1" t="n">
        <v>13786</v>
      </c>
      <c r="B3787" s="14" t="n">
        <v>48347</v>
      </c>
      <c r="C3787" s="1" t="n">
        <v>1541</v>
      </c>
      <c r="D3787" s="1" t="s">
        <v>27</v>
      </c>
      <c r="E3787" s="1" t="s">
        <v>35</v>
      </c>
      <c r="F3787" s="1" t="n">
        <v>1</v>
      </c>
      <c r="G3787" s="15" t="n">
        <v>102.01</v>
      </c>
      <c r="H3787" s="16" t="n">
        <v>0.32</v>
      </c>
      <c r="I3787" s="1" t="s">
        <v>33</v>
      </c>
      <c r="J3787" s="1" t="n">
        <v>7</v>
      </c>
      <c r="K3787" s="1" t="n">
        <v>3.7</v>
      </c>
      <c r="L3787" s="15" t="n">
        <v>69.37</v>
      </c>
      <c r="M3787" s="15" t="n">
        <f aca="false">F3787*G3787</f>
        <v>102.01</v>
      </c>
      <c r="N3787" s="15" t="n">
        <f aca="false">M3787-L3787</f>
        <v>32.64</v>
      </c>
      <c r="O3787" s="1" t="n">
        <f aca="false">YEAR(B3787)</f>
        <v>2032</v>
      </c>
      <c r="P3787" s="1" t="n">
        <f aca="false">MONTH(B3787)</f>
        <v>5</v>
      </c>
      <c r="Q3787" s="1" t="str">
        <f aca="false">TEXT(B3787,"mmm")</f>
        <v>May</v>
      </c>
      <c r="R3787" s="1" t="str">
        <f aca="false">"Q"&amp;ROUNDUP(MONTH(B3787)/3,0)</f>
        <v>Q2</v>
      </c>
    </row>
    <row r="3788" customFormat="false" ht="15" hidden="false" customHeight="true" outlineLevel="0" collapsed="false">
      <c r="A3788" s="1" t="n">
        <v>13787</v>
      </c>
      <c r="B3788" s="14" t="n">
        <v>48348</v>
      </c>
      <c r="C3788" s="1" t="n">
        <v>1313</v>
      </c>
      <c r="D3788" s="1" t="s">
        <v>27</v>
      </c>
      <c r="E3788" s="1" t="s">
        <v>36</v>
      </c>
      <c r="F3788" s="1" t="n">
        <v>1</v>
      </c>
      <c r="G3788" s="15" t="n">
        <v>352.42</v>
      </c>
      <c r="H3788" s="16" t="n">
        <v>0.13</v>
      </c>
      <c r="I3788" s="1" t="s">
        <v>31</v>
      </c>
      <c r="J3788" s="1" t="n">
        <v>11</v>
      </c>
      <c r="K3788" s="1" t="n">
        <v>2.3</v>
      </c>
      <c r="L3788" s="15" t="n">
        <v>306.61</v>
      </c>
      <c r="M3788" s="15" t="n">
        <f aca="false">F3788*G3788</f>
        <v>352.42</v>
      </c>
      <c r="N3788" s="15" t="n">
        <f aca="false">M3788-L3788</f>
        <v>45.81</v>
      </c>
      <c r="O3788" s="1" t="n">
        <f aca="false">YEAR(B3788)</f>
        <v>2032</v>
      </c>
      <c r="P3788" s="1" t="n">
        <f aca="false">MONTH(B3788)</f>
        <v>5</v>
      </c>
      <c r="Q3788" s="1" t="str">
        <f aca="false">TEXT(B3788,"mmm")</f>
        <v>May</v>
      </c>
      <c r="R3788" s="1" t="str">
        <f aca="false">"Q"&amp;ROUNDUP(MONTH(B3788)/3,0)</f>
        <v>Q2</v>
      </c>
    </row>
    <row r="3789" customFormat="false" ht="15" hidden="false" customHeight="true" outlineLevel="0" collapsed="false">
      <c r="A3789" s="1" t="n">
        <v>13788</v>
      </c>
      <c r="B3789" s="14" t="n">
        <v>48349</v>
      </c>
      <c r="C3789" s="1" t="n">
        <v>1997</v>
      </c>
      <c r="D3789" s="1" t="s">
        <v>30</v>
      </c>
      <c r="E3789" s="1" t="s">
        <v>35</v>
      </c>
      <c r="F3789" s="1" t="n">
        <v>6</v>
      </c>
      <c r="G3789" s="15" t="n">
        <v>447.56</v>
      </c>
      <c r="H3789" s="16" t="n">
        <v>0.27</v>
      </c>
      <c r="I3789" s="1" t="s">
        <v>31</v>
      </c>
      <c r="J3789" s="1" t="n">
        <v>1</v>
      </c>
      <c r="K3789" s="1" t="n">
        <v>3.2</v>
      </c>
      <c r="L3789" s="15" t="n">
        <v>1960.31</v>
      </c>
      <c r="M3789" s="15" t="n">
        <f aca="false">F3789*G3789</f>
        <v>2685.36</v>
      </c>
      <c r="N3789" s="15" t="n">
        <f aca="false">M3789-L3789</f>
        <v>725.05</v>
      </c>
      <c r="O3789" s="1" t="n">
        <f aca="false">YEAR(B3789)</f>
        <v>2032</v>
      </c>
      <c r="P3789" s="1" t="n">
        <f aca="false">MONTH(B3789)</f>
        <v>5</v>
      </c>
      <c r="Q3789" s="1" t="str">
        <f aca="false">TEXT(B3789,"mmm")</f>
        <v>May</v>
      </c>
      <c r="R3789" s="1" t="str">
        <f aca="false">"Q"&amp;ROUNDUP(MONTH(B3789)/3,0)</f>
        <v>Q2</v>
      </c>
    </row>
    <row r="3790" customFormat="false" ht="15" hidden="false" customHeight="true" outlineLevel="0" collapsed="false">
      <c r="A3790" s="1" t="n">
        <v>13789</v>
      </c>
      <c r="B3790" s="14" t="n">
        <v>48350</v>
      </c>
      <c r="C3790" s="1" t="n">
        <v>1116</v>
      </c>
      <c r="D3790" s="1" t="s">
        <v>30</v>
      </c>
      <c r="E3790" s="1" t="s">
        <v>35</v>
      </c>
      <c r="F3790" s="1" t="n">
        <v>1</v>
      </c>
      <c r="G3790" s="15" t="n">
        <v>59.61</v>
      </c>
      <c r="H3790" s="16" t="n">
        <v>0.26</v>
      </c>
      <c r="I3790" s="1" t="s">
        <v>31</v>
      </c>
      <c r="J3790" s="1" t="n">
        <v>5</v>
      </c>
      <c r="K3790" s="1" t="n">
        <v>3.6</v>
      </c>
      <c r="L3790" s="15" t="n">
        <v>44.11</v>
      </c>
      <c r="M3790" s="15" t="n">
        <f aca="false">F3790*G3790</f>
        <v>59.61</v>
      </c>
      <c r="N3790" s="15" t="n">
        <f aca="false">M3790-L3790</f>
        <v>15.5</v>
      </c>
      <c r="O3790" s="1" t="n">
        <f aca="false">YEAR(B3790)</f>
        <v>2032</v>
      </c>
      <c r="P3790" s="1" t="n">
        <f aca="false">MONTH(B3790)</f>
        <v>5</v>
      </c>
      <c r="Q3790" s="1" t="str">
        <f aca="false">TEXT(B3790,"mmm")</f>
        <v>May</v>
      </c>
      <c r="R3790" s="1" t="str">
        <f aca="false">"Q"&amp;ROUNDUP(MONTH(B3790)/3,0)</f>
        <v>Q2</v>
      </c>
    </row>
    <row r="3791" customFormat="false" ht="15" hidden="false" customHeight="true" outlineLevel="0" collapsed="false">
      <c r="A3791" s="1" t="n">
        <v>13790</v>
      </c>
      <c r="B3791" s="14" t="n">
        <v>48351</v>
      </c>
      <c r="C3791" s="1" t="n">
        <v>1926</v>
      </c>
      <c r="D3791" s="1" t="s">
        <v>27</v>
      </c>
      <c r="E3791" s="1" t="s">
        <v>28</v>
      </c>
      <c r="F3791" s="1" t="n">
        <v>4</v>
      </c>
      <c r="G3791" s="15" t="n">
        <v>553.65</v>
      </c>
      <c r="H3791" s="16" t="n">
        <v>0.32</v>
      </c>
      <c r="I3791" s="1" t="s">
        <v>31</v>
      </c>
      <c r="J3791" s="1" t="n">
        <v>9</v>
      </c>
      <c r="K3791" s="1" t="n">
        <v>3.9</v>
      </c>
      <c r="L3791" s="15" t="n">
        <v>1505.93</v>
      </c>
      <c r="M3791" s="15" t="n">
        <f aca="false">F3791*G3791</f>
        <v>2214.6</v>
      </c>
      <c r="N3791" s="15" t="n">
        <f aca="false">M3791-L3791</f>
        <v>708.67</v>
      </c>
      <c r="O3791" s="1" t="n">
        <f aca="false">YEAR(B3791)</f>
        <v>2032</v>
      </c>
      <c r="P3791" s="1" t="n">
        <f aca="false">MONTH(B3791)</f>
        <v>5</v>
      </c>
      <c r="Q3791" s="1" t="str">
        <f aca="false">TEXT(B3791,"mmm")</f>
        <v>May</v>
      </c>
      <c r="R3791" s="1" t="str">
        <f aca="false">"Q"&amp;ROUNDUP(MONTH(B3791)/3,0)</f>
        <v>Q2</v>
      </c>
    </row>
    <row r="3792" customFormat="false" ht="15" hidden="false" customHeight="true" outlineLevel="0" collapsed="false">
      <c r="A3792" s="1" t="n">
        <v>13791</v>
      </c>
      <c r="B3792" s="14" t="n">
        <v>48352</v>
      </c>
      <c r="C3792" s="1" t="n">
        <v>1867</v>
      </c>
      <c r="D3792" s="1" t="s">
        <v>37</v>
      </c>
      <c r="E3792" s="1" t="s">
        <v>35</v>
      </c>
      <c r="F3792" s="1" t="n">
        <v>5</v>
      </c>
      <c r="G3792" s="15" t="n">
        <v>584.56</v>
      </c>
      <c r="H3792" s="16" t="n">
        <v>0.11</v>
      </c>
      <c r="I3792" s="1" t="s">
        <v>31</v>
      </c>
      <c r="J3792" s="1" t="n">
        <v>10</v>
      </c>
      <c r="K3792" s="1" t="n">
        <v>1.7</v>
      </c>
      <c r="L3792" s="15" t="n">
        <v>2601.29</v>
      </c>
      <c r="M3792" s="15" t="n">
        <f aca="false">F3792*G3792</f>
        <v>2922.8</v>
      </c>
      <c r="N3792" s="15" t="n">
        <f aca="false">M3792-L3792</f>
        <v>321.51</v>
      </c>
      <c r="O3792" s="1" t="n">
        <f aca="false">YEAR(B3792)</f>
        <v>2032</v>
      </c>
      <c r="P3792" s="1" t="n">
        <f aca="false">MONTH(B3792)</f>
        <v>5</v>
      </c>
      <c r="Q3792" s="1" t="str">
        <f aca="false">TEXT(B3792,"mmm")</f>
        <v>May</v>
      </c>
      <c r="R3792" s="1" t="str">
        <f aca="false">"Q"&amp;ROUNDUP(MONTH(B3792)/3,0)</f>
        <v>Q2</v>
      </c>
    </row>
    <row r="3793" customFormat="false" ht="15" hidden="false" customHeight="true" outlineLevel="0" collapsed="false">
      <c r="A3793" s="1" t="n">
        <v>13792</v>
      </c>
      <c r="B3793" s="14" t="n">
        <v>48353</v>
      </c>
      <c r="C3793" s="1" t="n">
        <v>1703</v>
      </c>
      <c r="D3793" s="1" t="s">
        <v>34</v>
      </c>
      <c r="E3793" s="1" t="s">
        <v>36</v>
      </c>
      <c r="F3793" s="1" t="n">
        <v>1</v>
      </c>
      <c r="G3793" s="15" t="n">
        <v>369.48</v>
      </c>
      <c r="H3793" s="16" t="n">
        <v>0.16</v>
      </c>
      <c r="I3793" s="1" t="s">
        <v>31</v>
      </c>
      <c r="J3793" s="1" t="n">
        <v>11</v>
      </c>
      <c r="K3793" s="1" t="n">
        <v>1.4</v>
      </c>
      <c r="L3793" s="15" t="n">
        <v>310.36</v>
      </c>
      <c r="M3793" s="15" t="n">
        <f aca="false">F3793*G3793</f>
        <v>369.48</v>
      </c>
      <c r="N3793" s="15" t="n">
        <f aca="false">M3793-L3793</f>
        <v>59.12</v>
      </c>
      <c r="O3793" s="1" t="n">
        <f aca="false">YEAR(B3793)</f>
        <v>2032</v>
      </c>
      <c r="P3793" s="1" t="n">
        <f aca="false">MONTH(B3793)</f>
        <v>5</v>
      </c>
      <c r="Q3793" s="1" t="str">
        <f aca="false">TEXT(B3793,"mmm")</f>
        <v>May</v>
      </c>
      <c r="R3793" s="1" t="str">
        <f aca="false">"Q"&amp;ROUNDUP(MONTH(B3793)/3,0)</f>
        <v>Q2</v>
      </c>
    </row>
    <row r="3794" customFormat="false" ht="15" hidden="false" customHeight="true" outlineLevel="0" collapsed="false">
      <c r="A3794" s="1" t="n">
        <v>13793</v>
      </c>
      <c r="B3794" s="14" t="n">
        <v>48354</v>
      </c>
      <c r="C3794" s="1" t="n">
        <v>1018</v>
      </c>
      <c r="D3794" s="1" t="s">
        <v>30</v>
      </c>
      <c r="E3794" s="1" t="s">
        <v>36</v>
      </c>
      <c r="F3794" s="1" t="n">
        <v>3</v>
      </c>
      <c r="G3794" s="15" t="n">
        <v>296.53</v>
      </c>
      <c r="H3794" s="16" t="n">
        <v>0.3</v>
      </c>
      <c r="I3794" s="1" t="s">
        <v>33</v>
      </c>
      <c r="J3794" s="1" t="n">
        <v>10</v>
      </c>
      <c r="K3794" s="1" t="n">
        <v>1.4</v>
      </c>
      <c r="L3794" s="15" t="n">
        <v>622.71</v>
      </c>
      <c r="M3794" s="15" t="n">
        <f aca="false">F3794*G3794</f>
        <v>889.59</v>
      </c>
      <c r="N3794" s="15" t="n">
        <f aca="false">M3794-L3794</f>
        <v>266.88</v>
      </c>
      <c r="O3794" s="1" t="n">
        <f aca="false">YEAR(B3794)</f>
        <v>2032</v>
      </c>
      <c r="P3794" s="1" t="n">
        <f aca="false">MONTH(B3794)</f>
        <v>5</v>
      </c>
      <c r="Q3794" s="1" t="str">
        <f aca="false">TEXT(B3794,"mmm")</f>
        <v>May</v>
      </c>
      <c r="R3794" s="1" t="str">
        <f aca="false">"Q"&amp;ROUNDUP(MONTH(B3794)/3,0)</f>
        <v>Q2</v>
      </c>
    </row>
    <row r="3795" customFormat="false" ht="15" hidden="false" customHeight="true" outlineLevel="0" collapsed="false">
      <c r="A3795" s="1" t="n">
        <v>13794</v>
      </c>
      <c r="B3795" s="14" t="n">
        <v>48355</v>
      </c>
      <c r="C3795" s="1" t="n">
        <v>1431</v>
      </c>
      <c r="D3795" s="1" t="s">
        <v>34</v>
      </c>
      <c r="E3795" s="1" t="s">
        <v>28</v>
      </c>
      <c r="F3795" s="1" t="n">
        <v>4</v>
      </c>
      <c r="G3795" s="15" t="n">
        <v>448.72</v>
      </c>
      <c r="H3795" s="16" t="n">
        <v>0.27</v>
      </c>
      <c r="I3795" s="1" t="s">
        <v>33</v>
      </c>
      <c r="J3795" s="1" t="n">
        <v>9</v>
      </c>
      <c r="K3795" s="1" t="n">
        <v>2.2</v>
      </c>
      <c r="L3795" s="15" t="n">
        <v>1310.26</v>
      </c>
      <c r="M3795" s="15" t="n">
        <f aca="false">F3795*G3795</f>
        <v>1794.88</v>
      </c>
      <c r="N3795" s="15" t="n">
        <f aca="false">M3795-L3795</f>
        <v>484.62</v>
      </c>
      <c r="O3795" s="1" t="n">
        <f aca="false">YEAR(B3795)</f>
        <v>2032</v>
      </c>
      <c r="P3795" s="1" t="n">
        <f aca="false">MONTH(B3795)</f>
        <v>5</v>
      </c>
      <c r="Q3795" s="1" t="str">
        <f aca="false">TEXT(B3795,"mmm")</f>
        <v>May</v>
      </c>
      <c r="R3795" s="1" t="str">
        <f aca="false">"Q"&amp;ROUNDUP(MONTH(B3795)/3,0)</f>
        <v>Q2</v>
      </c>
    </row>
    <row r="3796" customFormat="false" ht="15" hidden="false" customHeight="true" outlineLevel="0" collapsed="false">
      <c r="A3796" s="1" t="n">
        <v>13795</v>
      </c>
      <c r="B3796" s="14" t="n">
        <v>48356</v>
      </c>
      <c r="C3796" s="1" t="n">
        <v>1684</v>
      </c>
      <c r="D3796" s="1" t="s">
        <v>30</v>
      </c>
      <c r="E3796" s="1" t="s">
        <v>32</v>
      </c>
      <c r="F3796" s="1" t="n">
        <v>5</v>
      </c>
      <c r="G3796" s="15" t="n">
        <v>207.09</v>
      </c>
      <c r="H3796" s="16" t="n">
        <v>0.14</v>
      </c>
      <c r="I3796" s="1" t="s">
        <v>29</v>
      </c>
      <c r="J3796" s="1" t="n">
        <v>1</v>
      </c>
      <c r="K3796" s="1" t="n">
        <v>1.6</v>
      </c>
      <c r="L3796" s="15" t="n">
        <v>890.49</v>
      </c>
      <c r="M3796" s="15" t="n">
        <f aca="false">F3796*G3796</f>
        <v>1035.45</v>
      </c>
      <c r="N3796" s="15" t="n">
        <f aca="false">M3796-L3796</f>
        <v>144.96</v>
      </c>
      <c r="O3796" s="1" t="n">
        <f aca="false">YEAR(B3796)</f>
        <v>2032</v>
      </c>
      <c r="P3796" s="1" t="n">
        <f aca="false">MONTH(B3796)</f>
        <v>5</v>
      </c>
      <c r="Q3796" s="1" t="str">
        <f aca="false">TEXT(B3796,"mmm")</f>
        <v>May</v>
      </c>
      <c r="R3796" s="1" t="str">
        <f aca="false">"Q"&amp;ROUNDUP(MONTH(B3796)/3,0)</f>
        <v>Q2</v>
      </c>
    </row>
    <row r="3797" customFormat="false" ht="15" hidden="false" customHeight="true" outlineLevel="0" collapsed="false">
      <c r="A3797" s="1" t="n">
        <v>13796</v>
      </c>
      <c r="B3797" s="14" t="n">
        <v>48357</v>
      </c>
      <c r="C3797" s="1" t="n">
        <v>1739</v>
      </c>
      <c r="D3797" s="1" t="s">
        <v>30</v>
      </c>
      <c r="E3797" s="1" t="s">
        <v>36</v>
      </c>
      <c r="F3797" s="1" t="n">
        <v>6</v>
      </c>
      <c r="G3797" s="15" t="n">
        <v>303.56</v>
      </c>
      <c r="H3797" s="16" t="n">
        <v>0.3</v>
      </c>
      <c r="I3797" s="1" t="s">
        <v>33</v>
      </c>
      <c r="J3797" s="1" t="n">
        <v>6</v>
      </c>
      <c r="K3797" s="1" t="n">
        <v>3.1</v>
      </c>
      <c r="L3797" s="15" t="n">
        <v>1274.95</v>
      </c>
      <c r="M3797" s="15" t="n">
        <f aca="false">F3797*G3797</f>
        <v>1821.36</v>
      </c>
      <c r="N3797" s="15" t="n">
        <f aca="false">M3797-L3797</f>
        <v>546.41</v>
      </c>
      <c r="O3797" s="1" t="n">
        <f aca="false">YEAR(B3797)</f>
        <v>2032</v>
      </c>
      <c r="P3797" s="1" t="n">
        <f aca="false">MONTH(B3797)</f>
        <v>5</v>
      </c>
      <c r="Q3797" s="1" t="str">
        <f aca="false">TEXT(B3797,"mmm")</f>
        <v>May</v>
      </c>
      <c r="R3797" s="1" t="str">
        <f aca="false">"Q"&amp;ROUNDUP(MONTH(B3797)/3,0)</f>
        <v>Q2</v>
      </c>
    </row>
    <row r="3798" customFormat="false" ht="15" hidden="false" customHeight="true" outlineLevel="0" collapsed="false">
      <c r="A3798" s="1" t="n">
        <v>13797</v>
      </c>
      <c r="B3798" s="14" t="n">
        <v>48358</v>
      </c>
      <c r="C3798" s="1" t="n">
        <v>1349</v>
      </c>
      <c r="D3798" s="1" t="s">
        <v>30</v>
      </c>
      <c r="E3798" s="1" t="s">
        <v>35</v>
      </c>
      <c r="F3798" s="1" t="n">
        <v>1</v>
      </c>
      <c r="G3798" s="15" t="n">
        <v>550.95</v>
      </c>
      <c r="H3798" s="16" t="n">
        <v>0.02</v>
      </c>
      <c r="I3798" s="1" t="s">
        <v>33</v>
      </c>
      <c r="J3798" s="1" t="n">
        <v>3</v>
      </c>
      <c r="K3798" s="1" t="n">
        <v>2.7</v>
      </c>
      <c r="L3798" s="15" t="n">
        <v>539.93</v>
      </c>
      <c r="M3798" s="15" t="n">
        <f aca="false">F3798*G3798</f>
        <v>550.95</v>
      </c>
      <c r="N3798" s="15" t="n">
        <f aca="false">M3798-L3798</f>
        <v>11.0200000000001</v>
      </c>
      <c r="O3798" s="1" t="n">
        <f aca="false">YEAR(B3798)</f>
        <v>2032</v>
      </c>
      <c r="P3798" s="1" t="n">
        <f aca="false">MONTH(B3798)</f>
        <v>5</v>
      </c>
      <c r="Q3798" s="1" t="str">
        <f aca="false">TEXT(B3798,"mmm")</f>
        <v>May</v>
      </c>
      <c r="R3798" s="1" t="str">
        <f aca="false">"Q"&amp;ROUNDUP(MONTH(B3798)/3,0)</f>
        <v>Q2</v>
      </c>
    </row>
    <row r="3799" customFormat="false" ht="15" hidden="false" customHeight="true" outlineLevel="0" collapsed="false">
      <c r="A3799" s="1" t="n">
        <v>13798</v>
      </c>
      <c r="B3799" s="14" t="n">
        <v>48359</v>
      </c>
      <c r="C3799" s="1" t="n">
        <v>1182</v>
      </c>
      <c r="D3799" s="1" t="s">
        <v>30</v>
      </c>
      <c r="E3799" s="1" t="s">
        <v>36</v>
      </c>
      <c r="F3799" s="1" t="n">
        <v>5</v>
      </c>
      <c r="G3799" s="15" t="n">
        <v>574.06</v>
      </c>
      <c r="H3799" s="16" t="n">
        <v>0.27</v>
      </c>
      <c r="I3799" s="1" t="s">
        <v>31</v>
      </c>
      <c r="J3799" s="1" t="n">
        <v>9</v>
      </c>
      <c r="K3799" s="1" t="n">
        <v>4.6</v>
      </c>
      <c r="L3799" s="15" t="n">
        <v>2095.32</v>
      </c>
      <c r="M3799" s="15" t="n">
        <f aca="false">F3799*G3799</f>
        <v>2870.3</v>
      </c>
      <c r="N3799" s="15" t="n">
        <f aca="false">M3799-L3799</f>
        <v>774.98</v>
      </c>
      <c r="O3799" s="1" t="n">
        <f aca="false">YEAR(B3799)</f>
        <v>2032</v>
      </c>
      <c r="P3799" s="1" t="n">
        <f aca="false">MONTH(B3799)</f>
        <v>5</v>
      </c>
      <c r="Q3799" s="1" t="str">
        <f aca="false">TEXT(B3799,"mmm")</f>
        <v>May</v>
      </c>
      <c r="R3799" s="1" t="str">
        <f aca="false">"Q"&amp;ROUNDUP(MONTH(B3799)/3,0)</f>
        <v>Q2</v>
      </c>
    </row>
    <row r="3800" customFormat="false" ht="15" hidden="false" customHeight="true" outlineLevel="0" collapsed="false">
      <c r="A3800" s="1" t="n">
        <v>13799</v>
      </c>
      <c r="B3800" s="14" t="n">
        <v>48360</v>
      </c>
      <c r="C3800" s="1" t="n">
        <v>1112</v>
      </c>
      <c r="D3800" s="1" t="s">
        <v>34</v>
      </c>
      <c r="E3800" s="1" t="s">
        <v>36</v>
      </c>
      <c r="F3800" s="1" t="n">
        <v>3</v>
      </c>
      <c r="G3800" s="15" t="n">
        <v>557.34</v>
      </c>
      <c r="H3800" s="16" t="n">
        <v>0.07</v>
      </c>
      <c r="I3800" s="1" t="s">
        <v>33</v>
      </c>
      <c r="J3800" s="1" t="n">
        <v>3</v>
      </c>
      <c r="K3800" s="1" t="n">
        <v>3.9</v>
      </c>
      <c r="L3800" s="15" t="n">
        <v>1554.98</v>
      </c>
      <c r="M3800" s="15" t="n">
        <f aca="false">F3800*G3800</f>
        <v>1672.02</v>
      </c>
      <c r="N3800" s="15" t="n">
        <f aca="false">M3800-L3800</f>
        <v>117.04</v>
      </c>
      <c r="O3800" s="1" t="n">
        <f aca="false">YEAR(B3800)</f>
        <v>2032</v>
      </c>
      <c r="P3800" s="1" t="n">
        <f aca="false">MONTH(B3800)</f>
        <v>5</v>
      </c>
      <c r="Q3800" s="1" t="str">
        <f aca="false">TEXT(B3800,"mmm")</f>
        <v>May</v>
      </c>
      <c r="R3800" s="1" t="str">
        <f aca="false">"Q"&amp;ROUNDUP(MONTH(B3800)/3,0)</f>
        <v>Q2</v>
      </c>
    </row>
    <row r="3801" customFormat="false" ht="15" hidden="false" customHeight="true" outlineLevel="0" collapsed="false">
      <c r="A3801" s="1" t="n">
        <v>13800</v>
      </c>
      <c r="B3801" s="14" t="n">
        <v>48361</v>
      </c>
      <c r="C3801" s="1" t="n">
        <v>1182</v>
      </c>
      <c r="D3801" s="1" t="s">
        <v>30</v>
      </c>
      <c r="E3801" s="1" t="s">
        <v>36</v>
      </c>
      <c r="F3801" s="1" t="n">
        <v>4</v>
      </c>
      <c r="G3801" s="15" t="n">
        <v>168.53</v>
      </c>
      <c r="H3801" s="16" t="n">
        <v>0.1</v>
      </c>
      <c r="I3801" s="1" t="s">
        <v>31</v>
      </c>
      <c r="J3801" s="1" t="n">
        <v>2</v>
      </c>
      <c r="K3801" s="1" t="n">
        <v>1.8</v>
      </c>
      <c r="L3801" s="15" t="n">
        <v>606.71</v>
      </c>
      <c r="M3801" s="15" t="n">
        <f aca="false">F3801*G3801</f>
        <v>674.12</v>
      </c>
      <c r="N3801" s="15" t="n">
        <f aca="false">M3801-L3801</f>
        <v>67.41</v>
      </c>
      <c r="O3801" s="1" t="n">
        <f aca="false">YEAR(B3801)</f>
        <v>2032</v>
      </c>
      <c r="P3801" s="1" t="n">
        <f aca="false">MONTH(B3801)</f>
        <v>5</v>
      </c>
      <c r="Q3801" s="1" t="str">
        <f aca="false">TEXT(B3801,"mmm")</f>
        <v>May</v>
      </c>
      <c r="R3801" s="1" t="str">
        <f aca="false">"Q"&amp;ROUNDUP(MONTH(B3801)/3,0)</f>
        <v>Q2</v>
      </c>
    </row>
    <row r="3802" customFormat="false" ht="15" hidden="false" customHeight="true" outlineLevel="0" collapsed="false">
      <c r="A3802" s="1" t="n">
        <v>13801</v>
      </c>
      <c r="B3802" s="14" t="n">
        <v>48362</v>
      </c>
      <c r="C3802" s="1" t="n">
        <v>1480</v>
      </c>
      <c r="D3802" s="1" t="s">
        <v>37</v>
      </c>
      <c r="E3802" s="1" t="s">
        <v>32</v>
      </c>
      <c r="F3802" s="1" t="n">
        <v>4</v>
      </c>
      <c r="G3802" s="15" t="n">
        <v>150.99</v>
      </c>
      <c r="H3802" s="16" t="n">
        <v>0.17</v>
      </c>
      <c r="I3802" s="1" t="s">
        <v>33</v>
      </c>
      <c r="J3802" s="1" t="n">
        <v>8</v>
      </c>
      <c r="K3802" s="1" t="n">
        <v>1.2</v>
      </c>
      <c r="L3802" s="15" t="n">
        <v>501.29</v>
      </c>
      <c r="M3802" s="15" t="n">
        <f aca="false">F3802*G3802</f>
        <v>603.96</v>
      </c>
      <c r="N3802" s="15" t="n">
        <f aca="false">M3802-L3802</f>
        <v>102.67</v>
      </c>
      <c r="O3802" s="1" t="n">
        <f aca="false">YEAR(B3802)</f>
        <v>2032</v>
      </c>
      <c r="P3802" s="1" t="n">
        <f aca="false">MONTH(B3802)</f>
        <v>5</v>
      </c>
      <c r="Q3802" s="1" t="str">
        <f aca="false">TEXT(B3802,"mmm")</f>
        <v>May</v>
      </c>
      <c r="R3802" s="1" t="str">
        <f aca="false">"Q"&amp;ROUNDUP(MONTH(B3802)/3,0)</f>
        <v>Q2</v>
      </c>
    </row>
    <row r="3803" customFormat="false" ht="15" hidden="false" customHeight="true" outlineLevel="0" collapsed="false">
      <c r="A3803" s="1" t="n">
        <v>13802</v>
      </c>
      <c r="B3803" s="14" t="n">
        <v>48363</v>
      </c>
      <c r="C3803" s="1" t="n">
        <v>1145</v>
      </c>
      <c r="D3803" s="1" t="s">
        <v>37</v>
      </c>
      <c r="E3803" s="1" t="s">
        <v>35</v>
      </c>
      <c r="F3803" s="1" t="n">
        <v>6</v>
      </c>
      <c r="G3803" s="15" t="n">
        <v>189.13</v>
      </c>
      <c r="H3803" s="16" t="n">
        <v>0.16</v>
      </c>
      <c r="I3803" s="1" t="s">
        <v>31</v>
      </c>
      <c r="J3803" s="1" t="n">
        <v>3</v>
      </c>
      <c r="K3803" s="1" t="n">
        <v>3.8</v>
      </c>
      <c r="L3803" s="15" t="n">
        <v>953.22</v>
      </c>
      <c r="M3803" s="15" t="n">
        <f aca="false">F3803*G3803</f>
        <v>1134.78</v>
      </c>
      <c r="N3803" s="15" t="n">
        <f aca="false">M3803-L3803</f>
        <v>181.56</v>
      </c>
      <c r="O3803" s="1" t="n">
        <f aca="false">YEAR(B3803)</f>
        <v>2032</v>
      </c>
      <c r="P3803" s="1" t="n">
        <f aca="false">MONTH(B3803)</f>
        <v>5</v>
      </c>
      <c r="Q3803" s="1" t="str">
        <f aca="false">TEXT(B3803,"mmm")</f>
        <v>May</v>
      </c>
      <c r="R3803" s="1" t="str">
        <f aca="false">"Q"&amp;ROUNDUP(MONTH(B3803)/3,0)</f>
        <v>Q2</v>
      </c>
    </row>
    <row r="3804" customFormat="false" ht="15" hidden="false" customHeight="true" outlineLevel="0" collapsed="false">
      <c r="A3804" s="1" t="n">
        <v>13803</v>
      </c>
      <c r="B3804" s="14" t="n">
        <v>48364</v>
      </c>
      <c r="C3804" s="1" t="n">
        <v>1830</v>
      </c>
      <c r="D3804" s="1" t="s">
        <v>34</v>
      </c>
      <c r="E3804" s="1" t="s">
        <v>28</v>
      </c>
      <c r="F3804" s="1" t="n">
        <v>6</v>
      </c>
      <c r="G3804" s="15" t="n">
        <v>273.17</v>
      </c>
      <c r="H3804" s="16" t="n">
        <v>0.18</v>
      </c>
      <c r="I3804" s="1" t="s">
        <v>33</v>
      </c>
      <c r="J3804" s="1" t="n">
        <v>5</v>
      </c>
      <c r="K3804" s="1" t="n">
        <v>4.4</v>
      </c>
      <c r="L3804" s="15" t="n">
        <v>1344</v>
      </c>
      <c r="M3804" s="15" t="n">
        <f aca="false">F3804*G3804</f>
        <v>1639.02</v>
      </c>
      <c r="N3804" s="15" t="n">
        <f aca="false">M3804-L3804</f>
        <v>295.02</v>
      </c>
      <c r="O3804" s="1" t="n">
        <f aca="false">YEAR(B3804)</f>
        <v>2032</v>
      </c>
      <c r="P3804" s="1" t="n">
        <f aca="false">MONTH(B3804)</f>
        <v>5</v>
      </c>
      <c r="Q3804" s="1" t="str">
        <f aca="false">TEXT(B3804,"mmm")</f>
        <v>May</v>
      </c>
      <c r="R3804" s="1" t="str">
        <f aca="false">"Q"&amp;ROUNDUP(MONTH(B3804)/3,0)</f>
        <v>Q2</v>
      </c>
    </row>
    <row r="3805" customFormat="false" ht="15" hidden="false" customHeight="true" outlineLevel="0" collapsed="false">
      <c r="A3805" s="1" t="n">
        <v>13804</v>
      </c>
      <c r="B3805" s="14" t="n">
        <v>48365</v>
      </c>
      <c r="C3805" s="1" t="n">
        <v>1627</v>
      </c>
      <c r="D3805" s="1" t="s">
        <v>27</v>
      </c>
      <c r="E3805" s="1" t="s">
        <v>36</v>
      </c>
      <c r="F3805" s="1" t="n">
        <v>6</v>
      </c>
      <c r="G3805" s="15" t="n">
        <v>198.79</v>
      </c>
      <c r="H3805" s="16" t="n">
        <v>0.19</v>
      </c>
      <c r="I3805" s="1" t="s">
        <v>29</v>
      </c>
      <c r="J3805" s="1" t="n">
        <v>6</v>
      </c>
      <c r="K3805" s="1" t="n">
        <v>3.8</v>
      </c>
      <c r="L3805" s="15" t="n">
        <v>966.12</v>
      </c>
      <c r="M3805" s="15" t="n">
        <f aca="false">F3805*G3805</f>
        <v>1192.74</v>
      </c>
      <c r="N3805" s="15" t="n">
        <f aca="false">M3805-L3805</f>
        <v>226.62</v>
      </c>
      <c r="O3805" s="1" t="n">
        <f aca="false">YEAR(B3805)</f>
        <v>2032</v>
      </c>
      <c r="P3805" s="1" t="n">
        <f aca="false">MONTH(B3805)</f>
        <v>5</v>
      </c>
      <c r="Q3805" s="1" t="str">
        <f aca="false">TEXT(B3805,"mmm")</f>
        <v>May</v>
      </c>
      <c r="R3805" s="1" t="str">
        <f aca="false">"Q"&amp;ROUNDUP(MONTH(B3805)/3,0)</f>
        <v>Q2</v>
      </c>
    </row>
    <row r="3806" customFormat="false" ht="15" hidden="false" customHeight="true" outlineLevel="0" collapsed="false">
      <c r="A3806" s="1" t="n">
        <v>13805</v>
      </c>
      <c r="B3806" s="14" t="n">
        <v>48366</v>
      </c>
      <c r="C3806" s="1" t="n">
        <v>1112</v>
      </c>
      <c r="D3806" s="1" t="s">
        <v>27</v>
      </c>
      <c r="E3806" s="1" t="s">
        <v>35</v>
      </c>
      <c r="F3806" s="1" t="n">
        <v>5</v>
      </c>
      <c r="G3806" s="15" t="n">
        <v>233.91</v>
      </c>
      <c r="H3806" s="16" t="n">
        <v>0.12</v>
      </c>
      <c r="I3806" s="1" t="s">
        <v>29</v>
      </c>
      <c r="J3806" s="1" t="n">
        <v>10</v>
      </c>
      <c r="K3806" s="1" t="n">
        <v>3.6</v>
      </c>
      <c r="L3806" s="15" t="n">
        <v>1029.2</v>
      </c>
      <c r="M3806" s="15" t="n">
        <f aca="false">F3806*G3806</f>
        <v>1169.55</v>
      </c>
      <c r="N3806" s="15" t="n">
        <f aca="false">M3806-L3806</f>
        <v>140.35</v>
      </c>
      <c r="O3806" s="1" t="n">
        <f aca="false">YEAR(B3806)</f>
        <v>2032</v>
      </c>
      <c r="P3806" s="1" t="n">
        <f aca="false">MONTH(B3806)</f>
        <v>6</v>
      </c>
      <c r="Q3806" s="1" t="str">
        <f aca="false">TEXT(B3806,"mmm")</f>
        <v>Jun</v>
      </c>
      <c r="R3806" s="1" t="str">
        <f aca="false">"Q"&amp;ROUNDUP(MONTH(B3806)/3,0)</f>
        <v>Q2</v>
      </c>
    </row>
    <row r="3807" customFormat="false" ht="15" hidden="false" customHeight="true" outlineLevel="0" collapsed="false">
      <c r="A3807" s="1" t="n">
        <v>13806</v>
      </c>
      <c r="B3807" s="14" t="n">
        <v>48367</v>
      </c>
      <c r="C3807" s="1" t="n">
        <v>1762</v>
      </c>
      <c r="D3807" s="1" t="s">
        <v>34</v>
      </c>
      <c r="E3807" s="1" t="s">
        <v>35</v>
      </c>
      <c r="F3807" s="1" t="n">
        <v>1</v>
      </c>
      <c r="G3807" s="15" t="n">
        <v>378.07</v>
      </c>
      <c r="H3807" s="16" t="n">
        <v>0.06</v>
      </c>
      <c r="I3807" s="1" t="s">
        <v>31</v>
      </c>
      <c r="J3807" s="1" t="n">
        <v>10</v>
      </c>
      <c r="K3807" s="1" t="n">
        <v>2</v>
      </c>
      <c r="L3807" s="15" t="n">
        <v>355.39</v>
      </c>
      <c r="M3807" s="15" t="n">
        <f aca="false">F3807*G3807</f>
        <v>378.07</v>
      </c>
      <c r="N3807" s="15" t="n">
        <f aca="false">M3807-L3807</f>
        <v>22.68</v>
      </c>
      <c r="O3807" s="1" t="n">
        <f aca="false">YEAR(B3807)</f>
        <v>2032</v>
      </c>
      <c r="P3807" s="1" t="n">
        <f aca="false">MONTH(B3807)</f>
        <v>6</v>
      </c>
      <c r="Q3807" s="1" t="str">
        <f aca="false">TEXT(B3807,"mmm")</f>
        <v>Jun</v>
      </c>
      <c r="R3807" s="1" t="str">
        <f aca="false">"Q"&amp;ROUNDUP(MONTH(B3807)/3,0)</f>
        <v>Q2</v>
      </c>
    </row>
    <row r="3808" customFormat="false" ht="15" hidden="false" customHeight="true" outlineLevel="0" collapsed="false">
      <c r="A3808" s="1" t="n">
        <v>13807</v>
      </c>
      <c r="B3808" s="14" t="n">
        <v>48368</v>
      </c>
      <c r="C3808" s="1" t="n">
        <v>1475</v>
      </c>
      <c r="D3808" s="1" t="s">
        <v>34</v>
      </c>
      <c r="E3808" s="1" t="s">
        <v>28</v>
      </c>
      <c r="F3808" s="1" t="n">
        <v>2</v>
      </c>
      <c r="G3808" s="15" t="n">
        <v>461.08</v>
      </c>
      <c r="H3808" s="16" t="n">
        <v>0.27</v>
      </c>
      <c r="I3808" s="1" t="s">
        <v>31</v>
      </c>
      <c r="J3808" s="1" t="n">
        <v>1</v>
      </c>
      <c r="K3808" s="1" t="n">
        <v>3</v>
      </c>
      <c r="L3808" s="15" t="n">
        <v>673.18</v>
      </c>
      <c r="M3808" s="15" t="n">
        <f aca="false">F3808*G3808</f>
        <v>922.16</v>
      </c>
      <c r="N3808" s="15" t="n">
        <f aca="false">M3808-L3808</f>
        <v>248.98</v>
      </c>
      <c r="O3808" s="1" t="n">
        <f aca="false">YEAR(B3808)</f>
        <v>2032</v>
      </c>
      <c r="P3808" s="1" t="n">
        <f aca="false">MONTH(B3808)</f>
        <v>6</v>
      </c>
      <c r="Q3808" s="1" t="str">
        <f aca="false">TEXT(B3808,"mmm")</f>
        <v>Jun</v>
      </c>
      <c r="R3808" s="1" t="str">
        <f aca="false">"Q"&amp;ROUNDUP(MONTH(B3808)/3,0)</f>
        <v>Q2</v>
      </c>
    </row>
    <row r="3809" customFormat="false" ht="15" hidden="false" customHeight="true" outlineLevel="0" collapsed="false">
      <c r="A3809" s="1" t="n">
        <v>13808</v>
      </c>
      <c r="B3809" s="14" t="n">
        <v>48369</v>
      </c>
      <c r="C3809" s="1" t="n">
        <v>1762</v>
      </c>
      <c r="D3809" s="1" t="s">
        <v>37</v>
      </c>
      <c r="E3809" s="1" t="s">
        <v>36</v>
      </c>
      <c r="F3809" s="1" t="n">
        <v>4</v>
      </c>
      <c r="G3809" s="15" t="n">
        <v>445.3</v>
      </c>
      <c r="H3809" s="16" t="n">
        <v>0.14</v>
      </c>
      <c r="I3809" s="1" t="s">
        <v>29</v>
      </c>
      <c r="J3809" s="1" t="n">
        <v>7</v>
      </c>
      <c r="K3809" s="1" t="n">
        <v>3.9</v>
      </c>
      <c r="L3809" s="15" t="n">
        <v>1531.83</v>
      </c>
      <c r="M3809" s="15" t="n">
        <f aca="false">F3809*G3809</f>
        <v>1781.2</v>
      </c>
      <c r="N3809" s="15" t="n">
        <f aca="false">M3809-L3809</f>
        <v>249.37</v>
      </c>
      <c r="O3809" s="1" t="n">
        <f aca="false">YEAR(B3809)</f>
        <v>2032</v>
      </c>
      <c r="P3809" s="1" t="n">
        <f aca="false">MONTH(B3809)</f>
        <v>6</v>
      </c>
      <c r="Q3809" s="1" t="str">
        <f aca="false">TEXT(B3809,"mmm")</f>
        <v>Jun</v>
      </c>
      <c r="R3809" s="1" t="str">
        <f aca="false">"Q"&amp;ROUNDUP(MONTH(B3809)/3,0)</f>
        <v>Q2</v>
      </c>
    </row>
    <row r="3810" customFormat="false" ht="15" hidden="false" customHeight="true" outlineLevel="0" collapsed="false">
      <c r="A3810" s="1" t="n">
        <v>13809</v>
      </c>
      <c r="B3810" s="14" t="n">
        <v>48370</v>
      </c>
      <c r="C3810" s="1" t="n">
        <v>1302</v>
      </c>
      <c r="D3810" s="1" t="s">
        <v>37</v>
      </c>
      <c r="E3810" s="1" t="s">
        <v>32</v>
      </c>
      <c r="F3810" s="1" t="n">
        <v>2</v>
      </c>
      <c r="G3810" s="15" t="n">
        <v>491.44</v>
      </c>
      <c r="H3810" s="16" t="n">
        <v>0.18</v>
      </c>
      <c r="I3810" s="1" t="s">
        <v>33</v>
      </c>
      <c r="J3810" s="1" t="n">
        <v>11</v>
      </c>
      <c r="K3810" s="1" t="n">
        <v>1.8</v>
      </c>
      <c r="L3810" s="15" t="n">
        <v>805.96</v>
      </c>
      <c r="M3810" s="15" t="n">
        <f aca="false">F3810*G3810</f>
        <v>982.88</v>
      </c>
      <c r="N3810" s="15" t="n">
        <f aca="false">M3810-L3810</f>
        <v>176.92</v>
      </c>
      <c r="O3810" s="1" t="n">
        <f aca="false">YEAR(B3810)</f>
        <v>2032</v>
      </c>
      <c r="P3810" s="1" t="n">
        <f aca="false">MONTH(B3810)</f>
        <v>6</v>
      </c>
      <c r="Q3810" s="1" t="str">
        <f aca="false">TEXT(B3810,"mmm")</f>
        <v>Jun</v>
      </c>
      <c r="R3810" s="1" t="str">
        <f aca="false">"Q"&amp;ROUNDUP(MONTH(B3810)/3,0)</f>
        <v>Q2</v>
      </c>
    </row>
    <row r="3811" customFormat="false" ht="15" hidden="false" customHeight="true" outlineLevel="0" collapsed="false">
      <c r="A3811" s="1" t="n">
        <v>13810</v>
      </c>
      <c r="B3811" s="14" t="n">
        <v>48371</v>
      </c>
      <c r="C3811" s="1" t="n">
        <v>1970</v>
      </c>
      <c r="D3811" s="1" t="s">
        <v>27</v>
      </c>
      <c r="E3811" s="1" t="s">
        <v>35</v>
      </c>
      <c r="F3811" s="1" t="n">
        <v>7</v>
      </c>
      <c r="G3811" s="15" t="n">
        <v>33.83</v>
      </c>
      <c r="H3811" s="16" t="n">
        <v>0.23</v>
      </c>
      <c r="I3811" s="1" t="s">
        <v>33</v>
      </c>
      <c r="J3811" s="1" t="n">
        <v>7</v>
      </c>
      <c r="K3811" s="1" t="n">
        <v>2.9</v>
      </c>
      <c r="L3811" s="15" t="n">
        <v>182.34</v>
      </c>
      <c r="M3811" s="15" t="n">
        <f aca="false">F3811*G3811</f>
        <v>236.81</v>
      </c>
      <c r="N3811" s="15" t="n">
        <f aca="false">M3811-L3811</f>
        <v>54.47</v>
      </c>
      <c r="O3811" s="1" t="n">
        <f aca="false">YEAR(B3811)</f>
        <v>2032</v>
      </c>
      <c r="P3811" s="1" t="n">
        <f aca="false">MONTH(B3811)</f>
        <v>6</v>
      </c>
      <c r="Q3811" s="1" t="str">
        <f aca="false">TEXT(B3811,"mmm")</f>
        <v>Jun</v>
      </c>
      <c r="R3811" s="1" t="str">
        <f aca="false">"Q"&amp;ROUNDUP(MONTH(B3811)/3,0)</f>
        <v>Q2</v>
      </c>
    </row>
    <row r="3812" customFormat="false" ht="15" hidden="false" customHeight="true" outlineLevel="0" collapsed="false">
      <c r="A3812" s="1" t="n">
        <v>13811</v>
      </c>
      <c r="B3812" s="14" t="n">
        <v>48372</v>
      </c>
      <c r="C3812" s="1" t="n">
        <v>1824</v>
      </c>
      <c r="D3812" s="1" t="s">
        <v>27</v>
      </c>
      <c r="E3812" s="1" t="s">
        <v>28</v>
      </c>
      <c r="F3812" s="1" t="n">
        <v>4</v>
      </c>
      <c r="G3812" s="15" t="n">
        <v>42.92</v>
      </c>
      <c r="H3812" s="16" t="n">
        <v>0.32</v>
      </c>
      <c r="I3812" s="1" t="s">
        <v>33</v>
      </c>
      <c r="J3812" s="1" t="n">
        <v>5</v>
      </c>
      <c r="K3812" s="1" t="n">
        <v>1.5</v>
      </c>
      <c r="L3812" s="15" t="n">
        <v>116.74</v>
      </c>
      <c r="M3812" s="15" t="n">
        <f aca="false">F3812*G3812</f>
        <v>171.68</v>
      </c>
      <c r="N3812" s="15" t="n">
        <f aca="false">M3812-L3812</f>
        <v>54.94</v>
      </c>
      <c r="O3812" s="1" t="n">
        <f aca="false">YEAR(B3812)</f>
        <v>2032</v>
      </c>
      <c r="P3812" s="1" t="n">
        <f aca="false">MONTH(B3812)</f>
        <v>6</v>
      </c>
      <c r="Q3812" s="1" t="str">
        <f aca="false">TEXT(B3812,"mmm")</f>
        <v>Jun</v>
      </c>
      <c r="R3812" s="1" t="str">
        <f aca="false">"Q"&amp;ROUNDUP(MONTH(B3812)/3,0)</f>
        <v>Q2</v>
      </c>
    </row>
    <row r="3813" customFormat="false" ht="15" hidden="false" customHeight="true" outlineLevel="0" collapsed="false">
      <c r="A3813" s="1" t="n">
        <v>13812</v>
      </c>
      <c r="B3813" s="14" t="n">
        <v>48373</v>
      </c>
      <c r="C3813" s="1" t="n">
        <v>1117</v>
      </c>
      <c r="D3813" s="1" t="s">
        <v>30</v>
      </c>
      <c r="E3813" s="1" t="s">
        <v>32</v>
      </c>
      <c r="F3813" s="1" t="n">
        <v>6</v>
      </c>
      <c r="G3813" s="15" t="n">
        <v>476.79</v>
      </c>
      <c r="H3813" s="16" t="n">
        <v>0.25</v>
      </c>
      <c r="I3813" s="1" t="s">
        <v>33</v>
      </c>
      <c r="J3813" s="1" t="n">
        <v>9</v>
      </c>
      <c r="K3813" s="1" t="n">
        <v>3.1</v>
      </c>
      <c r="L3813" s="15" t="n">
        <v>2145.56</v>
      </c>
      <c r="M3813" s="15" t="n">
        <f aca="false">F3813*G3813</f>
        <v>2860.74</v>
      </c>
      <c r="N3813" s="15" t="n">
        <f aca="false">M3813-L3813</f>
        <v>715.18</v>
      </c>
      <c r="O3813" s="1" t="n">
        <f aca="false">YEAR(B3813)</f>
        <v>2032</v>
      </c>
      <c r="P3813" s="1" t="n">
        <f aca="false">MONTH(B3813)</f>
        <v>6</v>
      </c>
      <c r="Q3813" s="1" t="str">
        <f aca="false">TEXT(B3813,"mmm")</f>
        <v>Jun</v>
      </c>
      <c r="R3813" s="1" t="str">
        <f aca="false">"Q"&amp;ROUNDUP(MONTH(B3813)/3,0)</f>
        <v>Q2</v>
      </c>
    </row>
    <row r="3814" customFormat="false" ht="15" hidden="false" customHeight="true" outlineLevel="0" collapsed="false">
      <c r="A3814" s="1" t="n">
        <v>13813</v>
      </c>
      <c r="B3814" s="14" t="n">
        <v>48374</v>
      </c>
      <c r="C3814" s="1" t="n">
        <v>1812</v>
      </c>
      <c r="D3814" s="1" t="s">
        <v>30</v>
      </c>
      <c r="E3814" s="1" t="s">
        <v>35</v>
      </c>
      <c r="F3814" s="1" t="n">
        <v>1</v>
      </c>
      <c r="G3814" s="15" t="n">
        <v>326.85</v>
      </c>
      <c r="H3814" s="16" t="n">
        <v>0.02</v>
      </c>
      <c r="I3814" s="1" t="s">
        <v>29</v>
      </c>
      <c r="J3814" s="1" t="n">
        <v>11</v>
      </c>
      <c r="K3814" s="1" t="n">
        <v>3.3</v>
      </c>
      <c r="L3814" s="15" t="n">
        <v>320.31</v>
      </c>
      <c r="M3814" s="15" t="n">
        <f aca="false">F3814*G3814</f>
        <v>326.85</v>
      </c>
      <c r="N3814" s="15" t="n">
        <f aca="false">M3814-L3814</f>
        <v>6.54000000000002</v>
      </c>
      <c r="O3814" s="1" t="n">
        <f aca="false">YEAR(B3814)</f>
        <v>2032</v>
      </c>
      <c r="P3814" s="1" t="n">
        <f aca="false">MONTH(B3814)</f>
        <v>6</v>
      </c>
      <c r="Q3814" s="1" t="str">
        <f aca="false">TEXT(B3814,"mmm")</f>
        <v>Jun</v>
      </c>
      <c r="R3814" s="1" t="str">
        <f aca="false">"Q"&amp;ROUNDUP(MONTH(B3814)/3,0)</f>
        <v>Q2</v>
      </c>
    </row>
    <row r="3815" customFormat="false" ht="15" hidden="false" customHeight="true" outlineLevel="0" collapsed="false">
      <c r="A3815" s="1" t="n">
        <v>13814</v>
      </c>
      <c r="B3815" s="14" t="n">
        <v>48375</v>
      </c>
      <c r="C3815" s="1" t="n">
        <v>1160</v>
      </c>
      <c r="D3815" s="1" t="s">
        <v>34</v>
      </c>
      <c r="E3815" s="1" t="s">
        <v>36</v>
      </c>
      <c r="F3815" s="1" t="n">
        <v>1</v>
      </c>
      <c r="G3815" s="15" t="n">
        <v>353.21</v>
      </c>
      <c r="H3815" s="16" t="n">
        <v>0.29</v>
      </c>
      <c r="I3815" s="1" t="s">
        <v>33</v>
      </c>
      <c r="J3815" s="1" t="n">
        <v>2</v>
      </c>
      <c r="K3815" s="1" t="n">
        <v>3.1</v>
      </c>
      <c r="L3815" s="15" t="n">
        <v>250.78</v>
      </c>
      <c r="M3815" s="15" t="n">
        <f aca="false">F3815*G3815</f>
        <v>353.21</v>
      </c>
      <c r="N3815" s="15" t="n">
        <f aca="false">M3815-L3815</f>
        <v>102.43</v>
      </c>
      <c r="O3815" s="1" t="n">
        <f aca="false">YEAR(B3815)</f>
        <v>2032</v>
      </c>
      <c r="P3815" s="1" t="n">
        <f aca="false">MONTH(B3815)</f>
        <v>6</v>
      </c>
      <c r="Q3815" s="1" t="str">
        <f aca="false">TEXT(B3815,"mmm")</f>
        <v>Jun</v>
      </c>
      <c r="R3815" s="1" t="str">
        <f aca="false">"Q"&amp;ROUNDUP(MONTH(B3815)/3,0)</f>
        <v>Q2</v>
      </c>
    </row>
    <row r="3816" customFormat="false" ht="15" hidden="false" customHeight="true" outlineLevel="0" collapsed="false">
      <c r="A3816" s="1" t="n">
        <v>13815</v>
      </c>
      <c r="B3816" s="14" t="n">
        <v>48376</v>
      </c>
      <c r="C3816" s="1" t="n">
        <v>1400</v>
      </c>
      <c r="D3816" s="1" t="s">
        <v>34</v>
      </c>
      <c r="E3816" s="1" t="s">
        <v>35</v>
      </c>
      <c r="F3816" s="1" t="n">
        <v>4</v>
      </c>
      <c r="G3816" s="15" t="n">
        <v>45.76</v>
      </c>
      <c r="H3816" s="16" t="n">
        <v>0.35</v>
      </c>
      <c r="I3816" s="1" t="s">
        <v>33</v>
      </c>
      <c r="J3816" s="1" t="n">
        <v>5</v>
      </c>
      <c r="K3816" s="1" t="n">
        <v>2.9</v>
      </c>
      <c r="L3816" s="15" t="n">
        <v>118.98</v>
      </c>
      <c r="M3816" s="15" t="n">
        <f aca="false">F3816*G3816</f>
        <v>183.04</v>
      </c>
      <c r="N3816" s="15" t="n">
        <f aca="false">M3816-L3816</f>
        <v>64.06</v>
      </c>
      <c r="O3816" s="1" t="n">
        <f aca="false">YEAR(B3816)</f>
        <v>2032</v>
      </c>
      <c r="P3816" s="1" t="n">
        <f aca="false">MONTH(B3816)</f>
        <v>6</v>
      </c>
      <c r="Q3816" s="1" t="str">
        <f aca="false">TEXT(B3816,"mmm")</f>
        <v>Jun</v>
      </c>
      <c r="R3816" s="1" t="str">
        <f aca="false">"Q"&amp;ROUNDUP(MONTH(B3816)/3,0)</f>
        <v>Q2</v>
      </c>
    </row>
    <row r="3817" customFormat="false" ht="15" hidden="false" customHeight="true" outlineLevel="0" collapsed="false">
      <c r="A3817" s="1" t="n">
        <v>13816</v>
      </c>
      <c r="B3817" s="14" t="n">
        <v>48377</v>
      </c>
      <c r="C3817" s="1" t="n">
        <v>1197</v>
      </c>
      <c r="D3817" s="1" t="s">
        <v>30</v>
      </c>
      <c r="E3817" s="1" t="s">
        <v>32</v>
      </c>
      <c r="F3817" s="1" t="n">
        <v>5</v>
      </c>
      <c r="G3817" s="15" t="n">
        <v>164.36</v>
      </c>
      <c r="H3817" s="16" t="n">
        <v>0.17</v>
      </c>
      <c r="I3817" s="1" t="s">
        <v>33</v>
      </c>
      <c r="J3817" s="1" t="n">
        <v>2</v>
      </c>
      <c r="K3817" s="1" t="n">
        <v>3.3</v>
      </c>
      <c r="L3817" s="15" t="n">
        <v>682.09</v>
      </c>
      <c r="M3817" s="15" t="n">
        <f aca="false">F3817*G3817</f>
        <v>821.8</v>
      </c>
      <c r="N3817" s="15" t="n">
        <f aca="false">M3817-L3817</f>
        <v>139.71</v>
      </c>
      <c r="O3817" s="1" t="n">
        <f aca="false">YEAR(B3817)</f>
        <v>2032</v>
      </c>
      <c r="P3817" s="1" t="n">
        <f aca="false">MONTH(B3817)</f>
        <v>6</v>
      </c>
      <c r="Q3817" s="1" t="str">
        <f aca="false">TEXT(B3817,"mmm")</f>
        <v>Jun</v>
      </c>
      <c r="R3817" s="1" t="str">
        <f aca="false">"Q"&amp;ROUNDUP(MONTH(B3817)/3,0)</f>
        <v>Q2</v>
      </c>
    </row>
    <row r="3818" customFormat="false" ht="15" hidden="false" customHeight="true" outlineLevel="0" collapsed="false">
      <c r="A3818" s="1" t="n">
        <v>13817</v>
      </c>
      <c r="B3818" s="14" t="n">
        <v>48378</v>
      </c>
      <c r="C3818" s="1" t="n">
        <v>1259</v>
      </c>
      <c r="D3818" s="1" t="s">
        <v>30</v>
      </c>
      <c r="E3818" s="1" t="s">
        <v>32</v>
      </c>
      <c r="F3818" s="1" t="n">
        <v>7</v>
      </c>
      <c r="G3818" s="15" t="n">
        <v>388.44</v>
      </c>
      <c r="H3818" s="16" t="n">
        <v>0.34</v>
      </c>
      <c r="I3818" s="1" t="s">
        <v>29</v>
      </c>
      <c r="J3818" s="1" t="n">
        <v>2</v>
      </c>
      <c r="K3818" s="1" t="n">
        <v>5</v>
      </c>
      <c r="L3818" s="15" t="n">
        <v>1794.59</v>
      </c>
      <c r="M3818" s="15" t="n">
        <f aca="false">F3818*G3818</f>
        <v>2719.08</v>
      </c>
      <c r="N3818" s="15" t="n">
        <f aca="false">M3818-L3818</f>
        <v>924.49</v>
      </c>
      <c r="O3818" s="1" t="n">
        <f aca="false">YEAR(B3818)</f>
        <v>2032</v>
      </c>
      <c r="P3818" s="1" t="n">
        <f aca="false">MONTH(B3818)</f>
        <v>6</v>
      </c>
      <c r="Q3818" s="1" t="str">
        <f aca="false">TEXT(B3818,"mmm")</f>
        <v>Jun</v>
      </c>
      <c r="R3818" s="1" t="str">
        <f aca="false">"Q"&amp;ROUNDUP(MONTH(B3818)/3,0)</f>
        <v>Q2</v>
      </c>
    </row>
    <row r="3819" customFormat="false" ht="15" hidden="false" customHeight="true" outlineLevel="0" collapsed="false">
      <c r="A3819" s="1" t="n">
        <v>13818</v>
      </c>
      <c r="B3819" s="14" t="n">
        <v>48379</v>
      </c>
      <c r="C3819" s="1" t="n">
        <v>1659</v>
      </c>
      <c r="D3819" s="1" t="s">
        <v>30</v>
      </c>
      <c r="E3819" s="1" t="s">
        <v>36</v>
      </c>
      <c r="F3819" s="1" t="n">
        <v>6</v>
      </c>
      <c r="G3819" s="15" t="n">
        <v>517.62</v>
      </c>
      <c r="H3819" s="16" t="n">
        <v>0.19</v>
      </c>
      <c r="I3819" s="1" t="s">
        <v>33</v>
      </c>
      <c r="J3819" s="1" t="n">
        <v>11</v>
      </c>
      <c r="K3819" s="1" t="n">
        <v>3.5</v>
      </c>
      <c r="L3819" s="15" t="n">
        <v>2515.63</v>
      </c>
      <c r="M3819" s="15" t="n">
        <f aca="false">F3819*G3819</f>
        <v>3105.72</v>
      </c>
      <c r="N3819" s="15" t="n">
        <f aca="false">M3819-L3819</f>
        <v>590.09</v>
      </c>
      <c r="O3819" s="1" t="n">
        <f aca="false">YEAR(B3819)</f>
        <v>2032</v>
      </c>
      <c r="P3819" s="1" t="n">
        <f aca="false">MONTH(B3819)</f>
        <v>6</v>
      </c>
      <c r="Q3819" s="1" t="str">
        <f aca="false">TEXT(B3819,"mmm")</f>
        <v>Jun</v>
      </c>
      <c r="R3819" s="1" t="str">
        <f aca="false">"Q"&amp;ROUNDUP(MONTH(B3819)/3,0)</f>
        <v>Q2</v>
      </c>
    </row>
    <row r="3820" customFormat="false" ht="15" hidden="false" customHeight="true" outlineLevel="0" collapsed="false">
      <c r="A3820" s="1" t="n">
        <v>13819</v>
      </c>
      <c r="B3820" s="14" t="n">
        <v>48380</v>
      </c>
      <c r="C3820" s="1" t="n">
        <v>1751</v>
      </c>
      <c r="D3820" s="1" t="s">
        <v>37</v>
      </c>
      <c r="E3820" s="1" t="s">
        <v>36</v>
      </c>
      <c r="F3820" s="1" t="n">
        <v>1</v>
      </c>
      <c r="G3820" s="15" t="n">
        <v>551.44</v>
      </c>
      <c r="H3820" s="16" t="n">
        <v>0.16</v>
      </c>
      <c r="I3820" s="1" t="s">
        <v>33</v>
      </c>
      <c r="J3820" s="1" t="n">
        <v>9</v>
      </c>
      <c r="K3820" s="1" t="n">
        <v>4</v>
      </c>
      <c r="L3820" s="15" t="n">
        <v>463.21</v>
      </c>
      <c r="M3820" s="15" t="n">
        <f aca="false">F3820*G3820</f>
        <v>551.44</v>
      </c>
      <c r="N3820" s="15" t="n">
        <f aca="false">M3820-L3820</f>
        <v>88.2300000000001</v>
      </c>
      <c r="O3820" s="1" t="n">
        <f aca="false">YEAR(B3820)</f>
        <v>2032</v>
      </c>
      <c r="P3820" s="1" t="n">
        <f aca="false">MONTH(B3820)</f>
        <v>6</v>
      </c>
      <c r="Q3820" s="1" t="str">
        <f aca="false">TEXT(B3820,"mmm")</f>
        <v>Jun</v>
      </c>
      <c r="R3820" s="1" t="str">
        <f aca="false">"Q"&amp;ROUNDUP(MONTH(B3820)/3,0)</f>
        <v>Q2</v>
      </c>
    </row>
    <row r="3821" customFormat="false" ht="15" hidden="false" customHeight="true" outlineLevel="0" collapsed="false">
      <c r="A3821" s="1" t="n">
        <v>13820</v>
      </c>
      <c r="B3821" s="14" t="n">
        <v>48381</v>
      </c>
      <c r="C3821" s="1" t="n">
        <v>1046</v>
      </c>
      <c r="D3821" s="1" t="s">
        <v>34</v>
      </c>
      <c r="E3821" s="1" t="s">
        <v>28</v>
      </c>
      <c r="F3821" s="1" t="n">
        <v>7</v>
      </c>
      <c r="G3821" s="15" t="n">
        <v>307.75</v>
      </c>
      <c r="H3821" s="16" t="n">
        <v>0.12</v>
      </c>
      <c r="I3821" s="1" t="s">
        <v>29</v>
      </c>
      <c r="J3821" s="1" t="n">
        <v>7</v>
      </c>
      <c r="K3821" s="1" t="n">
        <v>1.8</v>
      </c>
      <c r="L3821" s="15" t="n">
        <v>1895.74</v>
      </c>
      <c r="M3821" s="15" t="n">
        <f aca="false">F3821*G3821</f>
        <v>2154.25</v>
      </c>
      <c r="N3821" s="15" t="n">
        <f aca="false">M3821-L3821</f>
        <v>258.51</v>
      </c>
      <c r="O3821" s="1" t="n">
        <f aca="false">YEAR(B3821)</f>
        <v>2032</v>
      </c>
      <c r="P3821" s="1" t="n">
        <f aca="false">MONTH(B3821)</f>
        <v>6</v>
      </c>
      <c r="Q3821" s="1" t="str">
        <f aca="false">TEXT(B3821,"mmm")</f>
        <v>Jun</v>
      </c>
      <c r="R3821" s="1" t="str">
        <f aca="false">"Q"&amp;ROUNDUP(MONTH(B3821)/3,0)</f>
        <v>Q2</v>
      </c>
    </row>
    <row r="3822" customFormat="false" ht="15" hidden="false" customHeight="true" outlineLevel="0" collapsed="false">
      <c r="A3822" s="1" t="n">
        <v>13821</v>
      </c>
      <c r="B3822" s="14" t="n">
        <v>48382</v>
      </c>
      <c r="C3822" s="1" t="n">
        <v>1986</v>
      </c>
      <c r="D3822" s="1" t="s">
        <v>30</v>
      </c>
      <c r="E3822" s="1" t="s">
        <v>36</v>
      </c>
      <c r="F3822" s="1" t="n">
        <v>7</v>
      </c>
      <c r="G3822" s="15" t="n">
        <v>334.1</v>
      </c>
      <c r="H3822" s="16" t="n">
        <v>0.23</v>
      </c>
      <c r="I3822" s="1" t="s">
        <v>33</v>
      </c>
      <c r="J3822" s="1" t="n">
        <v>4</v>
      </c>
      <c r="K3822" s="1" t="n">
        <v>3.1</v>
      </c>
      <c r="L3822" s="15" t="n">
        <v>1800.8</v>
      </c>
      <c r="M3822" s="15" t="n">
        <f aca="false">F3822*G3822</f>
        <v>2338.7</v>
      </c>
      <c r="N3822" s="15" t="n">
        <f aca="false">M3822-L3822</f>
        <v>537.9</v>
      </c>
      <c r="O3822" s="1" t="n">
        <f aca="false">YEAR(B3822)</f>
        <v>2032</v>
      </c>
      <c r="P3822" s="1" t="n">
        <f aca="false">MONTH(B3822)</f>
        <v>6</v>
      </c>
      <c r="Q3822" s="1" t="str">
        <f aca="false">TEXT(B3822,"mmm")</f>
        <v>Jun</v>
      </c>
      <c r="R3822" s="1" t="str">
        <f aca="false">"Q"&amp;ROUNDUP(MONTH(B3822)/3,0)</f>
        <v>Q2</v>
      </c>
    </row>
    <row r="3823" customFormat="false" ht="15" hidden="false" customHeight="true" outlineLevel="0" collapsed="false">
      <c r="A3823" s="1" t="n">
        <v>13822</v>
      </c>
      <c r="B3823" s="14" t="n">
        <v>48383</v>
      </c>
      <c r="C3823" s="1" t="n">
        <v>1398</v>
      </c>
      <c r="D3823" s="1" t="s">
        <v>34</v>
      </c>
      <c r="E3823" s="1" t="s">
        <v>28</v>
      </c>
      <c r="F3823" s="1" t="n">
        <v>1</v>
      </c>
      <c r="G3823" s="15" t="n">
        <v>502.33</v>
      </c>
      <c r="H3823" s="16" t="n">
        <v>0.08</v>
      </c>
      <c r="I3823" s="1" t="s">
        <v>31</v>
      </c>
      <c r="J3823" s="1" t="n">
        <v>11</v>
      </c>
      <c r="K3823" s="1" t="n">
        <v>1</v>
      </c>
      <c r="L3823" s="15" t="n">
        <v>462.14</v>
      </c>
      <c r="M3823" s="15" t="n">
        <f aca="false">F3823*G3823</f>
        <v>502.33</v>
      </c>
      <c r="N3823" s="15" t="n">
        <f aca="false">M3823-L3823</f>
        <v>40.19</v>
      </c>
      <c r="O3823" s="1" t="n">
        <f aca="false">YEAR(B3823)</f>
        <v>2032</v>
      </c>
      <c r="P3823" s="1" t="n">
        <f aca="false">MONTH(B3823)</f>
        <v>6</v>
      </c>
      <c r="Q3823" s="1" t="str">
        <f aca="false">TEXT(B3823,"mmm")</f>
        <v>Jun</v>
      </c>
      <c r="R3823" s="1" t="str">
        <f aca="false">"Q"&amp;ROUNDUP(MONTH(B3823)/3,0)</f>
        <v>Q2</v>
      </c>
    </row>
    <row r="3824" customFormat="false" ht="15" hidden="false" customHeight="true" outlineLevel="0" collapsed="false">
      <c r="A3824" s="1" t="n">
        <v>13823</v>
      </c>
      <c r="B3824" s="14" t="n">
        <v>48384</v>
      </c>
      <c r="C3824" s="1" t="n">
        <v>1709</v>
      </c>
      <c r="D3824" s="1" t="s">
        <v>30</v>
      </c>
      <c r="E3824" s="1" t="s">
        <v>32</v>
      </c>
      <c r="F3824" s="1" t="n">
        <v>3</v>
      </c>
      <c r="G3824" s="15" t="n">
        <v>329.51</v>
      </c>
      <c r="H3824" s="16" t="n">
        <v>0.04</v>
      </c>
      <c r="I3824" s="1" t="s">
        <v>33</v>
      </c>
      <c r="J3824" s="1" t="n">
        <v>8</v>
      </c>
      <c r="K3824" s="1" t="n">
        <v>1.1</v>
      </c>
      <c r="L3824" s="15" t="n">
        <v>948.99</v>
      </c>
      <c r="M3824" s="15" t="n">
        <f aca="false">F3824*G3824</f>
        <v>988.53</v>
      </c>
      <c r="N3824" s="15" t="n">
        <f aca="false">M3824-L3824</f>
        <v>39.54</v>
      </c>
      <c r="O3824" s="1" t="n">
        <f aca="false">YEAR(B3824)</f>
        <v>2032</v>
      </c>
      <c r="P3824" s="1" t="n">
        <f aca="false">MONTH(B3824)</f>
        <v>6</v>
      </c>
      <c r="Q3824" s="1" t="str">
        <f aca="false">TEXT(B3824,"mmm")</f>
        <v>Jun</v>
      </c>
      <c r="R3824" s="1" t="str">
        <f aca="false">"Q"&amp;ROUNDUP(MONTH(B3824)/3,0)</f>
        <v>Q2</v>
      </c>
    </row>
    <row r="3825" customFormat="false" ht="15" hidden="false" customHeight="true" outlineLevel="0" collapsed="false">
      <c r="A3825" s="1" t="n">
        <v>13824</v>
      </c>
      <c r="B3825" s="14" t="n">
        <v>48385</v>
      </c>
      <c r="C3825" s="1" t="n">
        <v>1558</v>
      </c>
      <c r="D3825" s="1" t="s">
        <v>37</v>
      </c>
      <c r="E3825" s="1" t="s">
        <v>32</v>
      </c>
      <c r="F3825" s="1" t="n">
        <v>7</v>
      </c>
      <c r="G3825" s="15" t="n">
        <v>317.36</v>
      </c>
      <c r="H3825" s="16" t="n">
        <v>0.01</v>
      </c>
      <c r="I3825" s="1" t="s">
        <v>33</v>
      </c>
      <c r="J3825" s="1" t="n">
        <v>11</v>
      </c>
      <c r="K3825" s="1" t="n">
        <v>2.3</v>
      </c>
      <c r="L3825" s="15" t="n">
        <v>2199.3</v>
      </c>
      <c r="M3825" s="15" t="n">
        <f aca="false">F3825*G3825</f>
        <v>2221.52</v>
      </c>
      <c r="N3825" s="15" t="n">
        <f aca="false">M3825-L3825</f>
        <v>22.2199999999998</v>
      </c>
      <c r="O3825" s="1" t="n">
        <f aca="false">YEAR(B3825)</f>
        <v>2032</v>
      </c>
      <c r="P3825" s="1" t="n">
        <f aca="false">MONTH(B3825)</f>
        <v>6</v>
      </c>
      <c r="Q3825" s="1" t="str">
        <f aca="false">TEXT(B3825,"mmm")</f>
        <v>Jun</v>
      </c>
      <c r="R3825" s="1" t="str">
        <f aca="false">"Q"&amp;ROUNDUP(MONTH(B3825)/3,0)</f>
        <v>Q2</v>
      </c>
    </row>
    <row r="3826" customFormat="false" ht="15" hidden="false" customHeight="true" outlineLevel="0" collapsed="false">
      <c r="A3826" s="1" t="n">
        <v>13825</v>
      </c>
      <c r="B3826" s="14" t="n">
        <v>48386</v>
      </c>
      <c r="C3826" s="1" t="n">
        <v>1077</v>
      </c>
      <c r="D3826" s="1" t="s">
        <v>37</v>
      </c>
      <c r="E3826" s="1" t="s">
        <v>35</v>
      </c>
      <c r="F3826" s="1" t="n">
        <v>1</v>
      </c>
      <c r="G3826" s="15" t="n">
        <v>544.47</v>
      </c>
      <c r="H3826" s="16" t="n">
        <v>0.1</v>
      </c>
      <c r="I3826" s="1" t="s">
        <v>31</v>
      </c>
      <c r="J3826" s="1" t="n">
        <v>11</v>
      </c>
      <c r="K3826" s="1" t="n">
        <v>2.9</v>
      </c>
      <c r="L3826" s="15" t="n">
        <v>490.02</v>
      </c>
      <c r="M3826" s="15" t="n">
        <f aca="false">F3826*G3826</f>
        <v>544.47</v>
      </c>
      <c r="N3826" s="15" t="n">
        <f aca="false">M3826-L3826</f>
        <v>54.45</v>
      </c>
      <c r="O3826" s="1" t="n">
        <f aca="false">YEAR(B3826)</f>
        <v>2032</v>
      </c>
      <c r="P3826" s="1" t="n">
        <f aca="false">MONTH(B3826)</f>
        <v>6</v>
      </c>
      <c r="Q3826" s="1" t="str">
        <f aca="false">TEXT(B3826,"mmm")</f>
        <v>Jun</v>
      </c>
      <c r="R3826" s="1" t="str">
        <f aca="false">"Q"&amp;ROUNDUP(MONTH(B3826)/3,0)</f>
        <v>Q2</v>
      </c>
    </row>
    <row r="3827" customFormat="false" ht="15" hidden="false" customHeight="true" outlineLevel="0" collapsed="false">
      <c r="A3827" s="1" t="n">
        <v>13826</v>
      </c>
      <c r="B3827" s="14" t="n">
        <v>48387</v>
      </c>
      <c r="C3827" s="1" t="n">
        <v>1123</v>
      </c>
      <c r="D3827" s="1" t="s">
        <v>27</v>
      </c>
      <c r="E3827" s="1" t="s">
        <v>35</v>
      </c>
      <c r="F3827" s="1" t="n">
        <v>3</v>
      </c>
      <c r="G3827" s="15" t="n">
        <v>477.11</v>
      </c>
      <c r="H3827" s="16" t="n">
        <v>0.14</v>
      </c>
      <c r="I3827" s="1" t="s">
        <v>33</v>
      </c>
      <c r="J3827" s="1" t="n">
        <v>4</v>
      </c>
      <c r="K3827" s="1" t="n">
        <v>3.3</v>
      </c>
      <c r="L3827" s="15" t="n">
        <v>1230.94</v>
      </c>
      <c r="M3827" s="15" t="n">
        <f aca="false">F3827*G3827</f>
        <v>1431.33</v>
      </c>
      <c r="N3827" s="15" t="n">
        <f aca="false">M3827-L3827</f>
        <v>200.39</v>
      </c>
      <c r="O3827" s="1" t="n">
        <f aca="false">YEAR(B3827)</f>
        <v>2032</v>
      </c>
      <c r="P3827" s="1" t="n">
        <f aca="false">MONTH(B3827)</f>
        <v>6</v>
      </c>
      <c r="Q3827" s="1" t="str">
        <f aca="false">TEXT(B3827,"mmm")</f>
        <v>Jun</v>
      </c>
      <c r="R3827" s="1" t="str">
        <f aca="false">"Q"&amp;ROUNDUP(MONTH(B3827)/3,0)</f>
        <v>Q2</v>
      </c>
    </row>
    <row r="3828" customFormat="false" ht="15" hidden="false" customHeight="true" outlineLevel="0" collapsed="false">
      <c r="A3828" s="1" t="n">
        <v>13827</v>
      </c>
      <c r="B3828" s="14" t="n">
        <v>48388</v>
      </c>
      <c r="C3828" s="1" t="n">
        <v>1074</v>
      </c>
      <c r="D3828" s="1" t="s">
        <v>34</v>
      </c>
      <c r="E3828" s="1" t="s">
        <v>28</v>
      </c>
      <c r="F3828" s="1" t="n">
        <v>1</v>
      </c>
      <c r="G3828" s="15" t="n">
        <v>546.81</v>
      </c>
      <c r="H3828" s="16" t="n">
        <v>0.19</v>
      </c>
      <c r="I3828" s="1" t="s">
        <v>33</v>
      </c>
      <c r="J3828" s="1" t="n">
        <v>1</v>
      </c>
      <c r="K3828" s="1" t="n">
        <v>4.6</v>
      </c>
      <c r="L3828" s="15" t="n">
        <v>442.92</v>
      </c>
      <c r="M3828" s="15" t="n">
        <f aca="false">F3828*G3828</f>
        <v>546.81</v>
      </c>
      <c r="N3828" s="15" t="n">
        <f aca="false">M3828-L3828</f>
        <v>103.89</v>
      </c>
      <c r="O3828" s="1" t="n">
        <f aca="false">YEAR(B3828)</f>
        <v>2032</v>
      </c>
      <c r="P3828" s="1" t="n">
        <f aca="false">MONTH(B3828)</f>
        <v>6</v>
      </c>
      <c r="Q3828" s="1" t="str">
        <f aca="false">TEXT(B3828,"mmm")</f>
        <v>Jun</v>
      </c>
      <c r="R3828" s="1" t="str">
        <f aca="false">"Q"&amp;ROUNDUP(MONTH(B3828)/3,0)</f>
        <v>Q2</v>
      </c>
    </row>
    <row r="3829" customFormat="false" ht="15" hidden="false" customHeight="true" outlineLevel="0" collapsed="false">
      <c r="A3829" s="1" t="n">
        <v>13828</v>
      </c>
      <c r="B3829" s="14" t="n">
        <v>48389</v>
      </c>
      <c r="C3829" s="1" t="n">
        <v>1870</v>
      </c>
      <c r="D3829" s="1" t="s">
        <v>30</v>
      </c>
      <c r="E3829" s="1" t="s">
        <v>36</v>
      </c>
      <c r="F3829" s="1" t="n">
        <v>1</v>
      </c>
      <c r="G3829" s="15" t="n">
        <v>142.67</v>
      </c>
      <c r="H3829" s="16" t="n">
        <v>0.1</v>
      </c>
      <c r="I3829" s="1" t="s">
        <v>33</v>
      </c>
      <c r="J3829" s="1" t="n">
        <v>10</v>
      </c>
      <c r="K3829" s="1" t="n">
        <v>4.1</v>
      </c>
      <c r="L3829" s="15" t="n">
        <v>128.4</v>
      </c>
      <c r="M3829" s="15" t="n">
        <f aca="false">F3829*G3829</f>
        <v>142.67</v>
      </c>
      <c r="N3829" s="15" t="n">
        <f aca="false">M3829-L3829</f>
        <v>14.27</v>
      </c>
      <c r="O3829" s="1" t="n">
        <f aca="false">YEAR(B3829)</f>
        <v>2032</v>
      </c>
      <c r="P3829" s="1" t="n">
        <f aca="false">MONTH(B3829)</f>
        <v>6</v>
      </c>
      <c r="Q3829" s="1" t="str">
        <f aca="false">TEXT(B3829,"mmm")</f>
        <v>Jun</v>
      </c>
      <c r="R3829" s="1" t="str">
        <f aca="false">"Q"&amp;ROUNDUP(MONTH(B3829)/3,0)</f>
        <v>Q2</v>
      </c>
    </row>
    <row r="3830" customFormat="false" ht="15" hidden="false" customHeight="true" outlineLevel="0" collapsed="false">
      <c r="A3830" s="1" t="n">
        <v>13829</v>
      </c>
      <c r="B3830" s="14" t="n">
        <v>48390</v>
      </c>
      <c r="C3830" s="1" t="n">
        <v>1136</v>
      </c>
      <c r="D3830" s="1" t="s">
        <v>34</v>
      </c>
      <c r="E3830" s="1" t="s">
        <v>36</v>
      </c>
      <c r="F3830" s="1" t="n">
        <v>7</v>
      </c>
      <c r="G3830" s="15" t="n">
        <v>321.76</v>
      </c>
      <c r="H3830" s="16" t="n">
        <v>0.34</v>
      </c>
      <c r="I3830" s="1" t="s">
        <v>33</v>
      </c>
      <c r="J3830" s="1" t="n">
        <v>3</v>
      </c>
      <c r="K3830" s="1" t="n">
        <v>2.2</v>
      </c>
      <c r="L3830" s="15" t="n">
        <v>1486.53</v>
      </c>
      <c r="M3830" s="15" t="n">
        <f aca="false">F3830*G3830</f>
        <v>2252.32</v>
      </c>
      <c r="N3830" s="15" t="n">
        <f aca="false">M3830-L3830</f>
        <v>765.79</v>
      </c>
      <c r="O3830" s="1" t="n">
        <f aca="false">YEAR(B3830)</f>
        <v>2032</v>
      </c>
      <c r="P3830" s="1" t="n">
        <f aca="false">MONTH(B3830)</f>
        <v>6</v>
      </c>
      <c r="Q3830" s="1" t="str">
        <f aca="false">TEXT(B3830,"mmm")</f>
        <v>Jun</v>
      </c>
      <c r="R3830" s="1" t="str">
        <f aca="false">"Q"&amp;ROUNDUP(MONTH(B3830)/3,0)</f>
        <v>Q2</v>
      </c>
    </row>
    <row r="3831" customFormat="false" ht="15" hidden="false" customHeight="true" outlineLevel="0" collapsed="false">
      <c r="A3831" s="1" t="n">
        <v>13830</v>
      </c>
      <c r="B3831" s="14" t="n">
        <v>48391</v>
      </c>
      <c r="C3831" s="1" t="n">
        <v>1601</v>
      </c>
      <c r="D3831" s="1" t="s">
        <v>30</v>
      </c>
      <c r="E3831" s="1" t="s">
        <v>35</v>
      </c>
      <c r="F3831" s="1" t="n">
        <v>5</v>
      </c>
      <c r="G3831" s="15" t="n">
        <v>507.85</v>
      </c>
      <c r="H3831" s="16" t="n">
        <v>0.1</v>
      </c>
      <c r="I3831" s="1" t="s">
        <v>33</v>
      </c>
      <c r="J3831" s="1" t="n">
        <v>10</v>
      </c>
      <c r="K3831" s="1" t="n">
        <v>4</v>
      </c>
      <c r="L3831" s="15" t="n">
        <v>2285.33</v>
      </c>
      <c r="M3831" s="15" t="n">
        <f aca="false">F3831*G3831</f>
        <v>2539.25</v>
      </c>
      <c r="N3831" s="15" t="n">
        <f aca="false">M3831-L3831</f>
        <v>253.92</v>
      </c>
      <c r="O3831" s="1" t="n">
        <f aca="false">YEAR(B3831)</f>
        <v>2032</v>
      </c>
      <c r="P3831" s="1" t="n">
        <f aca="false">MONTH(B3831)</f>
        <v>6</v>
      </c>
      <c r="Q3831" s="1" t="str">
        <f aca="false">TEXT(B3831,"mmm")</f>
        <v>Jun</v>
      </c>
      <c r="R3831" s="1" t="str">
        <f aca="false">"Q"&amp;ROUNDUP(MONTH(B3831)/3,0)</f>
        <v>Q2</v>
      </c>
    </row>
    <row r="3832" customFormat="false" ht="15" hidden="false" customHeight="true" outlineLevel="0" collapsed="false">
      <c r="A3832" s="1" t="n">
        <v>13831</v>
      </c>
      <c r="B3832" s="14" t="n">
        <v>48392</v>
      </c>
      <c r="C3832" s="1" t="n">
        <v>1399</v>
      </c>
      <c r="D3832" s="1" t="s">
        <v>27</v>
      </c>
      <c r="E3832" s="1" t="s">
        <v>32</v>
      </c>
      <c r="F3832" s="1" t="n">
        <v>5</v>
      </c>
      <c r="G3832" s="15" t="n">
        <v>80.02</v>
      </c>
      <c r="H3832" s="16" t="n">
        <v>0.15</v>
      </c>
      <c r="I3832" s="1" t="s">
        <v>29</v>
      </c>
      <c r="J3832" s="1" t="n">
        <v>1</v>
      </c>
      <c r="K3832" s="1" t="n">
        <v>3.2</v>
      </c>
      <c r="L3832" s="15" t="n">
        <v>340.08</v>
      </c>
      <c r="M3832" s="15" t="n">
        <f aca="false">F3832*G3832</f>
        <v>400.1</v>
      </c>
      <c r="N3832" s="15" t="n">
        <f aca="false">M3832-L3832</f>
        <v>60.02</v>
      </c>
      <c r="O3832" s="1" t="n">
        <f aca="false">YEAR(B3832)</f>
        <v>2032</v>
      </c>
      <c r="P3832" s="1" t="n">
        <f aca="false">MONTH(B3832)</f>
        <v>6</v>
      </c>
      <c r="Q3832" s="1" t="str">
        <f aca="false">TEXT(B3832,"mmm")</f>
        <v>Jun</v>
      </c>
      <c r="R3832" s="1" t="str">
        <f aca="false">"Q"&amp;ROUNDUP(MONTH(B3832)/3,0)</f>
        <v>Q2</v>
      </c>
    </row>
    <row r="3833" customFormat="false" ht="15" hidden="false" customHeight="true" outlineLevel="0" collapsed="false">
      <c r="A3833" s="1" t="n">
        <v>13832</v>
      </c>
      <c r="B3833" s="14" t="n">
        <v>48393</v>
      </c>
      <c r="C3833" s="1" t="n">
        <v>1836</v>
      </c>
      <c r="D3833" s="1" t="s">
        <v>37</v>
      </c>
      <c r="E3833" s="1" t="s">
        <v>28</v>
      </c>
      <c r="F3833" s="1" t="n">
        <v>6</v>
      </c>
      <c r="G3833" s="15" t="n">
        <v>479.88</v>
      </c>
      <c r="H3833" s="16" t="n">
        <v>0.04</v>
      </c>
      <c r="I3833" s="1" t="s">
        <v>31</v>
      </c>
      <c r="J3833" s="1" t="n">
        <v>2</v>
      </c>
      <c r="K3833" s="1" t="n">
        <v>4.1</v>
      </c>
      <c r="L3833" s="15" t="n">
        <v>2764.11</v>
      </c>
      <c r="M3833" s="15" t="n">
        <f aca="false">F3833*G3833</f>
        <v>2879.28</v>
      </c>
      <c r="N3833" s="15" t="n">
        <f aca="false">M3833-L3833</f>
        <v>115.17</v>
      </c>
      <c r="O3833" s="1" t="n">
        <f aca="false">YEAR(B3833)</f>
        <v>2032</v>
      </c>
      <c r="P3833" s="1" t="n">
        <f aca="false">MONTH(B3833)</f>
        <v>6</v>
      </c>
      <c r="Q3833" s="1" t="str">
        <f aca="false">TEXT(B3833,"mmm")</f>
        <v>Jun</v>
      </c>
      <c r="R3833" s="1" t="str">
        <f aca="false">"Q"&amp;ROUNDUP(MONTH(B3833)/3,0)</f>
        <v>Q2</v>
      </c>
    </row>
    <row r="3834" customFormat="false" ht="15" hidden="false" customHeight="true" outlineLevel="0" collapsed="false">
      <c r="A3834" s="1" t="n">
        <v>13833</v>
      </c>
      <c r="B3834" s="14" t="n">
        <v>48394</v>
      </c>
      <c r="C3834" s="1" t="n">
        <v>1504</v>
      </c>
      <c r="D3834" s="1" t="s">
        <v>27</v>
      </c>
      <c r="E3834" s="1" t="s">
        <v>32</v>
      </c>
      <c r="F3834" s="1" t="n">
        <v>1</v>
      </c>
      <c r="G3834" s="15" t="n">
        <v>122.04</v>
      </c>
      <c r="H3834" s="16" t="n">
        <v>0.09</v>
      </c>
      <c r="I3834" s="1" t="s">
        <v>31</v>
      </c>
      <c r="J3834" s="1" t="n">
        <v>2</v>
      </c>
      <c r="K3834" s="1" t="n">
        <v>2.6</v>
      </c>
      <c r="L3834" s="15" t="n">
        <v>111.06</v>
      </c>
      <c r="M3834" s="15" t="n">
        <f aca="false">F3834*G3834</f>
        <v>122.04</v>
      </c>
      <c r="N3834" s="15" t="n">
        <f aca="false">M3834-L3834</f>
        <v>10.98</v>
      </c>
      <c r="O3834" s="1" t="n">
        <f aca="false">YEAR(B3834)</f>
        <v>2032</v>
      </c>
      <c r="P3834" s="1" t="n">
        <f aca="false">MONTH(B3834)</f>
        <v>6</v>
      </c>
      <c r="Q3834" s="1" t="str">
        <f aca="false">TEXT(B3834,"mmm")</f>
        <v>Jun</v>
      </c>
      <c r="R3834" s="1" t="str">
        <f aca="false">"Q"&amp;ROUNDUP(MONTH(B3834)/3,0)</f>
        <v>Q2</v>
      </c>
    </row>
    <row r="3835" customFormat="false" ht="15" hidden="false" customHeight="true" outlineLevel="0" collapsed="false">
      <c r="A3835" s="1" t="n">
        <v>13834</v>
      </c>
      <c r="B3835" s="14" t="n">
        <v>48395</v>
      </c>
      <c r="C3835" s="1" t="n">
        <v>1499</v>
      </c>
      <c r="D3835" s="1" t="s">
        <v>34</v>
      </c>
      <c r="E3835" s="1" t="s">
        <v>32</v>
      </c>
      <c r="F3835" s="1" t="n">
        <v>6</v>
      </c>
      <c r="G3835" s="15" t="n">
        <v>487.75</v>
      </c>
      <c r="H3835" s="16" t="n">
        <v>0.02</v>
      </c>
      <c r="I3835" s="1" t="s">
        <v>31</v>
      </c>
      <c r="J3835" s="1" t="n">
        <v>7</v>
      </c>
      <c r="K3835" s="1" t="n">
        <v>1.4</v>
      </c>
      <c r="L3835" s="15" t="n">
        <v>2867.97</v>
      </c>
      <c r="M3835" s="15" t="n">
        <f aca="false">F3835*G3835</f>
        <v>2926.5</v>
      </c>
      <c r="N3835" s="15" t="n">
        <f aca="false">M3835-L3835</f>
        <v>58.5300000000002</v>
      </c>
      <c r="O3835" s="1" t="n">
        <f aca="false">YEAR(B3835)</f>
        <v>2032</v>
      </c>
      <c r="P3835" s="1" t="n">
        <f aca="false">MONTH(B3835)</f>
        <v>6</v>
      </c>
      <c r="Q3835" s="1" t="str">
        <f aca="false">TEXT(B3835,"mmm")</f>
        <v>Jun</v>
      </c>
      <c r="R3835" s="1" t="str">
        <f aca="false">"Q"&amp;ROUNDUP(MONTH(B3835)/3,0)</f>
        <v>Q2</v>
      </c>
    </row>
    <row r="3836" customFormat="false" ht="15" hidden="false" customHeight="true" outlineLevel="0" collapsed="false">
      <c r="A3836" s="1" t="n">
        <v>13835</v>
      </c>
      <c r="B3836" s="14" t="n">
        <v>48396</v>
      </c>
      <c r="C3836" s="1" t="n">
        <v>1572</v>
      </c>
      <c r="D3836" s="1" t="s">
        <v>27</v>
      </c>
      <c r="E3836" s="1" t="s">
        <v>36</v>
      </c>
      <c r="F3836" s="1" t="n">
        <v>6</v>
      </c>
      <c r="G3836" s="15" t="n">
        <v>373.02</v>
      </c>
      <c r="H3836" s="16" t="n">
        <v>0.2</v>
      </c>
      <c r="I3836" s="1" t="s">
        <v>33</v>
      </c>
      <c r="J3836" s="1" t="n">
        <v>4</v>
      </c>
      <c r="K3836" s="1" t="n">
        <v>3.5</v>
      </c>
      <c r="L3836" s="15" t="n">
        <v>1790.5</v>
      </c>
      <c r="M3836" s="15" t="n">
        <f aca="false">F3836*G3836</f>
        <v>2238.12</v>
      </c>
      <c r="N3836" s="15" t="n">
        <f aca="false">M3836-L3836</f>
        <v>447.62</v>
      </c>
      <c r="O3836" s="1" t="n">
        <f aca="false">YEAR(B3836)</f>
        <v>2032</v>
      </c>
      <c r="P3836" s="1" t="n">
        <f aca="false">MONTH(B3836)</f>
        <v>7</v>
      </c>
      <c r="Q3836" s="1" t="str">
        <f aca="false">TEXT(B3836,"mmm")</f>
        <v>Jul</v>
      </c>
      <c r="R3836" s="1" t="str">
        <f aca="false">"Q"&amp;ROUNDUP(MONTH(B3836)/3,0)</f>
        <v>Q3</v>
      </c>
    </row>
    <row r="3837" customFormat="false" ht="15" hidden="false" customHeight="true" outlineLevel="0" collapsed="false">
      <c r="A3837" s="1" t="n">
        <v>13836</v>
      </c>
      <c r="B3837" s="14" t="n">
        <v>48397</v>
      </c>
      <c r="C3837" s="1" t="n">
        <v>1137</v>
      </c>
      <c r="D3837" s="1" t="s">
        <v>34</v>
      </c>
      <c r="E3837" s="1" t="s">
        <v>28</v>
      </c>
      <c r="F3837" s="1" t="n">
        <v>6</v>
      </c>
      <c r="G3837" s="15" t="n">
        <v>128.04</v>
      </c>
      <c r="H3837" s="16" t="n">
        <v>0.26</v>
      </c>
      <c r="I3837" s="1" t="s">
        <v>31</v>
      </c>
      <c r="J3837" s="1" t="n">
        <v>10</v>
      </c>
      <c r="K3837" s="1" t="n">
        <v>3.2</v>
      </c>
      <c r="L3837" s="15" t="n">
        <v>568.5</v>
      </c>
      <c r="M3837" s="15" t="n">
        <f aca="false">F3837*G3837</f>
        <v>768.24</v>
      </c>
      <c r="N3837" s="15" t="n">
        <f aca="false">M3837-L3837</f>
        <v>199.74</v>
      </c>
      <c r="O3837" s="1" t="n">
        <f aca="false">YEAR(B3837)</f>
        <v>2032</v>
      </c>
      <c r="P3837" s="1" t="n">
        <f aca="false">MONTH(B3837)</f>
        <v>7</v>
      </c>
      <c r="Q3837" s="1" t="str">
        <f aca="false">TEXT(B3837,"mmm")</f>
        <v>Jul</v>
      </c>
      <c r="R3837" s="1" t="str">
        <f aca="false">"Q"&amp;ROUNDUP(MONTH(B3837)/3,0)</f>
        <v>Q3</v>
      </c>
    </row>
    <row r="3838" customFormat="false" ht="15" hidden="false" customHeight="true" outlineLevel="0" collapsed="false">
      <c r="A3838" s="1" t="n">
        <v>13837</v>
      </c>
      <c r="B3838" s="14" t="n">
        <v>48398</v>
      </c>
      <c r="C3838" s="1" t="n">
        <v>1049</v>
      </c>
      <c r="D3838" s="1" t="s">
        <v>27</v>
      </c>
      <c r="E3838" s="1" t="s">
        <v>32</v>
      </c>
      <c r="F3838" s="1" t="n">
        <v>6</v>
      </c>
      <c r="G3838" s="15" t="n">
        <v>291.91</v>
      </c>
      <c r="H3838" s="16" t="n">
        <v>0.07</v>
      </c>
      <c r="I3838" s="1" t="s">
        <v>31</v>
      </c>
      <c r="J3838" s="1" t="n">
        <v>9</v>
      </c>
      <c r="K3838" s="1" t="n">
        <v>4.8</v>
      </c>
      <c r="L3838" s="15" t="n">
        <v>1628.86</v>
      </c>
      <c r="M3838" s="15" t="n">
        <f aca="false">F3838*G3838</f>
        <v>1751.46</v>
      </c>
      <c r="N3838" s="15" t="n">
        <f aca="false">M3838-L3838</f>
        <v>122.6</v>
      </c>
      <c r="O3838" s="1" t="n">
        <f aca="false">YEAR(B3838)</f>
        <v>2032</v>
      </c>
      <c r="P3838" s="1" t="n">
        <f aca="false">MONTH(B3838)</f>
        <v>7</v>
      </c>
      <c r="Q3838" s="1" t="str">
        <f aca="false">TEXT(B3838,"mmm")</f>
        <v>Jul</v>
      </c>
      <c r="R3838" s="1" t="str">
        <f aca="false">"Q"&amp;ROUNDUP(MONTH(B3838)/3,0)</f>
        <v>Q3</v>
      </c>
    </row>
    <row r="3839" customFormat="false" ht="15" hidden="false" customHeight="true" outlineLevel="0" collapsed="false">
      <c r="A3839" s="1" t="n">
        <v>13838</v>
      </c>
      <c r="B3839" s="14" t="n">
        <v>48399</v>
      </c>
      <c r="C3839" s="1" t="n">
        <v>1770</v>
      </c>
      <c r="D3839" s="1" t="s">
        <v>34</v>
      </c>
      <c r="E3839" s="1" t="s">
        <v>35</v>
      </c>
      <c r="F3839" s="1" t="n">
        <v>4</v>
      </c>
      <c r="G3839" s="15" t="n">
        <v>413.91</v>
      </c>
      <c r="H3839" s="16" t="n">
        <v>0.13</v>
      </c>
      <c r="I3839" s="1" t="s">
        <v>33</v>
      </c>
      <c r="J3839" s="1" t="n">
        <v>2</v>
      </c>
      <c r="K3839" s="1" t="n">
        <v>1.6</v>
      </c>
      <c r="L3839" s="15" t="n">
        <v>1440.41</v>
      </c>
      <c r="M3839" s="15" t="n">
        <f aca="false">F3839*G3839</f>
        <v>1655.64</v>
      </c>
      <c r="N3839" s="15" t="n">
        <f aca="false">M3839-L3839</f>
        <v>215.23</v>
      </c>
      <c r="O3839" s="1" t="n">
        <f aca="false">YEAR(B3839)</f>
        <v>2032</v>
      </c>
      <c r="P3839" s="1" t="n">
        <f aca="false">MONTH(B3839)</f>
        <v>7</v>
      </c>
      <c r="Q3839" s="1" t="str">
        <f aca="false">TEXT(B3839,"mmm")</f>
        <v>Jul</v>
      </c>
      <c r="R3839" s="1" t="str">
        <f aca="false">"Q"&amp;ROUNDUP(MONTH(B3839)/3,0)</f>
        <v>Q3</v>
      </c>
    </row>
    <row r="3840" customFormat="false" ht="15" hidden="false" customHeight="true" outlineLevel="0" collapsed="false">
      <c r="A3840" s="1" t="n">
        <v>13839</v>
      </c>
      <c r="B3840" s="14" t="n">
        <v>48400</v>
      </c>
      <c r="C3840" s="1" t="n">
        <v>1972</v>
      </c>
      <c r="D3840" s="1" t="s">
        <v>34</v>
      </c>
      <c r="E3840" s="1" t="s">
        <v>35</v>
      </c>
      <c r="F3840" s="1" t="n">
        <v>7</v>
      </c>
      <c r="G3840" s="15" t="n">
        <v>385.8</v>
      </c>
      <c r="H3840" s="16" t="n">
        <v>0.01</v>
      </c>
      <c r="I3840" s="1" t="s">
        <v>31</v>
      </c>
      <c r="J3840" s="1" t="n">
        <v>9</v>
      </c>
      <c r="K3840" s="1" t="n">
        <v>3.6</v>
      </c>
      <c r="L3840" s="15" t="n">
        <v>2673.59</v>
      </c>
      <c r="M3840" s="15" t="n">
        <f aca="false">F3840*G3840</f>
        <v>2700.6</v>
      </c>
      <c r="N3840" s="15" t="n">
        <f aca="false">M3840-L3840</f>
        <v>27.0099999999998</v>
      </c>
      <c r="O3840" s="1" t="n">
        <f aca="false">YEAR(B3840)</f>
        <v>2032</v>
      </c>
      <c r="P3840" s="1" t="n">
        <f aca="false">MONTH(B3840)</f>
        <v>7</v>
      </c>
      <c r="Q3840" s="1" t="str">
        <f aca="false">TEXT(B3840,"mmm")</f>
        <v>Jul</v>
      </c>
      <c r="R3840" s="1" t="str">
        <f aca="false">"Q"&amp;ROUNDUP(MONTH(B3840)/3,0)</f>
        <v>Q3</v>
      </c>
    </row>
    <row r="3841" customFormat="false" ht="15" hidden="false" customHeight="true" outlineLevel="0" collapsed="false">
      <c r="A3841" s="1" t="n">
        <v>13840</v>
      </c>
      <c r="B3841" s="14" t="n">
        <v>48401</v>
      </c>
      <c r="C3841" s="1" t="n">
        <v>1618</v>
      </c>
      <c r="D3841" s="1" t="s">
        <v>30</v>
      </c>
      <c r="E3841" s="1" t="s">
        <v>36</v>
      </c>
      <c r="F3841" s="1" t="n">
        <v>7</v>
      </c>
      <c r="G3841" s="15" t="n">
        <v>264.94</v>
      </c>
      <c r="H3841" s="16" t="n">
        <v>0.29</v>
      </c>
      <c r="I3841" s="1" t="s">
        <v>33</v>
      </c>
      <c r="J3841" s="1" t="n">
        <v>6</v>
      </c>
      <c r="K3841" s="1" t="n">
        <v>2.9</v>
      </c>
      <c r="L3841" s="15" t="n">
        <v>1316.75</v>
      </c>
      <c r="M3841" s="15" t="n">
        <f aca="false">F3841*G3841</f>
        <v>1854.58</v>
      </c>
      <c r="N3841" s="15" t="n">
        <f aca="false">M3841-L3841</f>
        <v>537.83</v>
      </c>
      <c r="O3841" s="1" t="n">
        <f aca="false">YEAR(B3841)</f>
        <v>2032</v>
      </c>
      <c r="P3841" s="1" t="n">
        <f aca="false">MONTH(B3841)</f>
        <v>7</v>
      </c>
      <c r="Q3841" s="1" t="str">
        <f aca="false">TEXT(B3841,"mmm")</f>
        <v>Jul</v>
      </c>
      <c r="R3841" s="1" t="str">
        <f aca="false">"Q"&amp;ROUNDUP(MONTH(B3841)/3,0)</f>
        <v>Q3</v>
      </c>
    </row>
    <row r="3842" customFormat="false" ht="15" hidden="false" customHeight="true" outlineLevel="0" collapsed="false">
      <c r="A3842" s="1" t="n">
        <v>13841</v>
      </c>
      <c r="B3842" s="14" t="n">
        <v>48402</v>
      </c>
      <c r="C3842" s="1" t="n">
        <v>1624</v>
      </c>
      <c r="D3842" s="1" t="s">
        <v>27</v>
      </c>
      <c r="E3842" s="1" t="s">
        <v>35</v>
      </c>
      <c r="F3842" s="1" t="n">
        <v>4</v>
      </c>
      <c r="G3842" s="15" t="n">
        <v>541.13</v>
      </c>
      <c r="H3842" s="16" t="n">
        <v>0.27</v>
      </c>
      <c r="I3842" s="1" t="s">
        <v>33</v>
      </c>
      <c r="J3842" s="1" t="n">
        <v>10</v>
      </c>
      <c r="K3842" s="1" t="n">
        <v>2.5</v>
      </c>
      <c r="L3842" s="15" t="n">
        <v>1580.1</v>
      </c>
      <c r="M3842" s="15" t="n">
        <f aca="false">F3842*G3842</f>
        <v>2164.52</v>
      </c>
      <c r="N3842" s="15" t="n">
        <f aca="false">M3842-L3842</f>
        <v>584.42</v>
      </c>
      <c r="O3842" s="1" t="n">
        <f aca="false">YEAR(B3842)</f>
        <v>2032</v>
      </c>
      <c r="P3842" s="1" t="n">
        <f aca="false">MONTH(B3842)</f>
        <v>7</v>
      </c>
      <c r="Q3842" s="1" t="str">
        <f aca="false">TEXT(B3842,"mmm")</f>
        <v>Jul</v>
      </c>
      <c r="R3842" s="1" t="str">
        <f aca="false">"Q"&amp;ROUNDUP(MONTH(B3842)/3,0)</f>
        <v>Q3</v>
      </c>
    </row>
    <row r="3843" customFormat="false" ht="15" hidden="false" customHeight="true" outlineLevel="0" collapsed="false">
      <c r="A3843" s="1" t="n">
        <v>13842</v>
      </c>
      <c r="B3843" s="14" t="n">
        <v>48403</v>
      </c>
      <c r="C3843" s="1" t="n">
        <v>1861</v>
      </c>
      <c r="D3843" s="1" t="s">
        <v>34</v>
      </c>
      <c r="E3843" s="1" t="s">
        <v>35</v>
      </c>
      <c r="F3843" s="1" t="n">
        <v>1</v>
      </c>
      <c r="G3843" s="15" t="n">
        <v>318.77</v>
      </c>
      <c r="H3843" s="16" t="n">
        <v>0.02</v>
      </c>
      <c r="I3843" s="1" t="s">
        <v>33</v>
      </c>
      <c r="J3843" s="1" t="n">
        <v>8</v>
      </c>
      <c r="K3843" s="1" t="n">
        <v>4.2</v>
      </c>
      <c r="L3843" s="15" t="n">
        <v>312.39</v>
      </c>
      <c r="M3843" s="15" t="n">
        <f aca="false">F3843*G3843</f>
        <v>318.77</v>
      </c>
      <c r="N3843" s="15" t="n">
        <f aca="false">M3843-L3843</f>
        <v>6.38</v>
      </c>
      <c r="O3843" s="1" t="n">
        <f aca="false">YEAR(B3843)</f>
        <v>2032</v>
      </c>
      <c r="P3843" s="1" t="n">
        <f aca="false">MONTH(B3843)</f>
        <v>7</v>
      </c>
      <c r="Q3843" s="1" t="str">
        <f aca="false">TEXT(B3843,"mmm")</f>
        <v>Jul</v>
      </c>
      <c r="R3843" s="1" t="str">
        <f aca="false">"Q"&amp;ROUNDUP(MONTH(B3843)/3,0)</f>
        <v>Q3</v>
      </c>
    </row>
    <row r="3844" customFormat="false" ht="15" hidden="false" customHeight="true" outlineLevel="0" collapsed="false">
      <c r="A3844" s="1" t="n">
        <v>13843</v>
      </c>
      <c r="B3844" s="14" t="n">
        <v>48404</v>
      </c>
      <c r="C3844" s="1" t="n">
        <v>1253</v>
      </c>
      <c r="D3844" s="1" t="s">
        <v>30</v>
      </c>
      <c r="E3844" s="1" t="s">
        <v>32</v>
      </c>
      <c r="F3844" s="1" t="n">
        <v>4</v>
      </c>
      <c r="G3844" s="15" t="n">
        <v>310.93</v>
      </c>
      <c r="H3844" s="16" t="n">
        <v>0.13</v>
      </c>
      <c r="I3844" s="1" t="s">
        <v>31</v>
      </c>
      <c r="J3844" s="1" t="n">
        <v>7</v>
      </c>
      <c r="K3844" s="1" t="n">
        <v>4.2</v>
      </c>
      <c r="L3844" s="15" t="n">
        <v>1082.04</v>
      </c>
      <c r="M3844" s="15" t="n">
        <f aca="false">F3844*G3844</f>
        <v>1243.72</v>
      </c>
      <c r="N3844" s="15" t="n">
        <f aca="false">M3844-L3844</f>
        <v>161.68</v>
      </c>
      <c r="O3844" s="1" t="n">
        <f aca="false">YEAR(B3844)</f>
        <v>2032</v>
      </c>
      <c r="P3844" s="1" t="n">
        <f aca="false">MONTH(B3844)</f>
        <v>7</v>
      </c>
      <c r="Q3844" s="1" t="str">
        <f aca="false">TEXT(B3844,"mmm")</f>
        <v>Jul</v>
      </c>
      <c r="R3844" s="1" t="str">
        <f aca="false">"Q"&amp;ROUNDUP(MONTH(B3844)/3,0)</f>
        <v>Q3</v>
      </c>
    </row>
    <row r="3845" customFormat="false" ht="15" hidden="false" customHeight="true" outlineLevel="0" collapsed="false">
      <c r="A3845" s="1" t="n">
        <v>13844</v>
      </c>
      <c r="B3845" s="14" t="n">
        <v>48405</v>
      </c>
      <c r="C3845" s="1" t="n">
        <v>1629</v>
      </c>
      <c r="D3845" s="1" t="s">
        <v>27</v>
      </c>
      <c r="E3845" s="1" t="s">
        <v>35</v>
      </c>
      <c r="F3845" s="1" t="n">
        <v>1</v>
      </c>
      <c r="G3845" s="15" t="n">
        <v>51.42</v>
      </c>
      <c r="H3845" s="16" t="n">
        <v>0.33</v>
      </c>
      <c r="I3845" s="1" t="s">
        <v>33</v>
      </c>
      <c r="J3845" s="1" t="n">
        <v>11</v>
      </c>
      <c r="K3845" s="1" t="n">
        <v>3.9</v>
      </c>
      <c r="L3845" s="15" t="n">
        <v>34.45</v>
      </c>
      <c r="M3845" s="15" t="n">
        <f aca="false">F3845*G3845</f>
        <v>51.42</v>
      </c>
      <c r="N3845" s="15" t="n">
        <f aca="false">M3845-L3845</f>
        <v>16.97</v>
      </c>
      <c r="O3845" s="1" t="n">
        <f aca="false">YEAR(B3845)</f>
        <v>2032</v>
      </c>
      <c r="P3845" s="1" t="n">
        <f aca="false">MONTH(B3845)</f>
        <v>7</v>
      </c>
      <c r="Q3845" s="1" t="str">
        <f aca="false">TEXT(B3845,"mmm")</f>
        <v>Jul</v>
      </c>
      <c r="R3845" s="1" t="str">
        <f aca="false">"Q"&amp;ROUNDUP(MONTH(B3845)/3,0)</f>
        <v>Q3</v>
      </c>
    </row>
    <row r="3846" customFormat="false" ht="15" hidden="false" customHeight="true" outlineLevel="0" collapsed="false">
      <c r="A3846" s="1" t="n">
        <v>13845</v>
      </c>
      <c r="B3846" s="14" t="n">
        <v>48406</v>
      </c>
      <c r="C3846" s="1" t="n">
        <v>1709</v>
      </c>
      <c r="D3846" s="1" t="s">
        <v>30</v>
      </c>
      <c r="E3846" s="1" t="s">
        <v>35</v>
      </c>
      <c r="F3846" s="1" t="n">
        <v>5</v>
      </c>
      <c r="G3846" s="15" t="n">
        <v>554.44</v>
      </c>
      <c r="H3846" s="16" t="n">
        <v>0.14</v>
      </c>
      <c r="I3846" s="1" t="s">
        <v>31</v>
      </c>
      <c r="J3846" s="1" t="n">
        <v>8</v>
      </c>
      <c r="K3846" s="1" t="n">
        <v>1.3</v>
      </c>
      <c r="L3846" s="15" t="n">
        <v>2384.09</v>
      </c>
      <c r="M3846" s="15" t="n">
        <f aca="false">F3846*G3846</f>
        <v>2772.2</v>
      </c>
      <c r="N3846" s="15" t="n">
        <f aca="false">M3846-L3846</f>
        <v>388.11</v>
      </c>
      <c r="O3846" s="1" t="n">
        <f aca="false">YEAR(B3846)</f>
        <v>2032</v>
      </c>
      <c r="P3846" s="1" t="n">
        <f aca="false">MONTH(B3846)</f>
        <v>7</v>
      </c>
      <c r="Q3846" s="1" t="str">
        <f aca="false">TEXT(B3846,"mmm")</f>
        <v>Jul</v>
      </c>
      <c r="R3846" s="1" t="str">
        <f aca="false">"Q"&amp;ROUNDUP(MONTH(B3846)/3,0)</f>
        <v>Q3</v>
      </c>
    </row>
    <row r="3847" customFormat="false" ht="15" hidden="false" customHeight="true" outlineLevel="0" collapsed="false">
      <c r="A3847" s="1" t="n">
        <v>13846</v>
      </c>
      <c r="B3847" s="14" t="n">
        <v>48407</v>
      </c>
      <c r="C3847" s="1" t="n">
        <v>1848</v>
      </c>
      <c r="D3847" s="1" t="s">
        <v>34</v>
      </c>
      <c r="E3847" s="1" t="s">
        <v>32</v>
      </c>
      <c r="F3847" s="1" t="n">
        <v>7</v>
      </c>
      <c r="G3847" s="15" t="n">
        <v>118.61</v>
      </c>
      <c r="H3847" s="16" t="n">
        <v>0.18</v>
      </c>
      <c r="I3847" s="1" t="s">
        <v>29</v>
      </c>
      <c r="J3847" s="1" t="n">
        <v>9</v>
      </c>
      <c r="K3847" s="1" t="n">
        <v>2.4</v>
      </c>
      <c r="L3847" s="15" t="n">
        <v>680.82</v>
      </c>
      <c r="M3847" s="15" t="n">
        <f aca="false">F3847*G3847</f>
        <v>830.27</v>
      </c>
      <c r="N3847" s="15" t="n">
        <f aca="false">M3847-L3847</f>
        <v>149.45</v>
      </c>
      <c r="O3847" s="1" t="n">
        <f aca="false">YEAR(B3847)</f>
        <v>2032</v>
      </c>
      <c r="P3847" s="1" t="n">
        <f aca="false">MONTH(B3847)</f>
        <v>7</v>
      </c>
      <c r="Q3847" s="1" t="str">
        <f aca="false">TEXT(B3847,"mmm")</f>
        <v>Jul</v>
      </c>
      <c r="R3847" s="1" t="str">
        <f aca="false">"Q"&amp;ROUNDUP(MONTH(B3847)/3,0)</f>
        <v>Q3</v>
      </c>
    </row>
    <row r="3848" customFormat="false" ht="15" hidden="false" customHeight="true" outlineLevel="0" collapsed="false">
      <c r="A3848" s="1" t="n">
        <v>13847</v>
      </c>
      <c r="B3848" s="14" t="n">
        <v>48408</v>
      </c>
      <c r="C3848" s="1" t="n">
        <v>1876</v>
      </c>
      <c r="D3848" s="1" t="s">
        <v>30</v>
      </c>
      <c r="E3848" s="1" t="s">
        <v>36</v>
      </c>
      <c r="F3848" s="1" t="n">
        <v>2</v>
      </c>
      <c r="G3848" s="15" t="n">
        <v>324.08</v>
      </c>
      <c r="H3848" s="16" t="n">
        <v>0.12</v>
      </c>
      <c r="I3848" s="1" t="s">
        <v>29</v>
      </c>
      <c r="J3848" s="1" t="n">
        <v>8</v>
      </c>
      <c r="K3848" s="1" t="n">
        <v>1.2</v>
      </c>
      <c r="L3848" s="15" t="n">
        <v>570.38</v>
      </c>
      <c r="M3848" s="15" t="n">
        <f aca="false">F3848*G3848</f>
        <v>648.16</v>
      </c>
      <c r="N3848" s="15" t="n">
        <f aca="false">M3848-L3848</f>
        <v>77.78</v>
      </c>
      <c r="O3848" s="1" t="n">
        <f aca="false">YEAR(B3848)</f>
        <v>2032</v>
      </c>
      <c r="P3848" s="1" t="n">
        <f aca="false">MONTH(B3848)</f>
        <v>7</v>
      </c>
      <c r="Q3848" s="1" t="str">
        <f aca="false">TEXT(B3848,"mmm")</f>
        <v>Jul</v>
      </c>
      <c r="R3848" s="1" t="str">
        <f aca="false">"Q"&amp;ROUNDUP(MONTH(B3848)/3,0)</f>
        <v>Q3</v>
      </c>
    </row>
    <row r="3849" customFormat="false" ht="15" hidden="false" customHeight="true" outlineLevel="0" collapsed="false">
      <c r="A3849" s="1" t="n">
        <v>13848</v>
      </c>
      <c r="B3849" s="14" t="n">
        <v>48409</v>
      </c>
      <c r="C3849" s="1" t="n">
        <v>1562</v>
      </c>
      <c r="D3849" s="1" t="s">
        <v>30</v>
      </c>
      <c r="E3849" s="1" t="s">
        <v>36</v>
      </c>
      <c r="F3849" s="1" t="n">
        <v>3</v>
      </c>
      <c r="G3849" s="15" t="n">
        <v>485.09</v>
      </c>
      <c r="H3849" s="16" t="n">
        <v>0.21</v>
      </c>
      <c r="I3849" s="1" t="s">
        <v>31</v>
      </c>
      <c r="J3849" s="1" t="n">
        <v>6</v>
      </c>
      <c r="K3849" s="1" t="n">
        <v>2.4</v>
      </c>
      <c r="L3849" s="15" t="n">
        <v>1149.66</v>
      </c>
      <c r="M3849" s="15" t="n">
        <f aca="false">F3849*G3849</f>
        <v>1455.27</v>
      </c>
      <c r="N3849" s="15" t="n">
        <f aca="false">M3849-L3849</f>
        <v>305.61</v>
      </c>
      <c r="O3849" s="1" t="n">
        <f aca="false">YEAR(B3849)</f>
        <v>2032</v>
      </c>
      <c r="P3849" s="1" t="n">
        <f aca="false">MONTH(B3849)</f>
        <v>7</v>
      </c>
      <c r="Q3849" s="1" t="str">
        <f aca="false">TEXT(B3849,"mmm")</f>
        <v>Jul</v>
      </c>
      <c r="R3849" s="1" t="str">
        <f aca="false">"Q"&amp;ROUNDUP(MONTH(B3849)/3,0)</f>
        <v>Q3</v>
      </c>
    </row>
    <row r="3850" customFormat="false" ht="15" hidden="false" customHeight="true" outlineLevel="0" collapsed="false">
      <c r="A3850" s="1" t="n">
        <v>13849</v>
      </c>
      <c r="B3850" s="14" t="n">
        <v>48410</v>
      </c>
      <c r="C3850" s="1" t="n">
        <v>1756</v>
      </c>
      <c r="D3850" s="1" t="s">
        <v>27</v>
      </c>
      <c r="E3850" s="1" t="s">
        <v>28</v>
      </c>
      <c r="F3850" s="1" t="n">
        <v>7</v>
      </c>
      <c r="G3850" s="15" t="n">
        <v>141.04</v>
      </c>
      <c r="H3850" s="16" t="n">
        <v>0.34</v>
      </c>
      <c r="I3850" s="1" t="s">
        <v>31</v>
      </c>
      <c r="J3850" s="1" t="n">
        <v>8</v>
      </c>
      <c r="K3850" s="1" t="n">
        <v>3.6</v>
      </c>
      <c r="L3850" s="15" t="n">
        <v>651.6</v>
      </c>
      <c r="M3850" s="15" t="n">
        <f aca="false">F3850*G3850</f>
        <v>987.28</v>
      </c>
      <c r="N3850" s="15" t="n">
        <f aca="false">M3850-L3850</f>
        <v>335.68</v>
      </c>
      <c r="O3850" s="1" t="n">
        <f aca="false">YEAR(B3850)</f>
        <v>2032</v>
      </c>
      <c r="P3850" s="1" t="n">
        <f aca="false">MONTH(B3850)</f>
        <v>7</v>
      </c>
      <c r="Q3850" s="1" t="str">
        <f aca="false">TEXT(B3850,"mmm")</f>
        <v>Jul</v>
      </c>
      <c r="R3850" s="1" t="str">
        <f aca="false">"Q"&amp;ROUNDUP(MONTH(B3850)/3,0)</f>
        <v>Q3</v>
      </c>
    </row>
    <row r="3851" customFormat="false" ht="15" hidden="false" customHeight="true" outlineLevel="0" collapsed="false">
      <c r="A3851" s="1" t="n">
        <v>13850</v>
      </c>
      <c r="B3851" s="14" t="n">
        <v>48411</v>
      </c>
      <c r="C3851" s="1" t="n">
        <v>1914</v>
      </c>
      <c r="D3851" s="1" t="s">
        <v>37</v>
      </c>
      <c r="E3851" s="1" t="s">
        <v>35</v>
      </c>
      <c r="F3851" s="1" t="n">
        <v>4</v>
      </c>
      <c r="G3851" s="15" t="n">
        <v>323.51</v>
      </c>
      <c r="H3851" s="16" t="n">
        <v>0.35</v>
      </c>
      <c r="I3851" s="1" t="s">
        <v>31</v>
      </c>
      <c r="J3851" s="1" t="n">
        <v>8</v>
      </c>
      <c r="K3851" s="1" t="n">
        <v>3.1</v>
      </c>
      <c r="L3851" s="15" t="n">
        <v>841.13</v>
      </c>
      <c r="M3851" s="15" t="n">
        <f aca="false">F3851*G3851</f>
        <v>1294.04</v>
      </c>
      <c r="N3851" s="15" t="n">
        <f aca="false">M3851-L3851</f>
        <v>452.91</v>
      </c>
      <c r="O3851" s="1" t="n">
        <f aca="false">YEAR(B3851)</f>
        <v>2032</v>
      </c>
      <c r="P3851" s="1" t="n">
        <f aca="false">MONTH(B3851)</f>
        <v>7</v>
      </c>
      <c r="Q3851" s="1" t="str">
        <f aca="false">TEXT(B3851,"mmm")</f>
        <v>Jul</v>
      </c>
      <c r="R3851" s="1" t="str">
        <f aca="false">"Q"&amp;ROUNDUP(MONTH(B3851)/3,0)</f>
        <v>Q3</v>
      </c>
    </row>
    <row r="3852" customFormat="false" ht="15" hidden="false" customHeight="true" outlineLevel="0" collapsed="false">
      <c r="A3852" s="1" t="n">
        <v>13851</v>
      </c>
      <c r="B3852" s="14" t="n">
        <v>48412</v>
      </c>
      <c r="C3852" s="1" t="n">
        <v>1425</v>
      </c>
      <c r="D3852" s="1" t="s">
        <v>30</v>
      </c>
      <c r="E3852" s="1" t="s">
        <v>32</v>
      </c>
      <c r="F3852" s="1" t="n">
        <v>4</v>
      </c>
      <c r="G3852" s="15" t="n">
        <v>155.8</v>
      </c>
      <c r="H3852" s="16" t="n">
        <v>0.27</v>
      </c>
      <c r="I3852" s="1" t="s">
        <v>31</v>
      </c>
      <c r="J3852" s="1" t="n">
        <v>2</v>
      </c>
      <c r="K3852" s="1" t="n">
        <v>3.8</v>
      </c>
      <c r="L3852" s="15" t="n">
        <v>454.94</v>
      </c>
      <c r="M3852" s="15" t="n">
        <f aca="false">F3852*G3852</f>
        <v>623.2</v>
      </c>
      <c r="N3852" s="15" t="n">
        <f aca="false">M3852-L3852</f>
        <v>168.26</v>
      </c>
      <c r="O3852" s="1" t="n">
        <f aca="false">YEAR(B3852)</f>
        <v>2032</v>
      </c>
      <c r="P3852" s="1" t="n">
        <f aca="false">MONTH(B3852)</f>
        <v>7</v>
      </c>
      <c r="Q3852" s="1" t="str">
        <f aca="false">TEXT(B3852,"mmm")</f>
        <v>Jul</v>
      </c>
      <c r="R3852" s="1" t="str">
        <f aca="false">"Q"&amp;ROUNDUP(MONTH(B3852)/3,0)</f>
        <v>Q3</v>
      </c>
    </row>
    <row r="3853" customFormat="false" ht="15" hidden="false" customHeight="true" outlineLevel="0" collapsed="false">
      <c r="A3853" s="1" t="n">
        <v>13852</v>
      </c>
      <c r="B3853" s="14" t="n">
        <v>48413</v>
      </c>
      <c r="C3853" s="1" t="n">
        <v>1546</v>
      </c>
      <c r="D3853" s="1" t="s">
        <v>27</v>
      </c>
      <c r="E3853" s="1" t="s">
        <v>28</v>
      </c>
      <c r="F3853" s="1" t="n">
        <v>5</v>
      </c>
      <c r="G3853" s="15" t="n">
        <v>459.42</v>
      </c>
      <c r="H3853" s="16" t="n">
        <v>0.14</v>
      </c>
      <c r="I3853" s="1" t="s">
        <v>33</v>
      </c>
      <c r="J3853" s="1" t="n">
        <v>2</v>
      </c>
      <c r="K3853" s="1" t="n">
        <v>3.2</v>
      </c>
      <c r="L3853" s="15" t="n">
        <v>1975.51</v>
      </c>
      <c r="M3853" s="15" t="n">
        <f aca="false">F3853*G3853</f>
        <v>2297.1</v>
      </c>
      <c r="N3853" s="15" t="n">
        <f aca="false">M3853-L3853</f>
        <v>321.59</v>
      </c>
      <c r="O3853" s="1" t="n">
        <f aca="false">YEAR(B3853)</f>
        <v>2032</v>
      </c>
      <c r="P3853" s="1" t="n">
        <f aca="false">MONTH(B3853)</f>
        <v>7</v>
      </c>
      <c r="Q3853" s="1" t="str">
        <f aca="false">TEXT(B3853,"mmm")</f>
        <v>Jul</v>
      </c>
      <c r="R3853" s="1" t="str">
        <f aca="false">"Q"&amp;ROUNDUP(MONTH(B3853)/3,0)</f>
        <v>Q3</v>
      </c>
    </row>
    <row r="3854" customFormat="false" ht="15" hidden="false" customHeight="true" outlineLevel="0" collapsed="false">
      <c r="A3854" s="1" t="n">
        <v>13853</v>
      </c>
      <c r="B3854" s="14" t="n">
        <v>48414</v>
      </c>
      <c r="C3854" s="1" t="n">
        <v>1301</v>
      </c>
      <c r="D3854" s="1" t="s">
        <v>30</v>
      </c>
      <c r="E3854" s="1" t="s">
        <v>36</v>
      </c>
      <c r="F3854" s="1" t="n">
        <v>4</v>
      </c>
      <c r="G3854" s="15" t="n">
        <v>345.14</v>
      </c>
      <c r="H3854" s="16" t="n">
        <v>0.17</v>
      </c>
      <c r="I3854" s="1" t="s">
        <v>33</v>
      </c>
      <c r="J3854" s="1" t="n">
        <v>11</v>
      </c>
      <c r="K3854" s="1" t="n">
        <v>3.2</v>
      </c>
      <c r="L3854" s="15" t="n">
        <v>1145.86</v>
      </c>
      <c r="M3854" s="15" t="n">
        <f aca="false">F3854*G3854</f>
        <v>1380.56</v>
      </c>
      <c r="N3854" s="15" t="n">
        <f aca="false">M3854-L3854</f>
        <v>234.7</v>
      </c>
      <c r="O3854" s="1" t="n">
        <f aca="false">YEAR(B3854)</f>
        <v>2032</v>
      </c>
      <c r="P3854" s="1" t="n">
        <f aca="false">MONTH(B3854)</f>
        <v>7</v>
      </c>
      <c r="Q3854" s="1" t="str">
        <f aca="false">TEXT(B3854,"mmm")</f>
        <v>Jul</v>
      </c>
      <c r="R3854" s="1" t="str">
        <f aca="false">"Q"&amp;ROUNDUP(MONTH(B3854)/3,0)</f>
        <v>Q3</v>
      </c>
    </row>
    <row r="3855" customFormat="false" ht="15" hidden="false" customHeight="true" outlineLevel="0" collapsed="false">
      <c r="A3855" s="1" t="n">
        <v>13854</v>
      </c>
      <c r="B3855" s="14" t="n">
        <v>48415</v>
      </c>
      <c r="C3855" s="1" t="n">
        <v>1921</v>
      </c>
      <c r="D3855" s="1" t="s">
        <v>34</v>
      </c>
      <c r="E3855" s="1" t="s">
        <v>36</v>
      </c>
      <c r="F3855" s="1" t="n">
        <v>1</v>
      </c>
      <c r="G3855" s="15" t="n">
        <v>515.75</v>
      </c>
      <c r="H3855" s="16" t="n">
        <v>0.12</v>
      </c>
      <c r="I3855" s="1" t="s">
        <v>31</v>
      </c>
      <c r="J3855" s="1" t="n">
        <v>1</v>
      </c>
      <c r="K3855" s="1" t="n">
        <v>3</v>
      </c>
      <c r="L3855" s="15" t="n">
        <v>453.86</v>
      </c>
      <c r="M3855" s="15" t="n">
        <f aca="false">F3855*G3855</f>
        <v>515.75</v>
      </c>
      <c r="N3855" s="15" t="n">
        <f aca="false">M3855-L3855</f>
        <v>61.89</v>
      </c>
      <c r="O3855" s="1" t="n">
        <f aca="false">YEAR(B3855)</f>
        <v>2032</v>
      </c>
      <c r="P3855" s="1" t="n">
        <f aca="false">MONTH(B3855)</f>
        <v>7</v>
      </c>
      <c r="Q3855" s="1" t="str">
        <f aca="false">TEXT(B3855,"mmm")</f>
        <v>Jul</v>
      </c>
      <c r="R3855" s="1" t="str">
        <f aca="false">"Q"&amp;ROUNDUP(MONTH(B3855)/3,0)</f>
        <v>Q3</v>
      </c>
    </row>
    <row r="3856" customFormat="false" ht="15" hidden="false" customHeight="true" outlineLevel="0" collapsed="false">
      <c r="A3856" s="1" t="n">
        <v>13855</v>
      </c>
      <c r="B3856" s="14" t="n">
        <v>48416</v>
      </c>
      <c r="C3856" s="1" t="n">
        <v>1580</v>
      </c>
      <c r="D3856" s="1" t="s">
        <v>34</v>
      </c>
      <c r="E3856" s="1" t="s">
        <v>32</v>
      </c>
      <c r="F3856" s="1" t="n">
        <v>1</v>
      </c>
      <c r="G3856" s="15" t="n">
        <v>538.32</v>
      </c>
      <c r="H3856" s="16" t="n">
        <v>0.34</v>
      </c>
      <c r="I3856" s="1" t="s">
        <v>33</v>
      </c>
      <c r="J3856" s="1" t="n">
        <v>10</v>
      </c>
      <c r="K3856" s="1" t="n">
        <v>2.5</v>
      </c>
      <c r="L3856" s="15" t="n">
        <v>355.29</v>
      </c>
      <c r="M3856" s="15" t="n">
        <f aca="false">F3856*G3856</f>
        <v>538.32</v>
      </c>
      <c r="N3856" s="15" t="n">
        <f aca="false">M3856-L3856</f>
        <v>183.03</v>
      </c>
      <c r="O3856" s="1" t="n">
        <f aca="false">YEAR(B3856)</f>
        <v>2032</v>
      </c>
      <c r="P3856" s="1" t="n">
        <f aca="false">MONTH(B3856)</f>
        <v>7</v>
      </c>
      <c r="Q3856" s="1" t="str">
        <f aca="false">TEXT(B3856,"mmm")</f>
        <v>Jul</v>
      </c>
      <c r="R3856" s="1" t="str">
        <f aca="false">"Q"&amp;ROUNDUP(MONTH(B3856)/3,0)</f>
        <v>Q3</v>
      </c>
    </row>
    <row r="3857" customFormat="false" ht="15" hidden="false" customHeight="true" outlineLevel="0" collapsed="false">
      <c r="A3857" s="1" t="n">
        <v>13856</v>
      </c>
      <c r="B3857" s="14" t="n">
        <v>48417</v>
      </c>
      <c r="C3857" s="1" t="n">
        <v>1348</v>
      </c>
      <c r="D3857" s="1" t="s">
        <v>30</v>
      </c>
      <c r="E3857" s="1" t="s">
        <v>28</v>
      </c>
      <c r="F3857" s="1" t="n">
        <v>2</v>
      </c>
      <c r="G3857" s="15" t="n">
        <v>394.51</v>
      </c>
      <c r="H3857" s="16" t="n">
        <v>0.25</v>
      </c>
      <c r="I3857" s="1" t="s">
        <v>29</v>
      </c>
      <c r="J3857" s="1" t="n">
        <v>2</v>
      </c>
      <c r="K3857" s="1" t="n">
        <v>2.8</v>
      </c>
      <c r="L3857" s="15" t="n">
        <v>591.76</v>
      </c>
      <c r="M3857" s="15" t="n">
        <f aca="false">F3857*G3857</f>
        <v>789.02</v>
      </c>
      <c r="N3857" s="15" t="n">
        <f aca="false">M3857-L3857</f>
        <v>197.26</v>
      </c>
      <c r="O3857" s="1" t="n">
        <f aca="false">YEAR(B3857)</f>
        <v>2032</v>
      </c>
      <c r="P3857" s="1" t="n">
        <f aca="false">MONTH(B3857)</f>
        <v>7</v>
      </c>
      <c r="Q3857" s="1" t="str">
        <f aca="false">TEXT(B3857,"mmm")</f>
        <v>Jul</v>
      </c>
      <c r="R3857" s="1" t="str">
        <f aca="false">"Q"&amp;ROUNDUP(MONTH(B3857)/3,0)</f>
        <v>Q3</v>
      </c>
    </row>
    <row r="3858" customFormat="false" ht="15" hidden="false" customHeight="true" outlineLevel="0" collapsed="false">
      <c r="A3858" s="1" t="n">
        <v>13857</v>
      </c>
      <c r="B3858" s="14" t="n">
        <v>48418</v>
      </c>
      <c r="C3858" s="1" t="n">
        <v>1831</v>
      </c>
      <c r="D3858" s="1" t="s">
        <v>34</v>
      </c>
      <c r="E3858" s="1" t="s">
        <v>28</v>
      </c>
      <c r="F3858" s="1" t="n">
        <v>2</v>
      </c>
      <c r="G3858" s="15" t="n">
        <v>439.35</v>
      </c>
      <c r="H3858" s="16" t="n">
        <v>0.16</v>
      </c>
      <c r="I3858" s="1" t="s">
        <v>33</v>
      </c>
      <c r="J3858" s="1" t="n">
        <v>7</v>
      </c>
      <c r="K3858" s="1" t="n">
        <v>1.4</v>
      </c>
      <c r="L3858" s="15" t="n">
        <v>738.11</v>
      </c>
      <c r="M3858" s="15" t="n">
        <f aca="false">F3858*G3858</f>
        <v>878.7</v>
      </c>
      <c r="N3858" s="15" t="n">
        <f aca="false">M3858-L3858</f>
        <v>140.59</v>
      </c>
      <c r="O3858" s="1" t="n">
        <f aca="false">YEAR(B3858)</f>
        <v>2032</v>
      </c>
      <c r="P3858" s="1" t="n">
        <f aca="false">MONTH(B3858)</f>
        <v>7</v>
      </c>
      <c r="Q3858" s="1" t="str">
        <f aca="false">TEXT(B3858,"mmm")</f>
        <v>Jul</v>
      </c>
      <c r="R3858" s="1" t="str">
        <f aca="false">"Q"&amp;ROUNDUP(MONTH(B3858)/3,0)</f>
        <v>Q3</v>
      </c>
    </row>
    <row r="3859" customFormat="false" ht="15" hidden="false" customHeight="true" outlineLevel="0" collapsed="false">
      <c r="A3859" s="1" t="n">
        <v>13858</v>
      </c>
      <c r="B3859" s="14" t="n">
        <v>48419</v>
      </c>
      <c r="C3859" s="1" t="n">
        <v>1932</v>
      </c>
      <c r="D3859" s="1" t="s">
        <v>27</v>
      </c>
      <c r="E3859" s="1" t="s">
        <v>32</v>
      </c>
      <c r="F3859" s="1" t="n">
        <v>7</v>
      </c>
      <c r="G3859" s="15" t="n">
        <v>336.29</v>
      </c>
      <c r="H3859" s="16" t="n">
        <v>0</v>
      </c>
      <c r="I3859" s="1" t="s">
        <v>31</v>
      </c>
      <c r="J3859" s="1" t="n">
        <v>11</v>
      </c>
      <c r="K3859" s="1" t="n">
        <v>4.3</v>
      </c>
      <c r="L3859" s="15" t="n">
        <v>2354.03</v>
      </c>
      <c r="M3859" s="15" t="n">
        <f aca="false">F3859*G3859</f>
        <v>2354.03</v>
      </c>
      <c r="N3859" s="15" t="n">
        <f aca="false">M3859-L3859</f>
        <v>0</v>
      </c>
      <c r="O3859" s="1" t="n">
        <f aca="false">YEAR(B3859)</f>
        <v>2032</v>
      </c>
      <c r="P3859" s="1" t="n">
        <f aca="false">MONTH(B3859)</f>
        <v>7</v>
      </c>
      <c r="Q3859" s="1" t="str">
        <f aca="false">TEXT(B3859,"mmm")</f>
        <v>Jul</v>
      </c>
      <c r="R3859" s="1" t="str">
        <f aca="false">"Q"&amp;ROUNDUP(MONTH(B3859)/3,0)</f>
        <v>Q3</v>
      </c>
    </row>
    <row r="3860" customFormat="false" ht="15" hidden="false" customHeight="true" outlineLevel="0" collapsed="false">
      <c r="A3860" s="1" t="n">
        <v>13859</v>
      </c>
      <c r="B3860" s="14" t="n">
        <v>48420</v>
      </c>
      <c r="C3860" s="1" t="n">
        <v>1979</v>
      </c>
      <c r="D3860" s="1" t="s">
        <v>37</v>
      </c>
      <c r="E3860" s="1" t="s">
        <v>32</v>
      </c>
      <c r="F3860" s="1" t="n">
        <v>2</v>
      </c>
      <c r="G3860" s="15" t="n">
        <v>239.89</v>
      </c>
      <c r="H3860" s="16" t="n">
        <v>0.18</v>
      </c>
      <c r="I3860" s="1" t="s">
        <v>33</v>
      </c>
      <c r="J3860" s="1" t="n">
        <v>3</v>
      </c>
      <c r="K3860" s="1" t="n">
        <v>4.6</v>
      </c>
      <c r="L3860" s="15" t="n">
        <v>393.42</v>
      </c>
      <c r="M3860" s="15" t="n">
        <f aca="false">F3860*G3860</f>
        <v>479.78</v>
      </c>
      <c r="N3860" s="15" t="n">
        <f aca="false">M3860-L3860</f>
        <v>86.36</v>
      </c>
      <c r="O3860" s="1" t="n">
        <f aca="false">YEAR(B3860)</f>
        <v>2032</v>
      </c>
      <c r="P3860" s="1" t="n">
        <f aca="false">MONTH(B3860)</f>
        <v>7</v>
      </c>
      <c r="Q3860" s="1" t="str">
        <f aca="false">TEXT(B3860,"mmm")</f>
        <v>Jul</v>
      </c>
      <c r="R3860" s="1" t="str">
        <f aca="false">"Q"&amp;ROUNDUP(MONTH(B3860)/3,0)</f>
        <v>Q3</v>
      </c>
    </row>
    <row r="3861" customFormat="false" ht="15" hidden="false" customHeight="true" outlineLevel="0" collapsed="false">
      <c r="A3861" s="1" t="n">
        <v>13860</v>
      </c>
      <c r="B3861" s="14" t="n">
        <v>48421</v>
      </c>
      <c r="C3861" s="1" t="n">
        <v>1048</v>
      </c>
      <c r="D3861" s="1" t="s">
        <v>34</v>
      </c>
      <c r="E3861" s="1" t="s">
        <v>28</v>
      </c>
      <c r="F3861" s="1" t="n">
        <v>1</v>
      </c>
      <c r="G3861" s="15" t="n">
        <v>394.15</v>
      </c>
      <c r="H3861" s="16" t="n">
        <v>0.34</v>
      </c>
      <c r="I3861" s="1" t="s">
        <v>33</v>
      </c>
      <c r="J3861" s="1" t="n">
        <v>4</v>
      </c>
      <c r="K3861" s="1" t="n">
        <v>4.1</v>
      </c>
      <c r="L3861" s="15" t="n">
        <v>260.14</v>
      </c>
      <c r="M3861" s="15" t="n">
        <f aca="false">F3861*G3861</f>
        <v>394.15</v>
      </c>
      <c r="N3861" s="15" t="n">
        <f aca="false">M3861-L3861</f>
        <v>134.01</v>
      </c>
      <c r="O3861" s="1" t="n">
        <f aca="false">YEAR(B3861)</f>
        <v>2032</v>
      </c>
      <c r="P3861" s="1" t="n">
        <f aca="false">MONTH(B3861)</f>
        <v>7</v>
      </c>
      <c r="Q3861" s="1" t="str">
        <f aca="false">TEXT(B3861,"mmm")</f>
        <v>Jul</v>
      </c>
      <c r="R3861" s="1" t="str">
        <f aca="false">"Q"&amp;ROUNDUP(MONTH(B3861)/3,0)</f>
        <v>Q3</v>
      </c>
    </row>
    <row r="3862" customFormat="false" ht="15" hidden="false" customHeight="true" outlineLevel="0" collapsed="false">
      <c r="A3862" s="1" t="n">
        <v>13861</v>
      </c>
      <c r="B3862" s="14" t="n">
        <v>48422</v>
      </c>
      <c r="C3862" s="1" t="n">
        <v>1916</v>
      </c>
      <c r="D3862" s="1" t="s">
        <v>30</v>
      </c>
      <c r="E3862" s="1" t="s">
        <v>36</v>
      </c>
      <c r="F3862" s="1" t="n">
        <v>6</v>
      </c>
      <c r="G3862" s="15" t="n">
        <v>546.35</v>
      </c>
      <c r="H3862" s="16" t="n">
        <v>0.18</v>
      </c>
      <c r="I3862" s="1" t="s">
        <v>29</v>
      </c>
      <c r="J3862" s="1" t="n">
        <v>4</v>
      </c>
      <c r="K3862" s="1" t="n">
        <v>3.3</v>
      </c>
      <c r="L3862" s="15" t="n">
        <v>2688.04</v>
      </c>
      <c r="M3862" s="15" t="n">
        <f aca="false">F3862*G3862</f>
        <v>3278.1</v>
      </c>
      <c r="N3862" s="15" t="n">
        <f aca="false">M3862-L3862</f>
        <v>590.06</v>
      </c>
      <c r="O3862" s="1" t="n">
        <f aca="false">YEAR(B3862)</f>
        <v>2032</v>
      </c>
      <c r="P3862" s="1" t="n">
        <f aca="false">MONTH(B3862)</f>
        <v>7</v>
      </c>
      <c r="Q3862" s="1" t="str">
        <f aca="false">TEXT(B3862,"mmm")</f>
        <v>Jul</v>
      </c>
      <c r="R3862" s="1" t="str">
        <f aca="false">"Q"&amp;ROUNDUP(MONTH(B3862)/3,0)</f>
        <v>Q3</v>
      </c>
    </row>
    <row r="3863" customFormat="false" ht="15" hidden="false" customHeight="true" outlineLevel="0" collapsed="false">
      <c r="A3863" s="1" t="n">
        <v>13862</v>
      </c>
      <c r="B3863" s="14" t="n">
        <v>48423</v>
      </c>
      <c r="C3863" s="1" t="n">
        <v>1073</v>
      </c>
      <c r="D3863" s="1" t="s">
        <v>37</v>
      </c>
      <c r="E3863" s="1" t="s">
        <v>35</v>
      </c>
      <c r="F3863" s="1" t="n">
        <v>6</v>
      </c>
      <c r="G3863" s="15" t="n">
        <v>258.76</v>
      </c>
      <c r="H3863" s="16" t="n">
        <v>0.06</v>
      </c>
      <c r="I3863" s="1" t="s">
        <v>31</v>
      </c>
      <c r="J3863" s="1" t="n">
        <v>4</v>
      </c>
      <c r="K3863" s="1" t="n">
        <v>3.3</v>
      </c>
      <c r="L3863" s="15" t="n">
        <v>1459.41</v>
      </c>
      <c r="M3863" s="15" t="n">
        <f aca="false">F3863*G3863</f>
        <v>1552.56</v>
      </c>
      <c r="N3863" s="15" t="n">
        <f aca="false">M3863-L3863</f>
        <v>93.1499999999999</v>
      </c>
      <c r="O3863" s="1" t="n">
        <f aca="false">YEAR(B3863)</f>
        <v>2032</v>
      </c>
      <c r="P3863" s="1" t="n">
        <f aca="false">MONTH(B3863)</f>
        <v>7</v>
      </c>
      <c r="Q3863" s="1" t="str">
        <f aca="false">TEXT(B3863,"mmm")</f>
        <v>Jul</v>
      </c>
      <c r="R3863" s="1" t="str">
        <f aca="false">"Q"&amp;ROUNDUP(MONTH(B3863)/3,0)</f>
        <v>Q3</v>
      </c>
    </row>
    <row r="3864" customFormat="false" ht="15" hidden="false" customHeight="true" outlineLevel="0" collapsed="false">
      <c r="A3864" s="1" t="n">
        <v>13863</v>
      </c>
      <c r="B3864" s="14" t="n">
        <v>48424</v>
      </c>
      <c r="C3864" s="1" t="n">
        <v>1703</v>
      </c>
      <c r="D3864" s="1" t="s">
        <v>27</v>
      </c>
      <c r="E3864" s="1" t="s">
        <v>36</v>
      </c>
      <c r="F3864" s="1" t="n">
        <v>2</v>
      </c>
      <c r="G3864" s="15" t="n">
        <v>198.93</v>
      </c>
      <c r="H3864" s="16" t="n">
        <v>0.01</v>
      </c>
      <c r="I3864" s="1" t="s">
        <v>31</v>
      </c>
      <c r="J3864" s="1" t="n">
        <v>2</v>
      </c>
      <c r="K3864" s="1" t="n">
        <v>2.9</v>
      </c>
      <c r="L3864" s="15" t="n">
        <v>393.88</v>
      </c>
      <c r="M3864" s="15" t="n">
        <f aca="false">F3864*G3864</f>
        <v>397.86</v>
      </c>
      <c r="N3864" s="15" t="n">
        <f aca="false">M3864-L3864</f>
        <v>3.98000000000002</v>
      </c>
      <c r="O3864" s="1" t="n">
        <f aca="false">YEAR(B3864)</f>
        <v>2032</v>
      </c>
      <c r="P3864" s="1" t="n">
        <f aca="false">MONTH(B3864)</f>
        <v>7</v>
      </c>
      <c r="Q3864" s="1" t="str">
        <f aca="false">TEXT(B3864,"mmm")</f>
        <v>Jul</v>
      </c>
      <c r="R3864" s="1" t="str">
        <f aca="false">"Q"&amp;ROUNDUP(MONTH(B3864)/3,0)</f>
        <v>Q3</v>
      </c>
    </row>
    <row r="3865" customFormat="false" ht="15" hidden="false" customHeight="true" outlineLevel="0" collapsed="false">
      <c r="A3865" s="1" t="n">
        <v>13864</v>
      </c>
      <c r="B3865" s="14" t="n">
        <v>48425</v>
      </c>
      <c r="C3865" s="1" t="n">
        <v>1260</v>
      </c>
      <c r="D3865" s="1" t="s">
        <v>27</v>
      </c>
      <c r="E3865" s="1" t="s">
        <v>32</v>
      </c>
      <c r="F3865" s="1" t="n">
        <v>2</v>
      </c>
      <c r="G3865" s="15" t="n">
        <v>242.24</v>
      </c>
      <c r="H3865" s="16" t="n">
        <v>0.12</v>
      </c>
      <c r="I3865" s="1" t="s">
        <v>33</v>
      </c>
      <c r="J3865" s="1" t="n">
        <v>11</v>
      </c>
      <c r="K3865" s="1" t="n">
        <v>1.9</v>
      </c>
      <c r="L3865" s="15" t="n">
        <v>426.34</v>
      </c>
      <c r="M3865" s="15" t="n">
        <f aca="false">F3865*G3865</f>
        <v>484.48</v>
      </c>
      <c r="N3865" s="15" t="n">
        <f aca="false">M3865-L3865</f>
        <v>58.14</v>
      </c>
      <c r="O3865" s="1" t="n">
        <f aca="false">YEAR(B3865)</f>
        <v>2032</v>
      </c>
      <c r="P3865" s="1" t="n">
        <f aca="false">MONTH(B3865)</f>
        <v>7</v>
      </c>
      <c r="Q3865" s="1" t="str">
        <f aca="false">TEXT(B3865,"mmm")</f>
        <v>Jul</v>
      </c>
      <c r="R3865" s="1" t="str">
        <f aca="false">"Q"&amp;ROUNDUP(MONTH(B3865)/3,0)</f>
        <v>Q3</v>
      </c>
    </row>
    <row r="3866" customFormat="false" ht="15" hidden="false" customHeight="true" outlineLevel="0" collapsed="false">
      <c r="A3866" s="1" t="n">
        <v>13865</v>
      </c>
      <c r="B3866" s="14" t="n">
        <v>48426</v>
      </c>
      <c r="C3866" s="1" t="n">
        <v>1355</v>
      </c>
      <c r="D3866" s="1" t="s">
        <v>30</v>
      </c>
      <c r="E3866" s="1" t="s">
        <v>28</v>
      </c>
      <c r="F3866" s="1" t="n">
        <v>1</v>
      </c>
      <c r="G3866" s="15" t="n">
        <v>269.71</v>
      </c>
      <c r="H3866" s="16" t="n">
        <v>0.32</v>
      </c>
      <c r="I3866" s="1" t="s">
        <v>33</v>
      </c>
      <c r="J3866" s="1" t="n">
        <v>6</v>
      </c>
      <c r="K3866" s="1" t="n">
        <v>2.5</v>
      </c>
      <c r="L3866" s="15" t="n">
        <v>183.4</v>
      </c>
      <c r="M3866" s="15" t="n">
        <f aca="false">F3866*G3866</f>
        <v>269.71</v>
      </c>
      <c r="N3866" s="15" t="n">
        <f aca="false">M3866-L3866</f>
        <v>86.31</v>
      </c>
      <c r="O3866" s="1" t="n">
        <f aca="false">YEAR(B3866)</f>
        <v>2032</v>
      </c>
      <c r="P3866" s="1" t="n">
        <f aca="false">MONTH(B3866)</f>
        <v>7</v>
      </c>
      <c r="Q3866" s="1" t="str">
        <f aca="false">TEXT(B3866,"mmm")</f>
        <v>Jul</v>
      </c>
      <c r="R3866" s="1" t="str">
        <f aca="false">"Q"&amp;ROUNDUP(MONTH(B3866)/3,0)</f>
        <v>Q3</v>
      </c>
    </row>
    <row r="3867" customFormat="false" ht="15" hidden="false" customHeight="true" outlineLevel="0" collapsed="false">
      <c r="A3867" s="1" t="n">
        <v>13866</v>
      </c>
      <c r="B3867" s="14" t="n">
        <v>48427</v>
      </c>
      <c r="C3867" s="1" t="n">
        <v>1581</v>
      </c>
      <c r="D3867" s="1" t="s">
        <v>37</v>
      </c>
      <c r="E3867" s="1" t="s">
        <v>28</v>
      </c>
      <c r="F3867" s="1" t="n">
        <v>5</v>
      </c>
      <c r="G3867" s="15" t="n">
        <v>58.03</v>
      </c>
      <c r="H3867" s="16" t="n">
        <v>0.35</v>
      </c>
      <c r="I3867" s="1" t="s">
        <v>33</v>
      </c>
      <c r="J3867" s="1" t="n">
        <v>1</v>
      </c>
      <c r="K3867" s="1" t="n">
        <v>5</v>
      </c>
      <c r="L3867" s="15" t="n">
        <v>188.6</v>
      </c>
      <c r="M3867" s="15" t="n">
        <f aca="false">F3867*G3867</f>
        <v>290.15</v>
      </c>
      <c r="N3867" s="15" t="n">
        <f aca="false">M3867-L3867</f>
        <v>101.55</v>
      </c>
      <c r="O3867" s="1" t="n">
        <f aca="false">YEAR(B3867)</f>
        <v>2032</v>
      </c>
      <c r="P3867" s="1" t="n">
        <f aca="false">MONTH(B3867)</f>
        <v>8</v>
      </c>
      <c r="Q3867" s="1" t="str">
        <f aca="false">TEXT(B3867,"mmm")</f>
        <v>Aug</v>
      </c>
      <c r="R3867" s="1" t="str">
        <f aca="false">"Q"&amp;ROUNDUP(MONTH(B3867)/3,0)</f>
        <v>Q3</v>
      </c>
    </row>
    <row r="3868" customFormat="false" ht="15" hidden="false" customHeight="true" outlineLevel="0" collapsed="false">
      <c r="A3868" s="1" t="n">
        <v>13867</v>
      </c>
      <c r="B3868" s="14" t="n">
        <v>48428</v>
      </c>
      <c r="C3868" s="1" t="n">
        <v>1601</v>
      </c>
      <c r="D3868" s="1" t="s">
        <v>30</v>
      </c>
      <c r="E3868" s="1" t="s">
        <v>35</v>
      </c>
      <c r="F3868" s="1" t="n">
        <v>7</v>
      </c>
      <c r="G3868" s="15" t="n">
        <v>306.59</v>
      </c>
      <c r="H3868" s="16" t="n">
        <v>0.33</v>
      </c>
      <c r="I3868" s="1" t="s">
        <v>31</v>
      </c>
      <c r="J3868" s="1" t="n">
        <v>5</v>
      </c>
      <c r="K3868" s="1" t="n">
        <v>1.6</v>
      </c>
      <c r="L3868" s="15" t="n">
        <v>1437.91</v>
      </c>
      <c r="M3868" s="15" t="n">
        <f aca="false">F3868*G3868</f>
        <v>2146.13</v>
      </c>
      <c r="N3868" s="15" t="n">
        <f aca="false">M3868-L3868</f>
        <v>708.22</v>
      </c>
      <c r="O3868" s="1" t="n">
        <f aca="false">YEAR(B3868)</f>
        <v>2032</v>
      </c>
      <c r="P3868" s="1" t="n">
        <f aca="false">MONTH(B3868)</f>
        <v>8</v>
      </c>
      <c r="Q3868" s="1" t="str">
        <f aca="false">TEXT(B3868,"mmm")</f>
        <v>Aug</v>
      </c>
      <c r="R3868" s="1" t="str">
        <f aca="false">"Q"&amp;ROUNDUP(MONTH(B3868)/3,0)</f>
        <v>Q3</v>
      </c>
    </row>
    <row r="3869" customFormat="false" ht="15" hidden="false" customHeight="true" outlineLevel="0" collapsed="false">
      <c r="A3869" s="1" t="n">
        <v>13868</v>
      </c>
      <c r="B3869" s="14" t="n">
        <v>48429</v>
      </c>
      <c r="C3869" s="1" t="n">
        <v>1259</v>
      </c>
      <c r="D3869" s="1" t="s">
        <v>30</v>
      </c>
      <c r="E3869" s="1" t="s">
        <v>28</v>
      </c>
      <c r="F3869" s="1" t="n">
        <v>4</v>
      </c>
      <c r="G3869" s="15" t="n">
        <v>304.17</v>
      </c>
      <c r="H3869" s="16" t="n">
        <v>0.26</v>
      </c>
      <c r="I3869" s="1" t="s">
        <v>33</v>
      </c>
      <c r="J3869" s="1" t="n">
        <v>2</v>
      </c>
      <c r="K3869" s="1" t="n">
        <v>3.2</v>
      </c>
      <c r="L3869" s="15" t="n">
        <v>900.34</v>
      </c>
      <c r="M3869" s="15" t="n">
        <f aca="false">F3869*G3869</f>
        <v>1216.68</v>
      </c>
      <c r="N3869" s="15" t="n">
        <f aca="false">M3869-L3869</f>
        <v>316.34</v>
      </c>
      <c r="O3869" s="1" t="n">
        <f aca="false">YEAR(B3869)</f>
        <v>2032</v>
      </c>
      <c r="P3869" s="1" t="n">
        <f aca="false">MONTH(B3869)</f>
        <v>8</v>
      </c>
      <c r="Q3869" s="1" t="str">
        <f aca="false">TEXT(B3869,"mmm")</f>
        <v>Aug</v>
      </c>
      <c r="R3869" s="1" t="str">
        <f aca="false">"Q"&amp;ROUNDUP(MONTH(B3869)/3,0)</f>
        <v>Q3</v>
      </c>
    </row>
    <row r="3870" customFormat="false" ht="15" hidden="false" customHeight="true" outlineLevel="0" collapsed="false">
      <c r="A3870" s="1" t="n">
        <v>13869</v>
      </c>
      <c r="B3870" s="14" t="n">
        <v>48430</v>
      </c>
      <c r="C3870" s="1" t="n">
        <v>1637</v>
      </c>
      <c r="D3870" s="1" t="s">
        <v>34</v>
      </c>
      <c r="E3870" s="1" t="s">
        <v>35</v>
      </c>
      <c r="F3870" s="1" t="n">
        <v>7</v>
      </c>
      <c r="G3870" s="15" t="n">
        <v>359.24</v>
      </c>
      <c r="H3870" s="16" t="n">
        <v>0.2</v>
      </c>
      <c r="I3870" s="1" t="s">
        <v>31</v>
      </c>
      <c r="J3870" s="1" t="n">
        <v>9</v>
      </c>
      <c r="K3870" s="1" t="n">
        <v>4.5</v>
      </c>
      <c r="L3870" s="15" t="n">
        <v>2011.74</v>
      </c>
      <c r="M3870" s="15" t="n">
        <f aca="false">F3870*G3870</f>
        <v>2514.68</v>
      </c>
      <c r="N3870" s="15" t="n">
        <f aca="false">M3870-L3870</f>
        <v>502.94</v>
      </c>
      <c r="O3870" s="1" t="n">
        <f aca="false">YEAR(B3870)</f>
        <v>2032</v>
      </c>
      <c r="P3870" s="1" t="n">
        <f aca="false">MONTH(B3870)</f>
        <v>8</v>
      </c>
      <c r="Q3870" s="1" t="str">
        <f aca="false">TEXT(B3870,"mmm")</f>
        <v>Aug</v>
      </c>
      <c r="R3870" s="1" t="str">
        <f aca="false">"Q"&amp;ROUNDUP(MONTH(B3870)/3,0)</f>
        <v>Q3</v>
      </c>
    </row>
    <row r="3871" customFormat="false" ht="15" hidden="false" customHeight="true" outlineLevel="0" collapsed="false">
      <c r="A3871" s="1" t="n">
        <v>13870</v>
      </c>
      <c r="B3871" s="14" t="n">
        <v>48431</v>
      </c>
      <c r="C3871" s="1" t="n">
        <v>1742</v>
      </c>
      <c r="D3871" s="1" t="s">
        <v>34</v>
      </c>
      <c r="E3871" s="1" t="s">
        <v>36</v>
      </c>
      <c r="F3871" s="1" t="n">
        <v>3</v>
      </c>
      <c r="G3871" s="15" t="n">
        <v>227.25</v>
      </c>
      <c r="H3871" s="16" t="n">
        <v>0.21</v>
      </c>
      <c r="I3871" s="1" t="s">
        <v>31</v>
      </c>
      <c r="J3871" s="1" t="n">
        <v>2</v>
      </c>
      <c r="K3871" s="1" t="n">
        <v>2.8</v>
      </c>
      <c r="L3871" s="15" t="n">
        <v>538.58</v>
      </c>
      <c r="M3871" s="15" t="n">
        <f aca="false">F3871*G3871</f>
        <v>681.75</v>
      </c>
      <c r="N3871" s="15" t="n">
        <f aca="false">M3871-L3871</f>
        <v>143.17</v>
      </c>
      <c r="O3871" s="1" t="n">
        <f aca="false">YEAR(B3871)</f>
        <v>2032</v>
      </c>
      <c r="P3871" s="1" t="n">
        <f aca="false">MONTH(B3871)</f>
        <v>8</v>
      </c>
      <c r="Q3871" s="1" t="str">
        <f aca="false">TEXT(B3871,"mmm")</f>
        <v>Aug</v>
      </c>
      <c r="R3871" s="1" t="str">
        <f aca="false">"Q"&amp;ROUNDUP(MONTH(B3871)/3,0)</f>
        <v>Q3</v>
      </c>
    </row>
    <row r="3872" customFormat="false" ht="15" hidden="false" customHeight="true" outlineLevel="0" collapsed="false">
      <c r="A3872" s="1" t="n">
        <v>13871</v>
      </c>
      <c r="B3872" s="14" t="n">
        <v>48432</v>
      </c>
      <c r="C3872" s="1" t="n">
        <v>1294</v>
      </c>
      <c r="D3872" s="1" t="s">
        <v>30</v>
      </c>
      <c r="E3872" s="1" t="s">
        <v>36</v>
      </c>
      <c r="F3872" s="1" t="n">
        <v>6</v>
      </c>
      <c r="G3872" s="15" t="n">
        <v>373.67</v>
      </c>
      <c r="H3872" s="16" t="n">
        <v>0.19</v>
      </c>
      <c r="I3872" s="1" t="s">
        <v>33</v>
      </c>
      <c r="J3872" s="1" t="n">
        <v>6</v>
      </c>
      <c r="K3872" s="1" t="n">
        <v>3.4</v>
      </c>
      <c r="L3872" s="15" t="n">
        <v>1816.04</v>
      </c>
      <c r="M3872" s="15" t="n">
        <f aca="false">F3872*G3872</f>
        <v>2242.02</v>
      </c>
      <c r="N3872" s="15" t="n">
        <f aca="false">M3872-L3872</f>
        <v>425.98</v>
      </c>
      <c r="O3872" s="1" t="n">
        <f aca="false">YEAR(B3872)</f>
        <v>2032</v>
      </c>
      <c r="P3872" s="1" t="n">
        <f aca="false">MONTH(B3872)</f>
        <v>8</v>
      </c>
      <c r="Q3872" s="1" t="str">
        <f aca="false">TEXT(B3872,"mmm")</f>
        <v>Aug</v>
      </c>
      <c r="R3872" s="1" t="str">
        <f aca="false">"Q"&amp;ROUNDUP(MONTH(B3872)/3,0)</f>
        <v>Q3</v>
      </c>
    </row>
    <row r="3873" customFormat="false" ht="15" hidden="false" customHeight="true" outlineLevel="0" collapsed="false">
      <c r="A3873" s="1" t="n">
        <v>13872</v>
      </c>
      <c r="B3873" s="14" t="n">
        <v>48433</v>
      </c>
      <c r="C3873" s="1" t="n">
        <v>1930</v>
      </c>
      <c r="D3873" s="1" t="s">
        <v>34</v>
      </c>
      <c r="E3873" s="1" t="s">
        <v>28</v>
      </c>
      <c r="F3873" s="1" t="n">
        <v>6</v>
      </c>
      <c r="G3873" s="15" t="n">
        <v>528.76</v>
      </c>
      <c r="H3873" s="16" t="n">
        <v>0.25</v>
      </c>
      <c r="I3873" s="1" t="s">
        <v>31</v>
      </c>
      <c r="J3873" s="1" t="n">
        <v>4</v>
      </c>
      <c r="K3873" s="1" t="n">
        <v>4.3</v>
      </c>
      <c r="L3873" s="15" t="n">
        <v>2379.42</v>
      </c>
      <c r="M3873" s="15" t="n">
        <f aca="false">F3873*G3873</f>
        <v>3172.56</v>
      </c>
      <c r="N3873" s="15" t="n">
        <f aca="false">M3873-L3873</f>
        <v>793.14</v>
      </c>
      <c r="O3873" s="1" t="n">
        <f aca="false">YEAR(B3873)</f>
        <v>2032</v>
      </c>
      <c r="P3873" s="1" t="n">
        <f aca="false">MONTH(B3873)</f>
        <v>8</v>
      </c>
      <c r="Q3873" s="1" t="str">
        <f aca="false">TEXT(B3873,"mmm")</f>
        <v>Aug</v>
      </c>
      <c r="R3873" s="1" t="str">
        <f aca="false">"Q"&amp;ROUNDUP(MONTH(B3873)/3,0)</f>
        <v>Q3</v>
      </c>
    </row>
    <row r="3874" customFormat="false" ht="15" hidden="false" customHeight="true" outlineLevel="0" collapsed="false">
      <c r="A3874" s="1" t="n">
        <v>13873</v>
      </c>
      <c r="B3874" s="14" t="n">
        <v>48434</v>
      </c>
      <c r="C3874" s="1" t="n">
        <v>1640</v>
      </c>
      <c r="D3874" s="1" t="s">
        <v>34</v>
      </c>
      <c r="E3874" s="1" t="s">
        <v>28</v>
      </c>
      <c r="F3874" s="1" t="n">
        <v>1</v>
      </c>
      <c r="G3874" s="15" t="n">
        <v>573.95</v>
      </c>
      <c r="H3874" s="16" t="n">
        <v>0.15</v>
      </c>
      <c r="I3874" s="1" t="s">
        <v>31</v>
      </c>
      <c r="J3874" s="1" t="n">
        <v>6</v>
      </c>
      <c r="K3874" s="1" t="n">
        <v>3.2</v>
      </c>
      <c r="L3874" s="15" t="n">
        <v>487.86</v>
      </c>
      <c r="M3874" s="15" t="n">
        <f aca="false">F3874*G3874</f>
        <v>573.95</v>
      </c>
      <c r="N3874" s="15" t="n">
        <f aca="false">M3874-L3874</f>
        <v>86.09</v>
      </c>
      <c r="O3874" s="1" t="n">
        <f aca="false">YEAR(B3874)</f>
        <v>2032</v>
      </c>
      <c r="P3874" s="1" t="n">
        <f aca="false">MONTH(B3874)</f>
        <v>8</v>
      </c>
      <c r="Q3874" s="1" t="str">
        <f aca="false">TEXT(B3874,"mmm")</f>
        <v>Aug</v>
      </c>
      <c r="R3874" s="1" t="str">
        <f aca="false">"Q"&amp;ROUNDUP(MONTH(B3874)/3,0)</f>
        <v>Q3</v>
      </c>
    </row>
    <row r="3875" customFormat="false" ht="15" hidden="false" customHeight="true" outlineLevel="0" collapsed="false">
      <c r="A3875" s="1" t="n">
        <v>13874</v>
      </c>
      <c r="B3875" s="14" t="n">
        <v>48435</v>
      </c>
      <c r="C3875" s="1" t="n">
        <v>1791</v>
      </c>
      <c r="D3875" s="1" t="s">
        <v>37</v>
      </c>
      <c r="E3875" s="1" t="s">
        <v>32</v>
      </c>
      <c r="F3875" s="1" t="n">
        <v>7</v>
      </c>
      <c r="G3875" s="15" t="n">
        <v>356.41</v>
      </c>
      <c r="H3875" s="16" t="n">
        <v>0.23</v>
      </c>
      <c r="I3875" s="1" t="s">
        <v>33</v>
      </c>
      <c r="J3875" s="1" t="n">
        <v>2</v>
      </c>
      <c r="K3875" s="1" t="n">
        <v>3.9</v>
      </c>
      <c r="L3875" s="15" t="n">
        <v>1921.05</v>
      </c>
      <c r="M3875" s="15" t="n">
        <f aca="false">F3875*G3875</f>
        <v>2494.87</v>
      </c>
      <c r="N3875" s="15" t="n">
        <f aca="false">M3875-L3875</f>
        <v>573.82</v>
      </c>
      <c r="O3875" s="1" t="n">
        <f aca="false">YEAR(B3875)</f>
        <v>2032</v>
      </c>
      <c r="P3875" s="1" t="n">
        <f aca="false">MONTH(B3875)</f>
        <v>8</v>
      </c>
      <c r="Q3875" s="1" t="str">
        <f aca="false">TEXT(B3875,"mmm")</f>
        <v>Aug</v>
      </c>
      <c r="R3875" s="1" t="str">
        <f aca="false">"Q"&amp;ROUNDUP(MONTH(B3875)/3,0)</f>
        <v>Q3</v>
      </c>
    </row>
    <row r="3876" customFormat="false" ht="15" hidden="false" customHeight="true" outlineLevel="0" collapsed="false">
      <c r="A3876" s="1" t="n">
        <v>13875</v>
      </c>
      <c r="B3876" s="14" t="n">
        <v>48436</v>
      </c>
      <c r="C3876" s="1" t="n">
        <v>1312</v>
      </c>
      <c r="D3876" s="1" t="s">
        <v>34</v>
      </c>
      <c r="E3876" s="1" t="s">
        <v>32</v>
      </c>
      <c r="F3876" s="1" t="n">
        <v>1</v>
      </c>
      <c r="G3876" s="15" t="n">
        <v>39.92</v>
      </c>
      <c r="H3876" s="16" t="n">
        <v>0.04</v>
      </c>
      <c r="I3876" s="1" t="s">
        <v>33</v>
      </c>
      <c r="J3876" s="1" t="n">
        <v>2</v>
      </c>
      <c r="K3876" s="1" t="n">
        <v>2.4</v>
      </c>
      <c r="L3876" s="15" t="n">
        <v>38.32</v>
      </c>
      <c r="M3876" s="15" t="n">
        <f aca="false">F3876*G3876</f>
        <v>39.92</v>
      </c>
      <c r="N3876" s="15" t="n">
        <f aca="false">M3876-L3876</f>
        <v>1.6</v>
      </c>
      <c r="O3876" s="1" t="n">
        <f aca="false">YEAR(B3876)</f>
        <v>2032</v>
      </c>
      <c r="P3876" s="1" t="n">
        <f aca="false">MONTH(B3876)</f>
        <v>8</v>
      </c>
      <c r="Q3876" s="1" t="str">
        <f aca="false">TEXT(B3876,"mmm")</f>
        <v>Aug</v>
      </c>
      <c r="R3876" s="1" t="str">
        <f aca="false">"Q"&amp;ROUNDUP(MONTH(B3876)/3,0)</f>
        <v>Q3</v>
      </c>
    </row>
    <row r="3877" customFormat="false" ht="15" hidden="false" customHeight="true" outlineLevel="0" collapsed="false">
      <c r="A3877" s="1" t="n">
        <v>13876</v>
      </c>
      <c r="B3877" s="14" t="n">
        <v>48437</v>
      </c>
      <c r="C3877" s="1" t="n">
        <v>1611</v>
      </c>
      <c r="D3877" s="1" t="s">
        <v>30</v>
      </c>
      <c r="E3877" s="1" t="s">
        <v>28</v>
      </c>
      <c r="F3877" s="1" t="n">
        <v>3</v>
      </c>
      <c r="G3877" s="15" t="n">
        <v>582</v>
      </c>
      <c r="H3877" s="16" t="n">
        <v>0.09</v>
      </c>
      <c r="I3877" s="1" t="s">
        <v>31</v>
      </c>
      <c r="J3877" s="1" t="n">
        <v>7</v>
      </c>
      <c r="K3877" s="1" t="n">
        <v>3.9</v>
      </c>
      <c r="L3877" s="15" t="n">
        <v>1588.86</v>
      </c>
      <c r="M3877" s="15" t="n">
        <f aca="false">F3877*G3877</f>
        <v>1746</v>
      </c>
      <c r="N3877" s="15" t="n">
        <f aca="false">M3877-L3877</f>
        <v>157.14</v>
      </c>
      <c r="O3877" s="1" t="n">
        <f aca="false">YEAR(B3877)</f>
        <v>2032</v>
      </c>
      <c r="P3877" s="1" t="n">
        <f aca="false">MONTH(B3877)</f>
        <v>8</v>
      </c>
      <c r="Q3877" s="1" t="str">
        <f aca="false">TEXT(B3877,"mmm")</f>
        <v>Aug</v>
      </c>
      <c r="R3877" s="1" t="str">
        <f aca="false">"Q"&amp;ROUNDUP(MONTH(B3877)/3,0)</f>
        <v>Q3</v>
      </c>
    </row>
    <row r="3878" customFormat="false" ht="15" hidden="false" customHeight="true" outlineLevel="0" collapsed="false">
      <c r="A3878" s="1" t="n">
        <v>13877</v>
      </c>
      <c r="B3878" s="14" t="n">
        <v>48438</v>
      </c>
      <c r="C3878" s="1" t="n">
        <v>1837</v>
      </c>
      <c r="D3878" s="1" t="s">
        <v>30</v>
      </c>
      <c r="E3878" s="1" t="s">
        <v>28</v>
      </c>
      <c r="F3878" s="1" t="n">
        <v>7</v>
      </c>
      <c r="G3878" s="15" t="n">
        <v>427.93</v>
      </c>
      <c r="H3878" s="16" t="n">
        <v>0.29</v>
      </c>
      <c r="I3878" s="1" t="s">
        <v>33</v>
      </c>
      <c r="J3878" s="1" t="n">
        <v>3</v>
      </c>
      <c r="K3878" s="1" t="n">
        <v>1.2</v>
      </c>
      <c r="L3878" s="15" t="n">
        <v>2126.81</v>
      </c>
      <c r="M3878" s="15" t="n">
        <f aca="false">F3878*G3878</f>
        <v>2995.51</v>
      </c>
      <c r="N3878" s="15" t="n">
        <f aca="false">M3878-L3878</f>
        <v>868.7</v>
      </c>
      <c r="O3878" s="1" t="n">
        <f aca="false">YEAR(B3878)</f>
        <v>2032</v>
      </c>
      <c r="P3878" s="1" t="n">
        <f aca="false">MONTH(B3878)</f>
        <v>8</v>
      </c>
      <c r="Q3878" s="1" t="str">
        <f aca="false">TEXT(B3878,"mmm")</f>
        <v>Aug</v>
      </c>
      <c r="R3878" s="1" t="str">
        <f aca="false">"Q"&amp;ROUNDUP(MONTH(B3878)/3,0)</f>
        <v>Q3</v>
      </c>
    </row>
    <row r="3879" customFormat="false" ht="15" hidden="false" customHeight="true" outlineLevel="0" collapsed="false">
      <c r="A3879" s="1" t="n">
        <v>13878</v>
      </c>
      <c r="B3879" s="14" t="n">
        <v>48439</v>
      </c>
      <c r="C3879" s="1" t="n">
        <v>1808</v>
      </c>
      <c r="D3879" s="1" t="s">
        <v>27</v>
      </c>
      <c r="E3879" s="1" t="s">
        <v>36</v>
      </c>
      <c r="F3879" s="1" t="n">
        <v>3</v>
      </c>
      <c r="G3879" s="15" t="n">
        <v>211.54</v>
      </c>
      <c r="H3879" s="16" t="n">
        <v>0.32</v>
      </c>
      <c r="I3879" s="1" t="s">
        <v>31</v>
      </c>
      <c r="J3879" s="1" t="n">
        <v>3</v>
      </c>
      <c r="K3879" s="1" t="n">
        <v>1.6</v>
      </c>
      <c r="L3879" s="15" t="n">
        <v>431.54</v>
      </c>
      <c r="M3879" s="15" t="n">
        <f aca="false">F3879*G3879</f>
        <v>634.62</v>
      </c>
      <c r="N3879" s="15" t="n">
        <f aca="false">M3879-L3879</f>
        <v>203.08</v>
      </c>
      <c r="O3879" s="1" t="n">
        <f aca="false">YEAR(B3879)</f>
        <v>2032</v>
      </c>
      <c r="P3879" s="1" t="n">
        <f aca="false">MONTH(B3879)</f>
        <v>8</v>
      </c>
      <c r="Q3879" s="1" t="str">
        <f aca="false">TEXT(B3879,"mmm")</f>
        <v>Aug</v>
      </c>
      <c r="R3879" s="1" t="str">
        <f aca="false">"Q"&amp;ROUNDUP(MONTH(B3879)/3,0)</f>
        <v>Q3</v>
      </c>
    </row>
    <row r="3880" customFormat="false" ht="15" hidden="false" customHeight="true" outlineLevel="0" collapsed="false">
      <c r="A3880" s="1" t="n">
        <v>13879</v>
      </c>
      <c r="B3880" s="14" t="n">
        <v>48440</v>
      </c>
      <c r="C3880" s="1" t="n">
        <v>1181</v>
      </c>
      <c r="D3880" s="1" t="s">
        <v>30</v>
      </c>
      <c r="E3880" s="1" t="s">
        <v>28</v>
      </c>
      <c r="F3880" s="1" t="n">
        <v>2</v>
      </c>
      <c r="G3880" s="15" t="n">
        <v>101.09</v>
      </c>
      <c r="H3880" s="16" t="n">
        <v>0.19</v>
      </c>
      <c r="I3880" s="1" t="s">
        <v>31</v>
      </c>
      <c r="J3880" s="1" t="n">
        <v>7</v>
      </c>
      <c r="K3880" s="1" t="n">
        <v>3.5</v>
      </c>
      <c r="L3880" s="15" t="n">
        <v>163.77</v>
      </c>
      <c r="M3880" s="15" t="n">
        <f aca="false">F3880*G3880</f>
        <v>202.18</v>
      </c>
      <c r="N3880" s="15" t="n">
        <f aca="false">M3880-L3880</f>
        <v>38.41</v>
      </c>
      <c r="O3880" s="1" t="n">
        <f aca="false">YEAR(B3880)</f>
        <v>2032</v>
      </c>
      <c r="P3880" s="1" t="n">
        <f aca="false">MONTH(B3880)</f>
        <v>8</v>
      </c>
      <c r="Q3880" s="1" t="str">
        <f aca="false">TEXT(B3880,"mmm")</f>
        <v>Aug</v>
      </c>
      <c r="R3880" s="1" t="str">
        <f aca="false">"Q"&amp;ROUNDUP(MONTH(B3880)/3,0)</f>
        <v>Q3</v>
      </c>
    </row>
    <row r="3881" customFormat="false" ht="15" hidden="false" customHeight="true" outlineLevel="0" collapsed="false">
      <c r="A3881" s="1" t="n">
        <v>13880</v>
      </c>
      <c r="B3881" s="14" t="n">
        <v>48441</v>
      </c>
      <c r="C3881" s="1" t="n">
        <v>1685</v>
      </c>
      <c r="D3881" s="1" t="s">
        <v>34</v>
      </c>
      <c r="E3881" s="1" t="s">
        <v>32</v>
      </c>
      <c r="F3881" s="1" t="n">
        <v>7</v>
      </c>
      <c r="G3881" s="15" t="n">
        <v>98.9</v>
      </c>
      <c r="H3881" s="16" t="n">
        <v>0.01</v>
      </c>
      <c r="I3881" s="1" t="s">
        <v>33</v>
      </c>
      <c r="J3881" s="1" t="n">
        <v>8</v>
      </c>
      <c r="K3881" s="1" t="n">
        <v>2.8</v>
      </c>
      <c r="L3881" s="15" t="n">
        <v>685.38</v>
      </c>
      <c r="M3881" s="15" t="n">
        <f aca="false">F3881*G3881</f>
        <v>692.3</v>
      </c>
      <c r="N3881" s="15" t="n">
        <f aca="false">M3881-L3881</f>
        <v>6.92000000000007</v>
      </c>
      <c r="O3881" s="1" t="n">
        <f aca="false">YEAR(B3881)</f>
        <v>2032</v>
      </c>
      <c r="P3881" s="1" t="n">
        <f aca="false">MONTH(B3881)</f>
        <v>8</v>
      </c>
      <c r="Q3881" s="1" t="str">
        <f aca="false">TEXT(B3881,"mmm")</f>
        <v>Aug</v>
      </c>
      <c r="R3881" s="1" t="str">
        <f aca="false">"Q"&amp;ROUNDUP(MONTH(B3881)/3,0)</f>
        <v>Q3</v>
      </c>
    </row>
    <row r="3882" customFormat="false" ht="15" hidden="false" customHeight="true" outlineLevel="0" collapsed="false">
      <c r="A3882" s="1" t="n">
        <v>13881</v>
      </c>
      <c r="B3882" s="14" t="n">
        <v>48442</v>
      </c>
      <c r="C3882" s="1" t="n">
        <v>1827</v>
      </c>
      <c r="D3882" s="1" t="s">
        <v>30</v>
      </c>
      <c r="E3882" s="1" t="s">
        <v>36</v>
      </c>
      <c r="F3882" s="1" t="n">
        <v>3</v>
      </c>
      <c r="G3882" s="15" t="n">
        <v>113.13</v>
      </c>
      <c r="H3882" s="16" t="n">
        <v>0.32</v>
      </c>
      <c r="I3882" s="1" t="s">
        <v>31</v>
      </c>
      <c r="J3882" s="1" t="n">
        <v>7</v>
      </c>
      <c r="K3882" s="1" t="n">
        <v>4.3</v>
      </c>
      <c r="L3882" s="15" t="n">
        <v>230.79</v>
      </c>
      <c r="M3882" s="15" t="n">
        <f aca="false">F3882*G3882</f>
        <v>339.39</v>
      </c>
      <c r="N3882" s="15" t="n">
        <f aca="false">M3882-L3882</f>
        <v>108.6</v>
      </c>
      <c r="O3882" s="1" t="n">
        <f aca="false">YEAR(B3882)</f>
        <v>2032</v>
      </c>
      <c r="P3882" s="1" t="n">
        <f aca="false">MONTH(B3882)</f>
        <v>8</v>
      </c>
      <c r="Q3882" s="1" t="str">
        <f aca="false">TEXT(B3882,"mmm")</f>
        <v>Aug</v>
      </c>
      <c r="R3882" s="1" t="str">
        <f aca="false">"Q"&amp;ROUNDUP(MONTH(B3882)/3,0)</f>
        <v>Q3</v>
      </c>
    </row>
    <row r="3883" customFormat="false" ht="15" hidden="false" customHeight="true" outlineLevel="0" collapsed="false">
      <c r="A3883" s="1" t="n">
        <v>13882</v>
      </c>
      <c r="B3883" s="14" t="n">
        <v>48443</v>
      </c>
      <c r="C3883" s="1" t="n">
        <v>1363</v>
      </c>
      <c r="D3883" s="1" t="s">
        <v>37</v>
      </c>
      <c r="E3883" s="1" t="s">
        <v>35</v>
      </c>
      <c r="F3883" s="1" t="n">
        <v>4</v>
      </c>
      <c r="G3883" s="15" t="n">
        <v>41.66</v>
      </c>
      <c r="H3883" s="16" t="n">
        <v>0.25</v>
      </c>
      <c r="I3883" s="1" t="s">
        <v>29</v>
      </c>
      <c r="J3883" s="1" t="n">
        <v>3</v>
      </c>
      <c r="K3883" s="1" t="n">
        <v>2.4</v>
      </c>
      <c r="L3883" s="15" t="n">
        <v>124.98</v>
      </c>
      <c r="M3883" s="15" t="n">
        <f aca="false">F3883*G3883</f>
        <v>166.64</v>
      </c>
      <c r="N3883" s="15" t="n">
        <f aca="false">M3883-L3883</f>
        <v>41.66</v>
      </c>
      <c r="O3883" s="1" t="n">
        <f aca="false">YEAR(B3883)</f>
        <v>2032</v>
      </c>
      <c r="P3883" s="1" t="n">
        <f aca="false">MONTH(B3883)</f>
        <v>8</v>
      </c>
      <c r="Q3883" s="1" t="str">
        <f aca="false">TEXT(B3883,"mmm")</f>
        <v>Aug</v>
      </c>
      <c r="R3883" s="1" t="str">
        <f aca="false">"Q"&amp;ROUNDUP(MONTH(B3883)/3,0)</f>
        <v>Q3</v>
      </c>
    </row>
    <row r="3884" customFormat="false" ht="15" hidden="false" customHeight="true" outlineLevel="0" collapsed="false">
      <c r="A3884" s="1" t="n">
        <v>13883</v>
      </c>
      <c r="B3884" s="14" t="n">
        <v>48444</v>
      </c>
      <c r="C3884" s="1" t="n">
        <v>1187</v>
      </c>
      <c r="D3884" s="1" t="s">
        <v>27</v>
      </c>
      <c r="E3884" s="1" t="s">
        <v>32</v>
      </c>
      <c r="F3884" s="1" t="n">
        <v>4</v>
      </c>
      <c r="G3884" s="15" t="n">
        <v>542.76</v>
      </c>
      <c r="H3884" s="16" t="n">
        <v>0.14</v>
      </c>
      <c r="I3884" s="1" t="s">
        <v>31</v>
      </c>
      <c r="J3884" s="1" t="n">
        <v>3</v>
      </c>
      <c r="K3884" s="1" t="n">
        <v>4.1</v>
      </c>
      <c r="L3884" s="15" t="n">
        <v>1867.09</v>
      </c>
      <c r="M3884" s="15" t="n">
        <f aca="false">F3884*G3884</f>
        <v>2171.04</v>
      </c>
      <c r="N3884" s="15" t="n">
        <f aca="false">M3884-L3884</f>
        <v>303.95</v>
      </c>
      <c r="O3884" s="1" t="n">
        <f aca="false">YEAR(B3884)</f>
        <v>2032</v>
      </c>
      <c r="P3884" s="1" t="n">
        <f aca="false">MONTH(B3884)</f>
        <v>8</v>
      </c>
      <c r="Q3884" s="1" t="str">
        <f aca="false">TEXT(B3884,"mmm")</f>
        <v>Aug</v>
      </c>
      <c r="R3884" s="1" t="str">
        <f aca="false">"Q"&amp;ROUNDUP(MONTH(B3884)/3,0)</f>
        <v>Q3</v>
      </c>
    </row>
    <row r="3885" customFormat="false" ht="15" hidden="false" customHeight="true" outlineLevel="0" collapsed="false">
      <c r="A3885" s="1" t="n">
        <v>13884</v>
      </c>
      <c r="B3885" s="14" t="n">
        <v>48445</v>
      </c>
      <c r="C3885" s="1" t="n">
        <v>1568</v>
      </c>
      <c r="D3885" s="1" t="s">
        <v>30</v>
      </c>
      <c r="E3885" s="1" t="s">
        <v>32</v>
      </c>
      <c r="F3885" s="1" t="n">
        <v>6</v>
      </c>
      <c r="G3885" s="15" t="n">
        <v>331.35</v>
      </c>
      <c r="H3885" s="16" t="n">
        <v>0.21</v>
      </c>
      <c r="I3885" s="1" t="s">
        <v>33</v>
      </c>
      <c r="J3885" s="1" t="n">
        <v>7</v>
      </c>
      <c r="K3885" s="1" t="n">
        <v>1.6</v>
      </c>
      <c r="L3885" s="15" t="n">
        <v>1570.6</v>
      </c>
      <c r="M3885" s="15" t="n">
        <f aca="false">F3885*G3885</f>
        <v>1988.1</v>
      </c>
      <c r="N3885" s="15" t="n">
        <f aca="false">M3885-L3885</f>
        <v>417.5</v>
      </c>
      <c r="O3885" s="1" t="n">
        <f aca="false">YEAR(B3885)</f>
        <v>2032</v>
      </c>
      <c r="P3885" s="1" t="n">
        <f aca="false">MONTH(B3885)</f>
        <v>8</v>
      </c>
      <c r="Q3885" s="1" t="str">
        <f aca="false">TEXT(B3885,"mmm")</f>
        <v>Aug</v>
      </c>
      <c r="R3885" s="1" t="str">
        <f aca="false">"Q"&amp;ROUNDUP(MONTH(B3885)/3,0)</f>
        <v>Q3</v>
      </c>
    </row>
    <row r="3886" customFormat="false" ht="15" hidden="false" customHeight="true" outlineLevel="0" collapsed="false">
      <c r="A3886" s="1" t="n">
        <v>13885</v>
      </c>
      <c r="B3886" s="14" t="n">
        <v>48446</v>
      </c>
      <c r="C3886" s="1" t="n">
        <v>1542</v>
      </c>
      <c r="D3886" s="1" t="s">
        <v>34</v>
      </c>
      <c r="E3886" s="1" t="s">
        <v>36</v>
      </c>
      <c r="F3886" s="1" t="n">
        <v>4</v>
      </c>
      <c r="G3886" s="15" t="n">
        <v>424.48</v>
      </c>
      <c r="H3886" s="16" t="n">
        <v>0.15</v>
      </c>
      <c r="I3886" s="1" t="s">
        <v>29</v>
      </c>
      <c r="J3886" s="1" t="n">
        <v>3</v>
      </c>
      <c r="K3886" s="1" t="n">
        <v>4.7</v>
      </c>
      <c r="L3886" s="15" t="n">
        <v>1443.23</v>
      </c>
      <c r="M3886" s="15" t="n">
        <f aca="false">F3886*G3886</f>
        <v>1697.92</v>
      </c>
      <c r="N3886" s="15" t="n">
        <f aca="false">M3886-L3886</f>
        <v>254.69</v>
      </c>
      <c r="O3886" s="1" t="n">
        <f aca="false">YEAR(B3886)</f>
        <v>2032</v>
      </c>
      <c r="P3886" s="1" t="n">
        <f aca="false">MONTH(B3886)</f>
        <v>8</v>
      </c>
      <c r="Q3886" s="1" t="str">
        <f aca="false">TEXT(B3886,"mmm")</f>
        <v>Aug</v>
      </c>
      <c r="R3886" s="1" t="str">
        <f aca="false">"Q"&amp;ROUNDUP(MONTH(B3886)/3,0)</f>
        <v>Q3</v>
      </c>
    </row>
    <row r="3887" customFormat="false" ht="15" hidden="false" customHeight="true" outlineLevel="0" collapsed="false">
      <c r="A3887" s="1" t="n">
        <v>13886</v>
      </c>
      <c r="B3887" s="14" t="n">
        <v>48447</v>
      </c>
      <c r="C3887" s="1" t="n">
        <v>1595</v>
      </c>
      <c r="D3887" s="1" t="s">
        <v>27</v>
      </c>
      <c r="E3887" s="1" t="s">
        <v>35</v>
      </c>
      <c r="F3887" s="1" t="n">
        <v>7</v>
      </c>
      <c r="G3887" s="15" t="n">
        <v>499.44</v>
      </c>
      <c r="H3887" s="16" t="n">
        <v>0.16</v>
      </c>
      <c r="I3887" s="1" t="s">
        <v>29</v>
      </c>
      <c r="J3887" s="1" t="n">
        <v>2</v>
      </c>
      <c r="K3887" s="1" t="n">
        <v>2.7</v>
      </c>
      <c r="L3887" s="15" t="n">
        <v>2936.71</v>
      </c>
      <c r="M3887" s="15" t="n">
        <f aca="false">F3887*G3887</f>
        <v>3496.08</v>
      </c>
      <c r="N3887" s="15" t="n">
        <f aca="false">M3887-L3887</f>
        <v>559.37</v>
      </c>
      <c r="O3887" s="1" t="n">
        <f aca="false">YEAR(B3887)</f>
        <v>2032</v>
      </c>
      <c r="P3887" s="1" t="n">
        <f aca="false">MONTH(B3887)</f>
        <v>8</v>
      </c>
      <c r="Q3887" s="1" t="str">
        <f aca="false">TEXT(B3887,"mmm")</f>
        <v>Aug</v>
      </c>
      <c r="R3887" s="1" t="str">
        <f aca="false">"Q"&amp;ROUNDUP(MONTH(B3887)/3,0)</f>
        <v>Q3</v>
      </c>
    </row>
    <row r="3888" customFormat="false" ht="15" hidden="false" customHeight="true" outlineLevel="0" collapsed="false">
      <c r="A3888" s="1" t="n">
        <v>13887</v>
      </c>
      <c r="B3888" s="14" t="n">
        <v>48448</v>
      </c>
      <c r="C3888" s="1" t="n">
        <v>1663</v>
      </c>
      <c r="D3888" s="1" t="s">
        <v>34</v>
      </c>
      <c r="E3888" s="1" t="s">
        <v>32</v>
      </c>
      <c r="F3888" s="1" t="n">
        <v>4</v>
      </c>
      <c r="G3888" s="15" t="n">
        <v>478.05</v>
      </c>
      <c r="H3888" s="16" t="n">
        <v>0.31</v>
      </c>
      <c r="I3888" s="1" t="s">
        <v>31</v>
      </c>
      <c r="J3888" s="1" t="n">
        <v>7</v>
      </c>
      <c r="K3888" s="1" t="n">
        <v>1.9</v>
      </c>
      <c r="L3888" s="15" t="n">
        <v>1319.42</v>
      </c>
      <c r="M3888" s="15" t="n">
        <f aca="false">F3888*G3888</f>
        <v>1912.2</v>
      </c>
      <c r="N3888" s="15" t="n">
        <f aca="false">M3888-L3888</f>
        <v>592.78</v>
      </c>
      <c r="O3888" s="1" t="n">
        <f aca="false">YEAR(B3888)</f>
        <v>2032</v>
      </c>
      <c r="P3888" s="1" t="n">
        <f aca="false">MONTH(B3888)</f>
        <v>8</v>
      </c>
      <c r="Q3888" s="1" t="str">
        <f aca="false">TEXT(B3888,"mmm")</f>
        <v>Aug</v>
      </c>
      <c r="R3888" s="1" t="str">
        <f aca="false">"Q"&amp;ROUNDUP(MONTH(B3888)/3,0)</f>
        <v>Q3</v>
      </c>
    </row>
    <row r="3889" customFormat="false" ht="15" hidden="false" customHeight="true" outlineLevel="0" collapsed="false">
      <c r="A3889" s="1" t="n">
        <v>13888</v>
      </c>
      <c r="B3889" s="14" t="n">
        <v>48449</v>
      </c>
      <c r="C3889" s="1" t="n">
        <v>1984</v>
      </c>
      <c r="D3889" s="1" t="s">
        <v>30</v>
      </c>
      <c r="E3889" s="1" t="s">
        <v>28</v>
      </c>
      <c r="F3889" s="1" t="n">
        <v>4</v>
      </c>
      <c r="G3889" s="15" t="n">
        <v>531.32</v>
      </c>
      <c r="H3889" s="16" t="n">
        <v>0.06</v>
      </c>
      <c r="I3889" s="1" t="s">
        <v>29</v>
      </c>
      <c r="J3889" s="1" t="n">
        <v>3</v>
      </c>
      <c r="K3889" s="1" t="n">
        <v>4.2</v>
      </c>
      <c r="L3889" s="15" t="n">
        <v>1997.76</v>
      </c>
      <c r="M3889" s="15" t="n">
        <f aca="false">F3889*G3889</f>
        <v>2125.28</v>
      </c>
      <c r="N3889" s="15" t="n">
        <f aca="false">M3889-L3889</f>
        <v>127.52</v>
      </c>
      <c r="O3889" s="1" t="n">
        <f aca="false">YEAR(B3889)</f>
        <v>2032</v>
      </c>
      <c r="P3889" s="1" t="n">
        <f aca="false">MONTH(B3889)</f>
        <v>8</v>
      </c>
      <c r="Q3889" s="1" t="str">
        <f aca="false">TEXT(B3889,"mmm")</f>
        <v>Aug</v>
      </c>
      <c r="R3889" s="1" t="str">
        <f aca="false">"Q"&amp;ROUNDUP(MONTH(B3889)/3,0)</f>
        <v>Q3</v>
      </c>
    </row>
    <row r="3890" customFormat="false" ht="15" hidden="false" customHeight="true" outlineLevel="0" collapsed="false">
      <c r="A3890" s="1" t="n">
        <v>13889</v>
      </c>
      <c r="B3890" s="14" t="n">
        <v>48450</v>
      </c>
      <c r="C3890" s="1" t="n">
        <v>1547</v>
      </c>
      <c r="D3890" s="1" t="s">
        <v>30</v>
      </c>
      <c r="E3890" s="1" t="s">
        <v>32</v>
      </c>
      <c r="F3890" s="1" t="n">
        <v>2</v>
      </c>
      <c r="G3890" s="15" t="n">
        <v>580.84</v>
      </c>
      <c r="H3890" s="16" t="n">
        <v>0.04</v>
      </c>
      <c r="I3890" s="1" t="s">
        <v>29</v>
      </c>
      <c r="J3890" s="1" t="n">
        <v>5</v>
      </c>
      <c r="K3890" s="1" t="n">
        <v>4.8</v>
      </c>
      <c r="L3890" s="15" t="n">
        <v>1115.21</v>
      </c>
      <c r="M3890" s="15" t="n">
        <f aca="false">F3890*G3890</f>
        <v>1161.68</v>
      </c>
      <c r="N3890" s="15" t="n">
        <f aca="false">M3890-L3890</f>
        <v>46.47</v>
      </c>
      <c r="O3890" s="1" t="n">
        <f aca="false">YEAR(B3890)</f>
        <v>2032</v>
      </c>
      <c r="P3890" s="1" t="n">
        <f aca="false">MONTH(B3890)</f>
        <v>8</v>
      </c>
      <c r="Q3890" s="1" t="str">
        <f aca="false">TEXT(B3890,"mmm")</f>
        <v>Aug</v>
      </c>
      <c r="R3890" s="1" t="str">
        <f aca="false">"Q"&amp;ROUNDUP(MONTH(B3890)/3,0)</f>
        <v>Q3</v>
      </c>
    </row>
    <row r="3891" customFormat="false" ht="15" hidden="false" customHeight="true" outlineLevel="0" collapsed="false">
      <c r="A3891" s="1" t="n">
        <v>13890</v>
      </c>
      <c r="B3891" s="14" t="n">
        <v>48451</v>
      </c>
      <c r="C3891" s="1" t="n">
        <v>1724</v>
      </c>
      <c r="D3891" s="1" t="s">
        <v>34</v>
      </c>
      <c r="E3891" s="1" t="s">
        <v>36</v>
      </c>
      <c r="F3891" s="1" t="n">
        <v>6</v>
      </c>
      <c r="G3891" s="15" t="n">
        <v>271.86</v>
      </c>
      <c r="H3891" s="16" t="n">
        <v>0</v>
      </c>
      <c r="I3891" s="1" t="s">
        <v>31</v>
      </c>
      <c r="J3891" s="1" t="n">
        <v>7</v>
      </c>
      <c r="K3891" s="1" t="n">
        <v>4.7</v>
      </c>
      <c r="L3891" s="15" t="n">
        <v>1631.16</v>
      </c>
      <c r="M3891" s="15" t="n">
        <f aca="false">F3891*G3891</f>
        <v>1631.16</v>
      </c>
      <c r="N3891" s="15" t="n">
        <f aca="false">M3891-L3891</f>
        <v>0</v>
      </c>
      <c r="O3891" s="1" t="n">
        <f aca="false">YEAR(B3891)</f>
        <v>2032</v>
      </c>
      <c r="P3891" s="1" t="n">
        <f aca="false">MONTH(B3891)</f>
        <v>8</v>
      </c>
      <c r="Q3891" s="1" t="str">
        <f aca="false">TEXT(B3891,"mmm")</f>
        <v>Aug</v>
      </c>
      <c r="R3891" s="1" t="str">
        <f aca="false">"Q"&amp;ROUNDUP(MONTH(B3891)/3,0)</f>
        <v>Q3</v>
      </c>
    </row>
    <row r="3892" customFormat="false" ht="15" hidden="false" customHeight="true" outlineLevel="0" collapsed="false">
      <c r="A3892" s="1" t="n">
        <v>13891</v>
      </c>
      <c r="B3892" s="14" t="n">
        <v>48452</v>
      </c>
      <c r="C3892" s="1" t="n">
        <v>1925</v>
      </c>
      <c r="D3892" s="1" t="s">
        <v>34</v>
      </c>
      <c r="E3892" s="1" t="s">
        <v>36</v>
      </c>
      <c r="F3892" s="1" t="n">
        <v>1</v>
      </c>
      <c r="G3892" s="15" t="n">
        <v>570.95</v>
      </c>
      <c r="H3892" s="16" t="n">
        <v>0.11</v>
      </c>
      <c r="I3892" s="1" t="s">
        <v>33</v>
      </c>
      <c r="J3892" s="1" t="n">
        <v>2</v>
      </c>
      <c r="K3892" s="1" t="n">
        <v>2</v>
      </c>
      <c r="L3892" s="15" t="n">
        <v>508.15</v>
      </c>
      <c r="M3892" s="15" t="n">
        <f aca="false">F3892*G3892</f>
        <v>570.95</v>
      </c>
      <c r="N3892" s="15" t="n">
        <f aca="false">M3892-L3892</f>
        <v>62.8000000000001</v>
      </c>
      <c r="O3892" s="1" t="n">
        <f aca="false">YEAR(B3892)</f>
        <v>2032</v>
      </c>
      <c r="P3892" s="1" t="n">
        <f aca="false">MONTH(B3892)</f>
        <v>8</v>
      </c>
      <c r="Q3892" s="1" t="str">
        <f aca="false">TEXT(B3892,"mmm")</f>
        <v>Aug</v>
      </c>
      <c r="R3892" s="1" t="str">
        <f aca="false">"Q"&amp;ROUNDUP(MONTH(B3892)/3,0)</f>
        <v>Q3</v>
      </c>
    </row>
    <row r="3893" customFormat="false" ht="15" hidden="false" customHeight="true" outlineLevel="0" collapsed="false">
      <c r="A3893" s="1" t="n">
        <v>13892</v>
      </c>
      <c r="B3893" s="14" t="n">
        <v>48453</v>
      </c>
      <c r="C3893" s="1" t="n">
        <v>1407</v>
      </c>
      <c r="D3893" s="1" t="s">
        <v>34</v>
      </c>
      <c r="E3893" s="1" t="s">
        <v>36</v>
      </c>
      <c r="F3893" s="1" t="n">
        <v>6</v>
      </c>
      <c r="G3893" s="15" t="n">
        <v>438.12</v>
      </c>
      <c r="H3893" s="16" t="n">
        <v>0.05</v>
      </c>
      <c r="I3893" s="1" t="s">
        <v>31</v>
      </c>
      <c r="J3893" s="1" t="n">
        <v>8</v>
      </c>
      <c r="K3893" s="1" t="n">
        <v>3.7</v>
      </c>
      <c r="L3893" s="15" t="n">
        <v>2497.28</v>
      </c>
      <c r="M3893" s="15" t="n">
        <f aca="false">F3893*G3893</f>
        <v>2628.72</v>
      </c>
      <c r="N3893" s="15" t="n">
        <f aca="false">M3893-L3893</f>
        <v>131.44</v>
      </c>
      <c r="O3893" s="1" t="n">
        <f aca="false">YEAR(B3893)</f>
        <v>2032</v>
      </c>
      <c r="P3893" s="1" t="n">
        <f aca="false">MONTH(B3893)</f>
        <v>8</v>
      </c>
      <c r="Q3893" s="1" t="str">
        <f aca="false">TEXT(B3893,"mmm")</f>
        <v>Aug</v>
      </c>
      <c r="R3893" s="1" t="str">
        <f aca="false">"Q"&amp;ROUNDUP(MONTH(B3893)/3,0)</f>
        <v>Q3</v>
      </c>
    </row>
    <row r="3894" customFormat="false" ht="15" hidden="false" customHeight="true" outlineLevel="0" collapsed="false">
      <c r="A3894" s="1" t="n">
        <v>13893</v>
      </c>
      <c r="B3894" s="14" t="n">
        <v>48454</v>
      </c>
      <c r="C3894" s="1" t="n">
        <v>1875</v>
      </c>
      <c r="D3894" s="1" t="s">
        <v>37</v>
      </c>
      <c r="E3894" s="1" t="s">
        <v>32</v>
      </c>
      <c r="F3894" s="1" t="n">
        <v>6</v>
      </c>
      <c r="G3894" s="15" t="n">
        <v>56.34</v>
      </c>
      <c r="H3894" s="16" t="n">
        <v>0.08</v>
      </c>
      <c r="I3894" s="1" t="s">
        <v>33</v>
      </c>
      <c r="J3894" s="1" t="n">
        <v>2</v>
      </c>
      <c r="K3894" s="1" t="n">
        <v>3.2</v>
      </c>
      <c r="L3894" s="15" t="n">
        <v>311</v>
      </c>
      <c r="M3894" s="15" t="n">
        <f aca="false">F3894*G3894</f>
        <v>338.04</v>
      </c>
      <c r="N3894" s="15" t="n">
        <f aca="false">M3894-L3894</f>
        <v>27.04</v>
      </c>
      <c r="O3894" s="1" t="n">
        <f aca="false">YEAR(B3894)</f>
        <v>2032</v>
      </c>
      <c r="P3894" s="1" t="n">
        <f aca="false">MONTH(B3894)</f>
        <v>8</v>
      </c>
      <c r="Q3894" s="1" t="str">
        <f aca="false">TEXT(B3894,"mmm")</f>
        <v>Aug</v>
      </c>
      <c r="R3894" s="1" t="str">
        <f aca="false">"Q"&amp;ROUNDUP(MONTH(B3894)/3,0)</f>
        <v>Q3</v>
      </c>
    </row>
    <row r="3895" customFormat="false" ht="15" hidden="false" customHeight="true" outlineLevel="0" collapsed="false">
      <c r="A3895" s="1" t="n">
        <v>13894</v>
      </c>
      <c r="B3895" s="14" t="n">
        <v>48455</v>
      </c>
      <c r="C3895" s="1" t="n">
        <v>1617</v>
      </c>
      <c r="D3895" s="1" t="s">
        <v>27</v>
      </c>
      <c r="E3895" s="1" t="s">
        <v>35</v>
      </c>
      <c r="F3895" s="1" t="n">
        <v>6</v>
      </c>
      <c r="G3895" s="15" t="n">
        <v>413.84</v>
      </c>
      <c r="H3895" s="16" t="n">
        <v>0</v>
      </c>
      <c r="I3895" s="1" t="s">
        <v>33</v>
      </c>
      <c r="J3895" s="1" t="n">
        <v>4</v>
      </c>
      <c r="K3895" s="1" t="n">
        <v>3.9</v>
      </c>
      <c r="L3895" s="15" t="n">
        <v>2483.04</v>
      </c>
      <c r="M3895" s="15" t="n">
        <f aca="false">F3895*G3895</f>
        <v>2483.04</v>
      </c>
      <c r="N3895" s="15" t="n">
        <f aca="false">M3895-L3895</f>
        <v>0</v>
      </c>
      <c r="O3895" s="1" t="n">
        <f aca="false">YEAR(B3895)</f>
        <v>2032</v>
      </c>
      <c r="P3895" s="1" t="n">
        <f aca="false">MONTH(B3895)</f>
        <v>8</v>
      </c>
      <c r="Q3895" s="1" t="str">
        <f aca="false">TEXT(B3895,"mmm")</f>
        <v>Aug</v>
      </c>
      <c r="R3895" s="1" t="str">
        <f aca="false">"Q"&amp;ROUNDUP(MONTH(B3895)/3,0)</f>
        <v>Q3</v>
      </c>
    </row>
    <row r="3896" customFormat="false" ht="15" hidden="false" customHeight="true" outlineLevel="0" collapsed="false">
      <c r="A3896" s="1" t="n">
        <v>13895</v>
      </c>
      <c r="B3896" s="14" t="n">
        <v>48456</v>
      </c>
      <c r="C3896" s="1" t="n">
        <v>1413</v>
      </c>
      <c r="D3896" s="1" t="s">
        <v>34</v>
      </c>
      <c r="E3896" s="1" t="s">
        <v>28</v>
      </c>
      <c r="F3896" s="1" t="n">
        <v>3</v>
      </c>
      <c r="G3896" s="15" t="n">
        <v>416.73</v>
      </c>
      <c r="H3896" s="16" t="n">
        <v>0.08</v>
      </c>
      <c r="I3896" s="1" t="s">
        <v>31</v>
      </c>
      <c r="J3896" s="1" t="n">
        <v>4</v>
      </c>
      <c r="K3896" s="1" t="n">
        <v>2.9</v>
      </c>
      <c r="L3896" s="15" t="n">
        <v>1150.17</v>
      </c>
      <c r="M3896" s="15" t="n">
        <f aca="false">F3896*G3896</f>
        <v>1250.19</v>
      </c>
      <c r="N3896" s="15" t="n">
        <f aca="false">M3896-L3896</f>
        <v>100.02</v>
      </c>
      <c r="O3896" s="1" t="n">
        <f aca="false">YEAR(B3896)</f>
        <v>2032</v>
      </c>
      <c r="P3896" s="1" t="n">
        <f aca="false">MONTH(B3896)</f>
        <v>8</v>
      </c>
      <c r="Q3896" s="1" t="str">
        <f aca="false">TEXT(B3896,"mmm")</f>
        <v>Aug</v>
      </c>
      <c r="R3896" s="1" t="str">
        <f aca="false">"Q"&amp;ROUNDUP(MONTH(B3896)/3,0)</f>
        <v>Q3</v>
      </c>
    </row>
    <row r="3897" customFormat="false" ht="15" hidden="false" customHeight="true" outlineLevel="0" collapsed="false">
      <c r="A3897" s="1" t="n">
        <v>13896</v>
      </c>
      <c r="B3897" s="14" t="n">
        <v>48457</v>
      </c>
      <c r="C3897" s="1" t="n">
        <v>1341</v>
      </c>
      <c r="D3897" s="1" t="s">
        <v>37</v>
      </c>
      <c r="E3897" s="1" t="s">
        <v>36</v>
      </c>
      <c r="F3897" s="1" t="n">
        <v>1</v>
      </c>
      <c r="G3897" s="15" t="n">
        <v>544.93</v>
      </c>
      <c r="H3897" s="16" t="n">
        <v>0.12</v>
      </c>
      <c r="I3897" s="1" t="s">
        <v>33</v>
      </c>
      <c r="J3897" s="1" t="n">
        <v>8</v>
      </c>
      <c r="K3897" s="1" t="n">
        <v>2.9</v>
      </c>
      <c r="L3897" s="15" t="n">
        <v>479.54</v>
      </c>
      <c r="M3897" s="15" t="n">
        <f aca="false">F3897*G3897</f>
        <v>544.93</v>
      </c>
      <c r="N3897" s="15" t="n">
        <f aca="false">M3897-L3897</f>
        <v>65.3899999999999</v>
      </c>
      <c r="O3897" s="1" t="n">
        <f aca="false">YEAR(B3897)</f>
        <v>2032</v>
      </c>
      <c r="P3897" s="1" t="n">
        <f aca="false">MONTH(B3897)</f>
        <v>8</v>
      </c>
      <c r="Q3897" s="1" t="str">
        <f aca="false">TEXT(B3897,"mmm")</f>
        <v>Aug</v>
      </c>
      <c r="R3897" s="1" t="str">
        <f aca="false">"Q"&amp;ROUNDUP(MONTH(B3897)/3,0)</f>
        <v>Q3</v>
      </c>
    </row>
    <row r="3898" customFormat="false" ht="15" hidden="false" customHeight="true" outlineLevel="0" collapsed="false">
      <c r="A3898" s="1" t="n">
        <v>13897</v>
      </c>
      <c r="B3898" s="14" t="n">
        <v>48458</v>
      </c>
      <c r="C3898" s="1" t="n">
        <v>1219</v>
      </c>
      <c r="D3898" s="1" t="s">
        <v>34</v>
      </c>
      <c r="E3898" s="1" t="s">
        <v>35</v>
      </c>
      <c r="F3898" s="1" t="n">
        <v>3</v>
      </c>
      <c r="G3898" s="15" t="n">
        <v>233.17</v>
      </c>
      <c r="H3898" s="16" t="n">
        <v>0.01</v>
      </c>
      <c r="I3898" s="1" t="s">
        <v>31</v>
      </c>
      <c r="J3898" s="1" t="n">
        <v>11</v>
      </c>
      <c r="K3898" s="1" t="n">
        <v>4.5</v>
      </c>
      <c r="L3898" s="15" t="n">
        <v>692.51</v>
      </c>
      <c r="M3898" s="15" t="n">
        <f aca="false">F3898*G3898</f>
        <v>699.51</v>
      </c>
      <c r="N3898" s="15" t="n">
        <f aca="false">M3898-L3898</f>
        <v>7</v>
      </c>
      <c r="O3898" s="1" t="n">
        <f aca="false">YEAR(B3898)</f>
        <v>2032</v>
      </c>
      <c r="P3898" s="1" t="n">
        <f aca="false">MONTH(B3898)</f>
        <v>9</v>
      </c>
      <c r="Q3898" s="1" t="str">
        <f aca="false">TEXT(B3898,"mmm")</f>
        <v>Sep</v>
      </c>
      <c r="R3898" s="1" t="str">
        <f aca="false">"Q"&amp;ROUNDUP(MONTH(B3898)/3,0)</f>
        <v>Q3</v>
      </c>
    </row>
    <row r="3899" customFormat="false" ht="15" hidden="false" customHeight="true" outlineLevel="0" collapsed="false">
      <c r="A3899" s="1" t="n">
        <v>13898</v>
      </c>
      <c r="B3899" s="14" t="n">
        <v>48459</v>
      </c>
      <c r="C3899" s="1" t="n">
        <v>1902</v>
      </c>
      <c r="D3899" s="1" t="s">
        <v>30</v>
      </c>
      <c r="E3899" s="1" t="s">
        <v>28</v>
      </c>
      <c r="F3899" s="1" t="n">
        <v>2</v>
      </c>
      <c r="G3899" s="15" t="n">
        <v>357.17</v>
      </c>
      <c r="H3899" s="16" t="n">
        <v>0.21</v>
      </c>
      <c r="I3899" s="1" t="s">
        <v>29</v>
      </c>
      <c r="J3899" s="1" t="n">
        <v>1</v>
      </c>
      <c r="K3899" s="1" t="n">
        <v>4.5</v>
      </c>
      <c r="L3899" s="15" t="n">
        <v>564.33</v>
      </c>
      <c r="M3899" s="15" t="n">
        <f aca="false">F3899*G3899</f>
        <v>714.34</v>
      </c>
      <c r="N3899" s="15" t="n">
        <f aca="false">M3899-L3899</f>
        <v>150.01</v>
      </c>
      <c r="O3899" s="1" t="n">
        <f aca="false">YEAR(B3899)</f>
        <v>2032</v>
      </c>
      <c r="P3899" s="1" t="n">
        <f aca="false">MONTH(B3899)</f>
        <v>9</v>
      </c>
      <c r="Q3899" s="1" t="str">
        <f aca="false">TEXT(B3899,"mmm")</f>
        <v>Sep</v>
      </c>
      <c r="R3899" s="1" t="str">
        <f aca="false">"Q"&amp;ROUNDUP(MONTH(B3899)/3,0)</f>
        <v>Q3</v>
      </c>
    </row>
    <row r="3900" customFormat="false" ht="15" hidden="false" customHeight="true" outlineLevel="0" collapsed="false">
      <c r="A3900" s="1" t="n">
        <v>13899</v>
      </c>
      <c r="B3900" s="14" t="n">
        <v>48460</v>
      </c>
      <c r="C3900" s="1" t="n">
        <v>1162</v>
      </c>
      <c r="D3900" s="1" t="s">
        <v>34</v>
      </c>
      <c r="E3900" s="1" t="s">
        <v>36</v>
      </c>
      <c r="F3900" s="1" t="n">
        <v>2</v>
      </c>
      <c r="G3900" s="15" t="n">
        <v>22.13</v>
      </c>
      <c r="H3900" s="16" t="n">
        <v>0.2</v>
      </c>
      <c r="I3900" s="1" t="s">
        <v>31</v>
      </c>
      <c r="J3900" s="1" t="n">
        <v>9</v>
      </c>
      <c r="K3900" s="1" t="n">
        <v>4.2</v>
      </c>
      <c r="L3900" s="15" t="n">
        <v>35.41</v>
      </c>
      <c r="M3900" s="15" t="n">
        <f aca="false">F3900*G3900</f>
        <v>44.26</v>
      </c>
      <c r="N3900" s="15" t="n">
        <f aca="false">M3900-L3900</f>
        <v>8.85</v>
      </c>
      <c r="O3900" s="1" t="n">
        <f aca="false">YEAR(B3900)</f>
        <v>2032</v>
      </c>
      <c r="P3900" s="1" t="n">
        <f aca="false">MONTH(B3900)</f>
        <v>9</v>
      </c>
      <c r="Q3900" s="1" t="str">
        <f aca="false">TEXT(B3900,"mmm")</f>
        <v>Sep</v>
      </c>
      <c r="R3900" s="1" t="str">
        <f aca="false">"Q"&amp;ROUNDUP(MONTH(B3900)/3,0)</f>
        <v>Q3</v>
      </c>
    </row>
    <row r="3901" customFormat="false" ht="15" hidden="false" customHeight="true" outlineLevel="0" collapsed="false">
      <c r="A3901" s="1" t="n">
        <v>13900</v>
      </c>
      <c r="B3901" s="14" t="n">
        <v>48461</v>
      </c>
      <c r="C3901" s="1" t="n">
        <v>1950</v>
      </c>
      <c r="D3901" s="1" t="s">
        <v>27</v>
      </c>
      <c r="E3901" s="1" t="s">
        <v>28</v>
      </c>
      <c r="F3901" s="1" t="n">
        <v>5</v>
      </c>
      <c r="G3901" s="15" t="n">
        <v>209.26</v>
      </c>
      <c r="H3901" s="16" t="n">
        <v>0.03</v>
      </c>
      <c r="I3901" s="1" t="s">
        <v>33</v>
      </c>
      <c r="J3901" s="1" t="n">
        <v>6</v>
      </c>
      <c r="K3901" s="1" t="n">
        <v>3.8</v>
      </c>
      <c r="L3901" s="15" t="n">
        <v>1014.91</v>
      </c>
      <c r="M3901" s="15" t="n">
        <f aca="false">F3901*G3901</f>
        <v>1046.3</v>
      </c>
      <c r="N3901" s="15" t="n">
        <f aca="false">M3901-L3901</f>
        <v>31.39</v>
      </c>
      <c r="O3901" s="1" t="n">
        <f aca="false">YEAR(B3901)</f>
        <v>2032</v>
      </c>
      <c r="P3901" s="1" t="n">
        <f aca="false">MONTH(B3901)</f>
        <v>9</v>
      </c>
      <c r="Q3901" s="1" t="str">
        <f aca="false">TEXT(B3901,"mmm")</f>
        <v>Sep</v>
      </c>
      <c r="R3901" s="1" t="str">
        <f aca="false">"Q"&amp;ROUNDUP(MONTH(B3901)/3,0)</f>
        <v>Q3</v>
      </c>
    </row>
    <row r="3902" customFormat="false" ht="15" hidden="false" customHeight="true" outlineLevel="0" collapsed="false">
      <c r="A3902" s="1" t="n">
        <v>13901</v>
      </c>
      <c r="B3902" s="14" t="n">
        <v>48462</v>
      </c>
      <c r="C3902" s="1" t="n">
        <v>1219</v>
      </c>
      <c r="D3902" s="1" t="s">
        <v>37</v>
      </c>
      <c r="E3902" s="1" t="s">
        <v>28</v>
      </c>
      <c r="F3902" s="1" t="n">
        <v>5</v>
      </c>
      <c r="G3902" s="15" t="n">
        <v>51.41</v>
      </c>
      <c r="H3902" s="16" t="n">
        <v>0.21</v>
      </c>
      <c r="I3902" s="1" t="s">
        <v>31</v>
      </c>
      <c r="J3902" s="1" t="n">
        <v>4</v>
      </c>
      <c r="K3902" s="1" t="n">
        <v>3.7</v>
      </c>
      <c r="L3902" s="15" t="n">
        <v>203.07</v>
      </c>
      <c r="M3902" s="15" t="n">
        <f aca="false">F3902*G3902</f>
        <v>257.05</v>
      </c>
      <c r="N3902" s="15" t="n">
        <f aca="false">M3902-L3902</f>
        <v>53.98</v>
      </c>
      <c r="O3902" s="1" t="n">
        <f aca="false">YEAR(B3902)</f>
        <v>2032</v>
      </c>
      <c r="P3902" s="1" t="n">
        <f aca="false">MONTH(B3902)</f>
        <v>9</v>
      </c>
      <c r="Q3902" s="1" t="str">
        <f aca="false">TEXT(B3902,"mmm")</f>
        <v>Sep</v>
      </c>
      <c r="R3902" s="1" t="str">
        <f aca="false">"Q"&amp;ROUNDUP(MONTH(B3902)/3,0)</f>
        <v>Q3</v>
      </c>
    </row>
    <row r="3903" customFormat="false" ht="15" hidden="false" customHeight="true" outlineLevel="0" collapsed="false">
      <c r="A3903" s="1" t="n">
        <v>13902</v>
      </c>
      <c r="B3903" s="14" t="n">
        <v>48463</v>
      </c>
      <c r="C3903" s="1" t="n">
        <v>1269</v>
      </c>
      <c r="D3903" s="1" t="s">
        <v>37</v>
      </c>
      <c r="E3903" s="1" t="s">
        <v>35</v>
      </c>
      <c r="F3903" s="1" t="n">
        <v>2</v>
      </c>
      <c r="G3903" s="15" t="n">
        <v>320.3</v>
      </c>
      <c r="H3903" s="16" t="n">
        <v>0.35</v>
      </c>
      <c r="I3903" s="1" t="s">
        <v>31</v>
      </c>
      <c r="J3903" s="1" t="n">
        <v>6</v>
      </c>
      <c r="K3903" s="1" t="n">
        <v>1.2</v>
      </c>
      <c r="L3903" s="15" t="n">
        <v>416.39</v>
      </c>
      <c r="M3903" s="15" t="n">
        <f aca="false">F3903*G3903</f>
        <v>640.6</v>
      </c>
      <c r="N3903" s="15" t="n">
        <f aca="false">M3903-L3903</f>
        <v>224.21</v>
      </c>
      <c r="O3903" s="1" t="n">
        <f aca="false">YEAR(B3903)</f>
        <v>2032</v>
      </c>
      <c r="P3903" s="1" t="n">
        <f aca="false">MONTH(B3903)</f>
        <v>9</v>
      </c>
      <c r="Q3903" s="1" t="str">
        <f aca="false">TEXT(B3903,"mmm")</f>
        <v>Sep</v>
      </c>
      <c r="R3903" s="1" t="str">
        <f aca="false">"Q"&amp;ROUNDUP(MONTH(B3903)/3,0)</f>
        <v>Q3</v>
      </c>
    </row>
    <row r="3904" customFormat="false" ht="15" hidden="false" customHeight="true" outlineLevel="0" collapsed="false">
      <c r="A3904" s="1" t="n">
        <v>13903</v>
      </c>
      <c r="B3904" s="14" t="n">
        <v>48464</v>
      </c>
      <c r="C3904" s="1" t="n">
        <v>1631</v>
      </c>
      <c r="D3904" s="1" t="s">
        <v>37</v>
      </c>
      <c r="E3904" s="1" t="s">
        <v>28</v>
      </c>
      <c r="F3904" s="1" t="n">
        <v>2</v>
      </c>
      <c r="G3904" s="15" t="n">
        <v>493.21</v>
      </c>
      <c r="H3904" s="16" t="n">
        <v>0.33</v>
      </c>
      <c r="I3904" s="1" t="s">
        <v>33</v>
      </c>
      <c r="J3904" s="1" t="n">
        <v>6</v>
      </c>
      <c r="K3904" s="1" t="n">
        <v>4</v>
      </c>
      <c r="L3904" s="15" t="n">
        <v>660.9</v>
      </c>
      <c r="M3904" s="15" t="n">
        <f aca="false">F3904*G3904</f>
        <v>986.42</v>
      </c>
      <c r="N3904" s="15" t="n">
        <f aca="false">M3904-L3904</f>
        <v>325.52</v>
      </c>
      <c r="O3904" s="1" t="n">
        <f aca="false">YEAR(B3904)</f>
        <v>2032</v>
      </c>
      <c r="P3904" s="1" t="n">
        <f aca="false">MONTH(B3904)</f>
        <v>9</v>
      </c>
      <c r="Q3904" s="1" t="str">
        <f aca="false">TEXT(B3904,"mmm")</f>
        <v>Sep</v>
      </c>
      <c r="R3904" s="1" t="str">
        <f aca="false">"Q"&amp;ROUNDUP(MONTH(B3904)/3,0)</f>
        <v>Q3</v>
      </c>
    </row>
    <row r="3905" customFormat="false" ht="15" hidden="false" customHeight="true" outlineLevel="0" collapsed="false">
      <c r="A3905" s="1" t="n">
        <v>13904</v>
      </c>
      <c r="B3905" s="14" t="n">
        <v>48465</v>
      </c>
      <c r="C3905" s="1" t="n">
        <v>1905</v>
      </c>
      <c r="D3905" s="1" t="s">
        <v>30</v>
      </c>
      <c r="E3905" s="1" t="s">
        <v>36</v>
      </c>
      <c r="F3905" s="1" t="n">
        <v>3</v>
      </c>
      <c r="G3905" s="15" t="n">
        <v>135.77</v>
      </c>
      <c r="H3905" s="16" t="n">
        <v>0</v>
      </c>
      <c r="I3905" s="1" t="s">
        <v>31</v>
      </c>
      <c r="J3905" s="1" t="n">
        <v>9</v>
      </c>
      <c r="K3905" s="1" t="n">
        <v>3.6</v>
      </c>
      <c r="L3905" s="15" t="n">
        <v>407.31</v>
      </c>
      <c r="M3905" s="15" t="n">
        <f aca="false">F3905*G3905</f>
        <v>407.31</v>
      </c>
      <c r="N3905" s="15" t="n">
        <f aca="false">M3905-L3905</f>
        <v>0</v>
      </c>
      <c r="O3905" s="1" t="n">
        <f aca="false">YEAR(B3905)</f>
        <v>2032</v>
      </c>
      <c r="P3905" s="1" t="n">
        <f aca="false">MONTH(B3905)</f>
        <v>9</v>
      </c>
      <c r="Q3905" s="1" t="str">
        <f aca="false">TEXT(B3905,"mmm")</f>
        <v>Sep</v>
      </c>
      <c r="R3905" s="1" t="str">
        <f aca="false">"Q"&amp;ROUNDUP(MONTH(B3905)/3,0)</f>
        <v>Q3</v>
      </c>
    </row>
    <row r="3906" customFormat="false" ht="15" hidden="false" customHeight="true" outlineLevel="0" collapsed="false">
      <c r="A3906" s="1" t="n">
        <v>13905</v>
      </c>
      <c r="B3906" s="14" t="n">
        <v>48466</v>
      </c>
      <c r="C3906" s="1" t="n">
        <v>1847</v>
      </c>
      <c r="D3906" s="1" t="s">
        <v>27</v>
      </c>
      <c r="E3906" s="1" t="s">
        <v>35</v>
      </c>
      <c r="F3906" s="1" t="n">
        <v>2</v>
      </c>
      <c r="G3906" s="15" t="n">
        <v>323.55</v>
      </c>
      <c r="H3906" s="16" t="n">
        <v>0.28</v>
      </c>
      <c r="I3906" s="1" t="s">
        <v>33</v>
      </c>
      <c r="J3906" s="1" t="n">
        <v>11</v>
      </c>
      <c r="K3906" s="1" t="n">
        <v>2.2</v>
      </c>
      <c r="L3906" s="15" t="n">
        <v>465.91</v>
      </c>
      <c r="M3906" s="15" t="n">
        <f aca="false">F3906*G3906</f>
        <v>647.1</v>
      </c>
      <c r="N3906" s="15" t="n">
        <f aca="false">M3906-L3906</f>
        <v>181.19</v>
      </c>
      <c r="O3906" s="1" t="n">
        <f aca="false">YEAR(B3906)</f>
        <v>2032</v>
      </c>
      <c r="P3906" s="1" t="n">
        <f aca="false">MONTH(B3906)</f>
        <v>9</v>
      </c>
      <c r="Q3906" s="1" t="str">
        <f aca="false">TEXT(B3906,"mmm")</f>
        <v>Sep</v>
      </c>
      <c r="R3906" s="1" t="str">
        <f aca="false">"Q"&amp;ROUNDUP(MONTH(B3906)/3,0)</f>
        <v>Q3</v>
      </c>
    </row>
    <row r="3907" customFormat="false" ht="15" hidden="false" customHeight="true" outlineLevel="0" collapsed="false">
      <c r="A3907" s="1" t="n">
        <v>13906</v>
      </c>
      <c r="B3907" s="14" t="n">
        <v>48467</v>
      </c>
      <c r="C3907" s="1" t="n">
        <v>1399</v>
      </c>
      <c r="D3907" s="1" t="s">
        <v>37</v>
      </c>
      <c r="E3907" s="1" t="s">
        <v>32</v>
      </c>
      <c r="F3907" s="1" t="n">
        <v>7</v>
      </c>
      <c r="G3907" s="15" t="n">
        <v>134.35</v>
      </c>
      <c r="H3907" s="16" t="n">
        <v>0.12</v>
      </c>
      <c r="I3907" s="1" t="s">
        <v>29</v>
      </c>
      <c r="J3907" s="1" t="n">
        <v>4</v>
      </c>
      <c r="K3907" s="1" t="n">
        <v>4.3</v>
      </c>
      <c r="L3907" s="15" t="n">
        <v>827.6</v>
      </c>
      <c r="M3907" s="15" t="n">
        <f aca="false">F3907*G3907</f>
        <v>940.45</v>
      </c>
      <c r="N3907" s="15" t="n">
        <f aca="false">M3907-L3907</f>
        <v>112.85</v>
      </c>
      <c r="O3907" s="1" t="n">
        <f aca="false">YEAR(B3907)</f>
        <v>2032</v>
      </c>
      <c r="P3907" s="1" t="n">
        <f aca="false">MONTH(B3907)</f>
        <v>9</v>
      </c>
      <c r="Q3907" s="1" t="str">
        <f aca="false">TEXT(B3907,"mmm")</f>
        <v>Sep</v>
      </c>
      <c r="R3907" s="1" t="str">
        <f aca="false">"Q"&amp;ROUNDUP(MONTH(B3907)/3,0)</f>
        <v>Q3</v>
      </c>
    </row>
    <row r="3908" customFormat="false" ht="15" hidden="false" customHeight="true" outlineLevel="0" collapsed="false">
      <c r="A3908" s="1" t="n">
        <v>13907</v>
      </c>
      <c r="B3908" s="14" t="n">
        <v>48468</v>
      </c>
      <c r="C3908" s="1" t="n">
        <v>1181</v>
      </c>
      <c r="D3908" s="1" t="s">
        <v>27</v>
      </c>
      <c r="E3908" s="1" t="s">
        <v>32</v>
      </c>
      <c r="F3908" s="1" t="n">
        <v>1</v>
      </c>
      <c r="G3908" s="15" t="n">
        <v>85.6</v>
      </c>
      <c r="H3908" s="16" t="n">
        <v>0.02</v>
      </c>
      <c r="I3908" s="1" t="s">
        <v>31</v>
      </c>
      <c r="J3908" s="1" t="n">
        <v>8</v>
      </c>
      <c r="K3908" s="1" t="n">
        <v>4.3</v>
      </c>
      <c r="L3908" s="15" t="n">
        <v>83.89</v>
      </c>
      <c r="M3908" s="15" t="n">
        <f aca="false">F3908*G3908</f>
        <v>85.6</v>
      </c>
      <c r="N3908" s="15" t="n">
        <f aca="false">M3908-L3908</f>
        <v>1.70999999999999</v>
      </c>
      <c r="O3908" s="1" t="n">
        <f aca="false">YEAR(B3908)</f>
        <v>2032</v>
      </c>
      <c r="P3908" s="1" t="n">
        <f aca="false">MONTH(B3908)</f>
        <v>9</v>
      </c>
      <c r="Q3908" s="1" t="str">
        <f aca="false">TEXT(B3908,"mmm")</f>
        <v>Sep</v>
      </c>
      <c r="R3908" s="1" t="str">
        <f aca="false">"Q"&amp;ROUNDUP(MONTH(B3908)/3,0)</f>
        <v>Q3</v>
      </c>
    </row>
    <row r="3909" customFormat="false" ht="15" hidden="false" customHeight="true" outlineLevel="0" collapsed="false">
      <c r="A3909" s="1" t="n">
        <v>13908</v>
      </c>
      <c r="B3909" s="14" t="n">
        <v>48469</v>
      </c>
      <c r="C3909" s="1" t="n">
        <v>1990</v>
      </c>
      <c r="D3909" s="1" t="s">
        <v>30</v>
      </c>
      <c r="E3909" s="1" t="s">
        <v>35</v>
      </c>
      <c r="F3909" s="1" t="n">
        <v>3</v>
      </c>
      <c r="G3909" s="15" t="n">
        <v>313.93</v>
      </c>
      <c r="H3909" s="16" t="n">
        <v>0.1</v>
      </c>
      <c r="I3909" s="1" t="s">
        <v>29</v>
      </c>
      <c r="J3909" s="1" t="n">
        <v>1</v>
      </c>
      <c r="K3909" s="1" t="n">
        <v>4.7</v>
      </c>
      <c r="L3909" s="15" t="n">
        <v>847.61</v>
      </c>
      <c r="M3909" s="15" t="n">
        <f aca="false">F3909*G3909</f>
        <v>941.79</v>
      </c>
      <c r="N3909" s="15" t="n">
        <f aca="false">M3909-L3909</f>
        <v>94.18</v>
      </c>
      <c r="O3909" s="1" t="n">
        <f aca="false">YEAR(B3909)</f>
        <v>2032</v>
      </c>
      <c r="P3909" s="1" t="n">
        <f aca="false">MONTH(B3909)</f>
        <v>9</v>
      </c>
      <c r="Q3909" s="1" t="str">
        <f aca="false">TEXT(B3909,"mmm")</f>
        <v>Sep</v>
      </c>
      <c r="R3909" s="1" t="str">
        <f aca="false">"Q"&amp;ROUNDUP(MONTH(B3909)/3,0)</f>
        <v>Q3</v>
      </c>
    </row>
    <row r="3910" customFormat="false" ht="15" hidden="false" customHeight="true" outlineLevel="0" collapsed="false">
      <c r="A3910" s="1" t="n">
        <v>13909</v>
      </c>
      <c r="B3910" s="14" t="n">
        <v>48470</v>
      </c>
      <c r="C3910" s="1" t="n">
        <v>1617</v>
      </c>
      <c r="D3910" s="1" t="s">
        <v>34</v>
      </c>
      <c r="E3910" s="1" t="s">
        <v>32</v>
      </c>
      <c r="F3910" s="1" t="n">
        <v>2</v>
      </c>
      <c r="G3910" s="15" t="n">
        <v>61.3</v>
      </c>
      <c r="H3910" s="16" t="n">
        <v>0.11</v>
      </c>
      <c r="I3910" s="1" t="s">
        <v>31</v>
      </c>
      <c r="J3910" s="1" t="n">
        <v>6</v>
      </c>
      <c r="K3910" s="1" t="n">
        <v>2.7</v>
      </c>
      <c r="L3910" s="15" t="n">
        <v>109.11</v>
      </c>
      <c r="M3910" s="15" t="n">
        <f aca="false">F3910*G3910</f>
        <v>122.6</v>
      </c>
      <c r="N3910" s="15" t="n">
        <f aca="false">M3910-L3910</f>
        <v>13.49</v>
      </c>
      <c r="O3910" s="1" t="n">
        <f aca="false">YEAR(B3910)</f>
        <v>2032</v>
      </c>
      <c r="P3910" s="1" t="n">
        <f aca="false">MONTH(B3910)</f>
        <v>9</v>
      </c>
      <c r="Q3910" s="1" t="str">
        <f aca="false">TEXT(B3910,"mmm")</f>
        <v>Sep</v>
      </c>
      <c r="R3910" s="1" t="str">
        <f aca="false">"Q"&amp;ROUNDUP(MONTH(B3910)/3,0)</f>
        <v>Q3</v>
      </c>
    </row>
    <row r="3911" customFormat="false" ht="15" hidden="false" customHeight="true" outlineLevel="0" collapsed="false">
      <c r="A3911" s="1" t="n">
        <v>13910</v>
      </c>
      <c r="B3911" s="14" t="n">
        <v>48471</v>
      </c>
      <c r="C3911" s="1" t="n">
        <v>1728</v>
      </c>
      <c r="D3911" s="1" t="s">
        <v>30</v>
      </c>
      <c r="E3911" s="1" t="s">
        <v>28</v>
      </c>
      <c r="F3911" s="1" t="n">
        <v>3</v>
      </c>
      <c r="G3911" s="15" t="n">
        <v>358.6</v>
      </c>
      <c r="H3911" s="16" t="n">
        <v>0.18</v>
      </c>
      <c r="I3911" s="1" t="s">
        <v>31</v>
      </c>
      <c r="J3911" s="1" t="n">
        <v>5</v>
      </c>
      <c r="K3911" s="1" t="n">
        <v>3.2</v>
      </c>
      <c r="L3911" s="15" t="n">
        <v>882.16</v>
      </c>
      <c r="M3911" s="15" t="n">
        <f aca="false">F3911*G3911</f>
        <v>1075.8</v>
      </c>
      <c r="N3911" s="15" t="n">
        <f aca="false">M3911-L3911</f>
        <v>193.64</v>
      </c>
      <c r="O3911" s="1" t="n">
        <f aca="false">YEAR(B3911)</f>
        <v>2032</v>
      </c>
      <c r="P3911" s="1" t="n">
        <f aca="false">MONTH(B3911)</f>
        <v>9</v>
      </c>
      <c r="Q3911" s="1" t="str">
        <f aca="false">TEXT(B3911,"mmm")</f>
        <v>Sep</v>
      </c>
      <c r="R3911" s="1" t="str">
        <f aca="false">"Q"&amp;ROUNDUP(MONTH(B3911)/3,0)</f>
        <v>Q3</v>
      </c>
    </row>
    <row r="3912" customFormat="false" ht="15" hidden="false" customHeight="true" outlineLevel="0" collapsed="false">
      <c r="A3912" s="1" t="n">
        <v>13911</v>
      </c>
      <c r="B3912" s="14" t="n">
        <v>48472</v>
      </c>
      <c r="C3912" s="1" t="n">
        <v>1204</v>
      </c>
      <c r="D3912" s="1" t="s">
        <v>34</v>
      </c>
      <c r="E3912" s="1" t="s">
        <v>36</v>
      </c>
      <c r="F3912" s="1" t="n">
        <v>3</v>
      </c>
      <c r="G3912" s="15" t="n">
        <v>33.33</v>
      </c>
      <c r="H3912" s="16" t="n">
        <v>0.23</v>
      </c>
      <c r="I3912" s="1" t="s">
        <v>31</v>
      </c>
      <c r="J3912" s="1" t="n">
        <v>3</v>
      </c>
      <c r="K3912" s="1" t="n">
        <v>4.6</v>
      </c>
      <c r="L3912" s="15" t="n">
        <v>76.99</v>
      </c>
      <c r="M3912" s="15" t="n">
        <f aca="false">F3912*G3912</f>
        <v>99.99</v>
      </c>
      <c r="N3912" s="15" t="n">
        <f aca="false">M3912-L3912</f>
        <v>23</v>
      </c>
      <c r="O3912" s="1" t="n">
        <f aca="false">YEAR(B3912)</f>
        <v>2032</v>
      </c>
      <c r="P3912" s="1" t="n">
        <f aca="false">MONTH(B3912)</f>
        <v>9</v>
      </c>
      <c r="Q3912" s="1" t="str">
        <f aca="false">TEXT(B3912,"mmm")</f>
        <v>Sep</v>
      </c>
      <c r="R3912" s="1" t="str">
        <f aca="false">"Q"&amp;ROUNDUP(MONTH(B3912)/3,0)</f>
        <v>Q3</v>
      </c>
    </row>
    <row r="3913" customFormat="false" ht="15" hidden="false" customHeight="true" outlineLevel="0" collapsed="false">
      <c r="A3913" s="1" t="n">
        <v>13912</v>
      </c>
      <c r="B3913" s="14" t="n">
        <v>48473</v>
      </c>
      <c r="C3913" s="1" t="n">
        <v>1581</v>
      </c>
      <c r="D3913" s="1" t="s">
        <v>30</v>
      </c>
      <c r="E3913" s="1" t="s">
        <v>28</v>
      </c>
      <c r="F3913" s="1" t="n">
        <v>4</v>
      </c>
      <c r="G3913" s="15" t="n">
        <v>77.43</v>
      </c>
      <c r="H3913" s="16" t="n">
        <v>0.26</v>
      </c>
      <c r="I3913" s="1" t="s">
        <v>29</v>
      </c>
      <c r="J3913" s="1" t="n">
        <v>4</v>
      </c>
      <c r="K3913" s="1" t="n">
        <v>2.3</v>
      </c>
      <c r="L3913" s="15" t="n">
        <v>229.19</v>
      </c>
      <c r="M3913" s="15" t="n">
        <f aca="false">F3913*G3913</f>
        <v>309.72</v>
      </c>
      <c r="N3913" s="15" t="n">
        <f aca="false">M3913-L3913</f>
        <v>80.53</v>
      </c>
      <c r="O3913" s="1" t="n">
        <f aca="false">YEAR(B3913)</f>
        <v>2032</v>
      </c>
      <c r="P3913" s="1" t="n">
        <f aca="false">MONTH(B3913)</f>
        <v>9</v>
      </c>
      <c r="Q3913" s="1" t="str">
        <f aca="false">TEXT(B3913,"mmm")</f>
        <v>Sep</v>
      </c>
      <c r="R3913" s="1" t="str">
        <f aca="false">"Q"&amp;ROUNDUP(MONTH(B3913)/3,0)</f>
        <v>Q3</v>
      </c>
    </row>
    <row r="3914" customFormat="false" ht="15" hidden="false" customHeight="true" outlineLevel="0" collapsed="false">
      <c r="A3914" s="1" t="n">
        <v>13913</v>
      </c>
      <c r="B3914" s="14" t="n">
        <v>48474</v>
      </c>
      <c r="C3914" s="1" t="n">
        <v>1555</v>
      </c>
      <c r="D3914" s="1" t="s">
        <v>30</v>
      </c>
      <c r="E3914" s="1" t="s">
        <v>35</v>
      </c>
      <c r="F3914" s="1" t="n">
        <v>5</v>
      </c>
      <c r="G3914" s="15" t="n">
        <v>336.75</v>
      </c>
      <c r="H3914" s="16" t="n">
        <v>0.09</v>
      </c>
      <c r="I3914" s="1" t="s">
        <v>31</v>
      </c>
      <c r="J3914" s="1" t="n">
        <v>8</v>
      </c>
      <c r="K3914" s="1" t="n">
        <v>4.2</v>
      </c>
      <c r="L3914" s="15" t="n">
        <v>1532.21</v>
      </c>
      <c r="M3914" s="15" t="n">
        <f aca="false">F3914*G3914</f>
        <v>1683.75</v>
      </c>
      <c r="N3914" s="15" t="n">
        <f aca="false">M3914-L3914</f>
        <v>151.54</v>
      </c>
      <c r="O3914" s="1" t="n">
        <f aca="false">YEAR(B3914)</f>
        <v>2032</v>
      </c>
      <c r="P3914" s="1" t="n">
        <f aca="false">MONTH(B3914)</f>
        <v>9</v>
      </c>
      <c r="Q3914" s="1" t="str">
        <f aca="false">TEXT(B3914,"mmm")</f>
        <v>Sep</v>
      </c>
      <c r="R3914" s="1" t="str">
        <f aca="false">"Q"&amp;ROUNDUP(MONTH(B3914)/3,0)</f>
        <v>Q3</v>
      </c>
    </row>
    <row r="3915" customFormat="false" ht="15" hidden="false" customHeight="true" outlineLevel="0" collapsed="false">
      <c r="A3915" s="1" t="n">
        <v>13914</v>
      </c>
      <c r="B3915" s="14" t="n">
        <v>48475</v>
      </c>
      <c r="C3915" s="1" t="n">
        <v>1840</v>
      </c>
      <c r="D3915" s="1" t="s">
        <v>30</v>
      </c>
      <c r="E3915" s="1" t="s">
        <v>36</v>
      </c>
      <c r="F3915" s="1" t="n">
        <v>3</v>
      </c>
      <c r="G3915" s="15" t="n">
        <v>360.97</v>
      </c>
      <c r="H3915" s="16" t="n">
        <v>0.11</v>
      </c>
      <c r="I3915" s="1" t="s">
        <v>29</v>
      </c>
      <c r="J3915" s="1" t="n">
        <v>11</v>
      </c>
      <c r="K3915" s="1" t="n">
        <v>5</v>
      </c>
      <c r="L3915" s="15" t="n">
        <v>963.79</v>
      </c>
      <c r="M3915" s="15" t="n">
        <f aca="false">F3915*G3915</f>
        <v>1082.91</v>
      </c>
      <c r="N3915" s="15" t="n">
        <f aca="false">M3915-L3915</f>
        <v>119.12</v>
      </c>
      <c r="O3915" s="1" t="n">
        <f aca="false">YEAR(B3915)</f>
        <v>2032</v>
      </c>
      <c r="P3915" s="1" t="n">
        <f aca="false">MONTH(B3915)</f>
        <v>9</v>
      </c>
      <c r="Q3915" s="1" t="str">
        <f aca="false">TEXT(B3915,"mmm")</f>
        <v>Sep</v>
      </c>
      <c r="R3915" s="1" t="str">
        <f aca="false">"Q"&amp;ROUNDUP(MONTH(B3915)/3,0)</f>
        <v>Q3</v>
      </c>
    </row>
    <row r="3916" customFormat="false" ht="15" hidden="false" customHeight="true" outlineLevel="0" collapsed="false">
      <c r="A3916" s="1" t="n">
        <v>13915</v>
      </c>
      <c r="B3916" s="14" t="n">
        <v>48476</v>
      </c>
      <c r="C3916" s="1" t="n">
        <v>1812</v>
      </c>
      <c r="D3916" s="1" t="s">
        <v>34</v>
      </c>
      <c r="E3916" s="1" t="s">
        <v>35</v>
      </c>
      <c r="F3916" s="1" t="n">
        <v>6</v>
      </c>
      <c r="G3916" s="15" t="n">
        <v>31.96</v>
      </c>
      <c r="H3916" s="16" t="n">
        <v>0.11</v>
      </c>
      <c r="I3916" s="1" t="s">
        <v>29</v>
      </c>
      <c r="J3916" s="1" t="n">
        <v>11</v>
      </c>
      <c r="K3916" s="1" t="n">
        <v>3.6</v>
      </c>
      <c r="L3916" s="15" t="n">
        <v>170.67</v>
      </c>
      <c r="M3916" s="15" t="n">
        <f aca="false">F3916*G3916</f>
        <v>191.76</v>
      </c>
      <c r="N3916" s="15" t="n">
        <f aca="false">M3916-L3916</f>
        <v>21.09</v>
      </c>
      <c r="O3916" s="1" t="n">
        <f aca="false">YEAR(B3916)</f>
        <v>2032</v>
      </c>
      <c r="P3916" s="1" t="n">
        <f aca="false">MONTH(B3916)</f>
        <v>9</v>
      </c>
      <c r="Q3916" s="1" t="str">
        <f aca="false">TEXT(B3916,"mmm")</f>
        <v>Sep</v>
      </c>
      <c r="R3916" s="1" t="str">
        <f aca="false">"Q"&amp;ROUNDUP(MONTH(B3916)/3,0)</f>
        <v>Q3</v>
      </c>
    </row>
    <row r="3917" customFormat="false" ht="15" hidden="false" customHeight="true" outlineLevel="0" collapsed="false">
      <c r="A3917" s="1" t="n">
        <v>13916</v>
      </c>
      <c r="B3917" s="14" t="n">
        <v>48477</v>
      </c>
      <c r="C3917" s="1" t="n">
        <v>1227</v>
      </c>
      <c r="D3917" s="1" t="s">
        <v>34</v>
      </c>
      <c r="E3917" s="1" t="s">
        <v>35</v>
      </c>
      <c r="F3917" s="1" t="n">
        <v>7</v>
      </c>
      <c r="G3917" s="15" t="n">
        <v>350.43</v>
      </c>
      <c r="H3917" s="16" t="n">
        <v>0.13</v>
      </c>
      <c r="I3917" s="1" t="s">
        <v>31</v>
      </c>
      <c r="J3917" s="1" t="n">
        <v>10</v>
      </c>
      <c r="K3917" s="1" t="n">
        <v>4.9</v>
      </c>
      <c r="L3917" s="15" t="n">
        <v>2134.12</v>
      </c>
      <c r="M3917" s="15" t="n">
        <f aca="false">F3917*G3917</f>
        <v>2453.01</v>
      </c>
      <c r="N3917" s="15" t="n">
        <f aca="false">M3917-L3917</f>
        <v>318.89</v>
      </c>
      <c r="O3917" s="1" t="n">
        <f aca="false">YEAR(B3917)</f>
        <v>2032</v>
      </c>
      <c r="P3917" s="1" t="n">
        <f aca="false">MONTH(B3917)</f>
        <v>9</v>
      </c>
      <c r="Q3917" s="1" t="str">
        <f aca="false">TEXT(B3917,"mmm")</f>
        <v>Sep</v>
      </c>
      <c r="R3917" s="1" t="str">
        <f aca="false">"Q"&amp;ROUNDUP(MONTH(B3917)/3,0)</f>
        <v>Q3</v>
      </c>
    </row>
    <row r="3918" customFormat="false" ht="15" hidden="false" customHeight="true" outlineLevel="0" collapsed="false">
      <c r="A3918" s="1" t="n">
        <v>13917</v>
      </c>
      <c r="B3918" s="14" t="n">
        <v>48478</v>
      </c>
      <c r="C3918" s="1" t="n">
        <v>1695</v>
      </c>
      <c r="D3918" s="1" t="s">
        <v>30</v>
      </c>
      <c r="E3918" s="1" t="s">
        <v>35</v>
      </c>
      <c r="F3918" s="1" t="n">
        <v>7</v>
      </c>
      <c r="G3918" s="15" t="n">
        <v>505.52</v>
      </c>
      <c r="H3918" s="16" t="n">
        <v>0.35</v>
      </c>
      <c r="I3918" s="1" t="s">
        <v>33</v>
      </c>
      <c r="J3918" s="1" t="n">
        <v>11</v>
      </c>
      <c r="K3918" s="1" t="n">
        <v>3.1</v>
      </c>
      <c r="L3918" s="15" t="n">
        <v>2300.12</v>
      </c>
      <c r="M3918" s="15" t="n">
        <f aca="false">F3918*G3918</f>
        <v>3538.64</v>
      </c>
      <c r="N3918" s="15" t="n">
        <f aca="false">M3918-L3918</f>
        <v>1238.52</v>
      </c>
      <c r="O3918" s="1" t="n">
        <f aca="false">YEAR(B3918)</f>
        <v>2032</v>
      </c>
      <c r="P3918" s="1" t="n">
        <f aca="false">MONTH(B3918)</f>
        <v>9</v>
      </c>
      <c r="Q3918" s="1" t="str">
        <f aca="false">TEXT(B3918,"mmm")</f>
        <v>Sep</v>
      </c>
      <c r="R3918" s="1" t="str">
        <f aca="false">"Q"&amp;ROUNDUP(MONTH(B3918)/3,0)</f>
        <v>Q3</v>
      </c>
    </row>
    <row r="3919" customFormat="false" ht="15" hidden="false" customHeight="true" outlineLevel="0" collapsed="false">
      <c r="A3919" s="1" t="n">
        <v>13918</v>
      </c>
      <c r="B3919" s="14" t="n">
        <v>48479</v>
      </c>
      <c r="C3919" s="1" t="n">
        <v>1618</v>
      </c>
      <c r="D3919" s="1" t="s">
        <v>27</v>
      </c>
      <c r="E3919" s="1" t="s">
        <v>28</v>
      </c>
      <c r="F3919" s="1" t="n">
        <v>3</v>
      </c>
      <c r="G3919" s="15" t="n">
        <v>437.55</v>
      </c>
      <c r="H3919" s="16" t="n">
        <v>0.27</v>
      </c>
      <c r="I3919" s="1" t="s">
        <v>33</v>
      </c>
      <c r="J3919" s="1" t="n">
        <v>2</v>
      </c>
      <c r="K3919" s="1" t="n">
        <v>1.6</v>
      </c>
      <c r="L3919" s="15" t="n">
        <v>958.23</v>
      </c>
      <c r="M3919" s="15" t="n">
        <f aca="false">F3919*G3919</f>
        <v>1312.65</v>
      </c>
      <c r="N3919" s="15" t="n">
        <f aca="false">M3919-L3919</f>
        <v>354.42</v>
      </c>
      <c r="O3919" s="1" t="n">
        <f aca="false">YEAR(B3919)</f>
        <v>2032</v>
      </c>
      <c r="P3919" s="1" t="n">
        <f aca="false">MONTH(B3919)</f>
        <v>9</v>
      </c>
      <c r="Q3919" s="1" t="str">
        <f aca="false">TEXT(B3919,"mmm")</f>
        <v>Sep</v>
      </c>
      <c r="R3919" s="1" t="str">
        <f aca="false">"Q"&amp;ROUNDUP(MONTH(B3919)/3,0)</f>
        <v>Q3</v>
      </c>
    </row>
    <row r="3920" customFormat="false" ht="15" hidden="false" customHeight="true" outlineLevel="0" collapsed="false">
      <c r="A3920" s="1" t="n">
        <v>13919</v>
      </c>
      <c r="B3920" s="14" t="n">
        <v>48480</v>
      </c>
      <c r="C3920" s="1" t="n">
        <v>1595</v>
      </c>
      <c r="D3920" s="1" t="s">
        <v>30</v>
      </c>
      <c r="E3920" s="1" t="s">
        <v>36</v>
      </c>
      <c r="F3920" s="1" t="n">
        <v>6</v>
      </c>
      <c r="G3920" s="15" t="n">
        <v>91.74</v>
      </c>
      <c r="H3920" s="16" t="n">
        <v>0.34</v>
      </c>
      <c r="I3920" s="1" t="s">
        <v>31</v>
      </c>
      <c r="J3920" s="1" t="n">
        <v>8</v>
      </c>
      <c r="K3920" s="1" t="n">
        <v>1.7</v>
      </c>
      <c r="L3920" s="15" t="n">
        <v>363.29</v>
      </c>
      <c r="M3920" s="15" t="n">
        <f aca="false">F3920*G3920</f>
        <v>550.44</v>
      </c>
      <c r="N3920" s="15" t="n">
        <f aca="false">M3920-L3920</f>
        <v>187.15</v>
      </c>
      <c r="O3920" s="1" t="n">
        <f aca="false">YEAR(B3920)</f>
        <v>2032</v>
      </c>
      <c r="P3920" s="1" t="n">
        <f aca="false">MONTH(B3920)</f>
        <v>9</v>
      </c>
      <c r="Q3920" s="1" t="str">
        <f aca="false">TEXT(B3920,"mmm")</f>
        <v>Sep</v>
      </c>
      <c r="R3920" s="1" t="str">
        <f aca="false">"Q"&amp;ROUNDUP(MONTH(B3920)/3,0)</f>
        <v>Q3</v>
      </c>
    </row>
    <row r="3921" customFormat="false" ht="15" hidden="false" customHeight="true" outlineLevel="0" collapsed="false">
      <c r="A3921" s="1" t="n">
        <v>13920</v>
      </c>
      <c r="B3921" s="14" t="n">
        <v>48481</v>
      </c>
      <c r="C3921" s="1" t="n">
        <v>1849</v>
      </c>
      <c r="D3921" s="1" t="s">
        <v>30</v>
      </c>
      <c r="E3921" s="1" t="s">
        <v>36</v>
      </c>
      <c r="F3921" s="1" t="n">
        <v>7</v>
      </c>
      <c r="G3921" s="15" t="n">
        <v>361.6</v>
      </c>
      <c r="H3921" s="16" t="n">
        <v>0.24</v>
      </c>
      <c r="I3921" s="1" t="s">
        <v>31</v>
      </c>
      <c r="J3921" s="1" t="n">
        <v>7</v>
      </c>
      <c r="K3921" s="1" t="n">
        <v>3.9</v>
      </c>
      <c r="L3921" s="15" t="n">
        <v>1923.71</v>
      </c>
      <c r="M3921" s="15" t="n">
        <f aca="false">F3921*G3921</f>
        <v>2531.2</v>
      </c>
      <c r="N3921" s="15" t="n">
        <f aca="false">M3921-L3921</f>
        <v>607.49</v>
      </c>
      <c r="O3921" s="1" t="n">
        <f aca="false">YEAR(B3921)</f>
        <v>2032</v>
      </c>
      <c r="P3921" s="1" t="n">
        <f aca="false">MONTH(B3921)</f>
        <v>9</v>
      </c>
      <c r="Q3921" s="1" t="str">
        <f aca="false">TEXT(B3921,"mmm")</f>
        <v>Sep</v>
      </c>
      <c r="R3921" s="1" t="str">
        <f aca="false">"Q"&amp;ROUNDUP(MONTH(B3921)/3,0)</f>
        <v>Q3</v>
      </c>
    </row>
    <row r="3922" customFormat="false" ht="15" hidden="false" customHeight="true" outlineLevel="0" collapsed="false">
      <c r="A3922" s="1" t="n">
        <v>13921</v>
      </c>
      <c r="B3922" s="14" t="n">
        <v>48482</v>
      </c>
      <c r="C3922" s="1" t="n">
        <v>1249</v>
      </c>
      <c r="D3922" s="1" t="s">
        <v>37</v>
      </c>
      <c r="E3922" s="1" t="s">
        <v>36</v>
      </c>
      <c r="F3922" s="1" t="n">
        <v>4</v>
      </c>
      <c r="G3922" s="15" t="n">
        <v>408.27</v>
      </c>
      <c r="H3922" s="16" t="n">
        <v>0.14</v>
      </c>
      <c r="I3922" s="1" t="s">
        <v>31</v>
      </c>
      <c r="J3922" s="1" t="n">
        <v>1</v>
      </c>
      <c r="K3922" s="1" t="n">
        <v>1</v>
      </c>
      <c r="L3922" s="15" t="n">
        <v>1404.45</v>
      </c>
      <c r="M3922" s="15" t="n">
        <f aca="false">F3922*G3922</f>
        <v>1633.08</v>
      </c>
      <c r="N3922" s="15" t="n">
        <f aca="false">M3922-L3922</f>
        <v>228.63</v>
      </c>
      <c r="O3922" s="1" t="n">
        <f aca="false">YEAR(B3922)</f>
        <v>2032</v>
      </c>
      <c r="P3922" s="1" t="n">
        <f aca="false">MONTH(B3922)</f>
        <v>9</v>
      </c>
      <c r="Q3922" s="1" t="str">
        <f aca="false">TEXT(B3922,"mmm")</f>
        <v>Sep</v>
      </c>
      <c r="R3922" s="1" t="str">
        <f aca="false">"Q"&amp;ROUNDUP(MONTH(B3922)/3,0)</f>
        <v>Q3</v>
      </c>
    </row>
    <row r="3923" customFormat="false" ht="15" hidden="false" customHeight="true" outlineLevel="0" collapsed="false">
      <c r="A3923" s="1" t="n">
        <v>13922</v>
      </c>
      <c r="B3923" s="14" t="n">
        <v>48483</v>
      </c>
      <c r="C3923" s="1" t="n">
        <v>1874</v>
      </c>
      <c r="D3923" s="1" t="s">
        <v>30</v>
      </c>
      <c r="E3923" s="1" t="s">
        <v>28</v>
      </c>
      <c r="F3923" s="1" t="n">
        <v>2</v>
      </c>
      <c r="G3923" s="15" t="n">
        <v>36.78</v>
      </c>
      <c r="H3923" s="16" t="n">
        <v>0.14</v>
      </c>
      <c r="I3923" s="1" t="s">
        <v>33</v>
      </c>
      <c r="J3923" s="1" t="n">
        <v>2</v>
      </c>
      <c r="K3923" s="1" t="n">
        <v>3.6</v>
      </c>
      <c r="L3923" s="15" t="n">
        <v>63.26</v>
      </c>
      <c r="M3923" s="15" t="n">
        <f aca="false">F3923*G3923</f>
        <v>73.56</v>
      </c>
      <c r="N3923" s="15" t="n">
        <f aca="false">M3923-L3923</f>
        <v>10.3</v>
      </c>
      <c r="O3923" s="1" t="n">
        <f aca="false">YEAR(B3923)</f>
        <v>2032</v>
      </c>
      <c r="P3923" s="1" t="n">
        <f aca="false">MONTH(B3923)</f>
        <v>9</v>
      </c>
      <c r="Q3923" s="1" t="str">
        <f aca="false">TEXT(B3923,"mmm")</f>
        <v>Sep</v>
      </c>
      <c r="R3923" s="1" t="str">
        <f aca="false">"Q"&amp;ROUNDUP(MONTH(B3923)/3,0)</f>
        <v>Q3</v>
      </c>
    </row>
    <row r="3924" customFormat="false" ht="15" hidden="false" customHeight="true" outlineLevel="0" collapsed="false">
      <c r="A3924" s="1" t="n">
        <v>13923</v>
      </c>
      <c r="B3924" s="14" t="n">
        <v>48484</v>
      </c>
      <c r="C3924" s="1" t="n">
        <v>1440</v>
      </c>
      <c r="D3924" s="1" t="s">
        <v>34</v>
      </c>
      <c r="E3924" s="1" t="s">
        <v>32</v>
      </c>
      <c r="F3924" s="1" t="n">
        <v>3</v>
      </c>
      <c r="G3924" s="15" t="n">
        <v>515.38</v>
      </c>
      <c r="H3924" s="16" t="n">
        <v>0.17</v>
      </c>
      <c r="I3924" s="1" t="s">
        <v>33</v>
      </c>
      <c r="J3924" s="1" t="n">
        <v>7</v>
      </c>
      <c r="K3924" s="1" t="n">
        <v>1.6</v>
      </c>
      <c r="L3924" s="15" t="n">
        <v>1283.3</v>
      </c>
      <c r="M3924" s="15" t="n">
        <f aca="false">F3924*G3924</f>
        <v>1546.14</v>
      </c>
      <c r="N3924" s="15" t="n">
        <f aca="false">M3924-L3924</f>
        <v>262.84</v>
      </c>
      <c r="O3924" s="1" t="n">
        <f aca="false">YEAR(B3924)</f>
        <v>2032</v>
      </c>
      <c r="P3924" s="1" t="n">
        <f aca="false">MONTH(B3924)</f>
        <v>9</v>
      </c>
      <c r="Q3924" s="1" t="str">
        <f aca="false">TEXT(B3924,"mmm")</f>
        <v>Sep</v>
      </c>
      <c r="R3924" s="1" t="str">
        <f aca="false">"Q"&amp;ROUNDUP(MONTH(B3924)/3,0)</f>
        <v>Q3</v>
      </c>
    </row>
    <row r="3925" customFormat="false" ht="15" hidden="false" customHeight="true" outlineLevel="0" collapsed="false">
      <c r="A3925" s="1" t="n">
        <v>13924</v>
      </c>
      <c r="B3925" s="14" t="n">
        <v>48485</v>
      </c>
      <c r="C3925" s="1" t="n">
        <v>1532</v>
      </c>
      <c r="D3925" s="1" t="s">
        <v>30</v>
      </c>
      <c r="E3925" s="1" t="s">
        <v>28</v>
      </c>
      <c r="F3925" s="1" t="n">
        <v>4</v>
      </c>
      <c r="G3925" s="15" t="n">
        <v>545.17</v>
      </c>
      <c r="H3925" s="16" t="n">
        <v>0.15</v>
      </c>
      <c r="I3925" s="1" t="s">
        <v>31</v>
      </c>
      <c r="J3925" s="1" t="n">
        <v>11</v>
      </c>
      <c r="K3925" s="1" t="n">
        <v>4.9</v>
      </c>
      <c r="L3925" s="15" t="n">
        <v>1853.58</v>
      </c>
      <c r="M3925" s="15" t="n">
        <f aca="false">F3925*G3925</f>
        <v>2180.68</v>
      </c>
      <c r="N3925" s="15" t="n">
        <f aca="false">M3925-L3925</f>
        <v>327.1</v>
      </c>
      <c r="O3925" s="1" t="n">
        <f aca="false">YEAR(B3925)</f>
        <v>2032</v>
      </c>
      <c r="P3925" s="1" t="n">
        <f aca="false">MONTH(B3925)</f>
        <v>9</v>
      </c>
      <c r="Q3925" s="1" t="str">
        <f aca="false">TEXT(B3925,"mmm")</f>
        <v>Sep</v>
      </c>
      <c r="R3925" s="1" t="str">
        <f aca="false">"Q"&amp;ROUNDUP(MONTH(B3925)/3,0)</f>
        <v>Q3</v>
      </c>
    </row>
    <row r="3926" customFormat="false" ht="15" hidden="false" customHeight="true" outlineLevel="0" collapsed="false">
      <c r="A3926" s="1" t="n">
        <v>13925</v>
      </c>
      <c r="B3926" s="14" t="n">
        <v>48486</v>
      </c>
      <c r="C3926" s="1" t="n">
        <v>1195</v>
      </c>
      <c r="D3926" s="1" t="s">
        <v>34</v>
      </c>
      <c r="E3926" s="1" t="s">
        <v>28</v>
      </c>
      <c r="F3926" s="1" t="n">
        <v>1</v>
      </c>
      <c r="G3926" s="15" t="n">
        <v>512.51</v>
      </c>
      <c r="H3926" s="16" t="n">
        <v>0.29</v>
      </c>
      <c r="I3926" s="1" t="s">
        <v>31</v>
      </c>
      <c r="J3926" s="1" t="n">
        <v>11</v>
      </c>
      <c r="K3926" s="1" t="n">
        <v>1.7</v>
      </c>
      <c r="L3926" s="15" t="n">
        <v>363.88</v>
      </c>
      <c r="M3926" s="15" t="n">
        <f aca="false">F3926*G3926</f>
        <v>512.51</v>
      </c>
      <c r="N3926" s="15" t="n">
        <f aca="false">M3926-L3926</f>
        <v>148.63</v>
      </c>
      <c r="O3926" s="1" t="n">
        <f aca="false">YEAR(B3926)</f>
        <v>2032</v>
      </c>
      <c r="P3926" s="1" t="n">
        <f aca="false">MONTH(B3926)</f>
        <v>9</v>
      </c>
      <c r="Q3926" s="1" t="str">
        <f aca="false">TEXT(B3926,"mmm")</f>
        <v>Sep</v>
      </c>
      <c r="R3926" s="1" t="str">
        <f aca="false">"Q"&amp;ROUNDUP(MONTH(B3926)/3,0)</f>
        <v>Q3</v>
      </c>
    </row>
    <row r="3927" customFormat="false" ht="15" hidden="false" customHeight="true" outlineLevel="0" collapsed="false">
      <c r="A3927" s="1" t="n">
        <v>13926</v>
      </c>
      <c r="B3927" s="14" t="n">
        <v>48487</v>
      </c>
      <c r="C3927" s="1" t="n">
        <v>1689</v>
      </c>
      <c r="D3927" s="1" t="s">
        <v>27</v>
      </c>
      <c r="E3927" s="1" t="s">
        <v>35</v>
      </c>
      <c r="F3927" s="1" t="n">
        <v>4</v>
      </c>
      <c r="G3927" s="15" t="n">
        <v>497.41</v>
      </c>
      <c r="H3927" s="16" t="n">
        <v>0.16</v>
      </c>
      <c r="I3927" s="1" t="s">
        <v>29</v>
      </c>
      <c r="J3927" s="1" t="n">
        <v>3</v>
      </c>
      <c r="K3927" s="1" t="n">
        <v>3.2</v>
      </c>
      <c r="L3927" s="15" t="n">
        <v>1671.3</v>
      </c>
      <c r="M3927" s="15" t="n">
        <f aca="false">F3927*G3927</f>
        <v>1989.64</v>
      </c>
      <c r="N3927" s="15" t="n">
        <f aca="false">M3927-L3927</f>
        <v>318.34</v>
      </c>
      <c r="O3927" s="1" t="n">
        <f aca="false">YEAR(B3927)</f>
        <v>2032</v>
      </c>
      <c r="P3927" s="1" t="n">
        <f aca="false">MONTH(B3927)</f>
        <v>9</v>
      </c>
      <c r="Q3927" s="1" t="str">
        <f aca="false">TEXT(B3927,"mmm")</f>
        <v>Sep</v>
      </c>
      <c r="R3927" s="1" t="str">
        <f aca="false">"Q"&amp;ROUNDUP(MONTH(B3927)/3,0)</f>
        <v>Q3</v>
      </c>
    </row>
    <row r="3928" customFormat="false" ht="15" hidden="false" customHeight="true" outlineLevel="0" collapsed="false">
      <c r="A3928" s="1" t="n">
        <v>13927</v>
      </c>
      <c r="B3928" s="14" t="n">
        <v>48488</v>
      </c>
      <c r="C3928" s="1" t="n">
        <v>1928</v>
      </c>
      <c r="D3928" s="1" t="s">
        <v>34</v>
      </c>
      <c r="E3928" s="1" t="s">
        <v>36</v>
      </c>
      <c r="F3928" s="1" t="n">
        <v>5</v>
      </c>
      <c r="G3928" s="15" t="n">
        <v>450.8</v>
      </c>
      <c r="H3928" s="16" t="n">
        <v>0.1</v>
      </c>
      <c r="I3928" s="1" t="s">
        <v>31</v>
      </c>
      <c r="J3928" s="1" t="n">
        <v>2</v>
      </c>
      <c r="K3928" s="1" t="n">
        <v>3.7</v>
      </c>
      <c r="L3928" s="15" t="n">
        <v>2028.6</v>
      </c>
      <c r="M3928" s="15" t="n">
        <f aca="false">F3928*G3928</f>
        <v>2254</v>
      </c>
      <c r="N3928" s="15" t="n">
        <f aca="false">M3928-L3928</f>
        <v>225.4</v>
      </c>
      <c r="O3928" s="1" t="n">
        <f aca="false">YEAR(B3928)</f>
        <v>2032</v>
      </c>
      <c r="P3928" s="1" t="n">
        <f aca="false">MONTH(B3928)</f>
        <v>10</v>
      </c>
      <c r="Q3928" s="1" t="str">
        <f aca="false">TEXT(B3928,"mmm")</f>
        <v>Oct</v>
      </c>
      <c r="R3928" s="1" t="str">
        <f aca="false">"Q"&amp;ROUNDUP(MONTH(B3928)/3,0)</f>
        <v>Q4</v>
      </c>
    </row>
    <row r="3929" customFormat="false" ht="15" hidden="false" customHeight="true" outlineLevel="0" collapsed="false">
      <c r="A3929" s="1" t="n">
        <v>13928</v>
      </c>
      <c r="B3929" s="14" t="n">
        <v>48489</v>
      </c>
      <c r="C3929" s="1" t="n">
        <v>1986</v>
      </c>
      <c r="D3929" s="1" t="s">
        <v>30</v>
      </c>
      <c r="E3929" s="1" t="s">
        <v>36</v>
      </c>
      <c r="F3929" s="1" t="n">
        <v>5</v>
      </c>
      <c r="G3929" s="15" t="n">
        <v>385.56</v>
      </c>
      <c r="H3929" s="16" t="n">
        <v>0.27</v>
      </c>
      <c r="I3929" s="1" t="s">
        <v>33</v>
      </c>
      <c r="J3929" s="1" t="n">
        <v>1</v>
      </c>
      <c r="K3929" s="1" t="n">
        <v>4.3</v>
      </c>
      <c r="L3929" s="15" t="n">
        <v>1407.29</v>
      </c>
      <c r="M3929" s="15" t="n">
        <f aca="false">F3929*G3929</f>
        <v>1927.8</v>
      </c>
      <c r="N3929" s="15" t="n">
        <f aca="false">M3929-L3929</f>
        <v>520.51</v>
      </c>
      <c r="O3929" s="1" t="n">
        <f aca="false">YEAR(B3929)</f>
        <v>2032</v>
      </c>
      <c r="P3929" s="1" t="n">
        <f aca="false">MONTH(B3929)</f>
        <v>10</v>
      </c>
      <c r="Q3929" s="1" t="str">
        <f aca="false">TEXT(B3929,"mmm")</f>
        <v>Oct</v>
      </c>
      <c r="R3929" s="1" t="str">
        <f aca="false">"Q"&amp;ROUNDUP(MONTH(B3929)/3,0)</f>
        <v>Q4</v>
      </c>
    </row>
    <row r="3930" customFormat="false" ht="15" hidden="false" customHeight="true" outlineLevel="0" collapsed="false">
      <c r="A3930" s="1" t="n">
        <v>13929</v>
      </c>
      <c r="B3930" s="14" t="n">
        <v>48490</v>
      </c>
      <c r="C3930" s="1" t="n">
        <v>1518</v>
      </c>
      <c r="D3930" s="1" t="s">
        <v>34</v>
      </c>
      <c r="E3930" s="1" t="s">
        <v>32</v>
      </c>
      <c r="F3930" s="1" t="n">
        <v>2</v>
      </c>
      <c r="G3930" s="15" t="n">
        <v>412</v>
      </c>
      <c r="H3930" s="16" t="n">
        <v>0.3</v>
      </c>
      <c r="I3930" s="1" t="s">
        <v>31</v>
      </c>
      <c r="J3930" s="1" t="n">
        <v>7</v>
      </c>
      <c r="K3930" s="1" t="n">
        <v>2.8</v>
      </c>
      <c r="L3930" s="15" t="n">
        <v>576.8</v>
      </c>
      <c r="M3930" s="15" t="n">
        <f aca="false">F3930*G3930</f>
        <v>824</v>
      </c>
      <c r="N3930" s="15" t="n">
        <f aca="false">M3930-L3930</f>
        <v>247.2</v>
      </c>
      <c r="O3930" s="1" t="n">
        <f aca="false">YEAR(B3930)</f>
        <v>2032</v>
      </c>
      <c r="P3930" s="1" t="n">
        <f aca="false">MONTH(B3930)</f>
        <v>10</v>
      </c>
      <c r="Q3930" s="1" t="str">
        <f aca="false">TEXT(B3930,"mmm")</f>
        <v>Oct</v>
      </c>
      <c r="R3930" s="1" t="str">
        <f aca="false">"Q"&amp;ROUNDUP(MONTH(B3930)/3,0)</f>
        <v>Q4</v>
      </c>
    </row>
    <row r="3931" customFormat="false" ht="15" hidden="false" customHeight="true" outlineLevel="0" collapsed="false">
      <c r="A3931" s="1" t="n">
        <v>13930</v>
      </c>
      <c r="B3931" s="14" t="n">
        <v>48491</v>
      </c>
      <c r="C3931" s="1" t="n">
        <v>1069</v>
      </c>
      <c r="D3931" s="1" t="s">
        <v>34</v>
      </c>
      <c r="E3931" s="1" t="s">
        <v>32</v>
      </c>
      <c r="F3931" s="1" t="n">
        <v>6</v>
      </c>
      <c r="G3931" s="15" t="n">
        <v>486.74</v>
      </c>
      <c r="H3931" s="16" t="n">
        <v>0.15</v>
      </c>
      <c r="I3931" s="1" t="s">
        <v>29</v>
      </c>
      <c r="J3931" s="1" t="n">
        <v>3</v>
      </c>
      <c r="K3931" s="1" t="n">
        <v>4.7</v>
      </c>
      <c r="L3931" s="15" t="n">
        <v>2482.37</v>
      </c>
      <c r="M3931" s="15" t="n">
        <f aca="false">F3931*G3931</f>
        <v>2920.44</v>
      </c>
      <c r="N3931" s="15" t="n">
        <f aca="false">M3931-L3931</f>
        <v>438.07</v>
      </c>
      <c r="O3931" s="1" t="n">
        <f aca="false">YEAR(B3931)</f>
        <v>2032</v>
      </c>
      <c r="P3931" s="1" t="n">
        <f aca="false">MONTH(B3931)</f>
        <v>10</v>
      </c>
      <c r="Q3931" s="1" t="str">
        <f aca="false">TEXT(B3931,"mmm")</f>
        <v>Oct</v>
      </c>
      <c r="R3931" s="1" t="str">
        <f aca="false">"Q"&amp;ROUNDUP(MONTH(B3931)/3,0)</f>
        <v>Q4</v>
      </c>
    </row>
    <row r="3932" customFormat="false" ht="15" hidden="false" customHeight="true" outlineLevel="0" collapsed="false">
      <c r="A3932" s="1" t="n">
        <v>13931</v>
      </c>
      <c r="B3932" s="14" t="n">
        <v>48492</v>
      </c>
      <c r="C3932" s="1" t="n">
        <v>1638</v>
      </c>
      <c r="D3932" s="1" t="s">
        <v>37</v>
      </c>
      <c r="E3932" s="1" t="s">
        <v>35</v>
      </c>
      <c r="F3932" s="1" t="n">
        <v>2</v>
      </c>
      <c r="G3932" s="15" t="n">
        <v>402.56</v>
      </c>
      <c r="H3932" s="16" t="n">
        <v>0.23</v>
      </c>
      <c r="I3932" s="1" t="s">
        <v>29</v>
      </c>
      <c r="J3932" s="1" t="n">
        <v>6</v>
      </c>
      <c r="K3932" s="1" t="n">
        <v>2.9</v>
      </c>
      <c r="L3932" s="15" t="n">
        <v>619.94</v>
      </c>
      <c r="M3932" s="15" t="n">
        <f aca="false">F3932*G3932</f>
        <v>805.12</v>
      </c>
      <c r="N3932" s="15" t="n">
        <f aca="false">M3932-L3932</f>
        <v>185.18</v>
      </c>
      <c r="O3932" s="1" t="n">
        <f aca="false">YEAR(B3932)</f>
        <v>2032</v>
      </c>
      <c r="P3932" s="1" t="n">
        <f aca="false">MONTH(B3932)</f>
        <v>10</v>
      </c>
      <c r="Q3932" s="1" t="str">
        <f aca="false">TEXT(B3932,"mmm")</f>
        <v>Oct</v>
      </c>
      <c r="R3932" s="1" t="str">
        <f aca="false">"Q"&amp;ROUNDUP(MONTH(B3932)/3,0)</f>
        <v>Q4</v>
      </c>
    </row>
    <row r="3933" customFormat="false" ht="15" hidden="false" customHeight="true" outlineLevel="0" collapsed="false">
      <c r="A3933" s="1" t="n">
        <v>13932</v>
      </c>
      <c r="B3933" s="14" t="n">
        <v>48493</v>
      </c>
      <c r="C3933" s="1" t="n">
        <v>1398</v>
      </c>
      <c r="D3933" s="1" t="s">
        <v>34</v>
      </c>
      <c r="E3933" s="1" t="s">
        <v>36</v>
      </c>
      <c r="F3933" s="1" t="n">
        <v>7</v>
      </c>
      <c r="G3933" s="15" t="n">
        <v>206.72</v>
      </c>
      <c r="H3933" s="16" t="n">
        <v>0.02</v>
      </c>
      <c r="I3933" s="1" t="s">
        <v>31</v>
      </c>
      <c r="J3933" s="1" t="n">
        <v>10</v>
      </c>
      <c r="K3933" s="1" t="n">
        <v>2</v>
      </c>
      <c r="L3933" s="15" t="n">
        <v>1418.1</v>
      </c>
      <c r="M3933" s="15" t="n">
        <f aca="false">F3933*G3933</f>
        <v>1447.04</v>
      </c>
      <c r="N3933" s="15" t="n">
        <f aca="false">M3933-L3933</f>
        <v>28.9400000000001</v>
      </c>
      <c r="O3933" s="1" t="n">
        <f aca="false">YEAR(B3933)</f>
        <v>2032</v>
      </c>
      <c r="P3933" s="1" t="n">
        <f aca="false">MONTH(B3933)</f>
        <v>10</v>
      </c>
      <c r="Q3933" s="1" t="str">
        <f aca="false">TEXT(B3933,"mmm")</f>
        <v>Oct</v>
      </c>
      <c r="R3933" s="1" t="str">
        <f aca="false">"Q"&amp;ROUNDUP(MONTH(B3933)/3,0)</f>
        <v>Q4</v>
      </c>
    </row>
    <row r="3934" customFormat="false" ht="15" hidden="false" customHeight="true" outlineLevel="0" collapsed="false">
      <c r="A3934" s="1" t="n">
        <v>13933</v>
      </c>
      <c r="B3934" s="14" t="n">
        <v>48494</v>
      </c>
      <c r="C3934" s="1" t="n">
        <v>1977</v>
      </c>
      <c r="D3934" s="1" t="s">
        <v>34</v>
      </c>
      <c r="E3934" s="1" t="s">
        <v>32</v>
      </c>
      <c r="F3934" s="1" t="n">
        <v>6</v>
      </c>
      <c r="G3934" s="15" t="n">
        <v>234.94</v>
      </c>
      <c r="H3934" s="16" t="n">
        <v>0.19</v>
      </c>
      <c r="I3934" s="1" t="s">
        <v>31</v>
      </c>
      <c r="J3934" s="1" t="n">
        <v>8</v>
      </c>
      <c r="K3934" s="1" t="n">
        <v>3.4</v>
      </c>
      <c r="L3934" s="15" t="n">
        <v>1141.81</v>
      </c>
      <c r="M3934" s="15" t="n">
        <f aca="false">F3934*G3934</f>
        <v>1409.64</v>
      </c>
      <c r="N3934" s="15" t="n">
        <f aca="false">M3934-L3934</f>
        <v>267.83</v>
      </c>
      <c r="O3934" s="1" t="n">
        <f aca="false">YEAR(B3934)</f>
        <v>2032</v>
      </c>
      <c r="P3934" s="1" t="n">
        <f aca="false">MONTH(B3934)</f>
        <v>10</v>
      </c>
      <c r="Q3934" s="1" t="str">
        <f aca="false">TEXT(B3934,"mmm")</f>
        <v>Oct</v>
      </c>
      <c r="R3934" s="1" t="str">
        <f aca="false">"Q"&amp;ROUNDUP(MONTH(B3934)/3,0)</f>
        <v>Q4</v>
      </c>
    </row>
    <row r="3935" customFormat="false" ht="15" hidden="false" customHeight="true" outlineLevel="0" collapsed="false">
      <c r="A3935" s="1" t="n">
        <v>13934</v>
      </c>
      <c r="B3935" s="14" t="n">
        <v>48495</v>
      </c>
      <c r="C3935" s="1" t="n">
        <v>1671</v>
      </c>
      <c r="D3935" s="1" t="s">
        <v>30</v>
      </c>
      <c r="E3935" s="1" t="s">
        <v>32</v>
      </c>
      <c r="F3935" s="1" t="n">
        <v>6</v>
      </c>
      <c r="G3935" s="15" t="n">
        <v>539.78</v>
      </c>
      <c r="H3935" s="16" t="n">
        <v>0.02</v>
      </c>
      <c r="I3935" s="1" t="s">
        <v>33</v>
      </c>
      <c r="J3935" s="1" t="n">
        <v>6</v>
      </c>
      <c r="K3935" s="1" t="n">
        <v>3.6</v>
      </c>
      <c r="L3935" s="15" t="n">
        <v>3173.91</v>
      </c>
      <c r="M3935" s="15" t="n">
        <f aca="false">F3935*G3935</f>
        <v>3238.68</v>
      </c>
      <c r="N3935" s="15" t="n">
        <f aca="false">M3935-L3935</f>
        <v>64.77</v>
      </c>
      <c r="O3935" s="1" t="n">
        <f aca="false">YEAR(B3935)</f>
        <v>2032</v>
      </c>
      <c r="P3935" s="1" t="n">
        <f aca="false">MONTH(B3935)</f>
        <v>10</v>
      </c>
      <c r="Q3935" s="1" t="str">
        <f aca="false">TEXT(B3935,"mmm")</f>
        <v>Oct</v>
      </c>
      <c r="R3935" s="1" t="str">
        <f aca="false">"Q"&amp;ROUNDUP(MONTH(B3935)/3,0)</f>
        <v>Q4</v>
      </c>
    </row>
    <row r="3936" customFormat="false" ht="15" hidden="false" customHeight="true" outlineLevel="0" collapsed="false">
      <c r="A3936" s="1" t="n">
        <v>13935</v>
      </c>
      <c r="B3936" s="14" t="n">
        <v>48496</v>
      </c>
      <c r="C3936" s="1" t="n">
        <v>1759</v>
      </c>
      <c r="D3936" s="1" t="s">
        <v>34</v>
      </c>
      <c r="E3936" s="1" t="s">
        <v>36</v>
      </c>
      <c r="F3936" s="1" t="n">
        <v>6</v>
      </c>
      <c r="G3936" s="15" t="n">
        <v>25.02</v>
      </c>
      <c r="H3936" s="16" t="n">
        <v>0.01</v>
      </c>
      <c r="I3936" s="1" t="s">
        <v>31</v>
      </c>
      <c r="J3936" s="1" t="n">
        <v>7</v>
      </c>
      <c r="K3936" s="1" t="n">
        <v>3</v>
      </c>
      <c r="L3936" s="15" t="n">
        <v>148.62</v>
      </c>
      <c r="M3936" s="15" t="n">
        <f aca="false">F3936*G3936</f>
        <v>150.12</v>
      </c>
      <c r="N3936" s="15" t="n">
        <f aca="false">M3936-L3936</f>
        <v>1.5</v>
      </c>
      <c r="O3936" s="1" t="n">
        <f aca="false">YEAR(B3936)</f>
        <v>2032</v>
      </c>
      <c r="P3936" s="1" t="n">
        <f aca="false">MONTH(B3936)</f>
        <v>10</v>
      </c>
      <c r="Q3936" s="1" t="str">
        <f aca="false">TEXT(B3936,"mmm")</f>
        <v>Oct</v>
      </c>
      <c r="R3936" s="1" t="str">
        <f aca="false">"Q"&amp;ROUNDUP(MONTH(B3936)/3,0)</f>
        <v>Q4</v>
      </c>
    </row>
    <row r="3937" customFormat="false" ht="15" hidden="false" customHeight="true" outlineLevel="0" collapsed="false">
      <c r="A3937" s="1" t="n">
        <v>13936</v>
      </c>
      <c r="B3937" s="14" t="n">
        <v>48497</v>
      </c>
      <c r="C3937" s="1" t="n">
        <v>1202</v>
      </c>
      <c r="D3937" s="1" t="s">
        <v>34</v>
      </c>
      <c r="E3937" s="1" t="s">
        <v>28</v>
      </c>
      <c r="F3937" s="1" t="n">
        <v>6</v>
      </c>
      <c r="G3937" s="15" t="n">
        <v>423.81</v>
      </c>
      <c r="H3937" s="16" t="n">
        <v>0.21</v>
      </c>
      <c r="I3937" s="1" t="s">
        <v>31</v>
      </c>
      <c r="J3937" s="1" t="n">
        <v>11</v>
      </c>
      <c r="K3937" s="1" t="n">
        <v>3.9</v>
      </c>
      <c r="L3937" s="15" t="n">
        <v>2008.86</v>
      </c>
      <c r="M3937" s="15" t="n">
        <f aca="false">F3937*G3937</f>
        <v>2542.86</v>
      </c>
      <c r="N3937" s="15" t="n">
        <f aca="false">M3937-L3937</f>
        <v>534</v>
      </c>
      <c r="O3937" s="1" t="n">
        <f aca="false">YEAR(B3937)</f>
        <v>2032</v>
      </c>
      <c r="P3937" s="1" t="n">
        <f aca="false">MONTH(B3937)</f>
        <v>10</v>
      </c>
      <c r="Q3937" s="1" t="str">
        <f aca="false">TEXT(B3937,"mmm")</f>
        <v>Oct</v>
      </c>
      <c r="R3937" s="1" t="str">
        <f aca="false">"Q"&amp;ROUNDUP(MONTH(B3937)/3,0)</f>
        <v>Q4</v>
      </c>
    </row>
    <row r="3938" customFormat="false" ht="15" hidden="false" customHeight="true" outlineLevel="0" collapsed="false">
      <c r="A3938" s="1" t="n">
        <v>13937</v>
      </c>
      <c r="B3938" s="14" t="n">
        <v>48498</v>
      </c>
      <c r="C3938" s="1" t="n">
        <v>1147</v>
      </c>
      <c r="D3938" s="1" t="s">
        <v>37</v>
      </c>
      <c r="E3938" s="1" t="s">
        <v>32</v>
      </c>
      <c r="F3938" s="1" t="n">
        <v>5</v>
      </c>
      <c r="G3938" s="15" t="n">
        <v>573.54</v>
      </c>
      <c r="H3938" s="16" t="n">
        <v>0.11</v>
      </c>
      <c r="I3938" s="1" t="s">
        <v>33</v>
      </c>
      <c r="J3938" s="1" t="n">
        <v>6</v>
      </c>
      <c r="K3938" s="1" t="n">
        <v>2.7</v>
      </c>
      <c r="L3938" s="15" t="n">
        <v>2552.25</v>
      </c>
      <c r="M3938" s="15" t="n">
        <f aca="false">F3938*G3938</f>
        <v>2867.7</v>
      </c>
      <c r="N3938" s="15" t="n">
        <f aca="false">M3938-L3938</f>
        <v>315.45</v>
      </c>
      <c r="O3938" s="1" t="n">
        <f aca="false">YEAR(B3938)</f>
        <v>2032</v>
      </c>
      <c r="P3938" s="1" t="n">
        <f aca="false">MONTH(B3938)</f>
        <v>10</v>
      </c>
      <c r="Q3938" s="1" t="str">
        <f aca="false">TEXT(B3938,"mmm")</f>
        <v>Oct</v>
      </c>
      <c r="R3938" s="1" t="str">
        <f aca="false">"Q"&amp;ROUNDUP(MONTH(B3938)/3,0)</f>
        <v>Q4</v>
      </c>
    </row>
    <row r="3939" customFormat="false" ht="15" hidden="false" customHeight="true" outlineLevel="0" collapsed="false">
      <c r="A3939" s="1" t="n">
        <v>13938</v>
      </c>
      <c r="B3939" s="14" t="n">
        <v>48499</v>
      </c>
      <c r="C3939" s="1" t="n">
        <v>1471</v>
      </c>
      <c r="D3939" s="1" t="s">
        <v>37</v>
      </c>
      <c r="E3939" s="1" t="s">
        <v>36</v>
      </c>
      <c r="F3939" s="1" t="n">
        <v>7</v>
      </c>
      <c r="G3939" s="15" t="n">
        <v>428.14</v>
      </c>
      <c r="H3939" s="16" t="n">
        <v>0.26</v>
      </c>
      <c r="I3939" s="1" t="s">
        <v>31</v>
      </c>
      <c r="J3939" s="1" t="n">
        <v>7</v>
      </c>
      <c r="K3939" s="1" t="n">
        <v>1</v>
      </c>
      <c r="L3939" s="15" t="n">
        <v>2217.77</v>
      </c>
      <c r="M3939" s="15" t="n">
        <f aca="false">F3939*G3939</f>
        <v>2996.98</v>
      </c>
      <c r="N3939" s="15" t="n">
        <f aca="false">M3939-L3939</f>
        <v>779.21</v>
      </c>
      <c r="O3939" s="1" t="n">
        <f aca="false">YEAR(B3939)</f>
        <v>2032</v>
      </c>
      <c r="P3939" s="1" t="n">
        <f aca="false">MONTH(B3939)</f>
        <v>10</v>
      </c>
      <c r="Q3939" s="1" t="str">
        <f aca="false">TEXT(B3939,"mmm")</f>
        <v>Oct</v>
      </c>
      <c r="R3939" s="1" t="str">
        <f aca="false">"Q"&amp;ROUNDUP(MONTH(B3939)/3,0)</f>
        <v>Q4</v>
      </c>
    </row>
    <row r="3940" customFormat="false" ht="15" hidden="false" customHeight="true" outlineLevel="0" collapsed="false">
      <c r="A3940" s="1" t="n">
        <v>13939</v>
      </c>
      <c r="B3940" s="14" t="n">
        <v>48500</v>
      </c>
      <c r="C3940" s="1" t="n">
        <v>1654</v>
      </c>
      <c r="D3940" s="1" t="s">
        <v>27</v>
      </c>
      <c r="E3940" s="1" t="s">
        <v>32</v>
      </c>
      <c r="F3940" s="1" t="n">
        <v>5</v>
      </c>
      <c r="G3940" s="15" t="n">
        <v>596.44</v>
      </c>
      <c r="H3940" s="16" t="n">
        <v>0.31</v>
      </c>
      <c r="I3940" s="1" t="s">
        <v>31</v>
      </c>
      <c r="J3940" s="1" t="n">
        <v>5</v>
      </c>
      <c r="K3940" s="1" t="n">
        <v>2.1</v>
      </c>
      <c r="L3940" s="15" t="n">
        <v>2057.72</v>
      </c>
      <c r="M3940" s="15" t="n">
        <f aca="false">F3940*G3940</f>
        <v>2982.2</v>
      </c>
      <c r="N3940" s="15" t="n">
        <f aca="false">M3940-L3940</f>
        <v>924.480000000001</v>
      </c>
      <c r="O3940" s="1" t="n">
        <f aca="false">YEAR(B3940)</f>
        <v>2032</v>
      </c>
      <c r="P3940" s="1" t="n">
        <f aca="false">MONTH(B3940)</f>
        <v>10</v>
      </c>
      <c r="Q3940" s="1" t="str">
        <f aca="false">TEXT(B3940,"mmm")</f>
        <v>Oct</v>
      </c>
      <c r="R3940" s="1" t="str">
        <f aca="false">"Q"&amp;ROUNDUP(MONTH(B3940)/3,0)</f>
        <v>Q4</v>
      </c>
    </row>
    <row r="3941" customFormat="false" ht="15" hidden="false" customHeight="true" outlineLevel="0" collapsed="false">
      <c r="A3941" s="1" t="n">
        <v>13940</v>
      </c>
      <c r="B3941" s="14" t="n">
        <v>48501</v>
      </c>
      <c r="C3941" s="1" t="n">
        <v>1943</v>
      </c>
      <c r="D3941" s="1" t="s">
        <v>27</v>
      </c>
      <c r="E3941" s="1" t="s">
        <v>35</v>
      </c>
      <c r="F3941" s="1" t="n">
        <v>3</v>
      </c>
      <c r="G3941" s="15" t="n">
        <v>417.21</v>
      </c>
      <c r="H3941" s="16" t="n">
        <v>0.05</v>
      </c>
      <c r="I3941" s="1" t="s">
        <v>33</v>
      </c>
      <c r="J3941" s="1" t="n">
        <v>9</v>
      </c>
      <c r="K3941" s="1" t="n">
        <v>4.8</v>
      </c>
      <c r="L3941" s="15" t="n">
        <v>1189.05</v>
      </c>
      <c r="M3941" s="15" t="n">
        <f aca="false">F3941*G3941</f>
        <v>1251.63</v>
      </c>
      <c r="N3941" s="15" t="n">
        <f aca="false">M3941-L3941</f>
        <v>62.5799999999999</v>
      </c>
      <c r="O3941" s="1" t="n">
        <f aca="false">YEAR(B3941)</f>
        <v>2032</v>
      </c>
      <c r="P3941" s="1" t="n">
        <f aca="false">MONTH(B3941)</f>
        <v>10</v>
      </c>
      <c r="Q3941" s="1" t="str">
        <f aca="false">TEXT(B3941,"mmm")</f>
        <v>Oct</v>
      </c>
      <c r="R3941" s="1" t="str">
        <f aca="false">"Q"&amp;ROUNDUP(MONTH(B3941)/3,0)</f>
        <v>Q4</v>
      </c>
    </row>
    <row r="3942" customFormat="false" ht="15" hidden="false" customHeight="true" outlineLevel="0" collapsed="false">
      <c r="A3942" s="1" t="n">
        <v>13941</v>
      </c>
      <c r="B3942" s="14" t="n">
        <v>48502</v>
      </c>
      <c r="C3942" s="1" t="n">
        <v>1198</v>
      </c>
      <c r="D3942" s="1" t="s">
        <v>37</v>
      </c>
      <c r="E3942" s="1" t="s">
        <v>32</v>
      </c>
      <c r="F3942" s="1" t="n">
        <v>7</v>
      </c>
      <c r="G3942" s="15" t="n">
        <v>35.1</v>
      </c>
      <c r="H3942" s="16" t="n">
        <v>0.25</v>
      </c>
      <c r="I3942" s="1" t="s">
        <v>33</v>
      </c>
      <c r="J3942" s="1" t="n">
        <v>3</v>
      </c>
      <c r="K3942" s="1" t="n">
        <v>4.1</v>
      </c>
      <c r="L3942" s="15" t="n">
        <v>184.28</v>
      </c>
      <c r="M3942" s="15" t="n">
        <f aca="false">F3942*G3942</f>
        <v>245.7</v>
      </c>
      <c r="N3942" s="15" t="n">
        <f aca="false">M3942-L3942</f>
        <v>61.42</v>
      </c>
      <c r="O3942" s="1" t="n">
        <f aca="false">YEAR(B3942)</f>
        <v>2032</v>
      </c>
      <c r="P3942" s="1" t="n">
        <f aca="false">MONTH(B3942)</f>
        <v>10</v>
      </c>
      <c r="Q3942" s="1" t="str">
        <f aca="false">TEXT(B3942,"mmm")</f>
        <v>Oct</v>
      </c>
      <c r="R3942" s="1" t="str">
        <f aca="false">"Q"&amp;ROUNDUP(MONTH(B3942)/3,0)</f>
        <v>Q4</v>
      </c>
    </row>
    <row r="3943" customFormat="false" ht="15" hidden="false" customHeight="true" outlineLevel="0" collapsed="false">
      <c r="A3943" s="1" t="n">
        <v>13942</v>
      </c>
      <c r="B3943" s="14" t="n">
        <v>48503</v>
      </c>
      <c r="C3943" s="1" t="n">
        <v>1916</v>
      </c>
      <c r="D3943" s="1" t="s">
        <v>34</v>
      </c>
      <c r="E3943" s="1" t="s">
        <v>36</v>
      </c>
      <c r="F3943" s="1" t="n">
        <v>5</v>
      </c>
      <c r="G3943" s="15" t="n">
        <v>498.8</v>
      </c>
      <c r="H3943" s="16" t="n">
        <v>0.18</v>
      </c>
      <c r="I3943" s="1" t="s">
        <v>31</v>
      </c>
      <c r="J3943" s="1" t="n">
        <v>6</v>
      </c>
      <c r="K3943" s="1" t="n">
        <v>1.8</v>
      </c>
      <c r="L3943" s="15" t="n">
        <v>2045.08</v>
      </c>
      <c r="M3943" s="15" t="n">
        <f aca="false">F3943*G3943</f>
        <v>2494</v>
      </c>
      <c r="N3943" s="15" t="n">
        <f aca="false">M3943-L3943</f>
        <v>448.92</v>
      </c>
      <c r="O3943" s="1" t="n">
        <f aca="false">YEAR(B3943)</f>
        <v>2032</v>
      </c>
      <c r="P3943" s="1" t="n">
        <f aca="false">MONTH(B3943)</f>
        <v>10</v>
      </c>
      <c r="Q3943" s="1" t="str">
        <f aca="false">TEXT(B3943,"mmm")</f>
        <v>Oct</v>
      </c>
      <c r="R3943" s="1" t="str">
        <f aca="false">"Q"&amp;ROUNDUP(MONTH(B3943)/3,0)</f>
        <v>Q4</v>
      </c>
    </row>
    <row r="3944" customFormat="false" ht="15" hidden="false" customHeight="true" outlineLevel="0" collapsed="false">
      <c r="A3944" s="1" t="n">
        <v>13943</v>
      </c>
      <c r="B3944" s="14" t="n">
        <v>48504</v>
      </c>
      <c r="C3944" s="1" t="n">
        <v>1425</v>
      </c>
      <c r="D3944" s="1" t="s">
        <v>37</v>
      </c>
      <c r="E3944" s="1" t="s">
        <v>32</v>
      </c>
      <c r="F3944" s="1" t="n">
        <v>2</v>
      </c>
      <c r="G3944" s="15" t="n">
        <v>181.51</v>
      </c>
      <c r="H3944" s="16" t="n">
        <v>0.04</v>
      </c>
      <c r="I3944" s="1" t="s">
        <v>33</v>
      </c>
      <c r="J3944" s="1" t="n">
        <v>9</v>
      </c>
      <c r="K3944" s="1" t="n">
        <v>1.3</v>
      </c>
      <c r="L3944" s="15" t="n">
        <v>348.5</v>
      </c>
      <c r="M3944" s="15" t="n">
        <f aca="false">F3944*G3944</f>
        <v>363.02</v>
      </c>
      <c r="N3944" s="15" t="n">
        <f aca="false">M3944-L3944</f>
        <v>14.52</v>
      </c>
      <c r="O3944" s="1" t="n">
        <f aca="false">YEAR(B3944)</f>
        <v>2032</v>
      </c>
      <c r="P3944" s="1" t="n">
        <f aca="false">MONTH(B3944)</f>
        <v>10</v>
      </c>
      <c r="Q3944" s="1" t="str">
        <f aca="false">TEXT(B3944,"mmm")</f>
        <v>Oct</v>
      </c>
      <c r="R3944" s="1" t="str">
        <f aca="false">"Q"&amp;ROUNDUP(MONTH(B3944)/3,0)</f>
        <v>Q4</v>
      </c>
    </row>
    <row r="3945" customFormat="false" ht="15" hidden="false" customHeight="true" outlineLevel="0" collapsed="false">
      <c r="A3945" s="1" t="n">
        <v>13944</v>
      </c>
      <c r="B3945" s="14" t="n">
        <v>48505</v>
      </c>
      <c r="C3945" s="1" t="n">
        <v>1665</v>
      </c>
      <c r="D3945" s="1" t="s">
        <v>37</v>
      </c>
      <c r="E3945" s="1" t="s">
        <v>35</v>
      </c>
      <c r="F3945" s="1" t="n">
        <v>5</v>
      </c>
      <c r="G3945" s="15" t="n">
        <v>275.94</v>
      </c>
      <c r="H3945" s="16" t="n">
        <v>0.23</v>
      </c>
      <c r="I3945" s="1" t="s">
        <v>33</v>
      </c>
      <c r="J3945" s="1" t="n">
        <v>1</v>
      </c>
      <c r="K3945" s="1" t="n">
        <v>2.4</v>
      </c>
      <c r="L3945" s="15" t="n">
        <v>1062.37</v>
      </c>
      <c r="M3945" s="15" t="n">
        <f aca="false">F3945*G3945</f>
        <v>1379.7</v>
      </c>
      <c r="N3945" s="15" t="n">
        <f aca="false">M3945-L3945</f>
        <v>317.33</v>
      </c>
      <c r="O3945" s="1" t="n">
        <f aca="false">YEAR(B3945)</f>
        <v>2032</v>
      </c>
      <c r="P3945" s="1" t="n">
        <f aca="false">MONTH(B3945)</f>
        <v>10</v>
      </c>
      <c r="Q3945" s="1" t="str">
        <f aca="false">TEXT(B3945,"mmm")</f>
        <v>Oct</v>
      </c>
      <c r="R3945" s="1" t="str">
        <f aca="false">"Q"&amp;ROUNDUP(MONTH(B3945)/3,0)</f>
        <v>Q4</v>
      </c>
    </row>
    <row r="3946" customFormat="false" ht="15" hidden="false" customHeight="true" outlineLevel="0" collapsed="false">
      <c r="A3946" s="1" t="n">
        <v>13945</v>
      </c>
      <c r="B3946" s="14" t="n">
        <v>48506</v>
      </c>
      <c r="C3946" s="1" t="n">
        <v>1491</v>
      </c>
      <c r="D3946" s="1" t="s">
        <v>37</v>
      </c>
      <c r="E3946" s="1" t="s">
        <v>35</v>
      </c>
      <c r="F3946" s="1" t="n">
        <v>7</v>
      </c>
      <c r="G3946" s="15" t="n">
        <v>197.57</v>
      </c>
      <c r="H3946" s="16" t="n">
        <v>0.21</v>
      </c>
      <c r="I3946" s="1" t="s">
        <v>33</v>
      </c>
      <c r="J3946" s="1" t="n">
        <v>5</v>
      </c>
      <c r="K3946" s="1" t="n">
        <v>4.3</v>
      </c>
      <c r="L3946" s="15" t="n">
        <v>1092.56</v>
      </c>
      <c r="M3946" s="15" t="n">
        <f aca="false">F3946*G3946</f>
        <v>1382.99</v>
      </c>
      <c r="N3946" s="15" t="n">
        <f aca="false">M3946-L3946</f>
        <v>290.43</v>
      </c>
      <c r="O3946" s="1" t="n">
        <f aca="false">YEAR(B3946)</f>
        <v>2032</v>
      </c>
      <c r="P3946" s="1" t="n">
        <f aca="false">MONTH(B3946)</f>
        <v>10</v>
      </c>
      <c r="Q3946" s="1" t="str">
        <f aca="false">TEXT(B3946,"mmm")</f>
        <v>Oct</v>
      </c>
      <c r="R3946" s="1" t="str">
        <f aca="false">"Q"&amp;ROUNDUP(MONTH(B3946)/3,0)</f>
        <v>Q4</v>
      </c>
    </row>
    <row r="3947" customFormat="false" ht="15" hidden="false" customHeight="true" outlineLevel="0" collapsed="false">
      <c r="A3947" s="1" t="n">
        <v>13946</v>
      </c>
      <c r="B3947" s="14" t="n">
        <v>48507</v>
      </c>
      <c r="C3947" s="1" t="n">
        <v>1887</v>
      </c>
      <c r="D3947" s="1" t="s">
        <v>30</v>
      </c>
      <c r="E3947" s="1" t="s">
        <v>32</v>
      </c>
      <c r="F3947" s="1" t="n">
        <v>7</v>
      </c>
      <c r="G3947" s="15" t="n">
        <v>172.1</v>
      </c>
      <c r="H3947" s="16" t="n">
        <v>0.18</v>
      </c>
      <c r="I3947" s="1" t="s">
        <v>31</v>
      </c>
      <c r="J3947" s="1" t="n">
        <v>4</v>
      </c>
      <c r="K3947" s="1" t="n">
        <v>1.4</v>
      </c>
      <c r="L3947" s="15" t="n">
        <v>987.85</v>
      </c>
      <c r="M3947" s="15" t="n">
        <f aca="false">F3947*G3947</f>
        <v>1204.7</v>
      </c>
      <c r="N3947" s="15" t="n">
        <f aca="false">M3947-L3947</f>
        <v>216.85</v>
      </c>
      <c r="O3947" s="1" t="n">
        <f aca="false">YEAR(B3947)</f>
        <v>2032</v>
      </c>
      <c r="P3947" s="1" t="n">
        <f aca="false">MONTH(B3947)</f>
        <v>10</v>
      </c>
      <c r="Q3947" s="1" t="str">
        <f aca="false">TEXT(B3947,"mmm")</f>
        <v>Oct</v>
      </c>
      <c r="R3947" s="1" t="str">
        <f aca="false">"Q"&amp;ROUNDUP(MONTH(B3947)/3,0)</f>
        <v>Q4</v>
      </c>
    </row>
    <row r="3948" customFormat="false" ht="15" hidden="false" customHeight="true" outlineLevel="0" collapsed="false">
      <c r="A3948" s="1" t="n">
        <v>13947</v>
      </c>
      <c r="B3948" s="14" t="n">
        <v>48508</v>
      </c>
      <c r="C3948" s="1" t="n">
        <v>1895</v>
      </c>
      <c r="D3948" s="1" t="s">
        <v>34</v>
      </c>
      <c r="E3948" s="1" t="s">
        <v>32</v>
      </c>
      <c r="F3948" s="1" t="n">
        <v>2</v>
      </c>
      <c r="G3948" s="15" t="n">
        <v>267.37</v>
      </c>
      <c r="H3948" s="16" t="n">
        <v>0.32</v>
      </c>
      <c r="I3948" s="1" t="s">
        <v>31</v>
      </c>
      <c r="J3948" s="1" t="n">
        <v>9</v>
      </c>
      <c r="K3948" s="1" t="n">
        <v>3.2</v>
      </c>
      <c r="L3948" s="15" t="n">
        <v>363.62</v>
      </c>
      <c r="M3948" s="15" t="n">
        <f aca="false">F3948*G3948</f>
        <v>534.74</v>
      </c>
      <c r="N3948" s="15" t="n">
        <f aca="false">M3948-L3948</f>
        <v>171.12</v>
      </c>
      <c r="O3948" s="1" t="n">
        <f aca="false">YEAR(B3948)</f>
        <v>2032</v>
      </c>
      <c r="P3948" s="1" t="n">
        <f aca="false">MONTH(B3948)</f>
        <v>10</v>
      </c>
      <c r="Q3948" s="1" t="str">
        <f aca="false">TEXT(B3948,"mmm")</f>
        <v>Oct</v>
      </c>
      <c r="R3948" s="1" t="str">
        <f aca="false">"Q"&amp;ROUNDUP(MONTH(B3948)/3,0)</f>
        <v>Q4</v>
      </c>
    </row>
    <row r="3949" customFormat="false" ht="15" hidden="false" customHeight="true" outlineLevel="0" collapsed="false">
      <c r="A3949" s="1" t="n">
        <v>13948</v>
      </c>
      <c r="B3949" s="14" t="n">
        <v>48509</v>
      </c>
      <c r="C3949" s="1" t="n">
        <v>1141</v>
      </c>
      <c r="D3949" s="1" t="s">
        <v>37</v>
      </c>
      <c r="E3949" s="1" t="s">
        <v>35</v>
      </c>
      <c r="F3949" s="1" t="n">
        <v>1</v>
      </c>
      <c r="G3949" s="15" t="n">
        <v>236.57</v>
      </c>
      <c r="H3949" s="16" t="n">
        <v>0.18</v>
      </c>
      <c r="I3949" s="1" t="s">
        <v>29</v>
      </c>
      <c r="J3949" s="1" t="n">
        <v>11</v>
      </c>
      <c r="K3949" s="1" t="n">
        <v>2.1</v>
      </c>
      <c r="L3949" s="15" t="n">
        <v>193.99</v>
      </c>
      <c r="M3949" s="15" t="n">
        <f aca="false">F3949*G3949</f>
        <v>236.57</v>
      </c>
      <c r="N3949" s="15" t="n">
        <f aca="false">M3949-L3949</f>
        <v>42.58</v>
      </c>
      <c r="O3949" s="1" t="n">
        <f aca="false">YEAR(B3949)</f>
        <v>2032</v>
      </c>
      <c r="P3949" s="1" t="n">
        <f aca="false">MONTH(B3949)</f>
        <v>10</v>
      </c>
      <c r="Q3949" s="1" t="str">
        <f aca="false">TEXT(B3949,"mmm")</f>
        <v>Oct</v>
      </c>
      <c r="R3949" s="1" t="str">
        <f aca="false">"Q"&amp;ROUNDUP(MONTH(B3949)/3,0)</f>
        <v>Q4</v>
      </c>
    </row>
    <row r="3950" customFormat="false" ht="15" hidden="false" customHeight="true" outlineLevel="0" collapsed="false">
      <c r="A3950" s="1" t="n">
        <v>13949</v>
      </c>
      <c r="B3950" s="14" t="n">
        <v>48510</v>
      </c>
      <c r="C3950" s="1" t="n">
        <v>1312</v>
      </c>
      <c r="D3950" s="1" t="s">
        <v>37</v>
      </c>
      <c r="E3950" s="1" t="s">
        <v>35</v>
      </c>
      <c r="F3950" s="1" t="n">
        <v>7</v>
      </c>
      <c r="G3950" s="15" t="n">
        <v>385.5</v>
      </c>
      <c r="H3950" s="16" t="n">
        <v>0.35</v>
      </c>
      <c r="I3950" s="1" t="s">
        <v>29</v>
      </c>
      <c r="J3950" s="1" t="n">
        <v>11</v>
      </c>
      <c r="K3950" s="1" t="n">
        <v>3.9</v>
      </c>
      <c r="L3950" s="15" t="n">
        <v>1754.02</v>
      </c>
      <c r="M3950" s="15" t="n">
        <f aca="false">F3950*G3950</f>
        <v>2698.5</v>
      </c>
      <c r="N3950" s="15" t="n">
        <f aca="false">M3950-L3950</f>
        <v>944.48</v>
      </c>
      <c r="O3950" s="1" t="n">
        <f aca="false">YEAR(B3950)</f>
        <v>2032</v>
      </c>
      <c r="P3950" s="1" t="n">
        <f aca="false">MONTH(B3950)</f>
        <v>10</v>
      </c>
      <c r="Q3950" s="1" t="str">
        <f aca="false">TEXT(B3950,"mmm")</f>
        <v>Oct</v>
      </c>
      <c r="R3950" s="1" t="str">
        <f aca="false">"Q"&amp;ROUNDUP(MONTH(B3950)/3,0)</f>
        <v>Q4</v>
      </c>
    </row>
    <row r="3951" customFormat="false" ht="15" hidden="false" customHeight="true" outlineLevel="0" collapsed="false">
      <c r="A3951" s="1" t="n">
        <v>13950</v>
      </c>
      <c r="B3951" s="14" t="n">
        <v>48511</v>
      </c>
      <c r="C3951" s="1" t="n">
        <v>1164</v>
      </c>
      <c r="D3951" s="1" t="s">
        <v>27</v>
      </c>
      <c r="E3951" s="1" t="s">
        <v>28</v>
      </c>
      <c r="F3951" s="1" t="n">
        <v>5</v>
      </c>
      <c r="G3951" s="15" t="n">
        <v>490.69</v>
      </c>
      <c r="H3951" s="16" t="n">
        <v>0.18</v>
      </c>
      <c r="I3951" s="1" t="s">
        <v>33</v>
      </c>
      <c r="J3951" s="1" t="n">
        <v>1</v>
      </c>
      <c r="K3951" s="1" t="n">
        <v>1</v>
      </c>
      <c r="L3951" s="15" t="n">
        <v>2011.83</v>
      </c>
      <c r="M3951" s="15" t="n">
        <f aca="false">F3951*G3951</f>
        <v>2453.45</v>
      </c>
      <c r="N3951" s="15" t="n">
        <f aca="false">M3951-L3951</f>
        <v>441.62</v>
      </c>
      <c r="O3951" s="1" t="n">
        <f aca="false">YEAR(B3951)</f>
        <v>2032</v>
      </c>
      <c r="P3951" s="1" t="n">
        <f aca="false">MONTH(B3951)</f>
        <v>10</v>
      </c>
      <c r="Q3951" s="1" t="str">
        <f aca="false">TEXT(B3951,"mmm")</f>
        <v>Oct</v>
      </c>
      <c r="R3951" s="1" t="str">
        <f aca="false">"Q"&amp;ROUNDUP(MONTH(B3951)/3,0)</f>
        <v>Q4</v>
      </c>
    </row>
    <row r="3952" customFormat="false" ht="15" hidden="false" customHeight="true" outlineLevel="0" collapsed="false">
      <c r="A3952" s="1" t="n">
        <v>13951</v>
      </c>
      <c r="B3952" s="14" t="n">
        <v>48512</v>
      </c>
      <c r="C3952" s="1" t="n">
        <v>1313</v>
      </c>
      <c r="D3952" s="1" t="s">
        <v>34</v>
      </c>
      <c r="E3952" s="1" t="s">
        <v>28</v>
      </c>
      <c r="F3952" s="1" t="n">
        <v>2</v>
      </c>
      <c r="G3952" s="15" t="n">
        <v>188.8</v>
      </c>
      <c r="H3952" s="16" t="n">
        <v>0.04</v>
      </c>
      <c r="I3952" s="1" t="s">
        <v>31</v>
      </c>
      <c r="J3952" s="1" t="n">
        <v>4</v>
      </c>
      <c r="K3952" s="1" t="n">
        <v>2.1</v>
      </c>
      <c r="L3952" s="15" t="n">
        <v>362.5</v>
      </c>
      <c r="M3952" s="15" t="n">
        <f aca="false">F3952*G3952</f>
        <v>377.6</v>
      </c>
      <c r="N3952" s="15" t="n">
        <f aca="false">M3952-L3952</f>
        <v>15.1</v>
      </c>
      <c r="O3952" s="1" t="n">
        <f aca="false">YEAR(B3952)</f>
        <v>2032</v>
      </c>
      <c r="P3952" s="1" t="n">
        <f aca="false">MONTH(B3952)</f>
        <v>10</v>
      </c>
      <c r="Q3952" s="1" t="str">
        <f aca="false">TEXT(B3952,"mmm")</f>
        <v>Oct</v>
      </c>
      <c r="R3952" s="1" t="str">
        <f aca="false">"Q"&amp;ROUNDUP(MONTH(B3952)/3,0)</f>
        <v>Q4</v>
      </c>
    </row>
    <row r="3953" customFormat="false" ht="15" hidden="false" customHeight="true" outlineLevel="0" collapsed="false">
      <c r="A3953" s="1" t="n">
        <v>13952</v>
      </c>
      <c r="B3953" s="14" t="n">
        <v>48513</v>
      </c>
      <c r="C3953" s="1" t="n">
        <v>1020</v>
      </c>
      <c r="D3953" s="1" t="s">
        <v>34</v>
      </c>
      <c r="E3953" s="1" t="s">
        <v>35</v>
      </c>
      <c r="F3953" s="1" t="n">
        <v>6</v>
      </c>
      <c r="G3953" s="15" t="n">
        <v>140.03</v>
      </c>
      <c r="H3953" s="16" t="n">
        <v>0.16</v>
      </c>
      <c r="I3953" s="1" t="s">
        <v>33</v>
      </c>
      <c r="J3953" s="1" t="n">
        <v>1</v>
      </c>
      <c r="K3953" s="1" t="n">
        <v>3.7</v>
      </c>
      <c r="L3953" s="15" t="n">
        <v>705.75</v>
      </c>
      <c r="M3953" s="15" t="n">
        <f aca="false">F3953*G3953</f>
        <v>840.18</v>
      </c>
      <c r="N3953" s="15" t="n">
        <f aca="false">M3953-L3953</f>
        <v>134.43</v>
      </c>
      <c r="O3953" s="1" t="n">
        <f aca="false">YEAR(B3953)</f>
        <v>2032</v>
      </c>
      <c r="P3953" s="1" t="n">
        <f aca="false">MONTH(B3953)</f>
        <v>10</v>
      </c>
      <c r="Q3953" s="1" t="str">
        <f aca="false">TEXT(B3953,"mmm")</f>
        <v>Oct</v>
      </c>
      <c r="R3953" s="1" t="str">
        <f aca="false">"Q"&amp;ROUNDUP(MONTH(B3953)/3,0)</f>
        <v>Q4</v>
      </c>
    </row>
    <row r="3954" customFormat="false" ht="15" hidden="false" customHeight="true" outlineLevel="0" collapsed="false">
      <c r="A3954" s="1" t="n">
        <v>13953</v>
      </c>
      <c r="B3954" s="14" t="n">
        <v>48514</v>
      </c>
      <c r="C3954" s="1" t="n">
        <v>1081</v>
      </c>
      <c r="D3954" s="1" t="s">
        <v>34</v>
      </c>
      <c r="E3954" s="1" t="s">
        <v>32</v>
      </c>
      <c r="F3954" s="1" t="n">
        <v>7</v>
      </c>
      <c r="G3954" s="15" t="n">
        <v>405.13</v>
      </c>
      <c r="H3954" s="16" t="n">
        <v>0.06</v>
      </c>
      <c r="I3954" s="1" t="s">
        <v>29</v>
      </c>
      <c r="J3954" s="1" t="n">
        <v>3</v>
      </c>
      <c r="K3954" s="1" t="n">
        <v>3.2</v>
      </c>
      <c r="L3954" s="15" t="n">
        <v>2665.76</v>
      </c>
      <c r="M3954" s="15" t="n">
        <f aca="false">F3954*G3954</f>
        <v>2835.91</v>
      </c>
      <c r="N3954" s="15" t="n">
        <f aca="false">M3954-L3954</f>
        <v>170.15</v>
      </c>
      <c r="O3954" s="1" t="n">
        <f aca="false">YEAR(B3954)</f>
        <v>2032</v>
      </c>
      <c r="P3954" s="1" t="n">
        <f aca="false">MONTH(B3954)</f>
        <v>10</v>
      </c>
      <c r="Q3954" s="1" t="str">
        <f aca="false">TEXT(B3954,"mmm")</f>
        <v>Oct</v>
      </c>
      <c r="R3954" s="1" t="str">
        <f aca="false">"Q"&amp;ROUNDUP(MONTH(B3954)/3,0)</f>
        <v>Q4</v>
      </c>
    </row>
    <row r="3955" customFormat="false" ht="15" hidden="false" customHeight="true" outlineLevel="0" collapsed="false">
      <c r="A3955" s="1" t="n">
        <v>13954</v>
      </c>
      <c r="B3955" s="14" t="n">
        <v>48515</v>
      </c>
      <c r="C3955" s="1" t="n">
        <v>1580</v>
      </c>
      <c r="D3955" s="1" t="s">
        <v>37</v>
      </c>
      <c r="E3955" s="1" t="s">
        <v>36</v>
      </c>
      <c r="F3955" s="1" t="n">
        <v>4</v>
      </c>
      <c r="G3955" s="15" t="n">
        <v>407.14</v>
      </c>
      <c r="H3955" s="16" t="n">
        <v>0.21</v>
      </c>
      <c r="I3955" s="1" t="s">
        <v>31</v>
      </c>
      <c r="J3955" s="1" t="n">
        <v>4</v>
      </c>
      <c r="K3955" s="1" t="n">
        <v>4.1</v>
      </c>
      <c r="L3955" s="15" t="n">
        <v>1286.56</v>
      </c>
      <c r="M3955" s="15" t="n">
        <f aca="false">F3955*G3955</f>
        <v>1628.56</v>
      </c>
      <c r="N3955" s="15" t="n">
        <f aca="false">M3955-L3955</f>
        <v>342</v>
      </c>
      <c r="O3955" s="1" t="n">
        <f aca="false">YEAR(B3955)</f>
        <v>2032</v>
      </c>
      <c r="P3955" s="1" t="n">
        <f aca="false">MONTH(B3955)</f>
        <v>10</v>
      </c>
      <c r="Q3955" s="1" t="str">
        <f aca="false">TEXT(B3955,"mmm")</f>
        <v>Oct</v>
      </c>
      <c r="R3955" s="1" t="str">
        <f aca="false">"Q"&amp;ROUNDUP(MONTH(B3955)/3,0)</f>
        <v>Q4</v>
      </c>
    </row>
    <row r="3956" customFormat="false" ht="15" hidden="false" customHeight="true" outlineLevel="0" collapsed="false">
      <c r="A3956" s="1" t="n">
        <v>13955</v>
      </c>
      <c r="B3956" s="14" t="n">
        <v>48516</v>
      </c>
      <c r="C3956" s="1" t="n">
        <v>1130</v>
      </c>
      <c r="D3956" s="1" t="s">
        <v>34</v>
      </c>
      <c r="E3956" s="1" t="s">
        <v>32</v>
      </c>
      <c r="F3956" s="1" t="n">
        <v>6</v>
      </c>
      <c r="G3956" s="15" t="n">
        <v>542.16</v>
      </c>
      <c r="H3956" s="16" t="n">
        <v>0.24</v>
      </c>
      <c r="I3956" s="1" t="s">
        <v>31</v>
      </c>
      <c r="J3956" s="1" t="n">
        <v>1</v>
      </c>
      <c r="K3956" s="1" t="n">
        <v>1.6</v>
      </c>
      <c r="L3956" s="15" t="n">
        <v>2472.25</v>
      </c>
      <c r="M3956" s="15" t="n">
        <f aca="false">F3956*G3956</f>
        <v>3252.96</v>
      </c>
      <c r="N3956" s="15" t="n">
        <f aca="false">M3956-L3956</f>
        <v>780.71</v>
      </c>
      <c r="O3956" s="1" t="n">
        <f aca="false">YEAR(B3956)</f>
        <v>2032</v>
      </c>
      <c r="P3956" s="1" t="n">
        <f aca="false">MONTH(B3956)</f>
        <v>10</v>
      </c>
      <c r="Q3956" s="1" t="str">
        <f aca="false">TEXT(B3956,"mmm")</f>
        <v>Oct</v>
      </c>
      <c r="R3956" s="1" t="str">
        <f aca="false">"Q"&amp;ROUNDUP(MONTH(B3956)/3,0)</f>
        <v>Q4</v>
      </c>
    </row>
    <row r="3957" customFormat="false" ht="15" hidden="false" customHeight="true" outlineLevel="0" collapsed="false">
      <c r="A3957" s="1" t="n">
        <v>13956</v>
      </c>
      <c r="B3957" s="14" t="n">
        <v>48517</v>
      </c>
      <c r="C3957" s="1" t="n">
        <v>1598</v>
      </c>
      <c r="D3957" s="1" t="s">
        <v>34</v>
      </c>
      <c r="E3957" s="1" t="s">
        <v>32</v>
      </c>
      <c r="F3957" s="1" t="n">
        <v>3</v>
      </c>
      <c r="G3957" s="15" t="n">
        <v>24.33</v>
      </c>
      <c r="H3957" s="16" t="n">
        <v>0.16</v>
      </c>
      <c r="I3957" s="1" t="s">
        <v>33</v>
      </c>
      <c r="J3957" s="1" t="n">
        <v>5</v>
      </c>
      <c r="K3957" s="1" t="n">
        <v>3.1</v>
      </c>
      <c r="L3957" s="15" t="n">
        <v>61.31</v>
      </c>
      <c r="M3957" s="15" t="n">
        <f aca="false">F3957*G3957</f>
        <v>72.99</v>
      </c>
      <c r="N3957" s="15" t="n">
        <f aca="false">M3957-L3957</f>
        <v>11.68</v>
      </c>
      <c r="O3957" s="1" t="n">
        <f aca="false">YEAR(B3957)</f>
        <v>2032</v>
      </c>
      <c r="P3957" s="1" t="n">
        <f aca="false">MONTH(B3957)</f>
        <v>10</v>
      </c>
      <c r="Q3957" s="1" t="str">
        <f aca="false">TEXT(B3957,"mmm")</f>
        <v>Oct</v>
      </c>
      <c r="R3957" s="1" t="str">
        <f aca="false">"Q"&amp;ROUNDUP(MONTH(B3957)/3,0)</f>
        <v>Q4</v>
      </c>
    </row>
    <row r="3958" customFormat="false" ht="15" hidden="false" customHeight="true" outlineLevel="0" collapsed="false">
      <c r="A3958" s="1" t="n">
        <v>13957</v>
      </c>
      <c r="B3958" s="14" t="n">
        <v>48518</v>
      </c>
      <c r="C3958" s="1" t="n">
        <v>1729</v>
      </c>
      <c r="D3958" s="1" t="s">
        <v>27</v>
      </c>
      <c r="E3958" s="1" t="s">
        <v>28</v>
      </c>
      <c r="F3958" s="1" t="n">
        <v>7</v>
      </c>
      <c r="G3958" s="15" t="n">
        <v>514.03</v>
      </c>
      <c r="H3958" s="16" t="n">
        <v>0.03</v>
      </c>
      <c r="I3958" s="1" t="s">
        <v>29</v>
      </c>
      <c r="J3958" s="1" t="n">
        <v>6</v>
      </c>
      <c r="K3958" s="1" t="n">
        <v>1.8</v>
      </c>
      <c r="L3958" s="15" t="n">
        <v>3490.26</v>
      </c>
      <c r="M3958" s="15" t="n">
        <f aca="false">F3958*G3958</f>
        <v>3598.21</v>
      </c>
      <c r="N3958" s="15" t="n">
        <f aca="false">M3958-L3958</f>
        <v>107.95</v>
      </c>
      <c r="O3958" s="1" t="n">
        <f aca="false">YEAR(B3958)</f>
        <v>2032</v>
      </c>
      <c r="P3958" s="1" t="n">
        <f aca="false">MONTH(B3958)</f>
        <v>10</v>
      </c>
      <c r="Q3958" s="1" t="str">
        <f aca="false">TEXT(B3958,"mmm")</f>
        <v>Oct</v>
      </c>
      <c r="R3958" s="1" t="str">
        <f aca="false">"Q"&amp;ROUNDUP(MONTH(B3958)/3,0)</f>
        <v>Q4</v>
      </c>
    </row>
    <row r="3959" customFormat="false" ht="15" hidden="false" customHeight="true" outlineLevel="0" collapsed="false">
      <c r="A3959" s="1" t="n">
        <v>13958</v>
      </c>
      <c r="B3959" s="14" t="n">
        <v>48519</v>
      </c>
      <c r="C3959" s="1" t="n">
        <v>1932</v>
      </c>
      <c r="D3959" s="1" t="s">
        <v>34</v>
      </c>
      <c r="E3959" s="1" t="s">
        <v>28</v>
      </c>
      <c r="F3959" s="1" t="n">
        <v>2</v>
      </c>
      <c r="G3959" s="15" t="n">
        <v>319.79</v>
      </c>
      <c r="H3959" s="16" t="n">
        <v>0.16</v>
      </c>
      <c r="I3959" s="1" t="s">
        <v>31</v>
      </c>
      <c r="J3959" s="1" t="n">
        <v>1</v>
      </c>
      <c r="K3959" s="1" t="n">
        <v>3.6</v>
      </c>
      <c r="L3959" s="15" t="n">
        <v>537.25</v>
      </c>
      <c r="M3959" s="15" t="n">
        <f aca="false">F3959*G3959</f>
        <v>639.58</v>
      </c>
      <c r="N3959" s="15" t="n">
        <f aca="false">M3959-L3959</f>
        <v>102.33</v>
      </c>
      <c r="O3959" s="1" t="n">
        <f aca="false">YEAR(B3959)</f>
        <v>2032</v>
      </c>
      <c r="P3959" s="1" t="n">
        <f aca="false">MONTH(B3959)</f>
        <v>11</v>
      </c>
      <c r="Q3959" s="1" t="str">
        <f aca="false">TEXT(B3959,"mmm")</f>
        <v>Nov</v>
      </c>
      <c r="R3959" s="1" t="str">
        <f aca="false">"Q"&amp;ROUNDUP(MONTH(B3959)/3,0)</f>
        <v>Q4</v>
      </c>
    </row>
    <row r="3960" customFormat="false" ht="15" hidden="false" customHeight="true" outlineLevel="0" collapsed="false">
      <c r="A3960" s="1" t="n">
        <v>13959</v>
      </c>
      <c r="B3960" s="14" t="n">
        <v>48520</v>
      </c>
      <c r="C3960" s="1" t="n">
        <v>1983</v>
      </c>
      <c r="D3960" s="1" t="s">
        <v>37</v>
      </c>
      <c r="E3960" s="1" t="s">
        <v>28</v>
      </c>
      <c r="F3960" s="1" t="n">
        <v>6</v>
      </c>
      <c r="G3960" s="15" t="n">
        <v>378.46</v>
      </c>
      <c r="H3960" s="16" t="n">
        <v>0.03</v>
      </c>
      <c r="I3960" s="1" t="s">
        <v>33</v>
      </c>
      <c r="J3960" s="1" t="n">
        <v>10</v>
      </c>
      <c r="K3960" s="1" t="n">
        <v>1.5</v>
      </c>
      <c r="L3960" s="15" t="n">
        <v>2202.64</v>
      </c>
      <c r="M3960" s="15" t="n">
        <f aca="false">F3960*G3960</f>
        <v>2270.76</v>
      </c>
      <c r="N3960" s="15" t="n">
        <f aca="false">M3960-L3960</f>
        <v>68.1199999999999</v>
      </c>
      <c r="O3960" s="1" t="n">
        <f aca="false">YEAR(B3960)</f>
        <v>2032</v>
      </c>
      <c r="P3960" s="1" t="n">
        <f aca="false">MONTH(B3960)</f>
        <v>11</v>
      </c>
      <c r="Q3960" s="1" t="str">
        <f aca="false">TEXT(B3960,"mmm")</f>
        <v>Nov</v>
      </c>
      <c r="R3960" s="1" t="str">
        <f aca="false">"Q"&amp;ROUNDUP(MONTH(B3960)/3,0)</f>
        <v>Q4</v>
      </c>
    </row>
    <row r="3961" customFormat="false" ht="15" hidden="false" customHeight="true" outlineLevel="0" collapsed="false">
      <c r="A3961" s="1" t="n">
        <v>13960</v>
      </c>
      <c r="B3961" s="14" t="n">
        <v>48521</v>
      </c>
      <c r="C3961" s="1" t="n">
        <v>1304</v>
      </c>
      <c r="D3961" s="1" t="s">
        <v>30</v>
      </c>
      <c r="E3961" s="1" t="s">
        <v>35</v>
      </c>
      <c r="F3961" s="1" t="n">
        <v>5</v>
      </c>
      <c r="G3961" s="15" t="n">
        <v>68.45</v>
      </c>
      <c r="H3961" s="16" t="n">
        <v>0.24</v>
      </c>
      <c r="I3961" s="1" t="s">
        <v>33</v>
      </c>
      <c r="J3961" s="1" t="n">
        <v>11</v>
      </c>
      <c r="K3961" s="1" t="n">
        <v>1.6</v>
      </c>
      <c r="L3961" s="15" t="n">
        <v>260.11</v>
      </c>
      <c r="M3961" s="15" t="n">
        <f aca="false">F3961*G3961</f>
        <v>342.25</v>
      </c>
      <c r="N3961" s="15" t="n">
        <f aca="false">M3961-L3961</f>
        <v>82.14</v>
      </c>
      <c r="O3961" s="1" t="n">
        <f aca="false">YEAR(B3961)</f>
        <v>2032</v>
      </c>
      <c r="P3961" s="1" t="n">
        <f aca="false">MONTH(B3961)</f>
        <v>11</v>
      </c>
      <c r="Q3961" s="1" t="str">
        <f aca="false">TEXT(B3961,"mmm")</f>
        <v>Nov</v>
      </c>
      <c r="R3961" s="1" t="str">
        <f aca="false">"Q"&amp;ROUNDUP(MONTH(B3961)/3,0)</f>
        <v>Q4</v>
      </c>
    </row>
    <row r="3962" customFormat="false" ht="15" hidden="false" customHeight="true" outlineLevel="0" collapsed="false">
      <c r="A3962" s="1" t="n">
        <v>13961</v>
      </c>
      <c r="B3962" s="14" t="n">
        <v>48522</v>
      </c>
      <c r="C3962" s="1" t="n">
        <v>1914</v>
      </c>
      <c r="D3962" s="1" t="s">
        <v>37</v>
      </c>
      <c r="E3962" s="1" t="s">
        <v>35</v>
      </c>
      <c r="F3962" s="1" t="n">
        <v>5</v>
      </c>
      <c r="G3962" s="15" t="n">
        <v>268.08</v>
      </c>
      <c r="H3962" s="16" t="n">
        <v>0.28</v>
      </c>
      <c r="I3962" s="1" t="s">
        <v>33</v>
      </c>
      <c r="J3962" s="1" t="n">
        <v>10</v>
      </c>
      <c r="K3962" s="1" t="n">
        <v>2.3</v>
      </c>
      <c r="L3962" s="15" t="n">
        <v>965.09</v>
      </c>
      <c r="M3962" s="15" t="n">
        <f aca="false">F3962*G3962</f>
        <v>1340.4</v>
      </c>
      <c r="N3962" s="15" t="n">
        <f aca="false">M3962-L3962</f>
        <v>375.31</v>
      </c>
      <c r="O3962" s="1" t="n">
        <f aca="false">YEAR(B3962)</f>
        <v>2032</v>
      </c>
      <c r="P3962" s="1" t="n">
        <f aca="false">MONTH(B3962)</f>
        <v>11</v>
      </c>
      <c r="Q3962" s="1" t="str">
        <f aca="false">TEXT(B3962,"mmm")</f>
        <v>Nov</v>
      </c>
      <c r="R3962" s="1" t="str">
        <f aca="false">"Q"&amp;ROUNDUP(MONTH(B3962)/3,0)</f>
        <v>Q4</v>
      </c>
    </row>
    <row r="3963" customFormat="false" ht="15" hidden="false" customHeight="true" outlineLevel="0" collapsed="false">
      <c r="A3963" s="1" t="n">
        <v>13962</v>
      </c>
      <c r="B3963" s="14" t="n">
        <v>48523</v>
      </c>
      <c r="C3963" s="1" t="n">
        <v>1370</v>
      </c>
      <c r="D3963" s="1" t="s">
        <v>30</v>
      </c>
      <c r="E3963" s="1" t="s">
        <v>32</v>
      </c>
      <c r="F3963" s="1" t="n">
        <v>7</v>
      </c>
      <c r="G3963" s="15" t="n">
        <v>147.97</v>
      </c>
      <c r="H3963" s="16" t="n">
        <v>0.34</v>
      </c>
      <c r="I3963" s="1" t="s">
        <v>33</v>
      </c>
      <c r="J3963" s="1" t="n">
        <v>4</v>
      </c>
      <c r="K3963" s="1" t="n">
        <v>2.6</v>
      </c>
      <c r="L3963" s="15" t="n">
        <v>683.62</v>
      </c>
      <c r="M3963" s="15" t="n">
        <f aca="false">F3963*G3963</f>
        <v>1035.79</v>
      </c>
      <c r="N3963" s="15" t="n">
        <f aca="false">M3963-L3963</f>
        <v>352.17</v>
      </c>
      <c r="O3963" s="1" t="n">
        <f aca="false">YEAR(B3963)</f>
        <v>2032</v>
      </c>
      <c r="P3963" s="1" t="n">
        <f aca="false">MONTH(B3963)</f>
        <v>11</v>
      </c>
      <c r="Q3963" s="1" t="str">
        <f aca="false">TEXT(B3963,"mmm")</f>
        <v>Nov</v>
      </c>
      <c r="R3963" s="1" t="str">
        <f aca="false">"Q"&amp;ROUNDUP(MONTH(B3963)/3,0)</f>
        <v>Q4</v>
      </c>
    </row>
    <row r="3964" customFormat="false" ht="15" hidden="false" customHeight="true" outlineLevel="0" collapsed="false">
      <c r="A3964" s="1" t="n">
        <v>13963</v>
      </c>
      <c r="B3964" s="14" t="n">
        <v>48524</v>
      </c>
      <c r="C3964" s="1" t="n">
        <v>1856</v>
      </c>
      <c r="D3964" s="1" t="s">
        <v>27</v>
      </c>
      <c r="E3964" s="1" t="s">
        <v>32</v>
      </c>
      <c r="F3964" s="1" t="n">
        <v>1</v>
      </c>
      <c r="G3964" s="15" t="n">
        <v>163.72</v>
      </c>
      <c r="H3964" s="16" t="n">
        <v>0.05</v>
      </c>
      <c r="I3964" s="1" t="s">
        <v>33</v>
      </c>
      <c r="J3964" s="1" t="n">
        <v>4</v>
      </c>
      <c r="K3964" s="1" t="n">
        <v>3</v>
      </c>
      <c r="L3964" s="15" t="n">
        <v>155.53</v>
      </c>
      <c r="M3964" s="15" t="n">
        <f aca="false">F3964*G3964</f>
        <v>163.72</v>
      </c>
      <c r="N3964" s="15" t="n">
        <f aca="false">M3964-L3964</f>
        <v>8.19</v>
      </c>
      <c r="O3964" s="1" t="n">
        <f aca="false">YEAR(B3964)</f>
        <v>2032</v>
      </c>
      <c r="P3964" s="1" t="n">
        <f aca="false">MONTH(B3964)</f>
        <v>11</v>
      </c>
      <c r="Q3964" s="1" t="str">
        <f aca="false">TEXT(B3964,"mmm")</f>
        <v>Nov</v>
      </c>
      <c r="R3964" s="1" t="str">
        <f aca="false">"Q"&amp;ROUNDUP(MONTH(B3964)/3,0)</f>
        <v>Q4</v>
      </c>
    </row>
    <row r="3965" customFormat="false" ht="15" hidden="false" customHeight="true" outlineLevel="0" collapsed="false">
      <c r="A3965" s="1" t="n">
        <v>13964</v>
      </c>
      <c r="B3965" s="14" t="n">
        <v>48525</v>
      </c>
      <c r="C3965" s="1" t="n">
        <v>1852</v>
      </c>
      <c r="D3965" s="1" t="s">
        <v>27</v>
      </c>
      <c r="E3965" s="1" t="s">
        <v>36</v>
      </c>
      <c r="F3965" s="1" t="n">
        <v>4</v>
      </c>
      <c r="G3965" s="15" t="n">
        <v>309.9</v>
      </c>
      <c r="H3965" s="16" t="n">
        <v>0.19</v>
      </c>
      <c r="I3965" s="1" t="s">
        <v>31</v>
      </c>
      <c r="J3965" s="1" t="n">
        <v>1</v>
      </c>
      <c r="K3965" s="1" t="n">
        <v>3.3</v>
      </c>
      <c r="L3965" s="15" t="n">
        <v>1004.08</v>
      </c>
      <c r="M3965" s="15" t="n">
        <f aca="false">F3965*G3965</f>
        <v>1239.6</v>
      </c>
      <c r="N3965" s="15" t="n">
        <f aca="false">M3965-L3965</f>
        <v>235.52</v>
      </c>
      <c r="O3965" s="1" t="n">
        <f aca="false">YEAR(B3965)</f>
        <v>2032</v>
      </c>
      <c r="P3965" s="1" t="n">
        <f aca="false">MONTH(B3965)</f>
        <v>11</v>
      </c>
      <c r="Q3965" s="1" t="str">
        <f aca="false">TEXT(B3965,"mmm")</f>
        <v>Nov</v>
      </c>
      <c r="R3965" s="1" t="str">
        <f aca="false">"Q"&amp;ROUNDUP(MONTH(B3965)/3,0)</f>
        <v>Q4</v>
      </c>
    </row>
    <row r="3966" customFormat="false" ht="15" hidden="false" customHeight="true" outlineLevel="0" collapsed="false">
      <c r="A3966" s="1" t="n">
        <v>13965</v>
      </c>
      <c r="B3966" s="14" t="n">
        <v>48526</v>
      </c>
      <c r="C3966" s="1" t="n">
        <v>1383</v>
      </c>
      <c r="D3966" s="1" t="s">
        <v>34</v>
      </c>
      <c r="E3966" s="1" t="s">
        <v>32</v>
      </c>
      <c r="F3966" s="1" t="n">
        <v>7</v>
      </c>
      <c r="G3966" s="15" t="n">
        <v>490.29</v>
      </c>
      <c r="H3966" s="16" t="n">
        <v>0.2</v>
      </c>
      <c r="I3966" s="1" t="s">
        <v>31</v>
      </c>
      <c r="J3966" s="1" t="n">
        <v>2</v>
      </c>
      <c r="K3966" s="1" t="n">
        <v>2.9</v>
      </c>
      <c r="L3966" s="15" t="n">
        <v>2745.62</v>
      </c>
      <c r="M3966" s="15" t="n">
        <f aca="false">F3966*G3966</f>
        <v>3432.03</v>
      </c>
      <c r="N3966" s="15" t="n">
        <f aca="false">M3966-L3966</f>
        <v>686.41</v>
      </c>
      <c r="O3966" s="1" t="n">
        <f aca="false">YEAR(B3966)</f>
        <v>2032</v>
      </c>
      <c r="P3966" s="1" t="n">
        <f aca="false">MONTH(B3966)</f>
        <v>11</v>
      </c>
      <c r="Q3966" s="1" t="str">
        <f aca="false">TEXT(B3966,"mmm")</f>
        <v>Nov</v>
      </c>
      <c r="R3966" s="1" t="str">
        <f aca="false">"Q"&amp;ROUNDUP(MONTH(B3966)/3,0)</f>
        <v>Q4</v>
      </c>
    </row>
    <row r="3967" customFormat="false" ht="15" hidden="false" customHeight="true" outlineLevel="0" collapsed="false">
      <c r="A3967" s="1" t="n">
        <v>13966</v>
      </c>
      <c r="B3967" s="14" t="n">
        <v>48527</v>
      </c>
      <c r="C3967" s="1" t="n">
        <v>1907</v>
      </c>
      <c r="D3967" s="1" t="s">
        <v>34</v>
      </c>
      <c r="E3967" s="1" t="s">
        <v>32</v>
      </c>
      <c r="F3967" s="1" t="n">
        <v>2</v>
      </c>
      <c r="G3967" s="15" t="n">
        <v>450.11</v>
      </c>
      <c r="H3967" s="16" t="n">
        <v>0.32</v>
      </c>
      <c r="I3967" s="1" t="s">
        <v>33</v>
      </c>
      <c r="J3967" s="1" t="n">
        <v>11</v>
      </c>
      <c r="K3967" s="1" t="n">
        <v>1.2</v>
      </c>
      <c r="L3967" s="15" t="n">
        <v>612.15</v>
      </c>
      <c r="M3967" s="15" t="n">
        <f aca="false">F3967*G3967</f>
        <v>900.22</v>
      </c>
      <c r="N3967" s="15" t="n">
        <f aca="false">M3967-L3967</f>
        <v>288.07</v>
      </c>
      <c r="O3967" s="1" t="n">
        <f aca="false">YEAR(B3967)</f>
        <v>2032</v>
      </c>
      <c r="P3967" s="1" t="n">
        <f aca="false">MONTH(B3967)</f>
        <v>11</v>
      </c>
      <c r="Q3967" s="1" t="str">
        <f aca="false">TEXT(B3967,"mmm")</f>
        <v>Nov</v>
      </c>
      <c r="R3967" s="1" t="str">
        <f aca="false">"Q"&amp;ROUNDUP(MONTH(B3967)/3,0)</f>
        <v>Q4</v>
      </c>
    </row>
    <row r="3968" customFormat="false" ht="15" hidden="false" customHeight="true" outlineLevel="0" collapsed="false">
      <c r="A3968" s="1" t="n">
        <v>13967</v>
      </c>
      <c r="B3968" s="14" t="n">
        <v>48528</v>
      </c>
      <c r="C3968" s="1" t="n">
        <v>1444</v>
      </c>
      <c r="D3968" s="1" t="s">
        <v>34</v>
      </c>
      <c r="E3968" s="1" t="s">
        <v>28</v>
      </c>
      <c r="F3968" s="1" t="n">
        <v>6</v>
      </c>
      <c r="G3968" s="15" t="n">
        <v>360.73</v>
      </c>
      <c r="H3968" s="16" t="n">
        <v>0.22</v>
      </c>
      <c r="I3968" s="1" t="s">
        <v>31</v>
      </c>
      <c r="J3968" s="1" t="n">
        <v>10</v>
      </c>
      <c r="K3968" s="1" t="n">
        <v>2.4</v>
      </c>
      <c r="L3968" s="15" t="n">
        <v>1688.22</v>
      </c>
      <c r="M3968" s="15" t="n">
        <f aca="false">F3968*G3968</f>
        <v>2164.38</v>
      </c>
      <c r="N3968" s="15" t="n">
        <f aca="false">M3968-L3968</f>
        <v>476.16</v>
      </c>
      <c r="O3968" s="1" t="n">
        <f aca="false">YEAR(B3968)</f>
        <v>2032</v>
      </c>
      <c r="P3968" s="1" t="n">
        <f aca="false">MONTH(B3968)</f>
        <v>11</v>
      </c>
      <c r="Q3968" s="1" t="str">
        <f aca="false">TEXT(B3968,"mmm")</f>
        <v>Nov</v>
      </c>
      <c r="R3968" s="1" t="str">
        <f aca="false">"Q"&amp;ROUNDUP(MONTH(B3968)/3,0)</f>
        <v>Q4</v>
      </c>
    </row>
    <row r="3969" customFormat="false" ht="15" hidden="false" customHeight="true" outlineLevel="0" collapsed="false">
      <c r="A3969" s="1" t="n">
        <v>13968</v>
      </c>
      <c r="B3969" s="14" t="n">
        <v>48529</v>
      </c>
      <c r="C3969" s="1" t="n">
        <v>1424</v>
      </c>
      <c r="D3969" s="1" t="s">
        <v>37</v>
      </c>
      <c r="E3969" s="1" t="s">
        <v>28</v>
      </c>
      <c r="F3969" s="1" t="n">
        <v>4</v>
      </c>
      <c r="G3969" s="15" t="n">
        <v>330.56</v>
      </c>
      <c r="H3969" s="16" t="n">
        <v>0.05</v>
      </c>
      <c r="I3969" s="1" t="s">
        <v>33</v>
      </c>
      <c r="J3969" s="1" t="n">
        <v>5</v>
      </c>
      <c r="K3969" s="1" t="n">
        <v>1.2</v>
      </c>
      <c r="L3969" s="15" t="n">
        <v>1256.13</v>
      </c>
      <c r="M3969" s="15" t="n">
        <f aca="false">F3969*G3969</f>
        <v>1322.24</v>
      </c>
      <c r="N3969" s="15" t="n">
        <f aca="false">M3969-L3969</f>
        <v>66.1099999999999</v>
      </c>
      <c r="O3969" s="1" t="n">
        <f aca="false">YEAR(B3969)</f>
        <v>2032</v>
      </c>
      <c r="P3969" s="1" t="n">
        <f aca="false">MONTH(B3969)</f>
        <v>11</v>
      </c>
      <c r="Q3969" s="1" t="str">
        <f aca="false">TEXT(B3969,"mmm")</f>
        <v>Nov</v>
      </c>
      <c r="R3969" s="1" t="str">
        <f aca="false">"Q"&amp;ROUNDUP(MONTH(B3969)/3,0)</f>
        <v>Q4</v>
      </c>
    </row>
    <row r="3970" customFormat="false" ht="15" hidden="false" customHeight="true" outlineLevel="0" collapsed="false">
      <c r="A3970" s="1" t="n">
        <v>13969</v>
      </c>
      <c r="B3970" s="14" t="n">
        <v>48530</v>
      </c>
      <c r="C3970" s="1" t="n">
        <v>1160</v>
      </c>
      <c r="D3970" s="1" t="s">
        <v>27</v>
      </c>
      <c r="E3970" s="1" t="s">
        <v>28</v>
      </c>
      <c r="F3970" s="1" t="n">
        <v>1</v>
      </c>
      <c r="G3970" s="15" t="n">
        <v>264.97</v>
      </c>
      <c r="H3970" s="16" t="n">
        <v>0.15</v>
      </c>
      <c r="I3970" s="1" t="s">
        <v>33</v>
      </c>
      <c r="J3970" s="1" t="n">
        <v>2</v>
      </c>
      <c r="K3970" s="1" t="n">
        <v>1.5</v>
      </c>
      <c r="L3970" s="15" t="n">
        <v>225.22</v>
      </c>
      <c r="M3970" s="15" t="n">
        <f aca="false">F3970*G3970</f>
        <v>264.97</v>
      </c>
      <c r="N3970" s="15" t="n">
        <f aca="false">M3970-L3970</f>
        <v>39.75</v>
      </c>
      <c r="O3970" s="1" t="n">
        <f aca="false">YEAR(B3970)</f>
        <v>2032</v>
      </c>
      <c r="P3970" s="1" t="n">
        <f aca="false">MONTH(B3970)</f>
        <v>11</v>
      </c>
      <c r="Q3970" s="1" t="str">
        <f aca="false">TEXT(B3970,"mmm")</f>
        <v>Nov</v>
      </c>
      <c r="R3970" s="1" t="str">
        <f aca="false">"Q"&amp;ROUNDUP(MONTH(B3970)/3,0)</f>
        <v>Q4</v>
      </c>
    </row>
    <row r="3971" customFormat="false" ht="15" hidden="false" customHeight="true" outlineLevel="0" collapsed="false">
      <c r="A3971" s="1" t="n">
        <v>13970</v>
      </c>
      <c r="B3971" s="14" t="n">
        <v>48531</v>
      </c>
      <c r="C3971" s="1" t="n">
        <v>1177</v>
      </c>
      <c r="D3971" s="1" t="s">
        <v>30</v>
      </c>
      <c r="E3971" s="1" t="s">
        <v>28</v>
      </c>
      <c r="F3971" s="1" t="n">
        <v>7</v>
      </c>
      <c r="G3971" s="15" t="n">
        <v>584.04</v>
      </c>
      <c r="H3971" s="16" t="n">
        <v>0.23</v>
      </c>
      <c r="I3971" s="1" t="s">
        <v>31</v>
      </c>
      <c r="J3971" s="1" t="n">
        <v>3</v>
      </c>
      <c r="K3971" s="1" t="n">
        <v>1.4</v>
      </c>
      <c r="L3971" s="15" t="n">
        <v>3147.98</v>
      </c>
      <c r="M3971" s="15" t="n">
        <f aca="false">F3971*G3971</f>
        <v>4088.28</v>
      </c>
      <c r="N3971" s="15" t="n">
        <f aca="false">M3971-L3971</f>
        <v>940.3</v>
      </c>
      <c r="O3971" s="1" t="n">
        <f aca="false">YEAR(B3971)</f>
        <v>2032</v>
      </c>
      <c r="P3971" s="1" t="n">
        <f aca="false">MONTH(B3971)</f>
        <v>11</v>
      </c>
      <c r="Q3971" s="1" t="str">
        <f aca="false">TEXT(B3971,"mmm")</f>
        <v>Nov</v>
      </c>
      <c r="R3971" s="1" t="str">
        <f aca="false">"Q"&amp;ROUNDUP(MONTH(B3971)/3,0)</f>
        <v>Q4</v>
      </c>
    </row>
    <row r="3972" customFormat="false" ht="15" hidden="false" customHeight="true" outlineLevel="0" collapsed="false">
      <c r="A3972" s="1" t="n">
        <v>13971</v>
      </c>
      <c r="B3972" s="14" t="n">
        <v>48532</v>
      </c>
      <c r="C3972" s="1" t="n">
        <v>1628</v>
      </c>
      <c r="D3972" s="1" t="s">
        <v>30</v>
      </c>
      <c r="E3972" s="1" t="s">
        <v>28</v>
      </c>
      <c r="F3972" s="1" t="n">
        <v>3</v>
      </c>
      <c r="G3972" s="15" t="n">
        <v>342.71</v>
      </c>
      <c r="H3972" s="16" t="n">
        <v>0.25</v>
      </c>
      <c r="I3972" s="1" t="s">
        <v>33</v>
      </c>
      <c r="J3972" s="1" t="n">
        <v>9</v>
      </c>
      <c r="K3972" s="1" t="n">
        <v>1.6</v>
      </c>
      <c r="L3972" s="15" t="n">
        <v>771.1</v>
      </c>
      <c r="M3972" s="15" t="n">
        <f aca="false">F3972*G3972</f>
        <v>1028.13</v>
      </c>
      <c r="N3972" s="15" t="n">
        <f aca="false">M3972-L3972</f>
        <v>257.03</v>
      </c>
      <c r="O3972" s="1" t="n">
        <f aca="false">YEAR(B3972)</f>
        <v>2032</v>
      </c>
      <c r="P3972" s="1" t="n">
        <f aca="false">MONTH(B3972)</f>
        <v>11</v>
      </c>
      <c r="Q3972" s="1" t="str">
        <f aca="false">TEXT(B3972,"mmm")</f>
        <v>Nov</v>
      </c>
      <c r="R3972" s="1" t="str">
        <f aca="false">"Q"&amp;ROUNDUP(MONTH(B3972)/3,0)</f>
        <v>Q4</v>
      </c>
    </row>
    <row r="3973" customFormat="false" ht="15" hidden="false" customHeight="true" outlineLevel="0" collapsed="false">
      <c r="A3973" s="1" t="n">
        <v>13972</v>
      </c>
      <c r="B3973" s="14" t="n">
        <v>48533</v>
      </c>
      <c r="C3973" s="1" t="n">
        <v>1707</v>
      </c>
      <c r="D3973" s="1" t="s">
        <v>34</v>
      </c>
      <c r="E3973" s="1" t="s">
        <v>36</v>
      </c>
      <c r="F3973" s="1" t="n">
        <v>4</v>
      </c>
      <c r="G3973" s="15" t="n">
        <v>163.57</v>
      </c>
      <c r="H3973" s="16" t="n">
        <v>0.3</v>
      </c>
      <c r="I3973" s="1" t="s">
        <v>33</v>
      </c>
      <c r="J3973" s="1" t="n">
        <v>5</v>
      </c>
      <c r="K3973" s="1" t="n">
        <v>4.3</v>
      </c>
      <c r="L3973" s="15" t="n">
        <v>458</v>
      </c>
      <c r="M3973" s="15" t="n">
        <f aca="false">F3973*G3973</f>
        <v>654.28</v>
      </c>
      <c r="N3973" s="15" t="n">
        <f aca="false">M3973-L3973</f>
        <v>196.28</v>
      </c>
      <c r="O3973" s="1" t="n">
        <f aca="false">YEAR(B3973)</f>
        <v>2032</v>
      </c>
      <c r="P3973" s="1" t="n">
        <f aca="false">MONTH(B3973)</f>
        <v>11</v>
      </c>
      <c r="Q3973" s="1" t="str">
        <f aca="false">TEXT(B3973,"mmm")</f>
        <v>Nov</v>
      </c>
      <c r="R3973" s="1" t="str">
        <f aca="false">"Q"&amp;ROUNDUP(MONTH(B3973)/3,0)</f>
        <v>Q4</v>
      </c>
    </row>
    <row r="3974" customFormat="false" ht="15" hidden="false" customHeight="true" outlineLevel="0" collapsed="false">
      <c r="A3974" s="1" t="n">
        <v>13973</v>
      </c>
      <c r="B3974" s="14" t="n">
        <v>48534</v>
      </c>
      <c r="C3974" s="1" t="n">
        <v>1894</v>
      </c>
      <c r="D3974" s="1" t="s">
        <v>37</v>
      </c>
      <c r="E3974" s="1" t="s">
        <v>36</v>
      </c>
      <c r="F3974" s="1" t="n">
        <v>1</v>
      </c>
      <c r="G3974" s="15" t="n">
        <v>149.6</v>
      </c>
      <c r="H3974" s="16" t="n">
        <v>0.06</v>
      </c>
      <c r="I3974" s="1" t="s">
        <v>31</v>
      </c>
      <c r="J3974" s="1" t="n">
        <v>1</v>
      </c>
      <c r="K3974" s="1" t="n">
        <v>3.5</v>
      </c>
      <c r="L3974" s="15" t="n">
        <v>140.62</v>
      </c>
      <c r="M3974" s="15" t="n">
        <f aca="false">F3974*G3974</f>
        <v>149.6</v>
      </c>
      <c r="N3974" s="15" t="n">
        <f aca="false">M3974-L3974</f>
        <v>8.97999999999999</v>
      </c>
      <c r="O3974" s="1" t="n">
        <f aca="false">YEAR(B3974)</f>
        <v>2032</v>
      </c>
      <c r="P3974" s="1" t="n">
        <f aca="false">MONTH(B3974)</f>
        <v>11</v>
      </c>
      <c r="Q3974" s="1" t="str">
        <f aca="false">TEXT(B3974,"mmm")</f>
        <v>Nov</v>
      </c>
      <c r="R3974" s="1" t="str">
        <f aca="false">"Q"&amp;ROUNDUP(MONTH(B3974)/3,0)</f>
        <v>Q4</v>
      </c>
    </row>
    <row r="3975" customFormat="false" ht="15" hidden="false" customHeight="true" outlineLevel="0" collapsed="false">
      <c r="A3975" s="1" t="n">
        <v>13974</v>
      </c>
      <c r="B3975" s="14" t="n">
        <v>48535</v>
      </c>
      <c r="C3975" s="1" t="n">
        <v>1489</v>
      </c>
      <c r="D3975" s="1" t="s">
        <v>27</v>
      </c>
      <c r="E3975" s="1" t="s">
        <v>36</v>
      </c>
      <c r="F3975" s="1" t="n">
        <v>7</v>
      </c>
      <c r="G3975" s="15" t="n">
        <v>372.64</v>
      </c>
      <c r="H3975" s="16" t="n">
        <v>0.33</v>
      </c>
      <c r="I3975" s="1" t="s">
        <v>33</v>
      </c>
      <c r="J3975" s="1" t="n">
        <v>5</v>
      </c>
      <c r="K3975" s="1" t="n">
        <v>3</v>
      </c>
      <c r="L3975" s="15" t="n">
        <v>1747.68</v>
      </c>
      <c r="M3975" s="15" t="n">
        <f aca="false">F3975*G3975</f>
        <v>2608.48</v>
      </c>
      <c r="N3975" s="15" t="n">
        <f aca="false">M3975-L3975</f>
        <v>860.8</v>
      </c>
      <c r="O3975" s="1" t="n">
        <f aca="false">YEAR(B3975)</f>
        <v>2032</v>
      </c>
      <c r="P3975" s="1" t="n">
        <f aca="false">MONTH(B3975)</f>
        <v>11</v>
      </c>
      <c r="Q3975" s="1" t="str">
        <f aca="false">TEXT(B3975,"mmm")</f>
        <v>Nov</v>
      </c>
      <c r="R3975" s="1" t="str">
        <f aca="false">"Q"&amp;ROUNDUP(MONTH(B3975)/3,0)</f>
        <v>Q4</v>
      </c>
    </row>
    <row r="3976" customFormat="false" ht="15" hidden="false" customHeight="true" outlineLevel="0" collapsed="false">
      <c r="A3976" s="1" t="n">
        <v>13975</v>
      </c>
      <c r="B3976" s="14" t="n">
        <v>48536</v>
      </c>
      <c r="C3976" s="1" t="n">
        <v>1326</v>
      </c>
      <c r="D3976" s="1" t="s">
        <v>34</v>
      </c>
      <c r="E3976" s="1" t="s">
        <v>28</v>
      </c>
      <c r="F3976" s="1" t="n">
        <v>7</v>
      </c>
      <c r="G3976" s="15" t="n">
        <v>320.85</v>
      </c>
      <c r="H3976" s="16" t="n">
        <v>0.02</v>
      </c>
      <c r="I3976" s="1" t="s">
        <v>29</v>
      </c>
      <c r="J3976" s="1" t="n">
        <v>3</v>
      </c>
      <c r="K3976" s="1" t="n">
        <v>3.9</v>
      </c>
      <c r="L3976" s="15" t="n">
        <v>2201.03</v>
      </c>
      <c r="M3976" s="15" t="n">
        <f aca="false">F3976*G3976</f>
        <v>2245.95</v>
      </c>
      <c r="N3976" s="15" t="n">
        <f aca="false">M3976-L3976</f>
        <v>44.9200000000001</v>
      </c>
      <c r="O3976" s="1" t="n">
        <f aca="false">YEAR(B3976)</f>
        <v>2032</v>
      </c>
      <c r="P3976" s="1" t="n">
        <f aca="false">MONTH(B3976)</f>
        <v>11</v>
      </c>
      <c r="Q3976" s="1" t="str">
        <f aca="false">TEXT(B3976,"mmm")</f>
        <v>Nov</v>
      </c>
      <c r="R3976" s="1" t="str">
        <f aca="false">"Q"&amp;ROUNDUP(MONTH(B3976)/3,0)</f>
        <v>Q4</v>
      </c>
    </row>
    <row r="3977" customFormat="false" ht="15" hidden="false" customHeight="true" outlineLevel="0" collapsed="false">
      <c r="A3977" s="1" t="n">
        <v>13976</v>
      </c>
      <c r="B3977" s="14" t="n">
        <v>48537</v>
      </c>
      <c r="C3977" s="1" t="n">
        <v>1597</v>
      </c>
      <c r="D3977" s="1" t="s">
        <v>30</v>
      </c>
      <c r="E3977" s="1" t="s">
        <v>35</v>
      </c>
      <c r="F3977" s="1" t="n">
        <v>2</v>
      </c>
      <c r="G3977" s="15" t="n">
        <v>19.5</v>
      </c>
      <c r="H3977" s="16" t="n">
        <v>0.34</v>
      </c>
      <c r="I3977" s="1" t="s">
        <v>31</v>
      </c>
      <c r="J3977" s="1" t="n">
        <v>1</v>
      </c>
      <c r="K3977" s="1" t="n">
        <v>4.8</v>
      </c>
      <c r="L3977" s="15" t="n">
        <v>25.74</v>
      </c>
      <c r="M3977" s="15" t="n">
        <f aca="false">F3977*G3977</f>
        <v>39</v>
      </c>
      <c r="N3977" s="15" t="n">
        <f aca="false">M3977-L3977</f>
        <v>13.26</v>
      </c>
      <c r="O3977" s="1" t="n">
        <f aca="false">YEAR(B3977)</f>
        <v>2032</v>
      </c>
      <c r="P3977" s="1" t="n">
        <f aca="false">MONTH(B3977)</f>
        <v>11</v>
      </c>
      <c r="Q3977" s="1" t="str">
        <f aca="false">TEXT(B3977,"mmm")</f>
        <v>Nov</v>
      </c>
      <c r="R3977" s="1" t="str">
        <f aca="false">"Q"&amp;ROUNDUP(MONTH(B3977)/3,0)</f>
        <v>Q4</v>
      </c>
    </row>
    <row r="3978" customFormat="false" ht="15" hidden="false" customHeight="true" outlineLevel="0" collapsed="false">
      <c r="A3978" s="1" t="n">
        <v>13977</v>
      </c>
      <c r="B3978" s="14" t="n">
        <v>48538</v>
      </c>
      <c r="C3978" s="1" t="n">
        <v>1288</v>
      </c>
      <c r="D3978" s="1" t="s">
        <v>34</v>
      </c>
      <c r="E3978" s="1" t="s">
        <v>28</v>
      </c>
      <c r="F3978" s="1" t="n">
        <v>7</v>
      </c>
      <c r="G3978" s="15" t="n">
        <v>500.59</v>
      </c>
      <c r="H3978" s="16" t="n">
        <v>0.3</v>
      </c>
      <c r="I3978" s="1" t="s">
        <v>33</v>
      </c>
      <c r="J3978" s="1" t="n">
        <v>3</v>
      </c>
      <c r="K3978" s="1" t="n">
        <v>2.7</v>
      </c>
      <c r="L3978" s="15" t="n">
        <v>2452.89</v>
      </c>
      <c r="M3978" s="15" t="n">
        <f aca="false">F3978*G3978</f>
        <v>3504.13</v>
      </c>
      <c r="N3978" s="15" t="n">
        <f aca="false">M3978-L3978</f>
        <v>1051.24</v>
      </c>
      <c r="O3978" s="1" t="n">
        <f aca="false">YEAR(B3978)</f>
        <v>2032</v>
      </c>
      <c r="P3978" s="1" t="n">
        <f aca="false">MONTH(B3978)</f>
        <v>11</v>
      </c>
      <c r="Q3978" s="1" t="str">
        <f aca="false">TEXT(B3978,"mmm")</f>
        <v>Nov</v>
      </c>
      <c r="R3978" s="1" t="str">
        <f aca="false">"Q"&amp;ROUNDUP(MONTH(B3978)/3,0)</f>
        <v>Q4</v>
      </c>
    </row>
    <row r="3979" customFormat="false" ht="15" hidden="false" customHeight="true" outlineLevel="0" collapsed="false">
      <c r="A3979" s="1" t="n">
        <v>13978</v>
      </c>
      <c r="B3979" s="14" t="n">
        <v>48539</v>
      </c>
      <c r="C3979" s="1" t="n">
        <v>1592</v>
      </c>
      <c r="D3979" s="1" t="s">
        <v>30</v>
      </c>
      <c r="E3979" s="1" t="s">
        <v>28</v>
      </c>
      <c r="F3979" s="1" t="n">
        <v>3</v>
      </c>
      <c r="G3979" s="15" t="n">
        <v>426.91</v>
      </c>
      <c r="H3979" s="16" t="n">
        <v>0.23</v>
      </c>
      <c r="I3979" s="1" t="s">
        <v>31</v>
      </c>
      <c r="J3979" s="1" t="n">
        <v>11</v>
      </c>
      <c r="K3979" s="1" t="n">
        <v>2.5</v>
      </c>
      <c r="L3979" s="15" t="n">
        <v>986.16</v>
      </c>
      <c r="M3979" s="15" t="n">
        <f aca="false">F3979*G3979</f>
        <v>1280.73</v>
      </c>
      <c r="N3979" s="15" t="n">
        <f aca="false">M3979-L3979</f>
        <v>294.57</v>
      </c>
      <c r="O3979" s="1" t="n">
        <f aca="false">YEAR(B3979)</f>
        <v>2032</v>
      </c>
      <c r="P3979" s="1" t="n">
        <f aca="false">MONTH(B3979)</f>
        <v>11</v>
      </c>
      <c r="Q3979" s="1" t="str">
        <f aca="false">TEXT(B3979,"mmm")</f>
        <v>Nov</v>
      </c>
      <c r="R3979" s="1" t="str">
        <f aca="false">"Q"&amp;ROUNDUP(MONTH(B3979)/3,0)</f>
        <v>Q4</v>
      </c>
    </row>
    <row r="3980" customFormat="false" ht="15" hidden="false" customHeight="true" outlineLevel="0" collapsed="false">
      <c r="A3980" s="1" t="n">
        <v>13979</v>
      </c>
      <c r="B3980" s="14" t="n">
        <v>48540</v>
      </c>
      <c r="C3980" s="1" t="n">
        <v>1663</v>
      </c>
      <c r="D3980" s="1" t="s">
        <v>30</v>
      </c>
      <c r="E3980" s="1" t="s">
        <v>36</v>
      </c>
      <c r="F3980" s="1" t="n">
        <v>7</v>
      </c>
      <c r="G3980" s="15" t="n">
        <v>402.17</v>
      </c>
      <c r="H3980" s="16" t="n">
        <v>0.26</v>
      </c>
      <c r="I3980" s="1" t="s">
        <v>31</v>
      </c>
      <c r="J3980" s="1" t="n">
        <v>6</v>
      </c>
      <c r="K3980" s="1" t="n">
        <v>4.9</v>
      </c>
      <c r="L3980" s="15" t="n">
        <v>2083.24</v>
      </c>
      <c r="M3980" s="15" t="n">
        <f aca="false">F3980*G3980</f>
        <v>2815.19</v>
      </c>
      <c r="N3980" s="15" t="n">
        <f aca="false">M3980-L3980</f>
        <v>731.95</v>
      </c>
      <c r="O3980" s="1" t="n">
        <f aca="false">YEAR(B3980)</f>
        <v>2032</v>
      </c>
      <c r="P3980" s="1" t="n">
        <f aca="false">MONTH(B3980)</f>
        <v>11</v>
      </c>
      <c r="Q3980" s="1" t="str">
        <f aca="false">TEXT(B3980,"mmm")</f>
        <v>Nov</v>
      </c>
      <c r="R3980" s="1" t="str">
        <f aca="false">"Q"&amp;ROUNDUP(MONTH(B3980)/3,0)</f>
        <v>Q4</v>
      </c>
    </row>
    <row r="3981" customFormat="false" ht="15" hidden="false" customHeight="true" outlineLevel="0" collapsed="false">
      <c r="A3981" s="1" t="n">
        <v>13980</v>
      </c>
      <c r="B3981" s="14" t="n">
        <v>48541</v>
      </c>
      <c r="C3981" s="1" t="n">
        <v>1572</v>
      </c>
      <c r="D3981" s="1" t="s">
        <v>34</v>
      </c>
      <c r="E3981" s="1" t="s">
        <v>28</v>
      </c>
      <c r="F3981" s="1" t="n">
        <v>5</v>
      </c>
      <c r="G3981" s="15" t="n">
        <v>55.24</v>
      </c>
      <c r="H3981" s="16" t="n">
        <v>0.03</v>
      </c>
      <c r="I3981" s="1" t="s">
        <v>31</v>
      </c>
      <c r="J3981" s="1" t="n">
        <v>10</v>
      </c>
      <c r="K3981" s="1" t="n">
        <v>4.1</v>
      </c>
      <c r="L3981" s="15" t="n">
        <v>267.91</v>
      </c>
      <c r="M3981" s="15" t="n">
        <f aca="false">F3981*G3981</f>
        <v>276.2</v>
      </c>
      <c r="N3981" s="15" t="n">
        <f aca="false">M3981-L3981</f>
        <v>8.28999999999996</v>
      </c>
      <c r="O3981" s="1" t="n">
        <f aca="false">YEAR(B3981)</f>
        <v>2032</v>
      </c>
      <c r="P3981" s="1" t="n">
        <f aca="false">MONTH(B3981)</f>
        <v>11</v>
      </c>
      <c r="Q3981" s="1" t="str">
        <f aca="false">TEXT(B3981,"mmm")</f>
        <v>Nov</v>
      </c>
      <c r="R3981" s="1" t="str">
        <f aca="false">"Q"&amp;ROUNDUP(MONTH(B3981)/3,0)</f>
        <v>Q4</v>
      </c>
    </row>
    <row r="3982" customFormat="false" ht="15" hidden="false" customHeight="true" outlineLevel="0" collapsed="false">
      <c r="A3982" s="1" t="n">
        <v>13981</v>
      </c>
      <c r="B3982" s="14" t="n">
        <v>48542</v>
      </c>
      <c r="C3982" s="1" t="n">
        <v>1572</v>
      </c>
      <c r="D3982" s="1" t="s">
        <v>30</v>
      </c>
      <c r="E3982" s="1" t="s">
        <v>36</v>
      </c>
      <c r="F3982" s="1" t="n">
        <v>1</v>
      </c>
      <c r="G3982" s="15" t="n">
        <v>226.8</v>
      </c>
      <c r="H3982" s="16" t="n">
        <v>0.01</v>
      </c>
      <c r="I3982" s="1" t="s">
        <v>33</v>
      </c>
      <c r="J3982" s="1" t="n">
        <v>5</v>
      </c>
      <c r="K3982" s="1" t="n">
        <v>4.1</v>
      </c>
      <c r="L3982" s="15" t="n">
        <v>224.53</v>
      </c>
      <c r="M3982" s="15" t="n">
        <f aca="false">F3982*G3982</f>
        <v>226.8</v>
      </c>
      <c r="N3982" s="15" t="n">
        <f aca="false">M3982-L3982</f>
        <v>2.27000000000001</v>
      </c>
      <c r="O3982" s="1" t="n">
        <f aca="false">YEAR(B3982)</f>
        <v>2032</v>
      </c>
      <c r="P3982" s="1" t="n">
        <f aca="false">MONTH(B3982)</f>
        <v>11</v>
      </c>
      <c r="Q3982" s="1" t="str">
        <f aca="false">TEXT(B3982,"mmm")</f>
        <v>Nov</v>
      </c>
      <c r="R3982" s="1" t="str">
        <f aca="false">"Q"&amp;ROUNDUP(MONTH(B3982)/3,0)</f>
        <v>Q4</v>
      </c>
    </row>
    <row r="3983" customFormat="false" ht="15" hidden="false" customHeight="true" outlineLevel="0" collapsed="false">
      <c r="A3983" s="1" t="n">
        <v>13982</v>
      </c>
      <c r="B3983" s="14" t="n">
        <v>48543</v>
      </c>
      <c r="C3983" s="1" t="n">
        <v>1353</v>
      </c>
      <c r="D3983" s="1" t="s">
        <v>34</v>
      </c>
      <c r="E3983" s="1" t="s">
        <v>28</v>
      </c>
      <c r="F3983" s="1" t="n">
        <v>5</v>
      </c>
      <c r="G3983" s="15" t="n">
        <v>562.2</v>
      </c>
      <c r="H3983" s="16" t="n">
        <v>0.04</v>
      </c>
      <c r="I3983" s="1" t="s">
        <v>31</v>
      </c>
      <c r="J3983" s="1" t="n">
        <v>1</v>
      </c>
      <c r="K3983" s="1" t="n">
        <v>3.4</v>
      </c>
      <c r="L3983" s="15" t="n">
        <v>2698.56</v>
      </c>
      <c r="M3983" s="15" t="n">
        <f aca="false">F3983*G3983</f>
        <v>2811</v>
      </c>
      <c r="N3983" s="15" t="n">
        <f aca="false">M3983-L3983</f>
        <v>112.44</v>
      </c>
      <c r="O3983" s="1" t="n">
        <f aca="false">YEAR(B3983)</f>
        <v>2032</v>
      </c>
      <c r="P3983" s="1" t="n">
        <f aca="false">MONTH(B3983)</f>
        <v>11</v>
      </c>
      <c r="Q3983" s="1" t="str">
        <f aca="false">TEXT(B3983,"mmm")</f>
        <v>Nov</v>
      </c>
      <c r="R3983" s="1" t="str">
        <f aca="false">"Q"&amp;ROUNDUP(MONTH(B3983)/3,0)</f>
        <v>Q4</v>
      </c>
    </row>
    <row r="3984" customFormat="false" ht="15" hidden="false" customHeight="true" outlineLevel="0" collapsed="false">
      <c r="A3984" s="1" t="n">
        <v>13983</v>
      </c>
      <c r="B3984" s="14" t="n">
        <v>48544</v>
      </c>
      <c r="C3984" s="1" t="n">
        <v>1027</v>
      </c>
      <c r="D3984" s="1" t="s">
        <v>30</v>
      </c>
      <c r="E3984" s="1" t="s">
        <v>32</v>
      </c>
      <c r="F3984" s="1" t="n">
        <v>7</v>
      </c>
      <c r="G3984" s="15" t="n">
        <v>519.61</v>
      </c>
      <c r="H3984" s="16" t="n">
        <v>0.03</v>
      </c>
      <c r="I3984" s="1" t="s">
        <v>31</v>
      </c>
      <c r="J3984" s="1" t="n">
        <v>11</v>
      </c>
      <c r="K3984" s="1" t="n">
        <v>3</v>
      </c>
      <c r="L3984" s="15" t="n">
        <v>3528.15</v>
      </c>
      <c r="M3984" s="15" t="n">
        <f aca="false">F3984*G3984</f>
        <v>3637.27</v>
      </c>
      <c r="N3984" s="15" t="n">
        <f aca="false">M3984-L3984</f>
        <v>109.12</v>
      </c>
      <c r="O3984" s="1" t="n">
        <f aca="false">YEAR(B3984)</f>
        <v>2032</v>
      </c>
      <c r="P3984" s="1" t="n">
        <f aca="false">MONTH(B3984)</f>
        <v>11</v>
      </c>
      <c r="Q3984" s="1" t="str">
        <f aca="false">TEXT(B3984,"mmm")</f>
        <v>Nov</v>
      </c>
      <c r="R3984" s="1" t="str">
        <f aca="false">"Q"&amp;ROUNDUP(MONTH(B3984)/3,0)</f>
        <v>Q4</v>
      </c>
    </row>
    <row r="3985" customFormat="false" ht="15" hidden="false" customHeight="true" outlineLevel="0" collapsed="false">
      <c r="A3985" s="1" t="n">
        <v>13984</v>
      </c>
      <c r="B3985" s="14" t="n">
        <v>48545</v>
      </c>
      <c r="C3985" s="1" t="n">
        <v>1953</v>
      </c>
      <c r="D3985" s="1" t="s">
        <v>30</v>
      </c>
      <c r="E3985" s="1" t="s">
        <v>35</v>
      </c>
      <c r="F3985" s="1" t="n">
        <v>3</v>
      </c>
      <c r="G3985" s="15" t="n">
        <v>182.04</v>
      </c>
      <c r="H3985" s="16" t="n">
        <v>0.19</v>
      </c>
      <c r="I3985" s="1" t="s">
        <v>33</v>
      </c>
      <c r="J3985" s="1" t="n">
        <v>2</v>
      </c>
      <c r="K3985" s="1" t="n">
        <v>3.2</v>
      </c>
      <c r="L3985" s="15" t="n">
        <v>442.36</v>
      </c>
      <c r="M3985" s="15" t="n">
        <f aca="false">F3985*G3985</f>
        <v>546.12</v>
      </c>
      <c r="N3985" s="15" t="n">
        <f aca="false">M3985-L3985</f>
        <v>103.76</v>
      </c>
      <c r="O3985" s="1" t="n">
        <f aca="false">YEAR(B3985)</f>
        <v>2032</v>
      </c>
      <c r="P3985" s="1" t="n">
        <f aca="false">MONTH(B3985)</f>
        <v>11</v>
      </c>
      <c r="Q3985" s="1" t="str">
        <f aca="false">TEXT(B3985,"mmm")</f>
        <v>Nov</v>
      </c>
      <c r="R3985" s="1" t="str">
        <f aca="false">"Q"&amp;ROUNDUP(MONTH(B3985)/3,0)</f>
        <v>Q4</v>
      </c>
    </row>
    <row r="3986" customFormat="false" ht="15" hidden="false" customHeight="true" outlineLevel="0" collapsed="false">
      <c r="A3986" s="1" t="n">
        <v>13985</v>
      </c>
      <c r="B3986" s="14" t="n">
        <v>48546</v>
      </c>
      <c r="C3986" s="1" t="n">
        <v>1042</v>
      </c>
      <c r="D3986" s="1" t="s">
        <v>34</v>
      </c>
      <c r="E3986" s="1" t="s">
        <v>35</v>
      </c>
      <c r="F3986" s="1" t="n">
        <v>1</v>
      </c>
      <c r="G3986" s="15" t="n">
        <v>106.88</v>
      </c>
      <c r="H3986" s="16" t="n">
        <v>0.08</v>
      </c>
      <c r="I3986" s="1" t="s">
        <v>31</v>
      </c>
      <c r="J3986" s="1" t="n">
        <v>5</v>
      </c>
      <c r="K3986" s="1" t="n">
        <v>3.6</v>
      </c>
      <c r="L3986" s="15" t="n">
        <v>98.33</v>
      </c>
      <c r="M3986" s="15" t="n">
        <f aca="false">F3986*G3986</f>
        <v>106.88</v>
      </c>
      <c r="N3986" s="15" t="n">
        <f aca="false">M3986-L3986</f>
        <v>8.55</v>
      </c>
      <c r="O3986" s="1" t="n">
        <f aca="false">YEAR(B3986)</f>
        <v>2032</v>
      </c>
      <c r="P3986" s="1" t="n">
        <f aca="false">MONTH(B3986)</f>
        <v>11</v>
      </c>
      <c r="Q3986" s="1" t="str">
        <f aca="false">TEXT(B3986,"mmm")</f>
        <v>Nov</v>
      </c>
      <c r="R3986" s="1" t="str">
        <f aca="false">"Q"&amp;ROUNDUP(MONTH(B3986)/3,0)</f>
        <v>Q4</v>
      </c>
    </row>
    <row r="3987" customFormat="false" ht="15" hidden="false" customHeight="true" outlineLevel="0" collapsed="false">
      <c r="A3987" s="1" t="n">
        <v>13986</v>
      </c>
      <c r="B3987" s="14" t="n">
        <v>48547</v>
      </c>
      <c r="C3987" s="1" t="n">
        <v>1680</v>
      </c>
      <c r="D3987" s="1" t="s">
        <v>37</v>
      </c>
      <c r="E3987" s="1" t="s">
        <v>36</v>
      </c>
      <c r="F3987" s="1" t="n">
        <v>1</v>
      </c>
      <c r="G3987" s="15" t="n">
        <v>277.72</v>
      </c>
      <c r="H3987" s="16" t="n">
        <v>0.3</v>
      </c>
      <c r="I3987" s="1" t="s">
        <v>31</v>
      </c>
      <c r="J3987" s="1" t="n">
        <v>9</v>
      </c>
      <c r="K3987" s="1" t="n">
        <v>2.5</v>
      </c>
      <c r="L3987" s="15" t="n">
        <v>194.4</v>
      </c>
      <c r="M3987" s="15" t="n">
        <f aca="false">F3987*G3987</f>
        <v>277.72</v>
      </c>
      <c r="N3987" s="15" t="n">
        <f aca="false">M3987-L3987</f>
        <v>83.32</v>
      </c>
      <c r="O3987" s="1" t="n">
        <f aca="false">YEAR(B3987)</f>
        <v>2032</v>
      </c>
      <c r="P3987" s="1" t="n">
        <f aca="false">MONTH(B3987)</f>
        <v>11</v>
      </c>
      <c r="Q3987" s="1" t="str">
        <f aca="false">TEXT(B3987,"mmm")</f>
        <v>Nov</v>
      </c>
      <c r="R3987" s="1" t="str">
        <f aca="false">"Q"&amp;ROUNDUP(MONTH(B3987)/3,0)</f>
        <v>Q4</v>
      </c>
    </row>
    <row r="3988" customFormat="false" ht="15" hidden="false" customHeight="true" outlineLevel="0" collapsed="false">
      <c r="A3988" s="1" t="n">
        <v>13987</v>
      </c>
      <c r="B3988" s="14" t="n">
        <v>48548</v>
      </c>
      <c r="C3988" s="1" t="n">
        <v>1422</v>
      </c>
      <c r="D3988" s="1" t="s">
        <v>37</v>
      </c>
      <c r="E3988" s="1" t="s">
        <v>32</v>
      </c>
      <c r="F3988" s="1" t="n">
        <v>7</v>
      </c>
      <c r="G3988" s="15" t="n">
        <v>223.16</v>
      </c>
      <c r="H3988" s="16" t="n">
        <v>0.16</v>
      </c>
      <c r="I3988" s="1" t="s">
        <v>31</v>
      </c>
      <c r="J3988" s="1" t="n">
        <v>11</v>
      </c>
      <c r="K3988" s="1" t="n">
        <v>4.1</v>
      </c>
      <c r="L3988" s="15" t="n">
        <v>1312.18</v>
      </c>
      <c r="M3988" s="15" t="n">
        <f aca="false">F3988*G3988</f>
        <v>1562.12</v>
      </c>
      <c r="N3988" s="15" t="n">
        <f aca="false">M3988-L3988</f>
        <v>249.94</v>
      </c>
      <c r="O3988" s="1" t="n">
        <f aca="false">YEAR(B3988)</f>
        <v>2032</v>
      </c>
      <c r="P3988" s="1" t="n">
        <f aca="false">MONTH(B3988)</f>
        <v>11</v>
      </c>
      <c r="Q3988" s="1" t="str">
        <f aca="false">TEXT(B3988,"mmm")</f>
        <v>Nov</v>
      </c>
      <c r="R3988" s="1" t="str">
        <f aca="false">"Q"&amp;ROUNDUP(MONTH(B3988)/3,0)</f>
        <v>Q4</v>
      </c>
    </row>
    <row r="3989" customFormat="false" ht="15" hidden="false" customHeight="true" outlineLevel="0" collapsed="false">
      <c r="A3989" s="1" t="n">
        <v>13988</v>
      </c>
      <c r="B3989" s="14" t="n">
        <v>48549</v>
      </c>
      <c r="C3989" s="1" t="n">
        <v>1597</v>
      </c>
      <c r="D3989" s="1" t="s">
        <v>30</v>
      </c>
      <c r="E3989" s="1" t="s">
        <v>35</v>
      </c>
      <c r="F3989" s="1" t="n">
        <v>3</v>
      </c>
      <c r="G3989" s="15" t="n">
        <v>414.1</v>
      </c>
      <c r="H3989" s="16" t="n">
        <v>0.24</v>
      </c>
      <c r="I3989" s="1" t="s">
        <v>31</v>
      </c>
      <c r="J3989" s="1" t="n">
        <v>5</v>
      </c>
      <c r="K3989" s="1" t="n">
        <v>4.6</v>
      </c>
      <c r="L3989" s="15" t="n">
        <v>944.15</v>
      </c>
      <c r="M3989" s="15" t="n">
        <f aca="false">F3989*G3989</f>
        <v>1242.3</v>
      </c>
      <c r="N3989" s="15" t="n">
        <f aca="false">M3989-L3989</f>
        <v>298.15</v>
      </c>
      <c r="O3989" s="1" t="n">
        <f aca="false">YEAR(B3989)</f>
        <v>2032</v>
      </c>
      <c r="P3989" s="1" t="n">
        <f aca="false">MONTH(B3989)</f>
        <v>12</v>
      </c>
      <c r="Q3989" s="1" t="str">
        <f aca="false">TEXT(B3989,"mmm")</f>
        <v>Dec</v>
      </c>
      <c r="R3989" s="1" t="str">
        <f aca="false">"Q"&amp;ROUNDUP(MONTH(B3989)/3,0)</f>
        <v>Q4</v>
      </c>
    </row>
    <row r="3990" customFormat="false" ht="15" hidden="false" customHeight="true" outlineLevel="0" collapsed="false">
      <c r="A3990" s="1" t="n">
        <v>13989</v>
      </c>
      <c r="B3990" s="14" t="n">
        <v>48550</v>
      </c>
      <c r="C3990" s="1" t="n">
        <v>1176</v>
      </c>
      <c r="D3990" s="1" t="s">
        <v>34</v>
      </c>
      <c r="E3990" s="1" t="s">
        <v>36</v>
      </c>
      <c r="F3990" s="1" t="n">
        <v>2</v>
      </c>
      <c r="G3990" s="15" t="n">
        <v>580.36</v>
      </c>
      <c r="H3990" s="16" t="n">
        <v>0.23</v>
      </c>
      <c r="I3990" s="1" t="s">
        <v>33</v>
      </c>
      <c r="J3990" s="1" t="n">
        <v>5</v>
      </c>
      <c r="K3990" s="1" t="n">
        <v>3.3</v>
      </c>
      <c r="L3990" s="15" t="n">
        <v>893.75</v>
      </c>
      <c r="M3990" s="15" t="n">
        <f aca="false">F3990*G3990</f>
        <v>1160.72</v>
      </c>
      <c r="N3990" s="15" t="n">
        <f aca="false">M3990-L3990</f>
        <v>266.97</v>
      </c>
      <c r="O3990" s="1" t="n">
        <f aca="false">YEAR(B3990)</f>
        <v>2032</v>
      </c>
      <c r="P3990" s="1" t="n">
        <f aca="false">MONTH(B3990)</f>
        <v>12</v>
      </c>
      <c r="Q3990" s="1" t="str">
        <f aca="false">TEXT(B3990,"mmm")</f>
        <v>Dec</v>
      </c>
      <c r="R3990" s="1" t="str">
        <f aca="false">"Q"&amp;ROUNDUP(MONTH(B3990)/3,0)</f>
        <v>Q4</v>
      </c>
    </row>
    <row r="3991" customFormat="false" ht="15" hidden="false" customHeight="true" outlineLevel="0" collapsed="false">
      <c r="A3991" s="1" t="n">
        <v>13990</v>
      </c>
      <c r="B3991" s="14" t="n">
        <v>48551</v>
      </c>
      <c r="C3991" s="1" t="n">
        <v>1528</v>
      </c>
      <c r="D3991" s="1" t="s">
        <v>37</v>
      </c>
      <c r="E3991" s="1" t="s">
        <v>28</v>
      </c>
      <c r="F3991" s="1" t="n">
        <v>1</v>
      </c>
      <c r="G3991" s="15" t="n">
        <v>227.36</v>
      </c>
      <c r="H3991" s="16" t="n">
        <v>0.11</v>
      </c>
      <c r="I3991" s="1" t="s">
        <v>31</v>
      </c>
      <c r="J3991" s="1" t="n">
        <v>1</v>
      </c>
      <c r="K3991" s="1" t="n">
        <v>2.5</v>
      </c>
      <c r="L3991" s="15" t="n">
        <v>202.35</v>
      </c>
      <c r="M3991" s="15" t="n">
        <f aca="false">F3991*G3991</f>
        <v>227.36</v>
      </c>
      <c r="N3991" s="15" t="n">
        <f aca="false">M3991-L3991</f>
        <v>25.01</v>
      </c>
      <c r="O3991" s="1" t="n">
        <f aca="false">YEAR(B3991)</f>
        <v>2032</v>
      </c>
      <c r="P3991" s="1" t="n">
        <f aca="false">MONTH(B3991)</f>
        <v>12</v>
      </c>
      <c r="Q3991" s="1" t="str">
        <f aca="false">TEXT(B3991,"mmm")</f>
        <v>Dec</v>
      </c>
      <c r="R3991" s="1" t="str">
        <f aca="false">"Q"&amp;ROUNDUP(MONTH(B3991)/3,0)</f>
        <v>Q4</v>
      </c>
    </row>
    <row r="3992" customFormat="false" ht="15" hidden="false" customHeight="true" outlineLevel="0" collapsed="false">
      <c r="A3992" s="1" t="n">
        <v>13991</v>
      </c>
      <c r="B3992" s="14" t="n">
        <v>48552</v>
      </c>
      <c r="C3992" s="1" t="n">
        <v>1609</v>
      </c>
      <c r="D3992" s="1" t="s">
        <v>27</v>
      </c>
      <c r="E3992" s="1" t="s">
        <v>28</v>
      </c>
      <c r="F3992" s="1" t="n">
        <v>3</v>
      </c>
      <c r="G3992" s="15" t="n">
        <v>51.4</v>
      </c>
      <c r="H3992" s="16" t="n">
        <v>0.09</v>
      </c>
      <c r="I3992" s="1" t="s">
        <v>31</v>
      </c>
      <c r="J3992" s="1" t="n">
        <v>5</v>
      </c>
      <c r="K3992" s="1" t="n">
        <v>3.8</v>
      </c>
      <c r="L3992" s="15" t="n">
        <v>140.32</v>
      </c>
      <c r="M3992" s="15" t="n">
        <f aca="false">F3992*G3992</f>
        <v>154.2</v>
      </c>
      <c r="N3992" s="15" t="n">
        <f aca="false">M3992-L3992</f>
        <v>13.88</v>
      </c>
      <c r="O3992" s="1" t="n">
        <f aca="false">YEAR(B3992)</f>
        <v>2032</v>
      </c>
      <c r="P3992" s="1" t="n">
        <f aca="false">MONTH(B3992)</f>
        <v>12</v>
      </c>
      <c r="Q3992" s="1" t="str">
        <f aca="false">TEXT(B3992,"mmm")</f>
        <v>Dec</v>
      </c>
      <c r="R3992" s="1" t="str">
        <f aca="false">"Q"&amp;ROUNDUP(MONTH(B3992)/3,0)</f>
        <v>Q4</v>
      </c>
    </row>
    <row r="3993" customFormat="false" ht="15" hidden="false" customHeight="true" outlineLevel="0" collapsed="false">
      <c r="A3993" s="1" t="n">
        <v>13992</v>
      </c>
      <c r="B3993" s="14" t="n">
        <v>48553</v>
      </c>
      <c r="C3993" s="1" t="n">
        <v>1965</v>
      </c>
      <c r="D3993" s="1" t="s">
        <v>34</v>
      </c>
      <c r="E3993" s="1" t="s">
        <v>32</v>
      </c>
      <c r="F3993" s="1" t="n">
        <v>4</v>
      </c>
      <c r="G3993" s="15" t="n">
        <v>540.1</v>
      </c>
      <c r="H3993" s="16" t="n">
        <v>0.12</v>
      </c>
      <c r="I3993" s="1" t="s">
        <v>29</v>
      </c>
      <c r="J3993" s="1" t="n">
        <v>8</v>
      </c>
      <c r="K3993" s="1" t="n">
        <v>1.7</v>
      </c>
      <c r="L3993" s="15" t="n">
        <v>1901.15</v>
      </c>
      <c r="M3993" s="15" t="n">
        <f aca="false">F3993*G3993</f>
        <v>2160.4</v>
      </c>
      <c r="N3993" s="15" t="n">
        <f aca="false">M3993-L3993</f>
        <v>259.25</v>
      </c>
      <c r="O3993" s="1" t="n">
        <f aca="false">YEAR(B3993)</f>
        <v>2032</v>
      </c>
      <c r="P3993" s="1" t="n">
        <f aca="false">MONTH(B3993)</f>
        <v>12</v>
      </c>
      <c r="Q3993" s="1" t="str">
        <f aca="false">TEXT(B3993,"mmm")</f>
        <v>Dec</v>
      </c>
      <c r="R3993" s="1" t="str">
        <f aca="false">"Q"&amp;ROUNDUP(MONTH(B3993)/3,0)</f>
        <v>Q4</v>
      </c>
    </row>
    <row r="3994" customFormat="false" ht="15" hidden="false" customHeight="true" outlineLevel="0" collapsed="false">
      <c r="A3994" s="1" t="n">
        <v>13993</v>
      </c>
      <c r="B3994" s="14" t="n">
        <v>48554</v>
      </c>
      <c r="C3994" s="1" t="n">
        <v>1493</v>
      </c>
      <c r="D3994" s="1" t="s">
        <v>34</v>
      </c>
      <c r="E3994" s="1" t="s">
        <v>35</v>
      </c>
      <c r="F3994" s="1" t="n">
        <v>5</v>
      </c>
      <c r="G3994" s="15" t="n">
        <v>37.2</v>
      </c>
      <c r="H3994" s="16" t="n">
        <v>0.28</v>
      </c>
      <c r="I3994" s="1" t="s">
        <v>29</v>
      </c>
      <c r="J3994" s="1" t="n">
        <v>9</v>
      </c>
      <c r="K3994" s="1" t="n">
        <v>4.9</v>
      </c>
      <c r="L3994" s="15" t="n">
        <v>133.92</v>
      </c>
      <c r="M3994" s="15" t="n">
        <f aca="false">F3994*G3994</f>
        <v>186</v>
      </c>
      <c r="N3994" s="15" t="n">
        <f aca="false">M3994-L3994</f>
        <v>52.08</v>
      </c>
      <c r="O3994" s="1" t="n">
        <f aca="false">YEAR(B3994)</f>
        <v>2032</v>
      </c>
      <c r="P3994" s="1" t="n">
        <f aca="false">MONTH(B3994)</f>
        <v>12</v>
      </c>
      <c r="Q3994" s="1" t="str">
        <f aca="false">TEXT(B3994,"mmm")</f>
        <v>Dec</v>
      </c>
      <c r="R3994" s="1" t="str">
        <f aca="false">"Q"&amp;ROUNDUP(MONTH(B3994)/3,0)</f>
        <v>Q4</v>
      </c>
    </row>
    <row r="3995" customFormat="false" ht="15" hidden="false" customHeight="true" outlineLevel="0" collapsed="false">
      <c r="A3995" s="1" t="n">
        <v>13994</v>
      </c>
      <c r="B3995" s="14" t="n">
        <v>48555</v>
      </c>
      <c r="C3995" s="1" t="n">
        <v>1197</v>
      </c>
      <c r="D3995" s="1" t="s">
        <v>34</v>
      </c>
      <c r="E3995" s="1" t="s">
        <v>28</v>
      </c>
      <c r="F3995" s="1" t="n">
        <v>1</v>
      </c>
      <c r="G3995" s="15" t="n">
        <v>572.37</v>
      </c>
      <c r="H3995" s="16" t="n">
        <v>0.21</v>
      </c>
      <c r="I3995" s="1" t="s">
        <v>29</v>
      </c>
      <c r="J3995" s="1" t="n">
        <v>10</v>
      </c>
      <c r="K3995" s="1" t="n">
        <v>3.6</v>
      </c>
      <c r="L3995" s="15" t="n">
        <v>452.17</v>
      </c>
      <c r="M3995" s="15" t="n">
        <f aca="false">F3995*G3995</f>
        <v>572.37</v>
      </c>
      <c r="N3995" s="15" t="n">
        <f aca="false">M3995-L3995</f>
        <v>120.2</v>
      </c>
      <c r="O3995" s="1" t="n">
        <f aca="false">YEAR(B3995)</f>
        <v>2032</v>
      </c>
      <c r="P3995" s="1" t="n">
        <f aca="false">MONTH(B3995)</f>
        <v>12</v>
      </c>
      <c r="Q3995" s="1" t="str">
        <f aca="false">TEXT(B3995,"mmm")</f>
        <v>Dec</v>
      </c>
      <c r="R3995" s="1" t="str">
        <f aca="false">"Q"&amp;ROUNDUP(MONTH(B3995)/3,0)</f>
        <v>Q4</v>
      </c>
    </row>
    <row r="3996" customFormat="false" ht="15" hidden="false" customHeight="true" outlineLevel="0" collapsed="false">
      <c r="A3996" s="1" t="n">
        <v>13995</v>
      </c>
      <c r="B3996" s="14" t="n">
        <v>48556</v>
      </c>
      <c r="C3996" s="1" t="n">
        <v>1609</v>
      </c>
      <c r="D3996" s="1" t="s">
        <v>30</v>
      </c>
      <c r="E3996" s="1" t="s">
        <v>36</v>
      </c>
      <c r="F3996" s="1" t="n">
        <v>4</v>
      </c>
      <c r="G3996" s="15" t="n">
        <v>403.78</v>
      </c>
      <c r="H3996" s="16" t="n">
        <v>0.09</v>
      </c>
      <c r="I3996" s="1" t="s">
        <v>29</v>
      </c>
      <c r="J3996" s="1" t="n">
        <v>3</v>
      </c>
      <c r="K3996" s="1" t="n">
        <v>1.3</v>
      </c>
      <c r="L3996" s="15" t="n">
        <v>1469.76</v>
      </c>
      <c r="M3996" s="15" t="n">
        <f aca="false">F3996*G3996</f>
        <v>1615.12</v>
      </c>
      <c r="N3996" s="15" t="n">
        <f aca="false">M3996-L3996</f>
        <v>145.36</v>
      </c>
      <c r="O3996" s="1" t="n">
        <f aca="false">YEAR(B3996)</f>
        <v>2032</v>
      </c>
      <c r="P3996" s="1" t="n">
        <f aca="false">MONTH(B3996)</f>
        <v>12</v>
      </c>
      <c r="Q3996" s="1" t="str">
        <f aca="false">TEXT(B3996,"mmm")</f>
        <v>Dec</v>
      </c>
      <c r="R3996" s="1" t="str">
        <f aca="false">"Q"&amp;ROUNDUP(MONTH(B3996)/3,0)</f>
        <v>Q4</v>
      </c>
    </row>
    <row r="3997" customFormat="false" ht="15" hidden="false" customHeight="true" outlineLevel="0" collapsed="false">
      <c r="A3997" s="1" t="n">
        <v>13996</v>
      </c>
      <c r="B3997" s="14" t="n">
        <v>48557</v>
      </c>
      <c r="C3997" s="1" t="n">
        <v>1576</v>
      </c>
      <c r="D3997" s="1" t="s">
        <v>34</v>
      </c>
      <c r="E3997" s="1" t="s">
        <v>28</v>
      </c>
      <c r="F3997" s="1" t="n">
        <v>1</v>
      </c>
      <c r="G3997" s="15" t="n">
        <v>565.89</v>
      </c>
      <c r="H3997" s="16" t="n">
        <v>0.29</v>
      </c>
      <c r="I3997" s="1" t="s">
        <v>33</v>
      </c>
      <c r="J3997" s="1" t="n">
        <v>4</v>
      </c>
      <c r="K3997" s="1" t="n">
        <v>3.1</v>
      </c>
      <c r="L3997" s="15" t="n">
        <v>401.78</v>
      </c>
      <c r="M3997" s="15" t="n">
        <f aca="false">F3997*G3997</f>
        <v>565.89</v>
      </c>
      <c r="N3997" s="15" t="n">
        <f aca="false">M3997-L3997</f>
        <v>164.11</v>
      </c>
      <c r="O3997" s="1" t="n">
        <f aca="false">YEAR(B3997)</f>
        <v>2032</v>
      </c>
      <c r="P3997" s="1" t="n">
        <f aca="false">MONTH(B3997)</f>
        <v>12</v>
      </c>
      <c r="Q3997" s="1" t="str">
        <f aca="false">TEXT(B3997,"mmm")</f>
        <v>Dec</v>
      </c>
      <c r="R3997" s="1" t="str">
        <f aca="false">"Q"&amp;ROUNDUP(MONTH(B3997)/3,0)</f>
        <v>Q4</v>
      </c>
    </row>
    <row r="3998" customFormat="false" ht="15" hidden="false" customHeight="true" outlineLevel="0" collapsed="false">
      <c r="A3998" s="1" t="n">
        <v>13997</v>
      </c>
      <c r="B3998" s="14" t="n">
        <v>48558</v>
      </c>
      <c r="C3998" s="1" t="n">
        <v>1841</v>
      </c>
      <c r="D3998" s="1" t="s">
        <v>30</v>
      </c>
      <c r="E3998" s="1" t="s">
        <v>28</v>
      </c>
      <c r="F3998" s="1" t="n">
        <v>2</v>
      </c>
      <c r="G3998" s="15" t="n">
        <v>131.8</v>
      </c>
      <c r="H3998" s="16" t="n">
        <v>0.02</v>
      </c>
      <c r="I3998" s="1" t="s">
        <v>33</v>
      </c>
      <c r="J3998" s="1" t="n">
        <v>7</v>
      </c>
      <c r="K3998" s="1" t="n">
        <v>4</v>
      </c>
      <c r="L3998" s="15" t="n">
        <v>258.33</v>
      </c>
      <c r="M3998" s="15" t="n">
        <f aca="false">F3998*G3998</f>
        <v>263.6</v>
      </c>
      <c r="N3998" s="15" t="n">
        <f aca="false">M3998-L3998</f>
        <v>5.27000000000004</v>
      </c>
      <c r="O3998" s="1" t="n">
        <f aca="false">YEAR(B3998)</f>
        <v>2032</v>
      </c>
      <c r="P3998" s="1" t="n">
        <f aca="false">MONTH(B3998)</f>
        <v>12</v>
      </c>
      <c r="Q3998" s="1" t="str">
        <f aca="false">TEXT(B3998,"mmm")</f>
        <v>Dec</v>
      </c>
      <c r="R3998" s="1" t="str">
        <f aca="false">"Q"&amp;ROUNDUP(MONTH(B3998)/3,0)</f>
        <v>Q4</v>
      </c>
    </row>
    <row r="3999" customFormat="false" ht="15" hidden="false" customHeight="true" outlineLevel="0" collapsed="false">
      <c r="A3999" s="1" t="n">
        <v>13998</v>
      </c>
      <c r="B3999" s="14" t="n">
        <v>48559</v>
      </c>
      <c r="C3999" s="1" t="n">
        <v>1852</v>
      </c>
      <c r="D3999" s="1" t="s">
        <v>37</v>
      </c>
      <c r="E3999" s="1" t="s">
        <v>35</v>
      </c>
      <c r="F3999" s="1" t="n">
        <v>7</v>
      </c>
      <c r="G3999" s="15" t="n">
        <v>38.81</v>
      </c>
      <c r="H3999" s="16" t="n">
        <v>0.24</v>
      </c>
      <c r="I3999" s="1" t="s">
        <v>33</v>
      </c>
      <c r="J3999" s="1" t="n">
        <v>7</v>
      </c>
      <c r="K3999" s="1" t="n">
        <v>2.1</v>
      </c>
      <c r="L3999" s="15" t="n">
        <v>206.47</v>
      </c>
      <c r="M3999" s="15" t="n">
        <f aca="false">F3999*G3999</f>
        <v>271.67</v>
      </c>
      <c r="N3999" s="15" t="n">
        <f aca="false">M3999-L3999</f>
        <v>65.2</v>
      </c>
      <c r="O3999" s="1" t="n">
        <f aca="false">YEAR(B3999)</f>
        <v>2032</v>
      </c>
      <c r="P3999" s="1" t="n">
        <f aca="false">MONTH(B3999)</f>
        <v>12</v>
      </c>
      <c r="Q3999" s="1" t="str">
        <f aca="false">TEXT(B3999,"mmm")</f>
        <v>Dec</v>
      </c>
      <c r="R3999" s="1" t="str">
        <f aca="false">"Q"&amp;ROUNDUP(MONTH(B3999)/3,0)</f>
        <v>Q4</v>
      </c>
    </row>
    <row r="4000" customFormat="false" ht="15" hidden="false" customHeight="true" outlineLevel="0" collapsed="false">
      <c r="A4000" s="1" t="n">
        <v>13999</v>
      </c>
      <c r="B4000" s="14" t="n">
        <v>48560</v>
      </c>
      <c r="C4000" s="1" t="n">
        <v>1516</v>
      </c>
      <c r="D4000" s="1" t="s">
        <v>30</v>
      </c>
      <c r="E4000" s="1" t="s">
        <v>35</v>
      </c>
      <c r="F4000" s="1" t="n">
        <v>3</v>
      </c>
      <c r="G4000" s="15" t="n">
        <v>300.6</v>
      </c>
      <c r="H4000" s="16" t="n">
        <v>0.15</v>
      </c>
      <c r="I4000" s="1" t="s">
        <v>33</v>
      </c>
      <c r="J4000" s="1" t="n">
        <v>1</v>
      </c>
      <c r="K4000" s="1" t="n">
        <v>1.2</v>
      </c>
      <c r="L4000" s="15" t="n">
        <v>766.53</v>
      </c>
      <c r="M4000" s="15" t="n">
        <f aca="false">F4000*G4000</f>
        <v>901.8</v>
      </c>
      <c r="N4000" s="15" t="n">
        <f aca="false">M4000-L4000</f>
        <v>135.27</v>
      </c>
      <c r="O4000" s="1" t="n">
        <f aca="false">YEAR(B4000)</f>
        <v>2032</v>
      </c>
      <c r="P4000" s="1" t="n">
        <f aca="false">MONTH(B4000)</f>
        <v>12</v>
      </c>
      <c r="Q4000" s="1" t="str">
        <f aca="false">TEXT(B4000,"mmm")</f>
        <v>Dec</v>
      </c>
      <c r="R4000" s="1" t="str">
        <f aca="false">"Q"&amp;ROUNDUP(MONTH(B4000)/3,0)</f>
        <v>Q4</v>
      </c>
    </row>
    <row r="4001" customFormat="false" ht="15" hidden="false" customHeight="true" outlineLevel="0" collapsed="false">
      <c r="A4001" s="1" t="n">
        <v>14000</v>
      </c>
      <c r="B4001" s="14" t="n">
        <v>48561</v>
      </c>
      <c r="C4001" s="1" t="n">
        <v>1513</v>
      </c>
      <c r="D4001" s="1" t="s">
        <v>30</v>
      </c>
      <c r="E4001" s="1" t="s">
        <v>36</v>
      </c>
      <c r="F4001" s="1" t="n">
        <v>1</v>
      </c>
      <c r="G4001" s="15" t="n">
        <v>278.61</v>
      </c>
      <c r="H4001" s="16" t="n">
        <v>0.26</v>
      </c>
      <c r="I4001" s="1" t="s">
        <v>33</v>
      </c>
      <c r="J4001" s="1" t="n">
        <v>11</v>
      </c>
      <c r="K4001" s="1" t="n">
        <v>3</v>
      </c>
      <c r="L4001" s="15" t="n">
        <v>206.17</v>
      </c>
      <c r="M4001" s="15" t="n">
        <f aca="false">F4001*G4001</f>
        <v>278.61</v>
      </c>
      <c r="N4001" s="15" t="n">
        <f aca="false">M4001-L4001</f>
        <v>72.44</v>
      </c>
      <c r="O4001" s="1" t="n">
        <f aca="false">YEAR(B4001)</f>
        <v>2032</v>
      </c>
      <c r="P4001" s="1" t="n">
        <f aca="false">MONTH(B4001)</f>
        <v>12</v>
      </c>
      <c r="Q4001" s="1" t="str">
        <f aca="false">TEXT(B4001,"mmm")</f>
        <v>Dec</v>
      </c>
      <c r="R4001" s="1" t="str">
        <f aca="false">"Q"&amp;ROUNDUP(MONTH(B4001)/3,0)</f>
        <v>Q4</v>
      </c>
    </row>
    <row r="4002" customFormat="false" ht="15" hidden="false" customHeight="true" outlineLevel="0" collapsed="false">
      <c r="A4002" s="1" t="n">
        <v>14001</v>
      </c>
      <c r="B4002" s="14" t="n">
        <v>48562</v>
      </c>
      <c r="C4002" s="1" t="n">
        <v>1021</v>
      </c>
      <c r="D4002" s="1" t="s">
        <v>30</v>
      </c>
      <c r="E4002" s="1" t="s">
        <v>32</v>
      </c>
      <c r="F4002" s="1" t="n">
        <v>3</v>
      </c>
      <c r="G4002" s="15" t="n">
        <v>208.92</v>
      </c>
      <c r="H4002" s="16" t="n">
        <v>0.32</v>
      </c>
      <c r="I4002" s="1" t="s">
        <v>31</v>
      </c>
      <c r="J4002" s="1" t="n">
        <v>6</v>
      </c>
      <c r="K4002" s="1" t="n">
        <v>4.3</v>
      </c>
      <c r="L4002" s="15" t="n">
        <v>426.2</v>
      </c>
      <c r="M4002" s="15" t="n">
        <f aca="false">F4002*G4002</f>
        <v>626.76</v>
      </c>
      <c r="N4002" s="15" t="n">
        <f aca="false">M4002-L4002</f>
        <v>200.56</v>
      </c>
      <c r="O4002" s="1" t="n">
        <f aca="false">YEAR(B4002)</f>
        <v>2032</v>
      </c>
      <c r="P4002" s="1" t="n">
        <f aca="false">MONTH(B4002)</f>
        <v>12</v>
      </c>
      <c r="Q4002" s="1" t="str">
        <f aca="false">TEXT(B4002,"mmm")</f>
        <v>Dec</v>
      </c>
      <c r="R4002" s="1" t="str">
        <f aca="false">"Q"&amp;ROUNDUP(MONTH(B4002)/3,0)</f>
        <v>Q4</v>
      </c>
    </row>
    <row r="4003" customFormat="false" ht="15" hidden="false" customHeight="true" outlineLevel="0" collapsed="false">
      <c r="A4003" s="1" t="n">
        <v>14002</v>
      </c>
      <c r="B4003" s="14" t="n">
        <v>48563</v>
      </c>
      <c r="C4003" s="1" t="n">
        <v>1111</v>
      </c>
      <c r="D4003" s="1" t="s">
        <v>30</v>
      </c>
      <c r="E4003" s="1" t="s">
        <v>32</v>
      </c>
      <c r="F4003" s="1" t="n">
        <v>6</v>
      </c>
      <c r="G4003" s="15" t="n">
        <v>575.23</v>
      </c>
      <c r="H4003" s="16" t="n">
        <v>0.26</v>
      </c>
      <c r="I4003" s="1" t="s">
        <v>29</v>
      </c>
      <c r="J4003" s="1" t="n">
        <v>9</v>
      </c>
      <c r="K4003" s="1" t="n">
        <v>2</v>
      </c>
      <c r="L4003" s="15" t="n">
        <v>2554.02</v>
      </c>
      <c r="M4003" s="15" t="n">
        <f aca="false">F4003*G4003</f>
        <v>3451.38</v>
      </c>
      <c r="N4003" s="15" t="n">
        <f aca="false">M4003-L4003</f>
        <v>897.36</v>
      </c>
      <c r="O4003" s="1" t="n">
        <f aca="false">YEAR(B4003)</f>
        <v>2032</v>
      </c>
      <c r="P4003" s="1" t="n">
        <f aca="false">MONTH(B4003)</f>
        <v>12</v>
      </c>
      <c r="Q4003" s="1" t="str">
        <f aca="false">TEXT(B4003,"mmm")</f>
        <v>Dec</v>
      </c>
      <c r="R4003" s="1" t="str">
        <f aca="false">"Q"&amp;ROUNDUP(MONTH(B4003)/3,0)</f>
        <v>Q4</v>
      </c>
    </row>
    <row r="4004" customFormat="false" ht="15" hidden="false" customHeight="true" outlineLevel="0" collapsed="false">
      <c r="A4004" s="1" t="n">
        <v>14003</v>
      </c>
      <c r="B4004" s="14" t="n">
        <v>48564</v>
      </c>
      <c r="C4004" s="1" t="n">
        <v>1056</v>
      </c>
      <c r="D4004" s="1" t="s">
        <v>34</v>
      </c>
      <c r="E4004" s="1" t="s">
        <v>28</v>
      </c>
      <c r="F4004" s="1" t="n">
        <v>1</v>
      </c>
      <c r="G4004" s="15" t="n">
        <v>496.21</v>
      </c>
      <c r="H4004" s="16" t="n">
        <v>0.15</v>
      </c>
      <c r="I4004" s="1" t="s">
        <v>33</v>
      </c>
      <c r="J4004" s="1" t="n">
        <v>5</v>
      </c>
      <c r="K4004" s="1" t="n">
        <v>3.9</v>
      </c>
      <c r="L4004" s="15" t="n">
        <v>421.78</v>
      </c>
      <c r="M4004" s="15" t="n">
        <f aca="false">F4004*G4004</f>
        <v>496.21</v>
      </c>
      <c r="N4004" s="15" t="n">
        <f aca="false">M4004-L4004</f>
        <v>74.43</v>
      </c>
      <c r="O4004" s="1" t="n">
        <f aca="false">YEAR(B4004)</f>
        <v>2032</v>
      </c>
      <c r="P4004" s="1" t="n">
        <f aca="false">MONTH(B4004)</f>
        <v>12</v>
      </c>
      <c r="Q4004" s="1" t="str">
        <f aca="false">TEXT(B4004,"mmm")</f>
        <v>Dec</v>
      </c>
      <c r="R4004" s="1" t="str">
        <f aca="false">"Q"&amp;ROUNDUP(MONTH(B4004)/3,0)</f>
        <v>Q4</v>
      </c>
    </row>
    <row r="4005" customFormat="false" ht="15" hidden="false" customHeight="true" outlineLevel="0" collapsed="false">
      <c r="A4005" s="1" t="n">
        <v>14004</v>
      </c>
      <c r="B4005" s="14" t="n">
        <v>48565</v>
      </c>
      <c r="C4005" s="1" t="n">
        <v>1065</v>
      </c>
      <c r="D4005" s="1" t="s">
        <v>34</v>
      </c>
      <c r="E4005" s="1" t="s">
        <v>36</v>
      </c>
      <c r="F4005" s="1" t="n">
        <v>2</v>
      </c>
      <c r="G4005" s="15" t="n">
        <v>402.03</v>
      </c>
      <c r="H4005" s="16" t="n">
        <v>0.05</v>
      </c>
      <c r="I4005" s="1" t="s">
        <v>29</v>
      </c>
      <c r="J4005" s="1" t="n">
        <v>8</v>
      </c>
      <c r="K4005" s="1" t="n">
        <v>2.6</v>
      </c>
      <c r="L4005" s="15" t="n">
        <v>763.86</v>
      </c>
      <c r="M4005" s="15" t="n">
        <f aca="false">F4005*G4005</f>
        <v>804.06</v>
      </c>
      <c r="N4005" s="15" t="n">
        <f aca="false">M4005-L4005</f>
        <v>40.1999999999999</v>
      </c>
      <c r="O4005" s="1" t="n">
        <f aca="false">YEAR(B4005)</f>
        <v>2032</v>
      </c>
      <c r="P4005" s="1" t="n">
        <f aca="false">MONTH(B4005)</f>
        <v>12</v>
      </c>
      <c r="Q4005" s="1" t="str">
        <f aca="false">TEXT(B4005,"mmm")</f>
        <v>Dec</v>
      </c>
      <c r="R4005" s="1" t="str">
        <f aca="false">"Q"&amp;ROUNDUP(MONTH(B4005)/3,0)</f>
        <v>Q4</v>
      </c>
    </row>
    <row r="4006" customFormat="false" ht="15" hidden="false" customHeight="true" outlineLevel="0" collapsed="false">
      <c r="A4006" s="1" t="n">
        <v>14005</v>
      </c>
      <c r="B4006" s="14" t="n">
        <v>48566</v>
      </c>
      <c r="C4006" s="1" t="n">
        <v>1841</v>
      </c>
      <c r="D4006" s="1" t="s">
        <v>27</v>
      </c>
      <c r="E4006" s="1" t="s">
        <v>32</v>
      </c>
      <c r="F4006" s="1" t="n">
        <v>2</v>
      </c>
      <c r="G4006" s="15" t="n">
        <v>110.27</v>
      </c>
      <c r="H4006" s="16" t="n">
        <v>0.28</v>
      </c>
      <c r="I4006" s="1" t="s">
        <v>31</v>
      </c>
      <c r="J4006" s="1" t="n">
        <v>11</v>
      </c>
      <c r="K4006" s="1" t="n">
        <v>1.2</v>
      </c>
      <c r="L4006" s="15" t="n">
        <v>158.79</v>
      </c>
      <c r="M4006" s="15" t="n">
        <f aca="false">F4006*G4006</f>
        <v>220.54</v>
      </c>
      <c r="N4006" s="15" t="n">
        <f aca="false">M4006-L4006</f>
        <v>61.75</v>
      </c>
      <c r="O4006" s="1" t="n">
        <f aca="false">YEAR(B4006)</f>
        <v>2032</v>
      </c>
      <c r="P4006" s="1" t="n">
        <f aca="false">MONTH(B4006)</f>
        <v>12</v>
      </c>
      <c r="Q4006" s="1" t="str">
        <f aca="false">TEXT(B4006,"mmm")</f>
        <v>Dec</v>
      </c>
      <c r="R4006" s="1" t="str">
        <f aca="false">"Q"&amp;ROUNDUP(MONTH(B4006)/3,0)</f>
        <v>Q4</v>
      </c>
    </row>
    <row r="4007" customFormat="false" ht="15" hidden="false" customHeight="true" outlineLevel="0" collapsed="false">
      <c r="A4007" s="1" t="n">
        <v>14006</v>
      </c>
      <c r="B4007" s="14" t="n">
        <v>48567</v>
      </c>
      <c r="C4007" s="1" t="n">
        <v>1097</v>
      </c>
      <c r="D4007" s="1" t="s">
        <v>34</v>
      </c>
      <c r="E4007" s="1" t="s">
        <v>32</v>
      </c>
      <c r="F4007" s="1" t="n">
        <v>7</v>
      </c>
      <c r="G4007" s="15" t="n">
        <v>444.58</v>
      </c>
      <c r="H4007" s="16" t="n">
        <v>0.16</v>
      </c>
      <c r="I4007" s="1" t="s">
        <v>31</v>
      </c>
      <c r="J4007" s="1" t="n">
        <v>10</v>
      </c>
      <c r="K4007" s="1" t="n">
        <v>2.2</v>
      </c>
      <c r="L4007" s="15" t="n">
        <v>2614.13</v>
      </c>
      <c r="M4007" s="15" t="n">
        <f aca="false">F4007*G4007</f>
        <v>3112.06</v>
      </c>
      <c r="N4007" s="15" t="n">
        <f aca="false">M4007-L4007</f>
        <v>497.93</v>
      </c>
      <c r="O4007" s="1" t="n">
        <f aca="false">YEAR(B4007)</f>
        <v>2032</v>
      </c>
      <c r="P4007" s="1" t="n">
        <f aca="false">MONTH(B4007)</f>
        <v>12</v>
      </c>
      <c r="Q4007" s="1" t="str">
        <f aca="false">TEXT(B4007,"mmm")</f>
        <v>Dec</v>
      </c>
      <c r="R4007" s="1" t="str">
        <f aca="false">"Q"&amp;ROUNDUP(MONTH(B4007)/3,0)</f>
        <v>Q4</v>
      </c>
    </row>
    <row r="4008" customFormat="false" ht="15" hidden="false" customHeight="true" outlineLevel="0" collapsed="false">
      <c r="A4008" s="1" t="n">
        <v>14007</v>
      </c>
      <c r="B4008" s="14" t="n">
        <v>48568</v>
      </c>
      <c r="C4008" s="1" t="n">
        <v>1143</v>
      </c>
      <c r="D4008" s="1" t="s">
        <v>37</v>
      </c>
      <c r="E4008" s="1" t="s">
        <v>28</v>
      </c>
      <c r="F4008" s="1" t="n">
        <v>7</v>
      </c>
      <c r="G4008" s="15" t="n">
        <v>440.3</v>
      </c>
      <c r="H4008" s="16" t="n">
        <v>0.03</v>
      </c>
      <c r="I4008" s="1" t="s">
        <v>31</v>
      </c>
      <c r="J4008" s="1" t="n">
        <v>11</v>
      </c>
      <c r="K4008" s="1" t="n">
        <v>2.3</v>
      </c>
      <c r="L4008" s="15" t="n">
        <v>2989.64</v>
      </c>
      <c r="M4008" s="15" t="n">
        <f aca="false">F4008*G4008</f>
        <v>3082.1</v>
      </c>
      <c r="N4008" s="15" t="n">
        <f aca="false">M4008-L4008</f>
        <v>92.46</v>
      </c>
      <c r="O4008" s="1" t="n">
        <f aca="false">YEAR(B4008)</f>
        <v>2032</v>
      </c>
      <c r="P4008" s="1" t="n">
        <f aca="false">MONTH(B4008)</f>
        <v>12</v>
      </c>
      <c r="Q4008" s="1" t="str">
        <f aca="false">TEXT(B4008,"mmm")</f>
        <v>Dec</v>
      </c>
      <c r="R4008" s="1" t="str">
        <f aca="false">"Q"&amp;ROUNDUP(MONTH(B4008)/3,0)</f>
        <v>Q4</v>
      </c>
    </row>
    <row r="4009" customFormat="false" ht="15" hidden="false" customHeight="true" outlineLevel="0" collapsed="false">
      <c r="A4009" s="1" t="n">
        <v>14008</v>
      </c>
      <c r="B4009" s="14" t="n">
        <v>48569</v>
      </c>
      <c r="C4009" s="1" t="n">
        <v>1879</v>
      </c>
      <c r="D4009" s="1" t="s">
        <v>27</v>
      </c>
      <c r="E4009" s="1" t="s">
        <v>36</v>
      </c>
      <c r="F4009" s="1" t="n">
        <v>4</v>
      </c>
      <c r="G4009" s="15" t="n">
        <v>263.66</v>
      </c>
      <c r="H4009" s="16" t="n">
        <v>0.25</v>
      </c>
      <c r="I4009" s="1" t="s">
        <v>33</v>
      </c>
      <c r="J4009" s="1" t="n">
        <v>9</v>
      </c>
      <c r="K4009" s="1" t="n">
        <v>4.6</v>
      </c>
      <c r="L4009" s="15" t="n">
        <v>790.98</v>
      </c>
      <c r="M4009" s="15" t="n">
        <f aca="false">F4009*G4009</f>
        <v>1054.64</v>
      </c>
      <c r="N4009" s="15" t="n">
        <f aca="false">M4009-L4009</f>
        <v>263.66</v>
      </c>
      <c r="O4009" s="1" t="n">
        <f aca="false">YEAR(B4009)</f>
        <v>2032</v>
      </c>
      <c r="P4009" s="1" t="n">
        <f aca="false">MONTH(B4009)</f>
        <v>12</v>
      </c>
      <c r="Q4009" s="1" t="str">
        <f aca="false">TEXT(B4009,"mmm")</f>
        <v>Dec</v>
      </c>
      <c r="R4009" s="1" t="str">
        <f aca="false">"Q"&amp;ROUNDUP(MONTH(B4009)/3,0)</f>
        <v>Q4</v>
      </c>
    </row>
    <row r="4010" customFormat="false" ht="15" hidden="false" customHeight="true" outlineLevel="0" collapsed="false">
      <c r="A4010" s="1" t="n">
        <v>14009</v>
      </c>
      <c r="B4010" s="14" t="n">
        <v>48570</v>
      </c>
      <c r="C4010" s="1" t="n">
        <v>1434</v>
      </c>
      <c r="D4010" s="1" t="s">
        <v>34</v>
      </c>
      <c r="E4010" s="1" t="s">
        <v>32</v>
      </c>
      <c r="F4010" s="1" t="n">
        <v>2</v>
      </c>
      <c r="G4010" s="15" t="n">
        <v>556</v>
      </c>
      <c r="H4010" s="16" t="n">
        <v>0.1</v>
      </c>
      <c r="I4010" s="1" t="s">
        <v>31</v>
      </c>
      <c r="J4010" s="1" t="n">
        <v>10</v>
      </c>
      <c r="K4010" s="1" t="n">
        <v>4.9</v>
      </c>
      <c r="L4010" s="15" t="n">
        <v>1000.8</v>
      </c>
      <c r="M4010" s="15" t="n">
        <f aca="false">F4010*G4010</f>
        <v>1112</v>
      </c>
      <c r="N4010" s="15" t="n">
        <f aca="false">M4010-L4010</f>
        <v>111.2</v>
      </c>
      <c r="O4010" s="1" t="n">
        <f aca="false">YEAR(B4010)</f>
        <v>2032</v>
      </c>
      <c r="P4010" s="1" t="n">
        <f aca="false">MONTH(B4010)</f>
        <v>12</v>
      </c>
      <c r="Q4010" s="1" t="str">
        <f aca="false">TEXT(B4010,"mmm")</f>
        <v>Dec</v>
      </c>
      <c r="R4010" s="1" t="str">
        <f aca="false">"Q"&amp;ROUNDUP(MONTH(B4010)/3,0)</f>
        <v>Q4</v>
      </c>
    </row>
    <row r="4011" customFormat="false" ht="15" hidden="false" customHeight="true" outlineLevel="0" collapsed="false">
      <c r="A4011" s="1" t="n">
        <v>14010</v>
      </c>
      <c r="B4011" s="14" t="n">
        <v>48571</v>
      </c>
      <c r="C4011" s="1" t="n">
        <v>1636</v>
      </c>
      <c r="D4011" s="1" t="s">
        <v>30</v>
      </c>
      <c r="E4011" s="1" t="s">
        <v>35</v>
      </c>
      <c r="F4011" s="1" t="n">
        <v>3</v>
      </c>
      <c r="G4011" s="15" t="n">
        <v>112.68</v>
      </c>
      <c r="H4011" s="16" t="n">
        <v>0.02</v>
      </c>
      <c r="I4011" s="1" t="s">
        <v>31</v>
      </c>
      <c r="J4011" s="1" t="n">
        <v>10</v>
      </c>
      <c r="K4011" s="1" t="n">
        <v>1.8</v>
      </c>
      <c r="L4011" s="15" t="n">
        <v>331.28</v>
      </c>
      <c r="M4011" s="15" t="n">
        <f aca="false">F4011*G4011</f>
        <v>338.04</v>
      </c>
      <c r="N4011" s="15" t="n">
        <f aca="false">M4011-L4011</f>
        <v>6.76000000000005</v>
      </c>
      <c r="O4011" s="1" t="n">
        <f aca="false">YEAR(B4011)</f>
        <v>2032</v>
      </c>
      <c r="P4011" s="1" t="n">
        <f aca="false">MONTH(B4011)</f>
        <v>12</v>
      </c>
      <c r="Q4011" s="1" t="str">
        <f aca="false">TEXT(B4011,"mmm")</f>
        <v>Dec</v>
      </c>
      <c r="R4011" s="1" t="str">
        <f aca="false">"Q"&amp;ROUNDUP(MONTH(B4011)/3,0)</f>
        <v>Q4</v>
      </c>
    </row>
    <row r="4012" customFormat="false" ht="15" hidden="false" customHeight="true" outlineLevel="0" collapsed="false">
      <c r="A4012" s="1" t="n">
        <v>14011</v>
      </c>
      <c r="B4012" s="14" t="n">
        <v>48572</v>
      </c>
      <c r="C4012" s="1" t="n">
        <v>1678</v>
      </c>
      <c r="D4012" s="1" t="s">
        <v>30</v>
      </c>
      <c r="E4012" s="1" t="s">
        <v>35</v>
      </c>
      <c r="F4012" s="1" t="n">
        <v>6</v>
      </c>
      <c r="G4012" s="15" t="n">
        <v>171.39</v>
      </c>
      <c r="H4012" s="16" t="n">
        <v>0.32</v>
      </c>
      <c r="I4012" s="1" t="s">
        <v>31</v>
      </c>
      <c r="J4012" s="1" t="n">
        <v>3</v>
      </c>
      <c r="K4012" s="1" t="n">
        <v>2.7</v>
      </c>
      <c r="L4012" s="15" t="n">
        <v>699.27</v>
      </c>
      <c r="M4012" s="15" t="n">
        <f aca="false">F4012*G4012</f>
        <v>1028.34</v>
      </c>
      <c r="N4012" s="15" t="n">
        <f aca="false">M4012-L4012</f>
        <v>329.07</v>
      </c>
      <c r="O4012" s="1" t="n">
        <f aca="false">YEAR(B4012)</f>
        <v>2032</v>
      </c>
      <c r="P4012" s="1" t="n">
        <f aca="false">MONTH(B4012)</f>
        <v>12</v>
      </c>
      <c r="Q4012" s="1" t="str">
        <f aca="false">TEXT(B4012,"mmm")</f>
        <v>Dec</v>
      </c>
      <c r="R4012" s="1" t="str">
        <f aca="false">"Q"&amp;ROUNDUP(MONTH(B4012)/3,0)</f>
        <v>Q4</v>
      </c>
    </row>
    <row r="4013" customFormat="false" ht="15" hidden="false" customHeight="true" outlineLevel="0" collapsed="false">
      <c r="A4013" s="1" t="n">
        <v>14012</v>
      </c>
      <c r="B4013" s="14" t="n">
        <v>48573</v>
      </c>
      <c r="C4013" s="1" t="n">
        <v>1085</v>
      </c>
      <c r="D4013" s="1" t="s">
        <v>27</v>
      </c>
      <c r="E4013" s="1" t="s">
        <v>28</v>
      </c>
      <c r="F4013" s="1" t="n">
        <v>2</v>
      </c>
      <c r="G4013" s="15" t="n">
        <v>51.99</v>
      </c>
      <c r="H4013" s="16" t="n">
        <v>0.17</v>
      </c>
      <c r="I4013" s="1" t="s">
        <v>31</v>
      </c>
      <c r="J4013" s="1" t="n">
        <v>1</v>
      </c>
      <c r="K4013" s="1" t="n">
        <v>4.9</v>
      </c>
      <c r="L4013" s="15" t="n">
        <v>86.3</v>
      </c>
      <c r="M4013" s="15" t="n">
        <f aca="false">F4013*G4013</f>
        <v>103.98</v>
      </c>
      <c r="N4013" s="15" t="n">
        <f aca="false">M4013-L4013</f>
        <v>17.68</v>
      </c>
      <c r="O4013" s="1" t="n">
        <f aca="false">YEAR(B4013)</f>
        <v>2032</v>
      </c>
      <c r="P4013" s="1" t="n">
        <f aca="false">MONTH(B4013)</f>
        <v>12</v>
      </c>
      <c r="Q4013" s="1" t="str">
        <f aca="false">TEXT(B4013,"mmm")</f>
        <v>Dec</v>
      </c>
      <c r="R4013" s="1" t="str">
        <f aca="false">"Q"&amp;ROUNDUP(MONTH(B4013)/3,0)</f>
        <v>Q4</v>
      </c>
    </row>
    <row r="4014" customFormat="false" ht="15" hidden="false" customHeight="true" outlineLevel="0" collapsed="false">
      <c r="A4014" s="1" t="n">
        <v>14013</v>
      </c>
      <c r="B4014" s="14" t="n">
        <v>48574</v>
      </c>
      <c r="C4014" s="1" t="n">
        <v>1587</v>
      </c>
      <c r="D4014" s="1" t="s">
        <v>27</v>
      </c>
      <c r="E4014" s="1" t="s">
        <v>28</v>
      </c>
      <c r="F4014" s="1" t="n">
        <v>1</v>
      </c>
      <c r="G4014" s="15" t="n">
        <v>480.34</v>
      </c>
      <c r="H4014" s="16" t="n">
        <v>0.1</v>
      </c>
      <c r="I4014" s="1" t="s">
        <v>33</v>
      </c>
      <c r="J4014" s="1" t="n">
        <v>2</v>
      </c>
      <c r="K4014" s="1" t="n">
        <v>2.6</v>
      </c>
      <c r="L4014" s="15" t="n">
        <v>432.31</v>
      </c>
      <c r="M4014" s="15" t="n">
        <f aca="false">F4014*G4014</f>
        <v>480.34</v>
      </c>
      <c r="N4014" s="15" t="n">
        <f aca="false">M4014-L4014</f>
        <v>48.03</v>
      </c>
      <c r="O4014" s="1" t="n">
        <f aca="false">YEAR(B4014)</f>
        <v>2032</v>
      </c>
      <c r="P4014" s="1" t="n">
        <f aca="false">MONTH(B4014)</f>
        <v>12</v>
      </c>
      <c r="Q4014" s="1" t="str">
        <f aca="false">TEXT(B4014,"mmm")</f>
        <v>Dec</v>
      </c>
      <c r="R4014" s="1" t="str">
        <f aca="false">"Q"&amp;ROUNDUP(MONTH(B4014)/3,0)</f>
        <v>Q4</v>
      </c>
    </row>
    <row r="4015" customFormat="false" ht="15" hidden="false" customHeight="true" outlineLevel="0" collapsed="false">
      <c r="A4015" s="1" t="n">
        <v>14014</v>
      </c>
      <c r="B4015" s="14" t="n">
        <v>48575</v>
      </c>
      <c r="C4015" s="1" t="n">
        <v>1343</v>
      </c>
      <c r="D4015" s="1" t="s">
        <v>37</v>
      </c>
      <c r="E4015" s="1" t="s">
        <v>28</v>
      </c>
      <c r="F4015" s="1" t="n">
        <v>2</v>
      </c>
      <c r="G4015" s="15" t="n">
        <v>378.73</v>
      </c>
      <c r="H4015" s="16" t="n">
        <v>0.25</v>
      </c>
      <c r="I4015" s="1" t="s">
        <v>29</v>
      </c>
      <c r="J4015" s="1" t="n">
        <v>5</v>
      </c>
      <c r="K4015" s="1" t="n">
        <v>2.4</v>
      </c>
      <c r="L4015" s="15" t="n">
        <v>568.1</v>
      </c>
      <c r="M4015" s="15" t="n">
        <f aca="false">F4015*G4015</f>
        <v>757.46</v>
      </c>
      <c r="N4015" s="15" t="n">
        <f aca="false">M4015-L4015</f>
        <v>189.36</v>
      </c>
      <c r="O4015" s="1" t="n">
        <f aca="false">YEAR(B4015)</f>
        <v>2032</v>
      </c>
      <c r="P4015" s="1" t="n">
        <f aca="false">MONTH(B4015)</f>
        <v>12</v>
      </c>
      <c r="Q4015" s="1" t="str">
        <f aca="false">TEXT(B4015,"mmm")</f>
        <v>Dec</v>
      </c>
      <c r="R4015" s="1" t="str">
        <f aca="false">"Q"&amp;ROUNDUP(MONTH(B4015)/3,0)</f>
        <v>Q4</v>
      </c>
    </row>
    <row r="4016" customFormat="false" ht="15" hidden="false" customHeight="true" outlineLevel="0" collapsed="false">
      <c r="A4016" s="1" t="n">
        <v>14015</v>
      </c>
      <c r="B4016" s="14" t="n">
        <v>48576</v>
      </c>
      <c r="C4016" s="1" t="n">
        <v>1935</v>
      </c>
      <c r="D4016" s="1" t="s">
        <v>34</v>
      </c>
      <c r="E4016" s="1" t="s">
        <v>28</v>
      </c>
      <c r="F4016" s="1" t="n">
        <v>6</v>
      </c>
      <c r="G4016" s="15" t="n">
        <v>199.24</v>
      </c>
      <c r="H4016" s="16" t="n">
        <v>0.31</v>
      </c>
      <c r="I4016" s="1" t="s">
        <v>31</v>
      </c>
      <c r="J4016" s="1" t="n">
        <v>10</v>
      </c>
      <c r="K4016" s="1" t="n">
        <v>1.4</v>
      </c>
      <c r="L4016" s="15" t="n">
        <v>824.85</v>
      </c>
      <c r="M4016" s="15" t="n">
        <f aca="false">F4016*G4016</f>
        <v>1195.44</v>
      </c>
      <c r="N4016" s="15" t="n">
        <f aca="false">M4016-L4016</f>
        <v>370.59</v>
      </c>
      <c r="O4016" s="1" t="n">
        <f aca="false">YEAR(B4016)</f>
        <v>2032</v>
      </c>
      <c r="P4016" s="1" t="n">
        <f aca="false">MONTH(B4016)</f>
        <v>12</v>
      </c>
      <c r="Q4016" s="1" t="str">
        <f aca="false">TEXT(B4016,"mmm")</f>
        <v>Dec</v>
      </c>
      <c r="R4016" s="1" t="str">
        <f aca="false">"Q"&amp;ROUNDUP(MONTH(B4016)/3,0)</f>
        <v>Q4</v>
      </c>
    </row>
    <row r="4017" customFormat="false" ht="15" hidden="false" customHeight="true" outlineLevel="0" collapsed="false">
      <c r="A4017" s="1" t="n">
        <v>14016</v>
      </c>
      <c r="B4017" s="14" t="n">
        <v>48577</v>
      </c>
      <c r="C4017" s="1" t="n">
        <v>1293</v>
      </c>
      <c r="D4017" s="1" t="s">
        <v>37</v>
      </c>
      <c r="E4017" s="1" t="s">
        <v>32</v>
      </c>
      <c r="F4017" s="1" t="n">
        <v>3</v>
      </c>
      <c r="G4017" s="15" t="n">
        <v>110.83</v>
      </c>
      <c r="H4017" s="16" t="n">
        <v>0</v>
      </c>
      <c r="I4017" s="1" t="s">
        <v>33</v>
      </c>
      <c r="J4017" s="1" t="n">
        <v>7</v>
      </c>
      <c r="K4017" s="1" t="n">
        <v>4</v>
      </c>
      <c r="L4017" s="15" t="n">
        <v>332.49</v>
      </c>
      <c r="M4017" s="15" t="n">
        <f aca="false">F4017*G4017</f>
        <v>332.49</v>
      </c>
      <c r="N4017" s="15" t="n">
        <f aca="false">M4017-L4017</f>
        <v>0</v>
      </c>
      <c r="O4017" s="1" t="n">
        <f aca="false">YEAR(B4017)</f>
        <v>2032</v>
      </c>
      <c r="P4017" s="1" t="n">
        <f aca="false">MONTH(B4017)</f>
        <v>12</v>
      </c>
      <c r="Q4017" s="1" t="str">
        <f aca="false">TEXT(B4017,"mmm")</f>
        <v>Dec</v>
      </c>
      <c r="R4017" s="1" t="str">
        <f aca="false">"Q"&amp;ROUNDUP(MONTH(B4017)/3,0)</f>
        <v>Q4</v>
      </c>
    </row>
    <row r="4018" customFormat="false" ht="15" hidden="false" customHeight="true" outlineLevel="0" collapsed="false">
      <c r="A4018" s="1" t="n">
        <v>14017</v>
      </c>
      <c r="B4018" s="14" t="n">
        <v>48578</v>
      </c>
      <c r="C4018" s="1" t="n">
        <v>1955</v>
      </c>
      <c r="D4018" s="1" t="s">
        <v>30</v>
      </c>
      <c r="E4018" s="1" t="s">
        <v>36</v>
      </c>
      <c r="F4018" s="1" t="n">
        <v>1</v>
      </c>
      <c r="G4018" s="15" t="n">
        <v>38.49</v>
      </c>
      <c r="H4018" s="16" t="n">
        <v>0.24</v>
      </c>
      <c r="I4018" s="1" t="s">
        <v>31</v>
      </c>
      <c r="J4018" s="1" t="n">
        <v>11</v>
      </c>
      <c r="K4018" s="1" t="n">
        <v>2.8</v>
      </c>
      <c r="L4018" s="15" t="n">
        <v>29.25</v>
      </c>
      <c r="M4018" s="15" t="n">
        <f aca="false">F4018*G4018</f>
        <v>38.49</v>
      </c>
      <c r="N4018" s="15" t="n">
        <f aca="false">M4018-L4018</f>
        <v>9.24</v>
      </c>
      <c r="O4018" s="1" t="n">
        <f aca="false">YEAR(B4018)</f>
        <v>2032</v>
      </c>
      <c r="P4018" s="1" t="n">
        <f aca="false">MONTH(B4018)</f>
        <v>12</v>
      </c>
      <c r="Q4018" s="1" t="str">
        <f aca="false">TEXT(B4018,"mmm")</f>
        <v>Dec</v>
      </c>
      <c r="R4018" s="1" t="str">
        <f aca="false">"Q"&amp;ROUNDUP(MONTH(B4018)/3,0)</f>
        <v>Q4</v>
      </c>
    </row>
    <row r="4019" customFormat="false" ht="15" hidden="false" customHeight="true" outlineLevel="0" collapsed="false">
      <c r="A4019" s="1" t="n">
        <v>14018</v>
      </c>
      <c r="B4019" s="14" t="n">
        <v>48579</v>
      </c>
      <c r="C4019" s="1" t="n">
        <v>1570</v>
      </c>
      <c r="D4019" s="1" t="s">
        <v>30</v>
      </c>
      <c r="E4019" s="1" t="s">
        <v>28</v>
      </c>
      <c r="F4019" s="1" t="n">
        <v>4</v>
      </c>
      <c r="G4019" s="15" t="n">
        <v>112.55</v>
      </c>
      <c r="H4019" s="16" t="n">
        <v>0.27</v>
      </c>
      <c r="I4019" s="1" t="s">
        <v>31</v>
      </c>
      <c r="J4019" s="1" t="n">
        <v>6</v>
      </c>
      <c r="K4019" s="1" t="n">
        <v>3.6</v>
      </c>
      <c r="L4019" s="15" t="n">
        <v>328.65</v>
      </c>
      <c r="M4019" s="15" t="n">
        <f aca="false">F4019*G4019</f>
        <v>450.2</v>
      </c>
      <c r="N4019" s="15" t="n">
        <f aca="false">M4019-L4019</f>
        <v>121.55</v>
      </c>
      <c r="O4019" s="1" t="n">
        <f aca="false">YEAR(B4019)</f>
        <v>2032</v>
      </c>
      <c r="P4019" s="1" t="n">
        <f aca="false">MONTH(B4019)</f>
        <v>12</v>
      </c>
      <c r="Q4019" s="1" t="str">
        <f aca="false">TEXT(B4019,"mmm")</f>
        <v>Dec</v>
      </c>
      <c r="R4019" s="1" t="str">
        <f aca="false">"Q"&amp;ROUNDUP(MONTH(B4019)/3,0)</f>
        <v>Q4</v>
      </c>
    </row>
    <row r="4020" customFormat="false" ht="15" hidden="false" customHeight="true" outlineLevel="0" collapsed="false">
      <c r="A4020" s="1" t="n">
        <v>14019</v>
      </c>
      <c r="B4020" s="14" t="n">
        <v>48580</v>
      </c>
      <c r="C4020" s="1" t="n">
        <v>1649</v>
      </c>
      <c r="D4020" s="1" t="s">
        <v>34</v>
      </c>
      <c r="E4020" s="1" t="s">
        <v>28</v>
      </c>
      <c r="F4020" s="1" t="n">
        <v>4</v>
      </c>
      <c r="G4020" s="15" t="n">
        <v>280.17</v>
      </c>
      <c r="H4020" s="16" t="n">
        <v>0.07</v>
      </c>
      <c r="I4020" s="1" t="s">
        <v>33</v>
      </c>
      <c r="J4020" s="1" t="n">
        <v>4</v>
      </c>
      <c r="K4020" s="1" t="n">
        <v>3</v>
      </c>
      <c r="L4020" s="15" t="n">
        <v>1042.23</v>
      </c>
      <c r="M4020" s="15" t="n">
        <f aca="false">F4020*G4020</f>
        <v>1120.68</v>
      </c>
      <c r="N4020" s="15" t="n">
        <f aca="false">M4020-L4020</f>
        <v>78.4500000000001</v>
      </c>
      <c r="O4020" s="1" t="n">
        <f aca="false">YEAR(B4020)</f>
        <v>2033</v>
      </c>
      <c r="P4020" s="1" t="n">
        <f aca="false">MONTH(B4020)</f>
        <v>1</v>
      </c>
      <c r="Q4020" s="1" t="str">
        <f aca="false">TEXT(B4020,"mmm")</f>
        <v>Jan</v>
      </c>
      <c r="R4020" s="1" t="str">
        <f aca="false">"Q"&amp;ROUNDUP(MONTH(B4020)/3,0)</f>
        <v>Q1</v>
      </c>
    </row>
    <row r="4021" customFormat="false" ht="15" hidden="false" customHeight="true" outlineLevel="0" collapsed="false">
      <c r="A4021" s="1" t="n">
        <v>14020</v>
      </c>
      <c r="B4021" s="14" t="n">
        <v>48581</v>
      </c>
      <c r="C4021" s="1" t="n">
        <v>1610</v>
      </c>
      <c r="D4021" s="1" t="s">
        <v>34</v>
      </c>
      <c r="E4021" s="1" t="s">
        <v>32</v>
      </c>
      <c r="F4021" s="1" t="n">
        <v>4</v>
      </c>
      <c r="G4021" s="15" t="n">
        <v>159.6</v>
      </c>
      <c r="H4021" s="16" t="n">
        <v>0.17</v>
      </c>
      <c r="I4021" s="1" t="s">
        <v>33</v>
      </c>
      <c r="J4021" s="1" t="n">
        <v>9</v>
      </c>
      <c r="K4021" s="1" t="n">
        <v>1.7</v>
      </c>
      <c r="L4021" s="15" t="n">
        <v>529.87</v>
      </c>
      <c r="M4021" s="15" t="n">
        <f aca="false">F4021*G4021</f>
        <v>638.4</v>
      </c>
      <c r="N4021" s="15" t="n">
        <f aca="false">M4021-L4021</f>
        <v>108.53</v>
      </c>
      <c r="O4021" s="1" t="n">
        <f aca="false">YEAR(B4021)</f>
        <v>2033</v>
      </c>
      <c r="P4021" s="1" t="n">
        <f aca="false">MONTH(B4021)</f>
        <v>1</v>
      </c>
      <c r="Q4021" s="1" t="str">
        <f aca="false">TEXT(B4021,"mmm")</f>
        <v>Jan</v>
      </c>
      <c r="R4021" s="1" t="str">
        <f aca="false">"Q"&amp;ROUNDUP(MONTH(B4021)/3,0)</f>
        <v>Q1</v>
      </c>
    </row>
    <row r="4022" customFormat="false" ht="15" hidden="false" customHeight="true" outlineLevel="0" collapsed="false">
      <c r="A4022" s="1" t="n">
        <v>14021</v>
      </c>
      <c r="B4022" s="14" t="n">
        <v>48582</v>
      </c>
      <c r="C4022" s="1" t="n">
        <v>1703</v>
      </c>
      <c r="D4022" s="1" t="s">
        <v>37</v>
      </c>
      <c r="E4022" s="1" t="s">
        <v>28</v>
      </c>
      <c r="F4022" s="1" t="n">
        <v>7</v>
      </c>
      <c r="G4022" s="15" t="n">
        <v>166.5</v>
      </c>
      <c r="H4022" s="16" t="n">
        <v>0.03</v>
      </c>
      <c r="I4022" s="1" t="s">
        <v>29</v>
      </c>
      <c r="J4022" s="1" t="n">
        <v>11</v>
      </c>
      <c r="K4022" s="1" t="n">
        <v>1.7</v>
      </c>
      <c r="L4022" s="15" t="n">
        <v>1130.54</v>
      </c>
      <c r="M4022" s="15" t="n">
        <f aca="false">F4022*G4022</f>
        <v>1165.5</v>
      </c>
      <c r="N4022" s="15" t="n">
        <f aca="false">M4022-L4022</f>
        <v>34.96</v>
      </c>
      <c r="O4022" s="1" t="n">
        <f aca="false">YEAR(B4022)</f>
        <v>2033</v>
      </c>
      <c r="P4022" s="1" t="n">
        <f aca="false">MONTH(B4022)</f>
        <v>1</v>
      </c>
      <c r="Q4022" s="1" t="str">
        <f aca="false">TEXT(B4022,"mmm")</f>
        <v>Jan</v>
      </c>
      <c r="R4022" s="1" t="str">
        <f aca="false">"Q"&amp;ROUNDUP(MONTH(B4022)/3,0)</f>
        <v>Q1</v>
      </c>
    </row>
    <row r="4023" customFormat="false" ht="15" hidden="false" customHeight="true" outlineLevel="0" collapsed="false">
      <c r="A4023" s="1" t="n">
        <v>14022</v>
      </c>
      <c r="B4023" s="14" t="n">
        <v>48583</v>
      </c>
      <c r="C4023" s="1" t="n">
        <v>1242</v>
      </c>
      <c r="D4023" s="1" t="s">
        <v>30</v>
      </c>
      <c r="E4023" s="1" t="s">
        <v>28</v>
      </c>
      <c r="F4023" s="1" t="n">
        <v>1</v>
      </c>
      <c r="G4023" s="15" t="n">
        <v>527.21</v>
      </c>
      <c r="H4023" s="16" t="n">
        <v>0.26</v>
      </c>
      <c r="I4023" s="1" t="s">
        <v>33</v>
      </c>
      <c r="J4023" s="1" t="n">
        <v>4</v>
      </c>
      <c r="K4023" s="1" t="n">
        <v>4.8</v>
      </c>
      <c r="L4023" s="15" t="n">
        <v>390.14</v>
      </c>
      <c r="M4023" s="15" t="n">
        <f aca="false">F4023*G4023</f>
        <v>527.21</v>
      </c>
      <c r="N4023" s="15" t="n">
        <f aca="false">M4023-L4023</f>
        <v>137.07</v>
      </c>
      <c r="O4023" s="1" t="n">
        <f aca="false">YEAR(B4023)</f>
        <v>2033</v>
      </c>
      <c r="P4023" s="1" t="n">
        <f aca="false">MONTH(B4023)</f>
        <v>1</v>
      </c>
      <c r="Q4023" s="1" t="str">
        <f aca="false">TEXT(B4023,"mmm")</f>
        <v>Jan</v>
      </c>
      <c r="R4023" s="1" t="str">
        <f aca="false">"Q"&amp;ROUNDUP(MONTH(B4023)/3,0)</f>
        <v>Q1</v>
      </c>
    </row>
    <row r="4024" customFormat="false" ht="15" hidden="false" customHeight="true" outlineLevel="0" collapsed="false">
      <c r="A4024" s="1" t="n">
        <v>14023</v>
      </c>
      <c r="B4024" s="14" t="n">
        <v>48584</v>
      </c>
      <c r="C4024" s="1" t="n">
        <v>1830</v>
      </c>
      <c r="D4024" s="1" t="s">
        <v>34</v>
      </c>
      <c r="E4024" s="1" t="s">
        <v>36</v>
      </c>
      <c r="F4024" s="1" t="n">
        <v>4</v>
      </c>
      <c r="G4024" s="15" t="n">
        <v>316.36</v>
      </c>
      <c r="H4024" s="16" t="n">
        <v>0.3</v>
      </c>
      <c r="I4024" s="1" t="s">
        <v>29</v>
      </c>
      <c r="J4024" s="1" t="n">
        <v>3</v>
      </c>
      <c r="K4024" s="1" t="n">
        <v>4.6</v>
      </c>
      <c r="L4024" s="15" t="n">
        <v>885.81</v>
      </c>
      <c r="M4024" s="15" t="n">
        <f aca="false">F4024*G4024</f>
        <v>1265.44</v>
      </c>
      <c r="N4024" s="15" t="n">
        <f aca="false">M4024-L4024</f>
        <v>379.63</v>
      </c>
      <c r="O4024" s="1" t="n">
        <f aca="false">YEAR(B4024)</f>
        <v>2033</v>
      </c>
      <c r="P4024" s="1" t="n">
        <f aca="false">MONTH(B4024)</f>
        <v>1</v>
      </c>
      <c r="Q4024" s="1" t="str">
        <f aca="false">TEXT(B4024,"mmm")</f>
        <v>Jan</v>
      </c>
      <c r="R4024" s="1" t="str">
        <f aca="false">"Q"&amp;ROUNDUP(MONTH(B4024)/3,0)</f>
        <v>Q1</v>
      </c>
    </row>
    <row r="4025" customFormat="false" ht="15" hidden="false" customHeight="true" outlineLevel="0" collapsed="false">
      <c r="A4025" s="1" t="n">
        <v>14024</v>
      </c>
      <c r="B4025" s="14" t="n">
        <v>48585</v>
      </c>
      <c r="C4025" s="1" t="n">
        <v>1560</v>
      </c>
      <c r="D4025" s="1" t="s">
        <v>30</v>
      </c>
      <c r="E4025" s="1" t="s">
        <v>35</v>
      </c>
      <c r="F4025" s="1" t="n">
        <v>7</v>
      </c>
      <c r="G4025" s="15" t="n">
        <v>441.61</v>
      </c>
      <c r="H4025" s="16" t="n">
        <v>0.04</v>
      </c>
      <c r="I4025" s="1" t="s">
        <v>31</v>
      </c>
      <c r="J4025" s="1" t="n">
        <v>11</v>
      </c>
      <c r="K4025" s="1" t="n">
        <v>3.4</v>
      </c>
      <c r="L4025" s="15" t="n">
        <v>2967.62</v>
      </c>
      <c r="M4025" s="15" t="n">
        <f aca="false">F4025*G4025</f>
        <v>3091.27</v>
      </c>
      <c r="N4025" s="15" t="n">
        <f aca="false">M4025-L4025</f>
        <v>123.65</v>
      </c>
      <c r="O4025" s="1" t="n">
        <f aca="false">YEAR(B4025)</f>
        <v>2033</v>
      </c>
      <c r="P4025" s="1" t="n">
        <f aca="false">MONTH(B4025)</f>
        <v>1</v>
      </c>
      <c r="Q4025" s="1" t="str">
        <f aca="false">TEXT(B4025,"mmm")</f>
        <v>Jan</v>
      </c>
      <c r="R4025" s="1" t="str">
        <f aca="false">"Q"&amp;ROUNDUP(MONTH(B4025)/3,0)</f>
        <v>Q1</v>
      </c>
    </row>
    <row r="4026" customFormat="false" ht="15" hidden="false" customHeight="true" outlineLevel="0" collapsed="false">
      <c r="A4026" s="1" t="n">
        <v>14025</v>
      </c>
      <c r="B4026" s="14" t="n">
        <v>48586</v>
      </c>
      <c r="C4026" s="1" t="n">
        <v>1959</v>
      </c>
      <c r="D4026" s="1" t="s">
        <v>27</v>
      </c>
      <c r="E4026" s="1" t="s">
        <v>28</v>
      </c>
      <c r="F4026" s="1" t="n">
        <v>2</v>
      </c>
      <c r="G4026" s="15" t="n">
        <v>35.89</v>
      </c>
      <c r="H4026" s="16" t="n">
        <v>0.29</v>
      </c>
      <c r="I4026" s="1" t="s">
        <v>31</v>
      </c>
      <c r="J4026" s="1" t="n">
        <v>5</v>
      </c>
      <c r="K4026" s="1" t="n">
        <v>1</v>
      </c>
      <c r="L4026" s="15" t="n">
        <v>50.96</v>
      </c>
      <c r="M4026" s="15" t="n">
        <f aca="false">F4026*G4026</f>
        <v>71.78</v>
      </c>
      <c r="N4026" s="15" t="n">
        <f aca="false">M4026-L4026</f>
        <v>20.82</v>
      </c>
      <c r="O4026" s="1" t="n">
        <f aca="false">YEAR(B4026)</f>
        <v>2033</v>
      </c>
      <c r="P4026" s="1" t="n">
        <f aca="false">MONTH(B4026)</f>
        <v>1</v>
      </c>
      <c r="Q4026" s="1" t="str">
        <f aca="false">TEXT(B4026,"mmm")</f>
        <v>Jan</v>
      </c>
      <c r="R4026" s="1" t="str">
        <f aca="false">"Q"&amp;ROUNDUP(MONTH(B4026)/3,0)</f>
        <v>Q1</v>
      </c>
    </row>
    <row r="4027" customFormat="false" ht="15" hidden="false" customHeight="true" outlineLevel="0" collapsed="false">
      <c r="A4027" s="1" t="n">
        <v>14026</v>
      </c>
      <c r="B4027" s="14" t="n">
        <v>48587</v>
      </c>
      <c r="C4027" s="1" t="n">
        <v>1031</v>
      </c>
      <c r="D4027" s="1" t="s">
        <v>37</v>
      </c>
      <c r="E4027" s="1" t="s">
        <v>32</v>
      </c>
      <c r="F4027" s="1" t="n">
        <v>1</v>
      </c>
      <c r="G4027" s="15" t="n">
        <v>228.62</v>
      </c>
      <c r="H4027" s="16" t="n">
        <v>0.27</v>
      </c>
      <c r="I4027" s="1" t="s">
        <v>31</v>
      </c>
      <c r="J4027" s="1" t="n">
        <v>4</v>
      </c>
      <c r="K4027" s="1" t="n">
        <v>2.7</v>
      </c>
      <c r="L4027" s="15" t="n">
        <v>166.89</v>
      </c>
      <c r="M4027" s="15" t="n">
        <f aca="false">F4027*G4027</f>
        <v>228.62</v>
      </c>
      <c r="N4027" s="15" t="n">
        <f aca="false">M4027-L4027</f>
        <v>61.73</v>
      </c>
      <c r="O4027" s="1" t="n">
        <f aca="false">YEAR(B4027)</f>
        <v>2033</v>
      </c>
      <c r="P4027" s="1" t="n">
        <f aca="false">MONTH(B4027)</f>
        <v>1</v>
      </c>
      <c r="Q4027" s="1" t="str">
        <f aca="false">TEXT(B4027,"mmm")</f>
        <v>Jan</v>
      </c>
      <c r="R4027" s="1" t="str">
        <f aca="false">"Q"&amp;ROUNDUP(MONTH(B4027)/3,0)</f>
        <v>Q1</v>
      </c>
    </row>
    <row r="4028" customFormat="false" ht="15" hidden="false" customHeight="true" outlineLevel="0" collapsed="false">
      <c r="A4028" s="1" t="n">
        <v>14027</v>
      </c>
      <c r="B4028" s="14" t="n">
        <v>48588</v>
      </c>
      <c r="C4028" s="1" t="n">
        <v>1390</v>
      </c>
      <c r="D4028" s="1" t="s">
        <v>34</v>
      </c>
      <c r="E4028" s="1" t="s">
        <v>36</v>
      </c>
      <c r="F4028" s="1" t="n">
        <v>1</v>
      </c>
      <c r="G4028" s="15" t="n">
        <v>295.31</v>
      </c>
      <c r="H4028" s="16" t="n">
        <v>0.12</v>
      </c>
      <c r="I4028" s="1" t="s">
        <v>33</v>
      </c>
      <c r="J4028" s="1" t="n">
        <v>2</v>
      </c>
      <c r="K4028" s="1" t="n">
        <v>3.1</v>
      </c>
      <c r="L4028" s="15" t="n">
        <v>259.87</v>
      </c>
      <c r="M4028" s="15" t="n">
        <f aca="false">F4028*G4028</f>
        <v>295.31</v>
      </c>
      <c r="N4028" s="15" t="n">
        <f aca="false">M4028-L4028</f>
        <v>35.44</v>
      </c>
      <c r="O4028" s="1" t="n">
        <f aca="false">YEAR(B4028)</f>
        <v>2033</v>
      </c>
      <c r="P4028" s="1" t="n">
        <f aca="false">MONTH(B4028)</f>
        <v>1</v>
      </c>
      <c r="Q4028" s="1" t="str">
        <f aca="false">TEXT(B4028,"mmm")</f>
        <v>Jan</v>
      </c>
      <c r="R4028" s="1" t="str">
        <f aca="false">"Q"&amp;ROUNDUP(MONTH(B4028)/3,0)</f>
        <v>Q1</v>
      </c>
    </row>
    <row r="4029" customFormat="false" ht="15" hidden="false" customHeight="true" outlineLevel="0" collapsed="false">
      <c r="A4029" s="1" t="n">
        <v>14028</v>
      </c>
      <c r="B4029" s="14" t="n">
        <v>48589</v>
      </c>
      <c r="C4029" s="1" t="n">
        <v>1276</v>
      </c>
      <c r="D4029" s="1" t="s">
        <v>34</v>
      </c>
      <c r="E4029" s="1" t="s">
        <v>32</v>
      </c>
      <c r="F4029" s="1" t="n">
        <v>1</v>
      </c>
      <c r="G4029" s="15" t="n">
        <v>124.05</v>
      </c>
      <c r="H4029" s="16" t="n">
        <v>0.24</v>
      </c>
      <c r="I4029" s="1" t="s">
        <v>31</v>
      </c>
      <c r="J4029" s="1" t="n">
        <v>3</v>
      </c>
      <c r="K4029" s="1" t="n">
        <v>2.8</v>
      </c>
      <c r="L4029" s="15" t="n">
        <v>94.28</v>
      </c>
      <c r="M4029" s="15" t="n">
        <f aca="false">F4029*G4029</f>
        <v>124.05</v>
      </c>
      <c r="N4029" s="15" t="n">
        <f aca="false">M4029-L4029</f>
        <v>29.77</v>
      </c>
      <c r="O4029" s="1" t="n">
        <f aca="false">YEAR(B4029)</f>
        <v>2033</v>
      </c>
      <c r="P4029" s="1" t="n">
        <f aca="false">MONTH(B4029)</f>
        <v>1</v>
      </c>
      <c r="Q4029" s="1" t="str">
        <f aca="false">TEXT(B4029,"mmm")</f>
        <v>Jan</v>
      </c>
      <c r="R4029" s="1" t="str">
        <f aca="false">"Q"&amp;ROUNDUP(MONTH(B4029)/3,0)</f>
        <v>Q1</v>
      </c>
    </row>
    <row r="4030" customFormat="false" ht="15" hidden="false" customHeight="true" outlineLevel="0" collapsed="false">
      <c r="A4030" s="1" t="n">
        <v>14029</v>
      </c>
      <c r="B4030" s="14" t="n">
        <v>48590</v>
      </c>
      <c r="C4030" s="1" t="n">
        <v>1531</v>
      </c>
      <c r="D4030" s="1" t="s">
        <v>34</v>
      </c>
      <c r="E4030" s="1" t="s">
        <v>36</v>
      </c>
      <c r="F4030" s="1" t="n">
        <v>5</v>
      </c>
      <c r="G4030" s="15" t="n">
        <v>85.31</v>
      </c>
      <c r="H4030" s="16" t="n">
        <v>0</v>
      </c>
      <c r="I4030" s="1" t="s">
        <v>31</v>
      </c>
      <c r="J4030" s="1" t="n">
        <v>7</v>
      </c>
      <c r="K4030" s="1" t="n">
        <v>4.7</v>
      </c>
      <c r="L4030" s="15" t="n">
        <v>426.55</v>
      </c>
      <c r="M4030" s="15" t="n">
        <f aca="false">F4030*G4030</f>
        <v>426.55</v>
      </c>
      <c r="N4030" s="15" t="n">
        <f aca="false">M4030-L4030</f>
        <v>0</v>
      </c>
      <c r="O4030" s="1" t="n">
        <f aca="false">YEAR(B4030)</f>
        <v>2033</v>
      </c>
      <c r="P4030" s="1" t="n">
        <f aca="false">MONTH(B4030)</f>
        <v>1</v>
      </c>
      <c r="Q4030" s="1" t="str">
        <f aca="false">TEXT(B4030,"mmm")</f>
        <v>Jan</v>
      </c>
      <c r="R4030" s="1" t="str">
        <f aca="false">"Q"&amp;ROUNDUP(MONTH(B4030)/3,0)</f>
        <v>Q1</v>
      </c>
    </row>
    <row r="4031" customFormat="false" ht="15" hidden="false" customHeight="true" outlineLevel="0" collapsed="false">
      <c r="A4031" s="1" t="n">
        <v>14030</v>
      </c>
      <c r="B4031" s="14" t="n">
        <v>48591</v>
      </c>
      <c r="C4031" s="1" t="n">
        <v>1153</v>
      </c>
      <c r="D4031" s="1" t="s">
        <v>27</v>
      </c>
      <c r="E4031" s="1" t="s">
        <v>36</v>
      </c>
      <c r="F4031" s="1" t="n">
        <v>7</v>
      </c>
      <c r="G4031" s="15" t="n">
        <v>524.13</v>
      </c>
      <c r="H4031" s="16" t="n">
        <v>0.33</v>
      </c>
      <c r="I4031" s="1" t="s">
        <v>33</v>
      </c>
      <c r="J4031" s="1" t="n">
        <v>2</v>
      </c>
      <c r="K4031" s="1" t="n">
        <v>1.2</v>
      </c>
      <c r="L4031" s="15" t="n">
        <v>2458.17</v>
      </c>
      <c r="M4031" s="15" t="n">
        <f aca="false">F4031*G4031</f>
        <v>3668.91</v>
      </c>
      <c r="N4031" s="15" t="n">
        <f aca="false">M4031-L4031</f>
        <v>1210.74</v>
      </c>
      <c r="O4031" s="1" t="n">
        <f aca="false">YEAR(B4031)</f>
        <v>2033</v>
      </c>
      <c r="P4031" s="1" t="n">
        <f aca="false">MONTH(B4031)</f>
        <v>1</v>
      </c>
      <c r="Q4031" s="1" t="str">
        <f aca="false">TEXT(B4031,"mmm")</f>
        <v>Jan</v>
      </c>
      <c r="R4031" s="1" t="str">
        <f aca="false">"Q"&amp;ROUNDUP(MONTH(B4031)/3,0)</f>
        <v>Q1</v>
      </c>
    </row>
    <row r="4032" customFormat="false" ht="15" hidden="false" customHeight="true" outlineLevel="0" collapsed="false">
      <c r="A4032" s="1" t="n">
        <v>14031</v>
      </c>
      <c r="B4032" s="14" t="n">
        <v>48592</v>
      </c>
      <c r="C4032" s="1" t="n">
        <v>1382</v>
      </c>
      <c r="D4032" s="1" t="s">
        <v>30</v>
      </c>
      <c r="E4032" s="1" t="s">
        <v>28</v>
      </c>
      <c r="F4032" s="1" t="n">
        <v>3</v>
      </c>
      <c r="G4032" s="15" t="n">
        <v>564.57</v>
      </c>
      <c r="H4032" s="16" t="n">
        <v>0.19</v>
      </c>
      <c r="I4032" s="1" t="s">
        <v>31</v>
      </c>
      <c r="J4032" s="1" t="n">
        <v>1</v>
      </c>
      <c r="K4032" s="1" t="n">
        <v>3.6</v>
      </c>
      <c r="L4032" s="15" t="n">
        <v>1371.91</v>
      </c>
      <c r="M4032" s="15" t="n">
        <f aca="false">F4032*G4032</f>
        <v>1693.71</v>
      </c>
      <c r="N4032" s="15" t="n">
        <f aca="false">M4032-L4032</f>
        <v>321.8</v>
      </c>
      <c r="O4032" s="1" t="n">
        <f aca="false">YEAR(B4032)</f>
        <v>2033</v>
      </c>
      <c r="P4032" s="1" t="n">
        <f aca="false">MONTH(B4032)</f>
        <v>1</v>
      </c>
      <c r="Q4032" s="1" t="str">
        <f aca="false">TEXT(B4032,"mmm")</f>
        <v>Jan</v>
      </c>
      <c r="R4032" s="1" t="str">
        <f aca="false">"Q"&amp;ROUNDUP(MONTH(B4032)/3,0)</f>
        <v>Q1</v>
      </c>
    </row>
    <row r="4033" customFormat="false" ht="15" hidden="false" customHeight="true" outlineLevel="0" collapsed="false">
      <c r="A4033" s="1" t="n">
        <v>14032</v>
      </c>
      <c r="B4033" s="14" t="n">
        <v>48593</v>
      </c>
      <c r="C4033" s="1" t="n">
        <v>1067</v>
      </c>
      <c r="D4033" s="1" t="s">
        <v>30</v>
      </c>
      <c r="E4033" s="1" t="s">
        <v>28</v>
      </c>
      <c r="F4033" s="1" t="n">
        <v>5</v>
      </c>
      <c r="G4033" s="15" t="n">
        <v>61.1</v>
      </c>
      <c r="H4033" s="16" t="n">
        <v>0.22</v>
      </c>
      <c r="I4033" s="1" t="s">
        <v>31</v>
      </c>
      <c r="J4033" s="1" t="n">
        <v>2</v>
      </c>
      <c r="K4033" s="1" t="n">
        <v>2.3</v>
      </c>
      <c r="L4033" s="15" t="n">
        <v>238.29</v>
      </c>
      <c r="M4033" s="15" t="n">
        <f aca="false">F4033*G4033</f>
        <v>305.5</v>
      </c>
      <c r="N4033" s="15" t="n">
        <f aca="false">M4033-L4033</f>
        <v>67.21</v>
      </c>
      <c r="O4033" s="1" t="n">
        <f aca="false">YEAR(B4033)</f>
        <v>2033</v>
      </c>
      <c r="P4033" s="1" t="n">
        <f aca="false">MONTH(B4033)</f>
        <v>1</v>
      </c>
      <c r="Q4033" s="1" t="str">
        <f aca="false">TEXT(B4033,"mmm")</f>
        <v>Jan</v>
      </c>
      <c r="R4033" s="1" t="str">
        <f aca="false">"Q"&amp;ROUNDUP(MONTH(B4033)/3,0)</f>
        <v>Q1</v>
      </c>
    </row>
    <row r="4034" customFormat="false" ht="15" hidden="false" customHeight="true" outlineLevel="0" collapsed="false">
      <c r="A4034" s="1" t="n">
        <v>14033</v>
      </c>
      <c r="B4034" s="14" t="n">
        <v>48594</v>
      </c>
      <c r="C4034" s="1" t="n">
        <v>1877</v>
      </c>
      <c r="D4034" s="1" t="s">
        <v>30</v>
      </c>
      <c r="E4034" s="1" t="s">
        <v>28</v>
      </c>
      <c r="F4034" s="1" t="n">
        <v>5</v>
      </c>
      <c r="G4034" s="15" t="n">
        <v>219.18</v>
      </c>
      <c r="H4034" s="16" t="n">
        <v>0.23</v>
      </c>
      <c r="I4034" s="1" t="s">
        <v>31</v>
      </c>
      <c r="J4034" s="1" t="n">
        <v>8</v>
      </c>
      <c r="K4034" s="1" t="n">
        <v>3.2</v>
      </c>
      <c r="L4034" s="15" t="n">
        <v>843.84</v>
      </c>
      <c r="M4034" s="15" t="n">
        <f aca="false">F4034*G4034</f>
        <v>1095.9</v>
      </c>
      <c r="N4034" s="15" t="n">
        <f aca="false">M4034-L4034</f>
        <v>252.06</v>
      </c>
      <c r="O4034" s="1" t="n">
        <f aca="false">YEAR(B4034)</f>
        <v>2033</v>
      </c>
      <c r="P4034" s="1" t="n">
        <f aca="false">MONTH(B4034)</f>
        <v>1</v>
      </c>
      <c r="Q4034" s="1" t="str">
        <f aca="false">TEXT(B4034,"mmm")</f>
        <v>Jan</v>
      </c>
      <c r="R4034" s="1" t="str">
        <f aca="false">"Q"&amp;ROUNDUP(MONTH(B4034)/3,0)</f>
        <v>Q1</v>
      </c>
    </row>
    <row r="4035" customFormat="false" ht="15" hidden="false" customHeight="true" outlineLevel="0" collapsed="false">
      <c r="A4035" s="1" t="n">
        <v>14034</v>
      </c>
      <c r="B4035" s="14" t="n">
        <v>48595</v>
      </c>
      <c r="C4035" s="1" t="n">
        <v>1883</v>
      </c>
      <c r="D4035" s="1" t="s">
        <v>30</v>
      </c>
      <c r="E4035" s="1" t="s">
        <v>35</v>
      </c>
      <c r="F4035" s="1" t="n">
        <v>5</v>
      </c>
      <c r="G4035" s="15" t="n">
        <v>575.6</v>
      </c>
      <c r="H4035" s="16" t="n">
        <v>0.2</v>
      </c>
      <c r="I4035" s="1" t="s">
        <v>31</v>
      </c>
      <c r="J4035" s="1" t="n">
        <v>8</v>
      </c>
      <c r="K4035" s="1" t="n">
        <v>3.6</v>
      </c>
      <c r="L4035" s="15" t="n">
        <v>2302.4</v>
      </c>
      <c r="M4035" s="15" t="n">
        <f aca="false">F4035*G4035</f>
        <v>2878</v>
      </c>
      <c r="N4035" s="15" t="n">
        <f aca="false">M4035-L4035</f>
        <v>575.6</v>
      </c>
      <c r="O4035" s="1" t="n">
        <f aca="false">YEAR(B4035)</f>
        <v>2033</v>
      </c>
      <c r="P4035" s="1" t="n">
        <f aca="false">MONTH(B4035)</f>
        <v>1</v>
      </c>
      <c r="Q4035" s="1" t="str">
        <f aca="false">TEXT(B4035,"mmm")</f>
        <v>Jan</v>
      </c>
      <c r="R4035" s="1" t="str">
        <f aca="false">"Q"&amp;ROUNDUP(MONTH(B4035)/3,0)</f>
        <v>Q1</v>
      </c>
    </row>
    <row r="4036" customFormat="false" ht="15" hidden="false" customHeight="true" outlineLevel="0" collapsed="false">
      <c r="A4036" s="1" t="n">
        <v>14035</v>
      </c>
      <c r="B4036" s="14" t="n">
        <v>48596</v>
      </c>
      <c r="C4036" s="1" t="n">
        <v>1213</v>
      </c>
      <c r="D4036" s="1" t="s">
        <v>37</v>
      </c>
      <c r="E4036" s="1" t="s">
        <v>35</v>
      </c>
      <c r="F4036" s="1" t="n">
        <v>3</v>
      </c>
      <c r="G4036" s="15" t="n">
        <v>63.65</v>
      </c>
      <c r="H4036" s="16" t="n">
        <v>0.3</v>
      </c>
      <c r="I4036" s="1" t="s">
        <v>33</v>
      </c>
      <c r="J4036" s="1" t="n">
        <v>10</v>
      </c>
      <c r="K4036" s="1" t="n">
        <v>2.8</v>
      </c>
      <c r="L4036" s="15" t="n">
        <v>133.66</v>
      </c>
      <c r="M4036" s="15" t="n">
        <f aca="false">F4036*G4036</f>
        <v>190.95</v>
      </c>
      <c r="N4036" s="15" t="n">
        <f aca="false">M4036-L4036</f>
        <v>57.29</v>
      </c>
      <c r="O4036" s="1" t="n">
        <f aca="false">YEAR(B4036)</f>
        <v>2033</v>
      </c>
      <c r="P4036" s="1" t="n">
        <f aca="false">MONTH(B4036)</f>
        <v>1</v>
      </c>
      <c r="Q4036" s="1" t="str">
        <f aca="false">TEXT(B4036,"mmm")</f>
        <v>Jan</v>
      </c>
      <c r="R4036" s="1" t="str">
        <f aca="false">"Q"&amp;ROUNDUP(MONTH(B4036)/3,0)</f>
        <v>Q1</v>
      </c>
    </row>
    <row r="4037" customFormat="false" ht="15" hidden="false" customHeight="true" outlineLevel="0" collapsed="false">
      <c r="A4037" s="1" t="n">
        <v>14036</v>
      </c>
      <c r="B4037" s="14" t="n">
        <v>48597</v>
      </c>
      <c r="C4037" s="1" t="n">
        <v>1654</v>
      </c>
      <c r="D4037" s="1" t="s">
        <v>30</v>
      </c>
      <c r="E4037" s="1" t="s">
        <v>32</v>
      </c>
      <c r="F4037" s="1" t="n">
        <v>5</v>
      </c>
      <c r="G4037" s="15" t="n">
        <v>391.53</v>
      </c>
      <c r="H4037" s="16" t="n">
        <v>0.21</v>
      </c>
      <c r="I4037" s="1" t="s">
        <v>33</v>
      </c>
      <c r="J4037" s="1" t="n">
        <v>2</v>
      </c>
      <c r="K4037" s="1" t="n">
        <v>1.6</v>
      </c>
      <c r="L4037" s="15" t="n">
        <v>1546.54</v>
      </c>
      <c r="M4037" s="15" t="n">
        <f aca="false">F4037*G4037</f>
        <v>1957.65</v>
      </c>
      <c r="N4037" s="15" t="n">
        <f aca="false">M4037-L4037</f>
        <v>411.11</v>
      </c>
      <c r="O4037" s="1" t="n">
        <f aca="false">YEAR(B4037)</f>
        <v>2033</v>
      </c>
      <c r="P4037" s="1" t="n">
        <f aca="false">MONTH(B4037)</f>
        <v>1</v>
      </c>
      <c r="Q4037" s="1" t="str">
        <f aca="false">TEXT(B4037,"mmm")</f>
        <v>Jan</v>
      </c>
      <c r="R4037" s="1" t="str">
        <f aca="false">"Q"&amp;ROUNDUP(MONTH(B4037)/3,0)</f>
        <v>Q1</v>
      </c>
    </row>
    <row r="4038" customFormat="false" ht="15" hidden="false" customHeight="true" outlineLevel="0" collapsed="false">
      <c r="A4038" s="1" t="n">
        <v>14037</v>
      </c>
      <c r="B4038" s="14" t="n">
        <v>48598</v>
      </c>
      <c r="C4038" s="1" t="n">
        <v>1375</v>
      </c>
      <c r="D4038" s="1" t="s">
        <v>34</v>
      </c>
      <c r="E4038" s="1" t="s">
        <v>28</v>
      </c>
      <c r="F4038" s="1" t="n">
        <v>4</v>
      </c>
      <c r="G4038" s="15" t="n">
        <v>583.75</v>
      </c>
      <c r="H4038" s="16" t="n">
        <v>0.32</v>
      </c>
      <c r="I4038" s="1" t="s">
        <v>31</v>
      </c>
      <c r="J4038" s="1" t="n">
        <v>6</v>
      </c>
      <c r="K4038" s="1" t="n">
        <v>3.1</v>
      </c>
      <c r="L4038" s="15" t="n">
        <v>1587.8</v>
      </c>
      <c r="M4038" s="15" t="n">
        <f aca="false">F4038*G4038</f>
        <v>2335</v>
      </c>
      <c r="N4038" s="15" t="n">
        <f aca="false">M4038-L4038</f>
        <v>747.2</v>
      </c>
      <c r="O4038" s="1" t="n">
        <f aca="false">YEAR(B4038)</f>
        <v>2033</v>
      </c>
      <c r="P4038" s="1" t="n">
        <f aca="false">MONTH(B4038)</f>
        <v>1</v>
      </c>
      <c r="Q4038" s="1" t="str">
        <f aca="false">TEXT(B4038,"mmm")</f>
        <v>Jan</v>
      </c>
      <c r="R4038" s="1" t="str">
        <f aca="false">"Q"&amp;ROUNDUP(MONTH(B4038)/3,0)</f>
        <v>Q1</v>
      </c>
    </row>
    <row r="4039" customFormat="false" ht="15" hidden="false" customHeight="true" outlineLevel="0" collapsed="false">
      <c r="A4039" s="1" t="n">
        <v>14038</v>
      </c>
      <c r="B4039" s="14" t="n">
        <v>48599</v>
      </c>
      <c r="C4039" s="1" t="n">
        <v>1743</v>
      </c>
      <c r="D4039" s="1" t="s">
        <v>34</v>
      </c>
      <c r="E4039" s="1" t="s">
        <v>35</v>
      </c>
      <c r="F4039" s="1" t="n">
        <v>1</v>
      </c>
      <c r="G4039" s="15" t="n">
        <v>587.26</v>
      </c>
      <c r="H4039" s="16" t="n">
        <v>0.2</v>
      </c>
      <c r="I4039" s="1" t="s">
        <v>31</v>
      </c>
      <c r="J4039" s="1" t="n">
        <v>11</v>
      </c>
      <c r="K4039" s="1" t="n">
        <v>4.7</v>
      </c>
      <c r="L4039" s="15" t="n">
        <v>469.81</v>
      </c>
      <c r="M4039" s="15" t="n">
        <f aca="false">F4039*G4039</f>
        <v>587.26</v>
      </c>
      <c r="N4039" s="15" t="n">
        <f aca="false">M4039-L4039</f>
        <v>117.45</v>
      </c>
      <c r="O4039" s="1" t="n">
        <f aca="false">YEAR(B4039)</f>
        <v>2033</v>
      </c>
      <c r="P4039" s="1" t="n">
        <f aca="false">MONTH(B4039)</f>
        <v>1</v>
      </c>
      <c r="Q4039" s="1" t="str">
        <f aca="false">TEXT(B4039,"mmm")</f>
        <v>Jan</v>
      </c>
      <c r="R4039" s="1" t="str">
        <f aca="false">"Q"&amp;ROUNDUP(MONTH(B4039)/3,0)</f>
        <v>Q1</v>
      </c>
    </row>
    <row r="4040" customFormat="false" ht="15" hidden="false" customHeight="true" outlineLevel="0" collapsed="false">
      <c r="A4040" s="1" t="n">
        <v>14039</v>
      </c>
      <c r="B4040" s="14" t="n">
        <v>48600</v>
      </c>
      <c r="C4040" s="1" t="n">
        <v>1212</v>
      </c>
      <c r="D4040" s="1" t="s">
        <v>30</v>
      </c>
      <c r="E4040" s="1" t="s">
        <v>28</v>
      </c>
      <c r="F4040" s="1" t="n">
        <v>1</v>
      </c>
      <c r="G4040" s="15" t="n">
        <v>290.67</v>
      </c>
      <c r="H4040" s="16" t="n">
        <v>0.06</v>
      </c>
      <c r="I4040" s="1" t="s">
        <v>29</v>
      </c>
      <c r="J4040" s="1" t="n">
        <v>11</v>
      </c>
      <c r="K4040" s="1" t="n">
        <v>3.1</v>
      </c>
      <c r="L4040" s="15" t="n">
        <v>273.23</v>
      </c>
      <c r="M4040" s="15" t="n">
        <f aca="false">F4040*G4040</f>
        <v>290.67</v>
      </c>
      <c r="N4040" s="15" t="n">
        <f aca="false">M4040-L4040</f>
        <v>17.44</v>
      </c>
      <c r="O4040" s="1" t="n">
        <f aca="false">YEAR(B4040)</f>
        <v>2033</v>
      </c>
      <c r="P4040" s="1" t="n">
        <f aca="false">MONTH(B4040)</f>
        <v>1</v>
      </c>
      <c r="Q4040" s="1" t="str">
        <f aca="false">TEXT(B4040,"mmm")</f>
        <v>Jan</v>
      </c>
      <c r="R4040" s="1" t="str">
        <f aca="false">"Q"&amp;ROUNDUP(MONTH(B4040)/3,0)</f>
        <v>Q1</v>
      </c>
    </row>
    <row r="4041" customFormat="false" ht="15" hidden="false" customHeight="true" outlineLevel="0" collapsed="false">
      <c r="A4041" s="1" t="n">
        <v>14040</v>
      </c>
      <c r="B4041" s="14" t="n">
        <v>48601</v>
      </c>
      <c r="C4041" s="1" t="n">
        <v>1078</v>
      </c>
      <c r="D4041" s="1" t="s">
        <v>27</v>
      </c>
      <c r="E4041" s="1" t="s">
        <v>35</v>
      </c>
      <c r="F4041" s="1" t="n">
        <v>7</v>
      </c>
      <c r="G4041" s="15" t="n">
        <v>110.21</v>
      </c>
      <c r="H4041" s="16" t="n">
        <v>0.32</v>
      </c>
      <c r="I4041" s="1" t="s">
        <v>33</v>
      </c>
      <c r="J4041" s="1" t="n">
        <v>11</v>
      </c>
      <c r="K4041" s="1" t="n">
        <v>1.5</v>
      </c>
      <c r="L4041" s="15" t="n">
        <v>524.6</v>
      </c>
      <c r="M4041" s="15" t="n">
        <f aca="false">F4041*G4041</f>
        <v>771.47</v>
      </c>
      <c r="N4041" s="15" t="n">
        <f aca="false">M4041-L4041</f>
        <v>246.87</v>
      </c>
      <c r="O4041" s="1" t="n">
        <f aca="false">YEAR(B4041)</f>
        <v>2033</v>
      </c>
      <c r="P4041" s="1" t="n">
        <f aca="false">MONTH(B4041)</f>
        <v>1</v>
      </c>
      <c r="Q4041" s="1" t="str">
        <f aca="false">TEXT(B4041,"mmm")</f>
        <v>Jan</v>
      </c>
      <c r="R4041" s="1" t="str">
        <f aca="false">"Q"&amp;ROUNDUP(MONTH(B4041)/3,0)</f>
        <v>Q1</v>
      </c>
    </row>
    <row r="4042" customFormat="false" ht="15" hidden="false" customHeight="true" outlineLevel="0" collapsed="false">
      <c r="A4042" s="1" t="n">
        <v>14041</v>
      </c>
      <c r="B4042" s="14" t="n">
        <v>48602</v>
      </c>
      <c r="C4042" s="1" t="n">
        <v>1725</v>
      </c>
      <c r="D4042" s="1" t="s">
        <v>34</v>
      </c>
      <c r="E4042" s="1" t="s">
        <v>35</v>
      </c>
      <c r="F4042" s="1" t="n">
        <v>2</v>
      </c>
      <c r="G4042" s="15" t="n">
        <v>133.22</v>
      </c>
      <c r="H4042" s="16" t="n">
        <v>0.24</v>
      </c>
      <c r="I4042" s="1" t="s">
        <v>33</v>
      </c>
      <c r="J4042" s="1" t="n">
        <v>7</v>
      </c>
      <c r="K4042" s="1" t="n">
        <v>4.3</v>
      </c>
      <c r="L4042" s="15" t="n">
        <v>202.49</v>
      </c>
      <c r="M4042" s="15" t="n">
        <f aca="false">F4042*G4042</f>
        <v>266.44</v>
      </c>
      <c r="N4042" s="15" t="n">
        <f aca="false">M4042-L4042</f>
        <v>63.95</v>
      </c>
      <c r="O4042" s="1" t="n">
        <f aca="false">YEAR(B4042)</f>
        <v>2033</v>
      </c>
      <c r="P4042" s="1" t="n">
        <f aca="false">MONTH(B4042)</f>
        <v>1</v>
      </c>
      <c r="Q4042" s="1" t="str">
        <f aca="false">TEXT(B4042,"mmm")</f>
        <v>Jan</v>
      </c>
      <c r="R4042" s="1" t="str">
        <f aca="false">"Q"&amp;ROUNDUP(MONTH(B4042)/3,0)</f>
        <v>Q1</v>
      </c>
    </row>
    <row r="4043" customFormat="false" ht="15" hidden="false" customHeight="true" outlineLevel="0" collapsed="false">
      <c r="A4043" s="1" t="n">
        <v>14042</v>
      </c>
      <c r="B4043" s="14" t="n">
        <v>48603</v>
      </c>
      <c r="C4043" s="1" t="n">
        <v>1627</v>
      </c>
      <c r="D4043" s="1" t="s">
        <v>27</v>
      </c>
      <c r="E4043" s="1" t="s">
        <v>36</v>
      </c>
      <c r="F4043" s="1" t="n">
        <v>6</v>
      </c>
      <c r="G4043" s="15" t="n">
        <v>535.42</v>
      </c>
      <c r="H4043" s="16" t="n">
        <v>0.24</v>
      </c>
      <c r="I4043" s="1" t="s">
        <v>33</v>
      </c>
      <c r="J4043" s="1" t="n">
        <v>1</v>
      </c>
      <c r="K4043" s="1" t="n">
        <v>1.9</v>
      </c>
      <c r="L4043" s="15" t="n">
        <v>2441.52</v>
      </c>
      <c r="M4043" s="15" t="n">
        <f aca="false">F4043*G4043</f>
        <v>3212.52</v>
      </c>
      <c r="N4043" s="15" t="n">
        <f aca="false">M4043-L4043</f>
        <v>771</v>
      </c>
      <c r="O4043" s="1" t="n">
        <f aca="false">YEAR(B4043)</f>
        <v>2033</v>
      </c>
      <c r="P4043" s="1" t="n">
        <f aca="false">MONTH(B4043)</f>
        <v>1</v>
      </c>
      <c r="Q4043" s="1" t="str">
        <f aca="false">TEXT(B4043,"mmm")</f>
        <v>Jan</v>
      </c>
      <c r="R4043" s="1" t="str">
        <f aca="false">"Q"&amp;ROUNDUP(MONTH(B4043)/3,0)</f>
        <v>Q1</v>
      </c>
    </row>
    <row r="4044" customFormat="false" ht="15" hidden="false" customHeight="true" outlineLevel="0" collapsed="false">
      <c r="A4044" s="1" t="n">
        <v>14043</v>
      </c>
      <c r="B4044" s="14" t="n">
        <v>48604</v>
      </c>
      <c r="C4044" s="1" t="n">
        <v>1603</v>
      </c>
      <c r="D4044" s="1" t="s">
        <v>37</v>
      </c>
      <c r="E4044" s="1" t="s">
        <v>28</v>
      </c>
      <c r="F4044" s="1" t="n">
        <v>4</v>
      </c>
      <c r="G4044" s="15" t="n">
        <v>548.33</v>
      </c>
      <c r="H4044" s="16" t="n">
        <v>0.34</v>
      </c>
      <c r="I4044" s="1" t="s">
        <v>31</v>
      </c>
      <c r="J4044" s="1" t="n">
        <v>7</v>
      </c>
      <c r="K4044" s="1" t="n">
        <v>2.5</v>
      </c>
      <c r="L4044" s="15" t="n">
        <v>1447.59</v>
      </c>
      <c r="M4044" s="15" t="n">
        <f aca="false">F4044*G4044</f>
        <v>2193.32</v>
      </c>
      <c r="N4044" s="15" t="n">
        <f aca="false">M4044-L4044</f>
        <v>745.73</v>
      </c>
      <c r="O4044" s="1" t="n">
        <f aca="false">YEAR(B4044)</f>
        <v>2033</v>
      </c>
      <c r="P4044" s="1" t="n">
        <f aca="false">MONTH(B4044)</f>
        <v>1</v>
      </c>
      <c r="Q4044" s="1" t="str">
        <f aca="false">TEXT(B4044,"mmm")</f>
        <v>Jan</v>
      </c>
      <c r="R4044" s="1" t="str">
        <f aca="false">"Q"&amp;ROUNDUP(MONTH(B4044)/3,0)</f>
        <v>Q1</v>
      </c>
    </row>
    <row r="4045" customFormat="false" ht="15" hidden="false" customHeight="true" outlineLevel="0" collapsed="false">
      <c r="A4045" s="1" t="n">
        <v>14044</v>
      </c>
      <c r="B4045" s="14" t="n">
        <v>48605</v>
      </c>
      <c r="C4045" s="1" t="n">
        <v>1781</v>
      </c>
      <c r="D4045" s="1" t="s">
        <v>34</v>
      </c>
      <c r="E4045" s="1" t="s">
        <v>28</v>
      </c>
      <c r="F4045" s="1" t="n">
        <v>3</v>
      </c>
      <c r="G4045" s="15" t="n">
        <v>370.61</v>
      </c>
      <c r="H4045" s="16" t="n">
        <v>0.03</v>
      </c>
      <c r="I4045" s="1" t="s">
        <v>29</v>
      </c>
      <c r="J4045" s="1" t="n">
        <v>11</v>
      </c>
      <c r="K4045" s="1" t="n">
        <v>2.7</v>
      </c>
      <c r="L4045" s="15" t="n">
        <v>1078.48</v>
      </c>
      <c r="M4045" s="15" t="n">
        <f aca="false">F4045*G4045</f>
        <v>1111.83</v>
      </c>
      <c r="N4045" s="15" t="n">
        <f aca="false">M4045-L4045</f>
        <v>33.3499999999999</v>
      </c>
      <c r="O4045" s="1" t="n">
        <f aca="false">YEAR(B4045)</f>
        <v>2033</v>
      </c>
      <c r="P4045" s="1" t="n">
        <f aca="false">MONTH(B4045)</f>
        <v>1</v>
      </c>
      <c r="Q4045" s="1" t="str">
        <f aca="false">TEXT(B4045,"mmm")</f>
        <v>Jan</v>
      </c>
      <c r="R4045" s="1" t="str">
        <f aca="false">"Q"&amp;ROUNDUP(MONTH(B4045)/3,0)</f>
        <v>Q1</v>
      </c>
    </row>
    <row r="4046" customFormat="false" ht="15" hidden="false" customHeight="true" outlineLevel="0" collapsed="false">
      <c r="A4046" s="1" t="n">
        <v>14045</v>
      </c>
      <c r="B4046" s="14" t="n">
        <v>48606</v>
      </c>
      <c r="C4046" s="1" t="n">
        <v>1922</v>
      </c>
      <c r="D4046" s="1" t="s">
        <v>34</v>
      </c>
      <c r="E4046" s="1" t="s">
        <v>35</v>
      </c>
      <c r="F4046" s="1" t="n">
        <v>6</v>
      </c>
      <c r="G4046" s="15" t="n">
        <v>463.21</v>
      </c>
      <c r="H4046" s="16" t="n">
        <v>0.15</v>
      </c>
      <c r="I4046" s="1" t="s">
        <v>33</v>
      </c>
      <c r="J4046" s="1" t="n">
        <v>8</v>
      </c>
      <c r="K4046" s="1" t="n">
        <v>2.4</v>
      </c>
      <c r="L4046" s="15" t="n">
        <v>2362.37</v>
      </c>
      <c r="M4046" s="15" t="n">
        <f aca="false">F4046*G4046</f>
        <v>2779.26</v>
      </c>
      <c r="N4046" s="15" t="n">
        <f aca="false">M4046-L4046</f>
        <v>416.89</v>
      </c>
      <c r="O4046" s="1" t="n">
        <f aca="false">YEAR(B4046)</f>
        <v>2033</v>
      </c>
      <c r="P4046" s="1" t="n">
        <f aca="false">MONTH(B4046)</f>
        <v>1</v>
      </c>
      <c r="Q4046" s="1" t="str">
        <f aca="false">TEXT(B4046,"mmm")</f>
        <v>Jan</v>
      </c>
      <c r="R4046" s="1" t="str">
        <f aca="false">"Q"&amp;ROUNDUP(MONTH(B4046)/3,0)</f>
        <v>Q1</v>
      </c>
    </row>
    <row r="4047" customFormat="false" ht="15" hidden="false" customHeight="true" outlineLevel="0" collapsed="false">
      <c r="A4047" s="1" t="n">
        <v>14046</v>
      </c>
      <c r="B4047" s="14" t="n">
        <v>48607</v>
      </c>
      <c r="C4047" s="1" t="n">
        <v>1380</v>
      </c>
      <c r="D4047" s="1" t="s">
        <v>34</v>
      </c>
      <c r="E4047" s="1" t="s">
        <v>28</v>
      </c>
      <c r="F4047" s="1" t="n">
        <v>1</v>
      </c>
      <c r="G4047" s="15" t="n">
        <v>447.86</v>
      </c>
      <c r="H4047" s="16" t="n">
        <v>0.08</v>
      </c>
      <c r="I4047" s="1" t="s">
        <v>31</v>
      </c>
      <c r="J4047" s="1" t="n">
        <v>9</v>
      </c>
      <c r="K4047" s="1" t="n">
        <v>2.6</v>
      </c>
      <c r="L4047" s="15" t="n">
        <v>412.03</v>
      </c>
      <c r="M4047" s="15" t="n">
        <f aca="false">F4047*G4047</f>
        <v>447.86</v>
      </c>
      <c r="N4047" s="15" t="n">
        <f aca="false">M4047-L4047</f>
        <v>35.83</v>
      </c>
      <c r="O4047" s="1" t="n">
        <f aca="false">YEAR(B4047)</f>
        <v>2033</v>
      </c>
      <c r="P4047" s="1" t="n">
        <f aca="false">MONTH(B4047)</f>
        <v>1</v>
      </c>
      <c r="Q4047" s="1" t="str">
        <f aca="false">TEXT(B4047,"mmm")</f>
        <v>Jan</v>
      </c>
      <c r="R4047" s="1" t="str">
        <f aca="false">"Q"&amp;ROUNDUP(MONTH(B4047)/3,0)</f>
        <v>Q1</v>
      </c>
    </row>
    <row r="4048" customFormat="false" ht="15" hidden="false" customHeight="true" outlineLevel="0" collapsed="false">
      <c r="A4048" s="1" t="n">
        <v>14047</v>
      </c>
      <c r="B4048" s="14" t="n">
        <v>48608</v>
      </c>
      <c r="C4048" s="1" t="n">
        <v>1679</v>
      </c>
      <c r="D4048" s="1" t="s">
        <v>37</v>
      </c>
      <c r="E4048" s="1" t="s">
        <v>35</v>
      </c>
      <c r="F4048" s="1" t="n">
        <v>5</v>
      </c>
      <c r="G4048" s="15" t="n">
        <v>402.17</v>
      </c>
      <c r="H4048" s="16" t="n">
        <v>0.22</v>
      </c>
      <c r="I4048" s="1" t="s">
        <v>31</v>
      </c>
      <c r="J4048" s="1" t="n">
        <v>8</v>
      </c>
      <c r="K4048" s="1" t="n">
        <v>4.2</v>
      </c>
      <c r="L4048" s="15" t="n">
        <v>1568.46</v>
      </c>
      <c r="M4048" s="15" t="n">
        <f aca="false">F4048*G4048</f>
        <v>2010.85</v>
      </c>
      <c r="N4048" s="15" t="n">
        <f aca="false">M4048-L4048</f>
        <v>442.39</v>
      </c>
      <c r="O4048" s="1" t="n">
        <f aca="false">YEAR(B4048)</f>
        <v>2033</v>
      </c>
      <c r="P4048" s="1" t="n">
        <f aca="false">MONTH(B4048)</f>
        <v>1</v>
      </c>
      <c r="Q4048" s="1" t="str">
        <f aca="false">TEXT(B4048,"mmm")</f>
        <v>Jan</v>
      </c>
      <c r="R4048" s="1" t="str">
        <f aca="false">"Q"&amp;ROUNDUP(MONTH(B4048)/3,0)</f>
        <v>Q1</v>
      </c>
    </row>
    <row r="4049" customFormat="false" ht="15" hidden="false" customHeight="true" outlineLevel="0" collapsed="false">
      <c r="A4049" s="1" t="n">
        <v>14048</v>
      </c>
      <c r="B4049" s="14" t="n">
        <v>48609</v>
      </c>
      <c r="C4049" s="1" t="n">
        <v>1057</v>
      </c>
      <c r="D4049" s="1" t="s">
        <v>34</v>
      </c>
      <c r="E4049" s="1" t="s">
        <v>28</v>
      </c>
      <c r="F4049" s="1" t="n">
        <v>7</v>
      </c>
      <c r="G4049" s="15" t="n">
        <v>498.96</v>
      </c>
      <c r="H4049" s="16" t="n">
        <v>0.28</v>
      </c>
      <c r="I4049" s="1" t="s">
        <v>31</v>
      </c>
      <c r="J4049" s="1" t="n">
        <v>3</v>
      </c>
      <c r="K4049" s="1" t="n">
        <v>1.9</v>
      </c>
      <c r="L4049" s="15" t="n">
        <v>2514.76</v>
      </c>
      <c r="M4049" s="15" t="n">
        <f aca="false">F4049*G4049</f>
        <v>3492.72</v>
      </c>
      <c r="N4049" s="15" t="n">
        <f aca="false">M4049-L4049</f>
        <v>977.96</v>
      </c>
      <c r="O4049" s="1" t="n">
        <f aca="false">YEAR(B4049)</f>
        <v>2033</v>
      </c>
      <c r="P4049" s="1" t="n">
        <f aca="false">MONTH(B4049)</f>
        <v>1</v>
      </c>
      <c r="Q4049" s="1" t="str">
        <f aca="false">TEXT(B4049,"mmm")</f>
        <v>Jan</v>
      </c>
      <c r="R4049" s="1" t="str">
        <f aca="false">"Q"&amp;ROUNDUP(MONTH(B4049)/3,0)</f>
        <v>Q1</v>
      </c>
    </row>
    <row r="4050" customFormat="false" ht="15" hidden="false" customHeight="true" outlineLevel="0" collapsed="false">
      <c r="A4050" s="1" t="n">
        <v>14049</v>
      </c>
      <c r="B4050" s="14" t="n">
        <v>48610</v>
      </c>
      <c r="C4050" s="1" t="n">
        <v>1795</v>
      </c>
      <c r="D4050" s="1" t="s">
        <v>30</v>
      </c>
      <c r="E4050" s="1" t="s">
        <v>36</v>
      </c>
      <c r="F4050" s="1" t="n">
        <v>7</v>
      </c>
      <c r="G4050" s="15" t="n">
        <v>415.96</v>
      </c>
      <c r="H4050" s="16" t="n">
        <v>0.34</v>
      </c>
      <c r="I4050" s="1" t="s">
        <v>31</v>
      </c>
      <c r="J4050" s="1" t="n">
        <v>8</v>
      </c>
      <c r="K4050" s="1" t="n">
        <v>2.9</v>
      </c>
      <c r="L4050" s="15" t="n">
        <v>1921.74</v>
      </c>
      <c r="M4050" s="15" t="n">
        <f aca="false">F4050*G4050</f>
        <v>2911.72</v>
      </c>
      <c r="N4050" s="15" t="n">
        <f aca="false">M4050-L4050</f>
        <v>989.98</v>
      </c>
      <c r="O4050" s="1" t="n">
        <f aca="false">YEAR(B4050)</f>
        <v>2033</v>
      </c>
      <c r="P4050" s="1" t="n">
        <f aca="false">MONTH(B4050)</f>
        <v>1</v>
      </c>
      <c r="Q4050" s="1" t="str">
        <f aca="false">TEXT(B4050,"mmm")</f>
        <v>Jan</v>
      </c>
      <c r="R4050" s="1" t="str">
        <f aca="false">"Q"&amp;ROUNDUP(MONTH(B4050)/3,0)</f>
        <v>Q1</v>
      </c>
    </row>
    <row r="4051" customFormat="false" ht="15" hidden="false" customHeight="true" outlineLevel="0" collapsed="false">
      <c r="A4051" s="1" t="n">
        <v>14050</v>
      </c>
      <c r="B4051" s="14" t="n">
        <v>48611</v>
      </c>
      <c r="C4051" s="1" t="n">
        <v>1025</v>
      </c>
      <c r="D4051" s="1" t="s">
        <v>30</v>
      </c>
      <c r="E4051" s="1" t="s">
        <v>28</v>
      </c>
      <c r="F4051" s="1" t="n">
        <v>2</v>
      </c>
      <c r="G4051" s="15" t="n">
        <v>327.39</v>
      </c>
      <c r="H4051" s="16" t="n">
        <v>0.16</v>
      </c>
      <c r="I4051" s="1" t="s">
        <v>29</v>
      </c>
      <c r="J4051" s="1" t="n">
        <v>3</v>
      </c>
      <c r="K4051" s="1" t="n">
        <v>1.1</v>
      </c>
      <c r="L4051" s="15" t="n">
        <v>550.02</v>
      </c>
      <c r="M4051" s="15" t="n">
        <f aca="false">F4051*G4051</f>
        <v>654.78</v>
      </c>
      <c r="N4051" s="15" t="n">
        <f aca="false">M4051-L4051</f>
        <v>104.76</v>
      </c>
      <c r="O4051" s="1" t="n">
        <f aca="false">YEAR(B4051)</f>
        <v>2033</v>
      </c>
      <c r="P4051" s="1" t="n">
        <f aca="false">MONTH(B4051)</f>
        <v>2</v>
      </c>
      <c r="Q4051" s="1" t="str">
        <f aca="false">TEXT(B4051,"mmm")</f>
        <v>Feb</v>
      </c>
      <c r="R4051" s="1" t="str">
        <f aca="false">"Q"&amp;ROUNDUP(MONTH(B4051)/3,0)</f>
        <v>Q1</v>
      </c>
    </row>
    <row r="4052" customFormat="false" ht="15" hidden="false" customHeight="true" outlineLevel="0" collapsed="false">
      <c r="A4052" s="1" t="n">
        <v>14051</v>
      </c>
      <c r="B4052" s="14" t="n">
        <v>48612</v>
      </c>
      <c r="C4052" s="1" t="n">
        <v>1880</v>
      </c>
      <c r="D4052" s="1" t="s">
        <v>37</v>
      </c>
      <c r="E4052" s="1" t="s">
        <v>36</v>
      </c>
      <c r="F4052" s="1" t="n">
        <v>2</v>
      </c>
      <c r="G4052" s="15" t="n">
        <v>153.62</v>
      </c>
      <c r="H4052" s="16" t="n">
        <v>0.28</v>
      </c>
      <c r="I4052" s="1" t="s">
        <v>29</v>
      </c>
      <c r="J4052" s="1" t="n">
        <v>6</v>
      </c>
      <c r="K4052" s="1" t="n">
        <v>3</v>
      </c>
      <c r="L4052" s="15" t="n">
        <v>221.21</v>
      </c>
      <c r="M4052" s="15" t="n">
        <f aca="false">F4052*G4052</f>
        <v>307.24</v>
      </c>
      <c r="N4052" s="15" t="n">
        <f aca="false">M4052-L4052</f>
        <v>86.03</v>
      </c>
      <c r="O4052" s="1" t="n">
        <f aca="false">YEAR(B4052)</f>
        <v>2033</v>
      </c>
      <c r="P4052" s="1" t="n">
        <f aca="false">MONTH(B4052)</f>
        <v>2</v>
      </c>
      <c r="Q4052" s="1" t="str">
        <f aca="false">TEXT(B4052,"mmm")</f>
        <v>Feb</v>
      </c>
      <c r="R4052" s="1" t="str">
        <f aca="false">"Q"&amp;ROUNDUP(MONTH(B4052)/3,0)</f>
        <v>Q1</v>
      </c>
    </row>
    <row r="4053" customFormat="false" ht="15" hidden="false" customHeight="true" outlineLevel="0" collapsed="false">
      <c r="A4053" s="1" t="n">
        <v>14052</v>
      </c>
      <c r="B4053" s="14" t="n">
        <v>48613</v>
      </c>
      <c r="C4053" s="1" t="n">
        <v>1446</v>
      </c>
      <c r="D4053" s="1" t="s">
        <v>34</v>
      </c>
      <c r="E4053" s="1" t="s">
        <v>32</v>
      </c>
      <c r="F4053" s="1" t="n">
        <v>1</v>
      </c>
      <c r="G4053" s="15" t="n">
        <v>450.17</v>
      </c>
      <c r="H4053" s="16" t="n">
        <v>0.32</v>
      </c>
      <c r="I4053" s="1" t="s">
        <v>31</v>
      </c>
      <c r="J4053" s="1" t="n">
        <v>4</v>
      </c>
      <c r="K4053" s="1" t="n">
        <v>1.4</v>
      </c>
      <c r="L4053" s="15" t="n">
        <v>306.12</v>
      </c>
      <c r="M4053" s="15" t="n">
        <f aca="false">F4053*G4053</f>
        <v>450.17</v>
      </c>
      <c r="N4053" s="15" t="n">
        <f aca="false">M4053-L4053</f>
        <v>144.05</v>
      </c>
      <c r="O4053" s="1" t="n">
        <f aca="false">YEAR(B4053)</f>
        <v>2033</v>
      </c>
      <c r="P4053" s="1" t="n">
        <f aca="false">MONTH(B4053)</f>
        <v>2</v>
      </c>
      <c r="Q4053" s="1" t="str">
        <f aca="false">TEXT(B4053,"mmm")</f>
        <v>Feb</v>
      </c>
      <c r="R4053" s="1" t="str">
        <f aca="false">"Q"&amp;ROUNDUP(MONTH(B4053)/3,0)</f>
        <v>Q1</v>
      </c>
    </row>
    <row r="4054" customFormat="false" ht="15" hidden="false" customHeight="true" outlineLevel="0" collapsed="false">
      <c r="A4054" s="1" t="n">
        <v>14053</v>
      </c>
      <c r="B4054" s="14" t="n">
        <v>48614</v>
      </c>
      <c r="C4054" s="1" t="n">
        <v>1065</v>
      </c>
      <c r="D4054" s="1" t="s">
        <v>30</v>
      </c>
      <c r="E4054" s="1" t="s">
        <v>28</v>
      </c>
      <c r="F4054" s="1" t="n">
        <v>4</v>
      </c>
      <c r="G4054" s="15" t="n">
        <v>291.96</v>
      </c>
      <c r="H4054" s="16" t="n">
        <v>0.24</v>
      </c>
      <c r="I4054" s="1" t="s">
        <v>31</v>
      </c>
      <c r="J4054" s="1" t="n">
        <v>7</v>
      </c>
      <c r="K4054" s="1" t="n">
        <v>2.1</v>
      </c>
      <c r="L4054" s="15" t="n">
        <v>887.56</v>
      </c>
      <c r="M4054" s="15" t="n">
        <f aca="false">F4054*G4054</f>
        <v>1167.84</v>
      </c>
      <c r="N4054" s="15" t="n">
        <f aca="false">M4054-L4054</f>
        <v>280.28</v>
      </c>
      <c r="O4054" s="1" t="n">
        <f aca="false">YEAR(B4054)</f>
        <v>2033</v>
      </c>
      <c r="P4054" s="1" t="n">
        <f aca="false">MONTH(B4054)</f>
        <v>2</v>
      </c>
      <c r="Q4054" s="1" t="str">
        <f aca="false">TEXT(B4054,"mmm")</f>
        <v>Feb</v>
      </c>
      <c r="R4054" s="1" t="str">
        <f aca="false">"Q"&amp;ROUNDUP(MONTH(B4054)/3,0)</f>
        <v>Q1</v>
      </c>
    </row>
    <row r="4055" customFormat="false" ht="15" hidden="false" customHeight="true" outlineLevel="0" collapsed="false">
      <c r="A4055" s="1" t="n">
        <v>14054</v>
      </c>
      <c r="B4055" s="14" t="n">
        <v>48615</v>
      </c>
      <c r="C4055" s="1" t="n">
        <v>1920</v>
      </c>
      <c r="D4055" s="1" t="s">
        <v>30</v>
      </c>
      <c r="E4055" s="1" t="s">
        <v>28</v>
      </c>
      <c r="F4055" s="1" t="n">
        <v>7</v>
      </c>
      <c r="G4055" s="15" t="n">
        <v>187.45</v>
      </c>
      <c r="H4055" s="16" t="n">
        <v>0.08</v>
      </c>
      <c r="I4055" s="1" t="s">
        <v>33</v>
      </c>
      <c r="J4055" s="1" t="n">
        <v>8</v>
      </c>
      <c r="K4055" s="1" t="n">
        <v>2.3</v>
      </c>
      <c r="L4055" s="15" t="n">
        <v>1207.18</v>
      </c>
      <c r="M4055" s="15" t="n">
        <f aca="false">F4055*G4055</f>
        <v>1312.15</v>
      </c>
      <c r="N4055" s="15" t="n">
        <f aca="false">M4055-L4055</f>
        <v>104.97</v>
      </c>
      <c r="O4055" s="1" t="n">
        <f aca="false">YEAR(B4055)</f>
        <v>2033</v>
      </c>
      <c r="P4055" s="1" t="n">
        <f aca="false">MONTH(B4055)</f>
        <v>2</v>
      </c>
      <c r="Q4055" s="1" t="str">
        <f aca="false">TEXT(B4055,"mmm")</f>
        <v>Feb</v>
      </c>
      <c r="R4055" s="1" t="str">
        <f aca="false">"Q"&amp;ROUNDUP(MONTH(B4055)/3,0)</f>
        <v>Q1</v>
      </c>
    </row>
    <row r="4056" customFormat="false" ht="15" hidden="false" customHeight="true" outlineLevel="0" collapsed="false">
      <c r="A4056" s="1" t="n">
        <v>14055</v>
      </c>
      <c r="B4056" s="14" t="n">
        <v>48616</v>
      </c>
      <c r="C4056" s="1" t="n">
        <v>1759</v>
      </c>
      <c r="D4056" s="1" t="s">
        <v>30</v>
      </c>
      <c r="E4056" s="1" t="s">
        <v>28</v>
      </c>
      <c r="F4056" s="1" t="n">
        <v>6</v>
      </c>
      <c r="G4056" s="15" t="n">
        <v>484.14</v>
      </c>
      <c r="H4056" s="16" t="n">
        <v>0.21</v>
      </c>
      <c r="I4056" s="1" t="s">
        <v>31</v>
      </c>
      <c r="J4056" s="1" t="n">
        <v>10</v>
      </c>
      <c r="K4056" s="1" t="n">
        <v>1.3</v>
      </c>
      <c r="L4056" s="15" t="n">
        <v>2294.82</v>
      </c>
      <c r="M4056" s="15" t="n">
        <f aca="false">F4056*G4056</f>
        <v>2904.84</v>
      </c>
      <c r="N4056" s="15" t="n">
        <f aca="false">M4056-L4056</f>
        <v>610.02</v>
      </c>
      <c r="O4056" s="1" t="n">
        <f aca="false">YEAR(B4056)</f>
        <v>2033</v>
      </c>
      <c r="P4056" s="1" t="n">
        <f aca="false">MONTH(B4056)</f>
        <v>2</v>
      </c>
      <c r="Q4056" s="1" t="str">
        <f aca="false">TEXT(B4056,"mmm")</f>
        <v>Feb</v>
      </c>
      <c r="R4056" s="1" t="str">
        <f aca="false">"Q"&amp;ROUNDUP(MONTH(B4056)/3,0)</f>
        <v>Q1</v>
      </c>
    </row>
    <row r="4057" customFormat="false" ht="15" hidden="false" customHeight="true" outlineLevel="0" collapsed="false">
      <c r="A4057" s="1" t="n">
        <v>14056</v>
      </c>
      <c r="B4057" s="14" t="n">
        <v>48617</v>
      </c>
      <c r="C4057" s="1" t="n">
        <v>1253</v>
      </c>
      <c r="D4057" s="1" t="s">
        <v>37</v>
      </c>
      <c r="E4057" s="1" t="s">
        <v>36</v>
      </c>
      <c r="F4057" s="1" t="n">
        <v>2</v>
      </c>
      <c r="G4057" s="15" t="n">
        <v>422.58</v>
      </c>
      <c r="H4057" s="16" t="n">
        <v>0.34</v>
      </c>
      <c r="I4057" s="1" t="s">
        <v>33</v>
      </c>
      <c r="J4057" s="1" t="n">
        <v>6</v>
      </c>
      <c r="K4057" s="1" t="n">
        <v>2.4</v>
      </c>
      <c r="L4057" s="15" t="n">
        <v>557.81</v>
      </c>
      <c r="M4057" s="15" t="n">
        <f aca="false">F4057*G4057</f>
        <v>845.16</v>
      </c>
      <c r="N4057" s="15" t="n">
        <f aca="false">M4057-L4057</f>
        <v>287.35</v>
      </c>
      <c r="O4057" s="1" t="n">
        <f aca="false">YEAR(B4057)</f>
        <v>2033</v>
      </c>
      <c r="P4057" s="1" t="n">
        <f aca="false">MONTH(B4057)</f>
        <v>2</v>
      </c>
      <c r="Q4057" s="1" t="str">
        <f aca="false">TEXT(B4057,"mmm")</f>
        <v>Feb</v>
      </c>
      <c r="R4057" s="1" t="str">
        <f aca="false">"Q"&amp;ROUNDUP(MONTH(B4057)/3,0)</f>
        <v>Q1</v>
      </c>
    </row>
    <row r="4058" customFormat="false" ht="15" hidden="false" customHeight="true" outlineLevel="0" collapsed="false">
      <c r="A4058" s="1" t="n">
        <v>14057</v>
      </c>
      <c r="B4058" s="14" t="n">
        <v>48618</v>
      </c>
      <c r="C4058" s="1" t="n">
        <v>1898</v>
      </c>
      <c r="D4058" s="1" t="s">
        <v>34</v>
      </c>
      <c r="E4058" s="1" t="s">
        <v>28</v>
      </c>
      <c r="F4058" s="1" t="n">
        <v>1</v>
      </c>
      <c r="G4058" s="15" t="n">
        <v>563.34</v>
      </c>
      <c r="H4058" s="16" t="n">
        <v>0.35</v>
      </c>
      <c r="I4058" s="1" t="s">
        <v>33</v>
      </c>
      <c r="J4058" s="1" t="n">
        <v>10</v>
      </c>
      <c r="K4058" s="1" t="n">
        <v>3</v>
      </c>
      <c r="L4058" s="15" t="n">
        <v>366.17</v>
      </c>
      <c r="M4058" s="15" t="n">
        <f aca="false">F4058*G4058</f>
        <v>563.34</v>
      </c>
      <c r="N4058" s="15" t="n">
        <f aca="false">M4058-L4058</f>
        <v>197.17</v>
      </c>
      <c r="O4058" s="1" t="n">
        <f aca="false">YEAR(B4058)</f>
        <v>2033</v>
      </c>
      <c r="P4058" s="1" t="n">
        <f aca="false">MONTH(B4058)</f>
        <v>2</v>
      </c>
      <c r="Q4058" s="1" t="str">
        <f aca="false">TEXT(B4058,"mmm")</f>
        <v>Feb</v>
      </c>
      <c r="R4058" s="1" t="str">
        <f aca="false">"Q"&amp;ROUNDUP(MONTH(B4058)/3,0)</f>
        <v>Q1</v>
      </c>
    </row>
    <row r="4059" customFormat="false" ht="15" hidden="false" customHeight="true" outlineLevel="0" collapsed="false">
      <c r="A4059" s="1" t="n">
        <v>14058</v>
      </c>
      <c r="B4059" s="14" t="n">
        <v>48619</v>
      </c>
      <c r="C4059" s="1" t="n">
        <v>1967</v>
      </c>
      <c r="D4059" s="1" t="s">
        <v>37</v>
      </c>
      <c r="E4059" s="1" t="s">
        <v>28</v>
      </c>
      <c r="F4059" s="1" t="n">
        <v>4</v>
      </c>
      <c r="G4059" s="15" t="n">
        <v>111.78</v>
      </c>
      <c r="H4059" s="16" t="n">
        <v>0.22</v>
      </c>
      <c r="I4059" s="1" t="s">
        <v>33</v>
      </c>
      <c r="J4059" s="1" t="n">
        <v>4</v>
      </c>
      <c r="K4059" s="1" t="n">
        <v>2.7</v>
      </c>
      <c r="L4059" s="15" t="n">
        <v>348.75</v>
      </c>
      <c r="M4059" s="15" t="n">
        <f aca="false">F4059*G4059</f>
        <v>447.12</v>
      </c>
      <c r="N4059" s="15" t="n">
        <f aca="false">M4059-L4059</f>
        <v>98.37</v>
      </c>
      <c r="O4059" s="1" t="n">
        <f aca="false">YEAR(B4059)</f>
        <v>2033</v>
      </c>
      <c r="P4059" s="1" t="n">
        <f aca="false">MONTH(B4059)</f>
        <v>2</v>
      </c>
      <c r="Q4059" s="1" t="str">
        <f aca="false">TEXT(B4059,"mmm")</f>
        <v>Feb</v>
      </c>
      <c r="R4059" s="1" t="str">
        <f aca="false">"Q"&amp;ROUNDUP(MONTH(B4059)/3,0)</f>
        <v>Q1</v>
      </c>
    </row>
    <row r="4060" customFormat="false" ht="15" hidden="false" customHeight="true" outlineLevel="0" collapsed="false">
      <c r="A4060" s="1" t="n">
        <v>14059</v>
      </c>
      <c r="B4060" s="14" t="n">
        <v>48620</v>
      </c>
      <c r="C4060" s="1" t="n">
        <v>1043</v>
      </c>
      <c r="D4060" s="1" t="s">
        <v>37</v>
      </c>
      <c r="E4060" s="1" t="s">
        <v>35</v>
      </c>
      <c r="F4060" s="1" t="n">
        <v>1</v>
      </c>
      <c r="G4060" s="15" t="n">
        <v>394.78</v>
      </c>
      <c r="H4060" s="16" t="n">
        <v>0.31</v>
      </c>
      <c r="I4060" s="1" t="s">
        <v>33</v>
      </c>
      <c r="J4060" s="1" t="n">
        <v>8</v>
      </c>
      <c r="K4060" s="1" t="n">
        <v>2.1</v>
      </c>
      <c r="L4060" s="15" t="n">
        <v>272.4</v>
      </c>
      <c r="M4060" s="15" t="n">
        <f aca="false">F4060*G4060</f>
        <v>394.78</v>
      </c>
      <c r="N4060" s="15" t="n">
        <f aca="false">M4060-L4060</f>
        <v>122.38</v>
      </c>
      <c r="O4060" s="1" t="n">
        <f aca="false">YEAR(B4060)</f>
        <v>2033</v>
      </c>
      <c r="P4060" s="1" t="n">
        <f aca="false">MONTH(B4060)</f>
        <v>2</v>
      </c>
      <c r="Q4060" s="1" t="str">
        <f aca="false">TEXT(B4060,"mmm")</f>
        <v>Feb</v>
      </c>
      <c r="R4060" s="1" t="str">
        <f aca="false">"Q"&amp;ROUNDUP(MONTH(B4060)/3,0)</f>
        <v>Q1</v>
      </c>
    </row>
    <row r="4061" customFormat="false" ht="15" hidden="false" customHeight="true" outlineLevel="0" collapsed="false">
      <c r="A4061" s="1" t="n">
        <v>14060</v>
      </c>
      <c r="B4061" s="14" t="n">
        <v>48621</v>
      </c>
      <c r="C4061" s="1" t="n">
        <v>1096</v>
      </c>
      <c r="D4061" s="1" t="s">
        <v>30</v>
      </c>
      <c r="E4061" s="1" t="s">
        <v>32</v>
      </c>
      <c r="F4061" s="1" t="n">
        <v>1</v>
      </c>
      <c r="G4061" s="15" t="n">
        <v>157.88</v>
      </c>
      <c r="H4061" s="16" t="n">
        <v>0.07</v>
      </c>
      <c r="I4061" s="1" t="s">
        <v>33</v>
      </c>
      <c r="J4061" s="1" t="n">
        <v>7</v>
      </c>
      <c r="K4061" s="1" t="n">
        <v>2.2</v>
      </c>
      <c r="L4061" s="15" t="n">
        <v>146.83</v>
      </c>
      <c r="M4061" s="15" t="n">
        <f aca="false">F4061*G4061</f>
        <v>157.88</v>
      </c>
      <c r="N4061" s="15" t="n">
        <f aca="false">M4061-L4061</f>
        <v>11.05</v>
      </c>
      <c r="O4061" s="1" t="n">
        <f aca="false">YEAR(B4061)</f>
        <v>2033</v>
      </c>
      <c r="P4061" s="1" t="n">
        <f aca="false">MONTH(B4061)</f>
        <v>2</v>
      </c>
      <c r="Q4061" s="1" t="str">
        <f aca="false">TEXT(B4061,"mmm")</f>
        <v>Feb</v>
      </c>
      <c r="R4061" s="1" t="str">
        <f aca="false">"Q"&amp;ROUNDUP(MONTH(B4061)/3,0)</f>
        <v>Q1</v>
      </c>
    </row>
    <row r="4062" customFormat="false" ht="15" hidden="false" customHeight="true" outlineLevel="0" collapsed="false">
      <c r="A4062" s="1" t="n">
        <v>14061</v>
      </c>
      <c r="B4062" s="14" t="n">
        <v>48622</v>
      </c>
      <c r="C4062" s="1" t="n">
        <v>1553</v>
      </c>
      <c r="D4062" s="1" t="s">
        <v>37</v>
      </c>
      <c r="E4062" s="1" t="s">
        <v>36</v>
      </c>
      <c r="F4062" s="1" t="n">
        <v>4</v>
      </c>
      <c r="G4062" s="15" t="n">
        <v>543.6</v>
      </c>
      <c r="H4062" s="16" t="n">
        <v>0.09</v>
      </c>
      <c r="I4062" s="1" t="s">
        <v>29</v>
      </c>
      <c r="J4062" s="1" t="n">
        <v>10</v>
      </c>
      <c r="K4062" s="1" t="n">
        <v>3.5</v>
      </c>
      <c r="L4062" s="15" t="n">
        <v>1978.7</v>
      </c>
      <c r="M4062" s="15" t="n">
        <f aca="false">F4062*G4062</f>
        <v>2174.4</v>
      </c>
      <c r="N4062" s="15" t="n">
        <f aca="false">M4062-L4062</f>
        <v>195.7</v>
      </c>
      <c r="O4062" s="1" t="n">
        <f aca="false">YEAR(B4062)</f>
        <v>2033</v>
      </c>
      <c r="P4062" s="1" t="n">
        <f aca="false">MONTH(B4062)</f>
        <v>2</v>
      </c>
      <c r="Q4062" s="1" t="str">
        <f aca="false">TEXT(B4062,"mmm")</f>
        <v>Feb</v>
      </c>
      <c r="R4062" s="1" t="str">
        <f aca="false">"Q"&amp;ROUNDUP(MONTH(B4062)/3,0)</f>
        <v>Q1</v>
      </c>
    </row>
    <row r="4063" customFormat="false" ht="15" hidden="false" customHeight="true" outlineLevel="0" collapsed="false">
      <c r="A4063" s="1" t="n">
        <v>14062</v>
      </c>
      <c r="B4063" s="14" t="n">
        <v>48623</v>
      </c>
      <c r="C4063" s="1" t="n">
        <v>1226</v>
      </c>
      <c r="D4063" s="1" t="s">
        <v>30</v>
      </c>
      <c r="E4063" s="1" t="s">
        <v>35</v>
      </c>
      <c r="F4063" s="1" t="n">
        <v>4</v>
      </c>
      <c r="G4063" s="15" t="n">
        <v>73.21</v>
      </c>
      <c r="H4063" s="16" t="n">
        <v>0.33</v>
      </c>
      <c r="I4063" s="1" t="s">
        <v>31</v>
      </c>
      <c r="J4063" s="1" t="n">
        <v>8</v>
      </c>
      <c r="K4063" s="1" t="n">
        <v>3.9</v>
      </c>
      <c r="L4063" s="15" t="n">
        <v>196.2</v>
      </c>
      <c r="M4063" s="15" t="n">
        <f aca="false">F4063*G4063</f>
        <v>292.84</v>
      </c>
      <c r="N4063" s="15" t="n">
        <f aca="false">M4063-L4063</f>
        <v>96.64</v>
      </c>
      <c r="O4063" s="1" t="n">
        <f aca="false">YEAR(B4063)</f>
        <v>2033</v>
      </c>
      <c r="P4063" s="1" t="n">
        <f aca="false">MONTH(B4063)</f>
        <v>2</v>
      </c>
      <c r="Q4063" s="1" t="str">
        <f aca="false">TEXT(B4063,"mmm")</f>
        <v>Feb</v>
      </c>
      <c r="R4063" s="1" t="str">
        <f aca="false">"Q"&amp;ROUNDUP(MONTH(B4063)/3,0)</f>
        <v>Q1</v>
      </c>
    </row>
    <row r="4064" customFormat="false" ht="15" hidden="false" customHeight="true" outlineLevel="0" collapsed="false">
      <c r="A4064" s="1" t="n">
        <v>14063</v>
      </c>
      <c r="B4064" s="14" t="n">
        <v>48624</v>
      </c>
      <c r="C4064" s="1" t="n">
        <v>1773</v>
      </c>
      <c r="D4064" s="1" t="s">
        <v>34</v>
      </c>
      <c r="E4064" s="1" t="s">
        <v>36</v>
      </c>
      <c r="F4064" s="1" t="n">
        <v>4</v>
      </c>
      <c r="G4064" s="15" t="n">
        <v>398.85</v>
      </c>
      <c r="H4064" s="16" t="n">
        <v>0.05</v>
      </c>
      <c r="I4064" s="1" t="s">
        <v>29</v>
      </c>
      <c r="J4064" s="1" t="n">
        <v>10</v>
      </c>
      <c r="K4064" s="1" t="n">
        <v>3.3</v>
      </c>
      <c r="L4064" s="15" t="n">
        <v>1515.63</v>
      </c>
      <c r="M4064" s="15" t="n">
        <f aca="false">F4064*G4064</f>
        <v>1595.4</v>
      </c>
      <c r="N4064" s="15" t="n">
        <f aca="false">M4064-L4064</f>
        <v>79.77</v>
      </c>
      <c r="O4064" s="1" t="n">
        <f aca="false">YEAR(B4064)</f>
        <v>2033</v>
      </c>
      <c r="P4064" s="1" t="n">
        <f aca="false">MONTH(B4064)</f>
        <v>2</v>
      </c>
      <c r="Q4064" s="1" t="str">
        <f aca="false">TEXT(B4064,"mmm")</f>
        <v>Feb</v>
      </c>
      <c r="R4064" s="1" t="str">
        <f aca="false">"Q"&amp;ROUNDUP(MONTH(B4064)/3,0)</f>
        <v>Q1</v>
      </c>
    </row>
    <row r="4065" customFormat="false" ht="15" hidden="false" customHeight="true" outlineLevel="0" collapsed="false">
      <c r="A4065" s="1" t="n">
        <v>14064</v>
      </c>
      <c r="B4065" s="14" t="n">
        <v>48625</v>
      </c>
      <c r="C4065" s="1" t="n">
        <v>1678</v>
      </c>
      <c r="D4065" s="1" t="s">
        <v>37</v>
      </c>
      <c r="E4065" s="1" t="s">
        <v>35</v>
      </c>
      <c r="F4065" s="1" t="n">
        <v>1</v>
      </c>
      <c r="G4065" s="15" t="n">
        <v>477.79</v>
      </c>
      <c r="H4065" s="16" t="n">
        <v>0.07</v>
      </c>
      <c r="I4065" s="1" t="s">
        <v>31</v>
      </c>
      <c r="J4065" s="1" t="n">
        <v>7</v>
      </c>
      <c r="K4065" s="1" t="n">
        <v>4.9</v>
      </c>
      <c r="L4065" s="15" t="n">
        <v>444.34</v>
      </c>
      <c r="M4065" s="15" t="n">
        <f aca="false">F4065*G4065</f>
        <v>477.79</v>
      </c>
      <c r="N4065" s="15" t="n">
        <f aca="false">M4065-L4065</f>
        <v>33.45</v>
      </c>
      <c r="O4065" s="1" t="n">
        <f aca="false">YEAR(B4065)</f>
        <v>2033</v>
      </c>
      <c r="P4065" s="1" t="n">
        <f aca="false">MONTH(B4065)</f>
        <v>2</v>
      </c>
      <c r="Q4065" s="1" t="str">
        <f aca="false">TEXT(B4065,"mmm")</f>
        <v>Feb</v>
      </c>
      <c r="R4065" s="1" t="str">
        <f aca="false">"Q"&amp;ROUNDUP(MONTH(B4065)/3,0)</f>
        <v>Q1</v>
      </c>
    </row>
    <row r="4066" customFormat="false" ht="15" hidden="false" customHeight="true" outlineLevel="0" collapsed="false">
      <c r="A4066" s="1" t="n">
        <v>14065</v>
      </c>
      <c r="B4066" s="14" t="n">
        <v>48626</v>
      </c>
      <c r="C4066" s="1" t="n">
        <v>1435</v>
      </c>
      <c r="D4066" s="1" t="s">
        <v>30</v>
      </c>
      <c r="E4066" s="1" t="s">
        <v>32</v>
      </c>
      <c r="F4066" s="1" t="n">
        <v>2</v>
      </c>
      <c r="G4066" s="15" t="n">
        <v>222.63</v>
      </c>
      <c r="H4066" s="16" t="n">
        <v>0.15</v>
      </c>
      <c r="I4066" s="1" t="s">
        <v>31</v>
      </c>
      <c r="J4066" s="1" t="n">
        <v>3</v>
      </c>
      <c r="K4066" s="1" t="n">
        <v>4.8</v>
      </c>
      <c r="L4066" s="15" t="n">
        <v>378.47</v>
      </c>
      <c r="M4066" s="15" t="n">
        <f aca="false">F4066*G4066</f>
        <v>445.26</v>
      </c>
      <c r="N4066" s="15" t="n">
        <f aca="false">M4066-L4066</f>
        <v>66.79</v>
      </c>
      <c r="O4066" s="1" t="n">
        <f aca="false">YEAR(B4066)</f>
        <v>2033</v>
      </c>
      <c r="P4066" s="1" t="n">
        <f aca="false">MONTH(B4066)</f>
        <v>2</v>
      </c>
      <c r="Q4066" s="1" t="str">
        <f aca="false">TEXT(B4066,"mmm")</f>
        <v>Feb</v>
      </c>
      <c r="R4066" s="1" t="str">
        <f aca="false">"Q"&amp;ROUNDUP(MONTH(B4066)/3,0)</f>
        <v>Q1</v>
      </c>
    </row>
    <row r="4067" customFormat="false" ht="15" hidden="false" customHeight="true" outlineLevel="0" collapsed="false">
      <c r="A4067" s="1" t="n">
        <v>14066</v>
      </c>
      <c r="B4067" s="14" t="n">
        <v>48627</v>
      </c>
      <c r="C4067" s="1" t="n">
        <v>1790</v>
      </c>
      <c r="D4067" s="1" t="s">
        <v>30</v>
      </c>
      <c r="E4067" s="1" t="s">
        <v>35</v>
      </c>
      <c r="F4067" s="1" t="n">
        <v>3</v>
      </c>
      <c r="G4067" s="15" t="n">
        <v>573.17</v>
      </c>
      <c r="H4067" s="16" t="n">
        <v>0.21</v>
      </c>
      <c r="I4067" s="1" t="s">
        <v>31</v>
      </c>
      <c r="J4067" s="1" t="n">
        <v>3</v>
      </c>
      <c r="K4067" s="1" t="n">
        <v>1.4</v>
      </c>
      <c r="L4067" s="15" t="n">
        <v>1358.41</v>
      </c>
      <c r="M4067" s="15" t="n">
        <f aca="false">F4067*G4067</f>
        <v>1719.51</v>
      </c>
      <c r="N4067" s="15" t="n">
        <f aca="false">M4067-L4067</f>
        <v>361.1</v>
      </c>
      <c r="O4067" s="1" t="n">
        <f aca="false">YEAR(B4067)</f>
        <v>2033</v>
      </c>
      <c r="P4067" s="1" t="n">
        <f aca="false">MONTH(B4067)</f>
        <v>2</v>
      </c>
      <c r="Q4067" s="1" t="str">
        <f aca="false">TEXT(B4067,"mmm")</f>
        <v>Feb</v>
      </c>
      <c r="R4067" s="1" t="str">
        <f aca="false">"Q"&amp;ROUNDUP(MONTH(B4067)/3,0)</f>
        <v>Q1</v>
      </c>
    </row>
    <row r="4068" customFormat="false" ht="15" hidden="false" customHeight="true" outlineLevel="0" collapsed="false">
      <c r="A4068" s="1" t="n">
        <v>14067</v>
      </c>
      <c r="B4068" s="14" t="n">
        <v>48628</v>
      </c>
      <c r="C4068" s="1" t="n">
        <v>1600</v>
      </c>
      <c r="D4068" s="1" t="s">
        <v>34</v>
      </c>
      <c r="E4068" s="1" t="s">
        <v>36</v>
      </c>
      <c r="F4068" s="1" t="n">
        <v>3</v>
      </c>
      <c r="G4068" s="15" t="n">
        <v>512.68</v>
      </c>
      <c r="H4068" s="16" t="n">
        <v>0.21</v>
      </c>
      <c r="I4068" s="1" t="s">
        <v>33</v>
      </c>
      <c r="J4068" s="1" t="n">
        <v>9</v>
      </c>
      <c r="K4068" s="1" t="n">
        <v>2</v>
      </c>
      <c r="L4068" s="15" t="n">
        <v>1215.05</v>
      </c>
      <c r="M4068" s="15" t="n">
        <f aca="false">F4068*G4068</f>
        <v>1538.04</v>
      </c>
      <c r="N4068" s="15" t="n">
        <f aca="false">M4068-L4068</f>
        <v>322.99</v>
      </c>
      <c r="O4068" s="1" t="n">
        <f aca="false">YEAR(B4068)</f>
        <v>2033</v>
      </c>
      <c r="P4068" s="1" t="n">
        <f aca="false">MONTH(B4068)</f>
        <v>2</v>
      </c>
      <c r="Q4068" s="1" t="str">
        <f aca="false">TEXT(B4068,"mmm")</f>
        <v>Feb</v>
      </c>
      <c r="R4068" s="1" t="str">
        <f aca="false">"Q"&amp;ROUNDUP(MONTH(B4068)/3,0)</f>
        <v>Q1</v>
      </c>
    </row>
    <row r="4069" customFormat="false" ht="15" hidden="false" customHeight="true" outlineLevel="0" collapsed="false">
      <c r="A4069" s="1" t="n">
        <v>14068</v>
      </c>
      <c r="B4069" s="14" t="n">
        <v>48629</v>
      </c>
      <c r="C4069" s="1" t="n">
        <v>1378</v>
      </c>
      <c r="D4069" s="1" t="s">
        <v>27</v>
      </c>
      <c r="E4069" s="1" t="s">
        <v>28</v>
      </c>
      <c r="F4069" s="1" t="n">
        <v>1</v>
      </c>
      <c r="G4069" s="15" t="n">
        <v>187.35</v>
      </c>
      <c r="H4069" s="16" t="n">
        <v>0.1</v>
      </c>
      <c r="I4069" s="1" t="s">
        <v>31</v>
      </c>
      <c r="J4069" s="1" t="n">
        <v>7</v>
      </c>
      <c r="K4069" s="1" t="n">
        <v>4.5</v>
      </c>
      <c r="L4069" s="15" t="n">
        <v>168.62</v>
      </c>
      <c r="M4069" s="15" t="n">
        <f aca="false">F4069*G4069</f>
        <v>187.35</v>
      </c>
      <c r="N4069" s="15" t="n">
        <f aca="false">M4069-L4069</f>
        <v>18.73</v>
      </c>
      <c r="O4069" s="1" t="n">
        <f aca="false">YEAR(B4069)</f>
        <v>2033</v>
      </c>
      <c r="P4069" s="1" t="n">
        <f aca="false">MONTH(B4069)</f>
        <v>2</v>
      </c>
      <c r="Q4069" s="1" t="str">
        <f aca="false">TEXT(B4069,"mmm")</f>
        <v>Feb</v>
      </c>
      <c r="R4069" s="1" t="str">
        <f aca="false">"Q"&amp;ROUNDUP(MONTH(B4069)/3,0)</f>
        <v>Q1</v>
      </c>
    </row>
    <row r="4070" customFormat="false" ht="15" hidden="false" customHeight="true" outlineLevel="0" collapsed="false">
      <c r="A4070" s="1" t="n">
        <v>14069</v>
      </c>
      <c r="B4070" s="14" t="n">
        <v>48630</v>
      </c>
      <c r="C4070" s="1" t="n">
        <v>1177</v>
      </c>
      <c r="D4070" s="1" t="s">
        <v>30</v>
      </c>
      <c r="E4070" s="1" t="s">
        <v>28</v>
      </c>
      <c r="F4070" s="1" t="n">
        <v>1</v>
      </c>
      <c r="G4070" s="15" t="n">
        <v>19.41</v>
      </c>
      <c r="H4070" s="16" t="n">
        <v>0.32</v>
      </c>
      <c r="I4070" s="1" t="s">
        <v>29</v>
      </c>
      <c r="J4070" s="1" t="n">
        <v>1</v>
      </c>
      <c r="K4070" s="1" t="n">
        <v>1.1</v>
      </c>
      <c r="L4070" s="15" t="n">
        <v>13.2</v>
      </c>
      <c r="M4070" s="15" t="n">
        <f aca="false">F4070*G4070</f>
        <v>19.41</v>
      </c>
      <c r="N4070" s="15" t="n">
        <f aca="false">M4070-L4070</f>
        <v>6.21</v>
      </c>
      <c r="O4070" s="1" t="n">
        <f aca="false">YEAR(B4070)</f>
        <v>2033</v>
      </c>
      <c r="P4070" s="1" t="n">
        <f aca="false">MONTH(B4070)</f>
        <v>2</v>
      </c>
      <c r="Q4070" s="1" t="str">
        <f aca="false">TEXT(B4070,"mmm")</f>
        <v>Feb</v>
      </c>
      <c r="R4070" s="1" t="str">
        <f aca="false">"Q"&amp;ROUNDUP(MONTH(B4070)/3,0)</f>
        <v>Q1</v>
      </c>
    </row>
    <row r="4071" customFormat="false" ht="15" hidden="false" customHeight="true" outlineLevel="0" collapsed="false">
      <c r="A4071" s="1" t="n">
        <v>14070</v>
      </c>
      <c r="B4071" s="14" t="n">
        <v>48631</v>
      </c>
      <c r="C4071" s="1" t="n">
        <v>1426</v>
      </c>
      <c r="D4071" s="1" t="s">
        <v>34</v>
      </c>
      <c r="E4071" s="1" t="s">
        <v>32</v>
      </c>
      <c r="F4071" s="1" t="n">
        <v>2</v>
      </c>
      <c r="G4071" s="15" t="n">
        <v>188.54</v>
      </c>
      <c r="H4071" s="16" t="n">
        <v>0.32</v>
      </c>
      <c r="I4071" s="1" t="s">
        <v>33</v>
      </c>
      <c r="J4071" s="1" t="n">
        <v>3</v>
      </c>
      <c r="K4071" s="1" t="n">
        <v>3.4</v>
      </c>
      <c r="L4071" s="15" t="n">
        <v>256.41</v>
      </c>
      <c r="M4071" s="15" t="n">
        <f aca="false">F4071*G4071</f>
        <v>377.08</v>
      </c>
      <c r="N4071" s="15" t="n">
        <f aca="false">M4071-L4071</f>
        <v>120.67</v>
      </c>
      <c r="O4071" s="1" t="n">
        <f aca="false">YEAR(B4071)</f>
        <v>2033</v>
      </c>
      <c r="P4071" s="1" t="n">
        <f aca="false">MONTH(B4071)</f>
        <v>2</v>
      </c>
      <c r="Q4071" s="1" t="str">
        <f aca="false">TEXT(B4071,"mmm")</f>
        <v>Feb</v>
      </c>
      <c r="R4071" s="1" t="str">
        <f aca="false">"Q"&amp;ROUNDUP(MONTH(B4071)/3,0)</f>
        <v>Q1</v>
      </c>
    </row>
    <row r="4072" customFormat="false" ht="15" hidden="false" customHeight="true" outlineLevel="0" collapsed="false">
      <c r="A4072" s="1" t="n">
        <v>14071</v>
      </c>
      <c r="B4072" s="14" t="n">
        <v>48632</v>
      </c>
      <c r="C4072" s="1" t="n">
        <v>1914</v>
      </c>
      <c r="D4072" s="1" t="s">
        <v>30</v>
      </c>
      <c r="E4072" s="1" t="s">
        <v>36</v>
      </c>
      <c r="F4072" s="1" t="n">
        <v>4</v>
      </c>
      <c r="G4072" s="15" t="n">
        <v>179.57</v>
      </c>
      <c r="H4072" s="16" t="n">
        <v>0.14</v>
      </c>
      <c r="I4072" s="1" t="s">
        <v>31</v>
      </c>
      <c r="J4072" s="1" t="n">
        <v>11</v>
      </c>
      <c r="K4072" s="1" t="n">
        <v>4.8</v>
      </c>
      <c r="L4072" s="15" t="n">
        <v>617.72</v>
      </c>
      <c r="M4072" s="15" t="n">
        <f aca="false">F4072*G4072</f>
        <v>718.28</v>
      </c>
      <c r="N4072" s="15" t="n">
        <f aca="false">M4072-L4072</f>
        <v>100.56</v>
      </c>
      <c r="O4072" s="1" t="n">
        <f aca="false">YEAR(B4072)</f>
        <v>2033</v>
      </c>
      <c r="P4072" s="1" t="n">
        <f aca="false">MONTH(B4072)</f>
        <v>2</v>
      </c>
      <c r="Q4072" s="1" t="str">
        <f aca="false">TEXT(B4072,"mmm")</f>
        <v>Feb</v>
      </c>
      <c r="R4072" s="1" t="str">
        <f aca="false">"Q"&amp;ROUNDUP(MONTH(B4072)/3,0)</f>
        <v>Q1</v>
      </c>
    </row>
    <row r="4073" customFormat="false" ht="15" hidden="false" customHeight="true" outlineLevel="0" collapsed="false">
      <c r="A4073" s="1" t="n">
        <v>14072</v>
      </c>
      <c r="B4073" s="14" t="n">
        <v>48633</v>
      </c>
      <c r="C4073" s="1" t="n">
        <v>1708</v>
      </c>
      <c r="D4073" s="1" t="s">
        <v>37</v>
      </c>
      <c r="E4073" s="1" t="s">
        <v>36</v>
      </c>
      <c r="F4073" s="1" t="n">
        <v>1</v>
      </c>
      <c r="G4073" s="15" t="n">
        <v>535.63</v>
      </c>
      <c r="H4073" s="16" t="n">
        <v>0.15</v>
      </c>
      <c r="I4073" s="1" t="s">
        <v>33</v>
      </c>
      <c r="J4073" s="1" t="n">
        <v>1</v>
      </c>
      <c r="K4073" s="1" t="n">
        <v>3.7</v>
      </c>
      <c r="L4073" s="15" t="n">
        <v>455.29</v>
      </c>
      <c r="M4073" s="15" t="n">
        <f aca="false">F4073*G4073</f>
        <v>535.63</v>
      </c>
      <c r="N4073" s="15" t="n">
        <f aca="false">M4073-L4073</f>
        <v>80.34</v>
      </c>
      <c r="O4073" s="1" t="n">
        <f aca="false">YEAR(B4073)</f>
        <v>2033</v>
      </c>
      <c r="P4073" s="1" t="n">
        <f aca="false">MONTH(B4073)</f>
        <v>2</v>
      </c>
      <c r="Q4073" s="1" t="str">
        <f aca="false">TEXT(B4073,"mmm")</f>
        <v>Feb</v>
      </c>
      <c r="R4073" s="1" t="str">
        <f aca="false">"Q"&amp;ROUNDUP(MONTH(B4073)/3,0)</f>
        <v>Q1</v>
      </c>
    </row>
    <row r="4074" customFormat="false" ht="15" hidden="false" customHeight="true" outlineLevel="0" collapsed="false">
      <c r="A4074" s="1" t="n">
        <v>14073</v>
      </c>
      <c r="B4074" s="14" t="n">
        <v>48634</v>
      </c>
      <c r="C4074" s="1" t="n">
        <v>1306</v>
      </c>
      <c r="D4074" s="1" t="s">
        <v>37</v>
      </c>
      <c r="E4074" s="1" t="s">
        <v>36</v>
      </c>
      <c r="F4074" s="1" t="n">
        <v>7</v>
      </c>
      <c r="G4074" s="15" t="n">
        <v>580.77</v>
      </c>
      <c r="H4074" s="16" t="n">
        <v>0.25</v>
      </c>
      <c r="I4074" s="1" t="s">
        <v>29</v>
      </c>
      <c r="J4074" s="1" t="n">
        <v>6</v>
      </c>
      <c r="K4074" s="1" t="n">
        <v>1.4</v>
      </c>
      <c r="L4074" s="15" t="n">
        <v>3049.04</v>
      </c>
      <c r="M4074" s="15" t="n">
        <f aca="false">F4074*G4074</f>
        <v>4065.39</v>
      </c>
      <c r="N4074" s="15" t="n">
        <f aca="false">M4074-L4074</f>
        <v>1016.35</v>
      </c>
      <c r="O4074" s="1" t="n">
        <f aca="false">YEAR(B4074)</f>
        <v>2033</v>
      </c>
      <c r="P4074" s="1" t="n">
        <f aca="false">MONTH(B4074)</f>
        <v>2</v>
      </c>
      <c r="Q4074" s="1" t="str">
        <f aca="false">TEXT(B4074,"mmm")</f>
        <v>Feb</v>
      </c>
      <c r="R4074" s="1" t="str">
        <f aca="false">"Q"&amp;ROUNDUP(MONTH(B4074)/3,0)</f>
        <v>Q1</v>
      </c>
    </row>
    <row r="4075" customFormat="false" ht="15" hidden="false" customHeight="true" outlineLevel="0" collapsed="false">
      <c r="A4075" s="1" t="n">
        <v>14074</v>
      </c>
      <c r="B4075" s="14" t="n">
        <v>48635</v>
      </c>
      <c r="C4075" s="1" t="n">
        <v>1778</v>
      </c>
      <c r="D4075" s="1" t="s">
        <v>30</v>
      </c>
      <c r="E4075" s="1" t="s">
        <v>32</v>
      </c>
      <c r="F4075" s="1" t="n">
        <v>5</v>
      </c>
      <c r="G4075" s="15" t="n">
        <v>56.21</v>
      </c>
      <c r="H4075" s="16" t="n">
        <v>0.23</v>
      </c>
      <c r="I4075" s="1" t="s">
        <v>33</v>
      </c>
      <c r="J4075" s="1" t="n">
        <v>2</v>
      </c>
      <c r="K4075" s="1" t="n">
        <v>4</v>
      </c>
      <c r="L4075" s="15" t="n">
        <v>216.41</v>
      </c>
      <c r="M4075" s="15" t="n">
        <f aca="false">F4075*G4075</f>
        <v>281.05</v>
      </c>
      <c r="N4075" s="15" t="n">
        <f aca="false">M4075-L4075</f>
        <v>64.64</v>
      </c>
      <c r="O4075" s="1" t="n">
        <f aca="false">YEAR(B4075)</f>
        <v>2033</v>
      </c>
      <c r="P4075" s="1" t="n">
        <f aca="false">MONTH(B4075)</f>
        <v>2</v>
      </c>
      <c r="Q4075" s="1" t="str">
        <f aca="false">TEXT(B4075,"mmm")</f>
        <v>Feb</v>
      </c>
      <c r="R4075" s="1" t="str">
        <f aca="false">"Q"&amp;ROUNDUP(MONTH(B4075)/3,0)</f>
        <v>Q1</v>
      </c>
    </row>
    <row r="4076" customFormat="false" ht="15" hidden="false" customHeight="true" outlineLevel="0" collapsed="false">
      <c r="A4076" s="1" t="n">
        <v>14075</v>
      </c>
      <c r="B4076" s="14" t="n">
        <v>48636</v>
      </c>
      <c r="C4076" s="1" t="n">
        <v>1503</v>
      </c>
      <c r="D4076" s="1" t="s">
        <v>27</v>
      </c>
      <c r="E4076" s="1" t="s">
        <v>28</v>
      </c>
      <c r="F4076" s="1" t="n">
        <v>4</v>
      </c>
      <c r="G4076" s="15" t="n">
        <v>290.71</v>
      </c>
      <c r="H4076" s="16" t="n">
        <v>0.13</v>
      </c>
      <c r="I4076" s="1" t="s">
        <v>31</v>
      </c>
      <c r="J4076" s="1" t="n">
        <v>7</v>
      </c>
      <c r="K4076" s="1" t="n">
        <v>2.5</v>
      </c>
      <c r="L4076" s="15" t="n">
        <v>1011.67</v>
      </c>
      <c r="M4076" s="15" t="n">
        <f aca="false">F4076*G4076</f>
        <v>1162.84</v>
      </c>
      <c r="N4076" s="15" t="n">
        <f aca="false">M4076-L4076</f>
        <v>151.17</v>
      </c>
      <c r="O4076" s="1" t="n">
        <f aca="false">YEAR(B4076)</f>
        <v>2033</v>
      </c>
      <c r="P4076" s="1" t="n">
        <f aca="false">MONTH(B4076)</f>
        <v>2</v>
      </c>
      <c r="Q4076" s="1" t="str">
        <f aca="false">TEXT(B4076,"mmm")</f>
        <v>Feb</v>
      </c>
      <c r="R4076" s="1" t="str">
        <f aca="false">"Q"&amp;ROUNDUP(MONTH(B4076)/3,0)</f>
        <v>Q1</v>
      </c>
    </row>
    <row r="4077" customFormat="false" ht="15" hidden="false" customHeight="true" outlineLevel="0" collapsed="false">
      <c r="A4077" s="1" t="n">
        <v>14076</v>
      </c>
      <c r="B4077" s="14" t="n">
        <v>48637</v>
      </c>
      <c r="C4077" s="1" t="n">
        <v>1267</v>
      </c>
      <c r="D4077" s="1" t="s">
        <v>34</v>
      </c>
      <c r="E4077" s="1" t="s">
        <v>35</v>
      </c>
      <c r="F4077" s="1" t="n">
        <v>7</v>
      </c>
      <c r="G4077" s="15" t="n">
        <v>335.77</v>
      </c>
      <c r="H4077" s="16" t="n">
        <v>0.14</v>
      </c>
      <c r="I4077" s="1" t="s">
        <v>29</v>
      </c>
      <c r="J4077" s="1" t="n">
        <v>8</v>
      </c>
      <c r="K4077" s="1" t="n">
        <v>4.7</v>
      </c>
      <c r="L4077" s="15" t="n">
        <v>2021.34</v>
      </c>
      <c r="M4077" s="15" t="n">
        <f aca="false">F4077*G4077</f>
        <v>2350.39</v>
      </c>
      <c r="N4077" s="15" t="n">
        <f aca="false">M4077-L4077</f>
        <v>329.05</v>
      </c>
      <c r="O4077" s="1" t="n">
        <f aca="false">YEAR(B4077)</f>
        <v>2033</v>
      </c>
      <c r="P4077" s="1" t="n">
        <f aca="false">MONTH(B4077)</f>
        <v>2</v>
      </c>
      <c r="Q4077" s="1" t="str">
        <f aca="false">TEXT(B4077,"mmm")</f>
        <v>Feb</v>
      </c>
      <c r="R4077" s="1" t="str">
        <f aca="false">"Q"&amp;ROUNDUP(MONTH(B4077)/3,0)</f>
        <v>Q1</v>
      </c>
    </row>
    <row r="4078" customFormat="false" ht="15" hidden="false" customHeight="true" outlineLevel="0" collapsed="false">
      <c r="A4078" s="1" t="n">
        <v>14077</v>
      </c>
      <c r="B4078" s="14" t="n">
        <v>48638</v>
      </c>
      <c r="C4078" s="1" t="n">
        <v>1585</v>
      </c>
      <c r="D4078" s="1" t="s">
        <v>30</v>
      </c>
      <c r="E4078" s="1" t="s">
        <v>32</v>
      </c>
      <c r="F4078" s="1" t="n">
        <v>1</v>
      </c>
      <c r="G4078" s="15" t="n">
        <v>69.35</v>
      </c>
      <c r="H4078" s="16" t="n">
        <v>0.12</v>
      </c>
      <c r="I4078" s="1" t="s">
        <v>33</v>
      </c>
      <c r="J4078" s="1" t="n">
        <v>6</v>
      </c>
      <c r="K4078" s="1" t="n">
        <v>2.1</v>
      </c>
      <c r="L4078" s="15" t="n">
        <v>61.03</v>
      </c>
      <c r="M4078" s="15" t="n">
        <f aca="false">F4078*G4078</f>
        <v>69.35</v>
      </c>
      <c r="N4078" s="15" t="n">
        <f aca="false">M4078-L4078</f>
        <v>8.31999999999999</v>
      </c>
      <c r="O4078" s="1" t="n">
        <f aca="false">YEAR(B4078)</f>
        <v>2033</v>
      </c>
      <c r="P4078" s="1" t="n">
        <f aca="false">MONTH(B4078)</f>
        <v>2</v>
      </c>
      <c r="Q4078" s="1" t="str">
        <f aca="false">TEXT(B4078,"mmm")</f>
        <v>Feb</v>
      </c>
      <c r="R4078" s="1" t="str">
        <f aca="false">"Q"&amp;ROUNDUP(MONTH(B4078)/3,0)</f>
        <v>Q1</v>
      </c>
    </row>
    <row r="4079" customFormat="false" ht="15" hidden="false" customHeight="true" outlineLevel="0" collapsed="false">
      <c r="A4079" s="1" t="n">
        <v>14078</v>
      </c>
      <c r="B4079" s="14" t="n">
        <v>48639</v>
      </c>
      <c r="C4079" s="1" t="n">
        <v>1007</v>
      </c>
      <c r="D4079" s="1" t="s">
        <v>27</v>
      </c>
      <c r="E4079" s="1" t="s">
        <v>35</v>
      </c>
      <c r="F4079" s="1" t="n">
        <v>5</v>
      </c>
      <c r="G4079" s="15" t="n">
        <v>235.84</v>
      </c>
      <c r="H4079" s="16" t="n">
        <v>0.08</v>
      </c>
      <c r="I4079" s="1" t="s">
        <v>31</v>
      </c>
      <c r="J4079" s="1" t="n">
        <v>5</v>
      </c>
      <c r="K4079" s="1" t="n">
        <v>2.9</v>
      </c>
      <c r="L4079" s="15" t="n">
        <v>1084.86</v>
      </c>
      <c r="M4079" s="15" t="n">
        <f aca="false">F4079*G4079</f>
        <v>1179.2</v>
      </c>
      <c r="N4079" s="15" t="n">
        <f aca="false">M4079-L4079</f>
        <v>94.3400000000002</v>
      </c>
      <c r="O4079" s="1" t="n">
        <f aca="false">YEAR(B4079)</f>
        <v>2033</v>
      </c>
      <c r="P4079" s="1" t="n">
        <f aca="false">MONTH(B4079)</f>
        <v>3</v>
      </c>
      <c r="Q4079" s="1" t="str">
        <f aca="false">TEXT(B4079,"mmm")</f>
        <v>Mar</v>
      </c>
      <c r="R4079" s="1" t="str">
        <f aca="false">"Q"&amp;ROUNDUP(MONTH(B4079)/3,0)</f>
        <v>Q1</v>
      </c>
    </row>
    <row r="4080" customFormat="false" ht="15" hidden="false" customHeight="true" outlineLevel="0" collapsed="false">
      <c r="A4080" s="1" t="n">
        <v>14079</v>
      </c>
      <c r="B4080" s="14" t="n">
        <v>48640</v>
      </c>
      <c r="C4080" s="1" t="n">
        <v>1919</v>
      </c>
      <c r="D4080" s="1" t="s">
        <v>27</v>
      </c>
      <c r="E4080" s="1" t="s">
        <v>28</v>
      </c>
      <c r="F4080" s="1" t="n">
        <v>7</v>
      </c>
      <c r="G4080" s="15" t="n">
        <v>200.49</v>
      </c>
      <c r="H4080" s="16" t="n">
        <v>0.16</v>
      </c>
      <c r="I4080" s="1" t="s">
        <v>31</v>
      </c>
      <c r="J4080" s="1" t="n">
        <v>10</v>
      </c>
      <c r="K4080" s="1" t="n">
        <v>4</v>
      </c>
      <c r="L4080" s="15" t="n">
        <v>1178.88</v>
      </c>
      <c r="M4080" s="15" t="n">
        <f aca="false">F4080*G4080</f>
        <v>1403.43</v>
      </c>
      <c r="N4080" s="15" t="n">
        <f aca="false">M4080-L4080</f>
        <v>224.55</v>
      </c>
      <c r="O4080" s="1" t="n">
        <f aca="false">YEAR(B4080)</f>
        <v>2033</v>
      </c>
      <c r="P4080" s="1" t="n">
        <f aca="false">MONTH(B4080)</f>
        <v>3</v>
      </c>
      <c r="Q4080" s="1" t="str">
        <f aca="false">TEXT(B4080,"mmm")</f>
        <v>Mar</v>
      </c>
      <c r="R4080" s="1" t="str">
        <f aca="false">"Q"&amp;ROUNDUP(MONTH(B4080)/3,0)</f>
        <v>Q1</v>
      </c>
    </row>
    <row r="4081" customFormat="false" ht="15" hidden="false" customHeight="true" outlineLevel="0" collapsed="false">
      <c r="A4081" s="1" t="n">
        <v>14080</v>
      </c>
      <c r="B4081" s="14" t="n">
        <v>48641</v>
      </c>
      <c r="C4081" s="1" t="n">
        <v>1507</v>
      </c>
      <c r="D4081" s="1" t="s">
        <v>37</v>
      </c>
      <c r="E4081" s="1" t="s">
        <v>32</v>
      </c>
      <c r="F4081" s="1" t="n">
        <v>6</v>
      </c>
      <c r="G4081" s="15" t="n">
        <v>328.59</v>
      </c>
      <c r="H4081" s="16" t="n">
        <v>0.24</v>
      </c>
      <c r="I4081" s="1" t="s">
        <v>33</v>
      </c>
      <c r="J4081" s="1" t="n">
        <v>4</v>
      </c>
      <c r="K4081" s="1" t="n">
        <v>2</v>
      </c>
      <c r="L4081" s="15" t="n">
        <v>1498.37</v>
      </c>
      <c r="M4081" s="15" t="n">
        <f aca="false">F4081*G4081</f>
        <v>1971.54</v>
      </c>
      <c r="N4081" s="15" t="n">
        <f aca="false">M4081-L4081</f>
        <v>473.17</v>
      </c>
      <c r="O4081" s="1" t="n">
        <f aca="false">YEAR(B4081)</f>
        <v>2033</v>
      </c>
      <c r="P4081" s="1" t="n">
        <f aca="false">MONTH(B4081)</f>
        <v>3</v>
      </c>
      <c r="Q4081" s="1" t="str">
        <f aca="false">TEXT(B4081,"mmm")</f>
        <v>Mar</v>
      </c>
      <c r="R4081" s="1" t="str">
        <f aca="false">"Q"&amp;ROUNDUP(MONTH(B4081)/3,0)</f>
        <v>Q1</v>
      </c>
    </row>
    <row r="4082" customFormat="false" ht="15" hidden="false" customHeight="true" outlineLevel="0" collapsed="false">
      <c r="A4082" s="1" t="n">
        <v>14081</v>
      </c>
      <c r="B4082" s="14" t="n">
        <v>48642</v>
      </c>
      <c r="C4082" s="1" t="n">
        <v>1475</v>
      </c>
      <c r="D4082" s="1" t="s">
        <v>27</v>
      </c>
      <c r="E4082" s="1" t="s">
        <v>28</v>
      </c>
      <c r="F4082" s="1" t="n">
        <v>2</v>
      </c>
      <c r="G4082" s="15" t="n">
        <v>401.8</v>
      </c>
      <c r="H4082" s="16" t="n">
        <v>0.26</v>
      </c>
      <c r="I4082" s="1" t="s">
        <v>29</v>
      </c>
      <c r="J4082" s="1" t="n">
        <v>9</v>
      </c>
      <c r="K4082" s="1" t="n">
        <v>1.7</v>
      </c>
      <c r="L4082" s="15" t="n">
        <v>594.66</v>
      </c>
      <c r="M4082" s="15" t="n">
        <f aca="false">F4082*G4082</f>
        <v>803.6</v>
      </c>
      <c r="N4082" s="15" t="n">
        <f aca="false">M4082-L4082</f>
        <v>208.94</v>
      </c>
      <c r="O4082" s="1" t="n">
        <f aca="false">YEAR(B4082)</f>
        <v>2033</v>
      </c>
      <c r="P4082" s="1" t="n">
        <f aca="false">MONTH(B4082)</f>
        <v>3</v>
      </c>
      <c r="Q4082" s="1" t="str">
        <f aca="false">TEXT(B4082,"mmm")</f>
        <v>Mar</v>
      </c>
      <c r="R4082" s="1" t="str">
        <f aca="false">"Q"&amp;ROUNDUP(MONTH(B4082)/3,0)</f>
        <v>Q1</v>
      </c>
    </row>
    <row r="4083" customFormat="false" ht="15" hidden="false" customHeight="true" outlineLevel="0" collapsed="false">
      <c r="A4083" s="1" t="n">
        <v>14082</v>
      </c>
      <c r="B4083" s="14" t="n">
        <v>48643</v>
      </c>
      <c r="C4083" s="1" t="n">
        <v>1296</v>
      </c>
      <c r="D4083" s="1" t="s">
        <v>34</v>
      </c>
      <c r="E4083" s="1" t="s">
        <v>35</v>
      </c>
      <c r="F4083" s="1" t="n">
        <v>5</v>
      </c>
      <c r="G4083" s="15" t="n">
        <v>426.54</v>
      </c>
      <c r="H4083" s="16" t="n">
        <v>0.27</v>
      </c>
      <c r="I4083" s="1" t="s">
        <v>31</v>
      </c>
      <c r="J4083" s="1" t="n">
        <v>8</v>
      </c>
      <c r="K4083" s="1" t="n">
        <v>1</v>
      </c>
      <c r="L4083" s="15" t="n">
        <v>1556.87</v>
      </c>
      <c r="M4083" s="15" t="n">
        <f aca="false">F4083*G4083</f>
        <v>2132.7</v>
      </c>
      <c r="N4083" s="15" t="n">
        <f aca="false">M4083-L4083</f>
        <v>575.83</v>
      </c>
      <c r="O4083" s="1" t="n">
        <f aca="false">YEAR(B4083)</f>
        <v>2033</v>
      </c>
      <c r="P4083" s="1" t="n">
        <f aca="false">MONTH(B4083)</f>
        <v>3</v>
      </c>
      <c r="Q4083" s="1" t="str">
        <f aca="false">TEXT(B4083,"mmm")</f>
        <v>Mar</v>
      </c>
      <c r="R4083" s="1" t="str">
        <f aca="false">"Q"&amp;ROUNDUP(MONTH(B4083)/3,0)</f>
        <v>Q1</v>
      </c>
    </row>
    <row r="4084" customFormat="false" ht="15" hidden="false" customHeight="true" outlineLevel="0" collapsed="false">
      <c r="A4084" s="1" t="n">
        <v>14083</v>
      </c>
      <c r="B4084" s="14" t="n">
        <v>48644</v>
      </c>
      <c r="C4084" s="1" t="n">
        <v>1163</v>
      </c>
      <c r="D4084" s="1" t="s">
        <v>27</v>
      </c>
      <c r="E4084" s="1" t="s">
        <v>36</v>
      </c>
      <c r="F4084" s="1" t="n">
        <v>1</v>
      </c>
      <c r="G4084" s="15" t="n">
        <v>95</v>
      </c>
      <c r="H4084" s="16" t="n">
        <v>0.13</v>
      </c>
      <c r="I4084" s="1" t="s">
        <v>31</v>
      </c>
      <c r="J4084" s="1" t="n">
        <v>5</v>
      </c>
      <c r="K4084" s="1" t="n">
        <v>3</v>
      </c>
      <c r="L4084" s="15" t="n">
        <v>82.65</v>
      </c>
      <c r="M4084" s="15" t="n">
        <f aca="false">F4084*G4084</f>
        <v>95</v>
      </c>
      <c r="N4084" s="15" t="n">
        <f aca="false">M4084-L4084</f>
        <v>12.35</v>
      </c>
      <c r="O4084" s="1" t="n">
        <f aca="false">YEAR(B4084)</f>
        <v>2033</v>
      </c>
      <c r="P4084" s="1" t="n">
        <f aca="false">MONTH(B4084)</f>
        <v>3</v>
      </c>
      <c r="Q4084" s="1" t="str">
        <f aca="false">TEXT(B4084,"mmm")</f>
        <v>Mar</v>
      </c>
      <c r="R4084" s="1" t="str">
        <f aca="false">"Q"&amp;ROUNDUP(MONTH(B4084)/3,0)</f>
        <v>Q1</v>
      </c>
    </row>
    <row r="4085" customFormat="false" ht="15" hidden="false" customHeight="true" outlineLevel="0" collapsed="false">
      <c r="A4085" s="1" t="n">
        <v>14084</v>
      </c>
      <c r="B4085" s="14" t="n">
        <v>48645</v>
      </c>
      <c r="C4085" s="1" t="n">
        <v>1484</v>
      </c>
      <c r="D4085" s="1" t="s">
        <v>34</v>
      </c>
      <c r="E4085" s="1" t="s">
        <v>36</v>
      </c>
      <c r="F4085" s="1" t="n">
        <v>3</v>
      </c>
      <c r="G4085" s="15" t="n">
        <v>490.57</v>
      </c>
      <c r="H4085" s="16" t="n">
        <v>0.27</v>
      </c>
      <c r="I4085" s="1" t="s">
        <v>29</v>
      </c>
      <c r="J4085" s="1" t="n">
        <v>1</v>
      </c>
      <c r="K4085" s="1" t="n">
        <v>4.7</v>
      </c>
      <c r="L4085" s="15" t="n">
        <v>1074.35</v>
      </c>
      <c r="M4085" s="15" t="n">
        <f aca="false">F4085*G4085</f>
        <v>1471.71</v>
      </c>
      <c r="N4085" s="15" t="n">
        <f aca="false">M4085-L4085</f>
        <v>397.36</v>
      </c>
      <c r="O4085" s="1" t="n">
        <f aca="false">YEAR(B4085)</f>
        <v>2033</v>
      </c>
      <c r="P4085" s="1" t="n">
        <f aca="false">MONTH(B4085)</f>
        <v>3</v>
      </c>
      <c r="Q4085" s="1" t="str">
        <f aca="false">TEXT(B4085,"mmm")</f>
        <v>Mar</v>
      </c>
      <c r="R4085" s="1" t="str">
        <f aca="false">"Q"&amp;ROUNDUP(MONTH(B4085)/3,0)</f>
        <v>Q1</v>
      </c>
    </row>
    <row r="4086" customFormat="false" ht="15" hidden="false" customHeight="true" outlineLevel="0" collapsed="false">
      <c r="A4086" s="1" t="n">
        <v>14085</v>
      </c>
      <c r="B4086" s="14" t="n">
        <v>48646</v>
      </c>
      <c r="C4086" s="1" t="n">
        <v>1596</v>
      </c>
      <c r="D4086" s="1" t="s">
        <v>34</v>
      </c>
      <c r="E4086" s="1" t="s">
        <v>35</v>
      </c>
      <c r="F4086" s="1" t="n">
        <v>7</v>
      </c>
      <c r="G4086" s="15" t="n">
        <v>411.95</v>
      </c>
      <c r="H4086" s="16" t="n">
        <v>0</v>
      </c>
      <c r="I4086" s="1" t="s">
        <v>31</v>
      </c>
      <c r="J4086" s="1" t="n">
        <v>8</v>
      </c>
      <c r="K4086" s="1" t="n">
        <v>2.1</v>
      </c>
      <c r="L4086" s="15" t="n">
        <v>2883.65</v>
      </c>
      <c r="M4086" s="15" t="n">
        <f aca="false">F4086*G4086</f>
        <v>2883.65</v>
      </c>
      <c r="N4086" s="15" t="n">
        <f aca="false">M4086-L4086</f>
        <v>0</v>
      </c>
      <c r="O4086" s="1" t="n">
        <f aca="false">YEAR(B4086)</f>
        <v>2033</v>
      </c>
      <c r="P4086" s="1" t="n">
        <f aca="false">MONTH(B4086)</f>
        <v>3</v>
      </c>
      <c r="Q4086" s="1" t="str">
        <f aca="false">TEXT(B4086,"mmm")</f>
        <v>Mar</v>
      </c>
      <c r="R4086" s="1" t="str">
        <f aca="false">"Q"&amp;ROUNDUP(MONTH(B4086)/3,0)</f>
        <v>Q1</v>
      </c>
    </row>
    <row r="4087" customFormat="false" ht="15" hidden="false" customHeight="true" outlineLevel="0" collapsed="false">
      <c r="A4087" s="1" t="n">
        <v>14086</v>
      </c>
      <c r="B4087" s="14" t="n">
        <v>48647</v>
      </c>
      <c r="C4087" s="1" t="n">
        <v>1071</v>
      </c>
      <c r="D4087" s="1" t="s">
        <v>34</v>
      </c>
      <c r="E4087" s="1" t="s">
        <v>36</v>
      </c>
      <c r="F4087" s="1" t="n">
        <v>1</v>
      </c>
      <c r="G4087" s="15" t="n">
        <v>535.11</v>
      </c>
      <c r="H4087" s="16" t="n">
        <v>0.17</v>
      </c>
      <c r="I4087" s="1" t="s">
        <v>29</v>
      </c>
      <c r="J4087" s="1" t="n">
        <v>8</v>
      </c>
      <c r="K4087" s="1" t="n">
        <v>1.2</v>
      </c>
      <c r="L4087" s="15" t="n">
        <v>444.14</v>
      </c>
      <c r="M4087" s="15" t="n">
        <f aca="false">F4087*G4087</f>
        <v>535.11</v>
      </c>
      <c r="N4087" s="15" t="n">
        <f aca="false">M4087-L4087</f>
        <v>90.97</v>
      </c>
      <c r="O4087" s="1" t="n">
        <f aca="false">YEAR(B4087)</f>
        <v>2033</v>
      </c>
      <c r="P4087" s="1" t="n">
        <f aca="false">MONTH(B4087)</f>
        <v>3</v>
      </c>
      <c r="Q4087" s="1" t="str">
        <f aca="false">TEXT(B4087,"mmm")</f>
        <v>Mar</v>
      </c>
      <c r="R4087" s="1" t="str">
        <f aca="false">"Q"&amp;ROUNDUP(MONTH(B4087)/3,0)</f>
        <v>Q1</v>
      </c>
    </row>
    <row r="4088" customFormat="false" ht="15" hidden="false" customHeight="true" outlineLevel="0" collapsed="false">
      <c r="A4088" s="1" t="n">
        <v>14087</v>
      </c>
      <c r="B4088" s="14" t="n">
        <v>48648</v>
      </c>
      <c r="C4088" s="1" t="n">
        <v>1566</v>
      </c>
      <c r="D4088" s="1" t="s">
        <v>30</v>
      </c>
      <c r="E4088" s="1" t="s">
        <v>35</v>
      </c>
      <c r="F4088" s="1" t="n">
        <v>3</v>
      </c>
      <c r="G4088" s="15" t="n">
        <v>277.86</v>
      </c>
      <c r="H4088" s="16" t="n">
        <v>0.28</v>
      </c>
      <c r="I4088" s="1" t="s">
        <v>31</v>
      </c>
      <c r="J4088" s="1" t="n">
        <v>7</v>
      </c>
      <c r="K4088" s="1" t="n">
        <v>3.5</v>
      </c>
      <c r="L4088" s="15" t="n">
        <v>600.18</v>
      </c>
      <c r="M4088" s="15" t="n">
        <f aca="false">F4088*G4088</f>
        <v>833.58</v>
      </c>
      <c r="N4088" s="15" t="n">
        <f aca="false">M4088-L4088</f>
        <v>233.4</v>
      </c>
      <c r="O4088" s="1" t="n">
        <f aca="false">YEAR(B4088)</f>
        <v>2033</v>
      </c>
      <c r="P4088" s="1" t="n">
        <f aca="false">MONTH(B4088)</f>
        <v>3</v>
      </c>
      <c r="Q4088" s="1" t="str">
        <f aca="false">TEXT(B4088,"mmm")</f>
        <v>Mar</v>
      </c>
      <c r="R4088" s="1" t="str">
        <f aca="false">"Q"&amp;ROUNDUP(MONTH(B4088)/3,0)</f>
        <v>Q1</v>
      </c>
    </row>
    <row r="4089" customFormat="false" ht="15" hidden="false" customHeight="true" outlineLevel="0" collapsed="false">
      <c r="A4089" s="1" t="n">
        <v>14088</v>
      </c>
      <c r="B4089" s="14" t="n">
        <v>48649</v>
      </c>
      <c r="C4089" s="1" t="n">
        <v>1904</v>
      </c>
      <c r="D4089" s="1" t="s">
        <v>34</v>
      </c>
      <c r="E4089" s="1" t="s">
        <v>32</v>
      </c>
      <c r="F4089" s="1" t="n">
        <v>2</v>
      </c>
      <c r="G4089" s="15" t="n">
        <v>537.93</v>
      </c>
      <c r="H4089" s="16" t="n">
        <v>0.22</v>
      </c>
      <c r="I4089" s="1" t="s">
        <v>33</v>
      </c>
      <c r="J4089" s="1" t="n">
        <v>7</v>
      </c>
      <c r="K4089" s="1" t="n">
        <v>1.2</v>
      </c>
      <c r="L4089" s="15" t="n">
        <v>839.17</v>
      </c>
      <c r="M4089" s="15" t="n">
        <f aca="false">F4089*G4089</f>
        <v>1075.86</v>
      </c>
      <c r="N4089" s="15" t="n">
        <f aca="false">M4089-L4089</f>
        <v>236.69</v>
      </c>
      <c r="O4089" s="1" t="n">
        <f aca="false">YEAR(B4089)</f>
        <v>2033</v>
      </c>
      <c r="P4089" s="1" t="n">
        <f aca="false">MONTH(B4089)</f>
        <v>3</v>
      </c>
      <c r="Q4089" s="1" t="str">
        <f aca="false">TEXT(B4089,"mmm")</f>
        <v>Mar</v>
      </c>
      <c r="R4089" s="1" t="str">
        <f aca="false">"Q"&amp;ROUNDUP(MONTH(B4089)/3,0)</f>
        <v>Q1</v>
      </c>
    </row>
    <row r="4090" customFormat="false" ht="15" hidden="false" customHeight="true" outlineLevel="0" collapsed="false">
      <c r="A4090" s="1" t="n">
        <v>14089</v>
      </c>
      <c r="B4090" s="14" t="n">
        <v>48650</v>
      </c>
      <c r="C4090" s="1" t="n">
        <v>1558</v>
      </c>
      <c r="D4090" s="1" t="s">
        <v>34</v>
      </c>
      <c r="E4090" s="1" t="s">
        <v>32</v>
      </c>
      <c r="F4090" s="1" t="n">
        <v>2</v>
      </c>
      <c r="G4090" s="15" t="n">
        <v>521.48</v>
      </c>
      <c r="H4090" s="16" t="n">
        <v>0.17</v>
      </c>
      <c r="I4090" s="1" t="s">
        <v>31</v>
      </c>
      <c r="J4090" s="1" t="n">
        <v>8</v>
      </c>
      <c r="K4090" s="1" t="n">
        <v>3</v>
      </c>
      <c r="L4090" s="15" t="n">
        <v>865.66</v>
      </c>
      <c r="M4090" s="15" t="n">
        <f aca="false">F4090*G4090</f>
        <v>1042.96</v>
      </c>
      <c r="N4090" s="15" t="n">
        <f aca="false">M4090-L4090</f>
        <v>177.3</v>
      </c>
      <c r="O4090" s="1" t="n">
        <f aca="false">YEAR(B4090)</f>
        <v>2033</v>
      </c>
      <c r="P4090" s="1" t="n">
        <f aca="false">MONTH(B4090)</f>
        <v>3</v>
      </c>
      <c r="Q4090" s="1" t="str">
        <f aca="false">TEXT(B4090,"mmm")</f>
        <v>Mar</v>
      </c>
      <c r="R4090" s="1" t="str">
        <f aca="false">"Q"&amp;ROUNDUP(MONTH(B4090)/3,0)</f>
        <v>Q1</v>
      </c>
    </row>
    <row r="4091" customFormat="false" ht="15" hidden="false" customHeight="true" outlineLevel="0" collapsed="false">
      <c r="A4091" s="1" t="n">
        <v>14090</v>
      </c>
      <c r="B4091" s="14" t="n">
        <v>48651</v>
      </c>
      <c r="C4091" s="1" t="n">
        <v>1910</v>
      </c>
      <c r="D4091" s="1" t="s">
        <v>34</v>
      </c>
      <c r="E4091" s="1" t="s">
        <v>32</v>
      </c>
      <c r="F4091" s="1" t="n">
        <v>4</v>
      </c>
      <c r="G4091" s="15" t="n">
        <v>271.47</v>
      </c>
      <c r="H4091" s="16" t="n">
        <v>0.23</v>
      </c>
      <c r="I4091" s="1" t="s">
        <v>29</v>
      </c>
      <c r="J4091" s="1" t="n">
        <v>1</v>
      </c>
      <c r="K4091" s="1" t="n">
        <v>2.5</v>
      </c>
      <c r="L4091" s="15" t="n">
        <v>836.13</v>
      </c>
      <c r="M4091" s="15" t="n">
        <f aca="false">F4091*G4091</f>
        <v>1085.88</v>
      </c>
      <c r="N4091" s="15" t="n">
        <f aca="false">M4091-L4091</f>
        <v>249.75</v>
      </c>
      <c r="O4091" s="1" t="n">
        <f aca="false">YEAR(B4091)</f>
        <v>2033</v>
      </c>
      <c r="P4091" s="1" t="n">
        <f aca="false">MONTH(B4091)</f>
        <v>3</v>
      </c>
      <c r="Q4091" s="1" t="str">
        <f aca="false">TEXT(B4091,"mmm")</f>
        <v>Mar</v>
      </c>
      <c r="R4091" s="1" t="str">
        <f aca="false">"Q"&amp;ROUNDUP(MONTH(B4091)/3,0)</f>
        <v>Q1</v>
      </c>
    </row>
    <row r="4092" customFormat="false" ht="15" hidden="false" customHeight="true" outlineLevel="0" collapsed="false">
      <c r="A4092" s="1" t="n">
        <v>14091</v>
      </c>
      <c r="B4092" s="14" t="n">
        <v>48652</v>
      </c>
      <c r="C4092" s="1" t="n">
        <v>1943</v>
      </c>
      <c r="D4092" s="1" t="s">
        <v>34</v>
      </c>
      <c r="E4092" s="1" t="s">
        <v>36</v>
      </c>
      <c r="F4092" s="1" t="n">
        <v>7</v>
      </c>
      <c r="G4092" s="15" t="n">
        <v>237.97</v>
      </c>
      <c r="H4092" s="16" t="n">
        <v>0.32</v>
      </c>
      <c r="I4092" s="1" t="s">
        <v>33</v>
      </c>
      <c r="J4092" s="1" t="n">
        <v>3</v>
      </c>
      <c r="K4092" s="1" t="n">
        <v>2.9</v>
      </c>
      <c r="L4092" s="15" t="n">
        <v>1132.74</v>
      </c>
      <c r="M4092" s="15" t="n">
        <f aca="false">F4092*G4092</f>
        <v>1665.79</v>
      </c>
      <c r="N4092" s="15" t="n">
        <f aca="false">M4092-L4092</f>
        <v>533.05</v>
      </c>
      <c r="O4092" s="1" t="n">
        <f aca="false">YEAR(B4092)</f>
        <v>2033</v>
      </c>
      <c r="P4092" s="1" t="n">
        <f aca="false">MONTH(B4092)</f>
        <v>3</v>
      </c>
      <c r="Q4092" s="1" t="str">
        <f aca="false">TEXT(B4092,"mmm")</f>
        <v>Mar</v>
      </c>
      <c r="R4092" s="1" t="str">
        <f aca="false">"Q"&amp;ROUNDUP(MONTH(B4092)/3,0)</f>
        <v>Q1</v>
      </c>
    </row>
    <row r="4093" customFormat="false" ht="15" hidden="false" customHeight="true" outlineLevel="0" collapsed="false">
      <c r="A4093" s="1" t="n">
        <v>14092</v>
      </c>
      <c r="B4093" s="14" t="n">
        <v>48653</v>
      </c>
      <c r="C4093" s="1" t="n">
        <v>1237</v>
      </c>
      <c r="D4093" s="1" t="s">
        <v>30</v>
      </c>
      <c r="E4093" s="1" t="s">
        <v>28</v>
      </c>
      <c r="F4093" s="1" t="n">
        <v>4</v>
      </c>
      <c r="G4093" s="15" t="n">
        <v>560.7</v>
      </c>
      <c r="H4093" s="16" t="n">
        <v>0.2</v>
      </c>
      <c r="I4093" s="1" t="s">
        <v>29</v>
      </c>
      <c r="J4093" s="1" t="n">
        <v>4</v>
      </c>
      <c r="K4093" s="1" t="n">
        <v>1.7</v>
      </c>
      <c r="L4093" s="15" t="n">
        <v>1794.24</v>
      </c>
      <c r="M4093" s="15" t="n">
        <f aca="false">F4093*G4093</f>
        <v>2242.8</v>
      </c>
      <c r="N4093" s="15" t="n">
        <f aca="false">M4093-L4093</f>
        <v>448.56</v>
      </c>
      <c r="O4093" s="1" t="n">
        <f aca="false">YEAR(B4093)</f>
        <v>2033</v>
      </c>
      <c r="P4093" s="1" t="n">
        <f aca="false">MONTH(B4093)</f>
        <v>3</v>
      </c>
      <c r="Q4093" s="1" t="str">
        <f aca="false">TEXT(B4093,"mmm")</f>
        <v>Mar</v>
      </c>
      <c r="R4093" s="1" t="str">
        <f aca="false">"Q"&amp;ROUNDUP(MONTH(B4093)/3,0)</f>
        <v>Q1</v>
      </c>
    </row>
    <row r="4094" customFormat="false" ht="15" hidden="false" customHeight="true" outlineLevel="0" collapsed="false">
      <c r="A4094" s="1" t="n">
        <v>14093</v>
      </c>
      <c r="B4094" s="14" t="n">
        <v>48654</v>
      </c>
      <c r="C4094" s="1" t="n">
        <v>1103</v>
      </c>
      <c r="D4094" s="1" t="s">
        <v>30</v>
      </c>
      <c r="E4094" s="1" t="s">
        <v>36</v>
      </c>
      <c r="F4094" s="1" t="n">
        <v>3</v>
      </c>
      <c r="G4094" s="15" t="n">
        <v>433.37</v>
      </c>
      <c r="H4094" s="16" t="n">
        <v>0.28</v>
      </c>
      <c r="I4094" s="1" t="s">
        <v>33</v>
      </c>
      <c r="J4094" s="1" t="n">
        <v>11</v>
      </c>
      <c r="K4094" s="1" t="n">
        <v>1.4</v>
      </c>
      <c r="L4094" s="15" t="n">
        <v>936.08</v>
      </c>
      <c r="M4094" s="15" t="n">
        <f aca="false">F4094*G4094</f>
        <v>1300.11</v>
      </c>
      <c r="N4094" s="15" t="n">
        <f aca="false">M4094-L4094</f>
        <v>364.03</v>
      </c>
      <c r="O4094" s="1" t="n">
        <f aca="false">YEAR(B4094)</f>
        <v>2033</v>
      </c>
      <c r="P4094" s="1" t="n">
        <f aca="false">MONTH(B4094)</f>
        <v>3</v>
      </c>
      <c r="Q4094" s="1" t="str">
        <f aca="false">TEXT(B4094,"mmm")</f>
        <v>Mar</v>
      </c>
      <c r="R4094" s="1" t="str">
        <f aca="false">"Q"&amp;ROUNDUP(MONTH(B4094)/3,0)</f>
        <v>Q1</v>
      </c>
    </row>
    <row r="4095" customFormat="false" ht="15" hidden="false" customHeight="true" outlineLevel="0" collapsed="false">
      <c r="A4095" s="1" t="n">
        <v>14094</v>
      </c>
      <c r="B4095" s="14" t="n">
        <v>48655</v>
      </c>
      <c r="C4095" s="1" t="n">
        <v>1209</v>
      </c>
      <c r="D4095" s="1" t="s">
        <v>34</v>
      </c>
      <c r="E4095" s="1" t="s">
        <v>36</v>
      </c>
      <c r="F4095" s="1" t="n">
        <v>3</v>
      </c>
      <c r="G4095" s="15" t="n">
        <v>558.02</v>
      </c>
      <c r="H4095" s="16" t="n">
        <v>0.34</v>
      </c>
      <c r="I4095" s="1" t="s">
        <v>31</v>
      </c>
      <c r="J4095" s="1" t="n">
        <v>6</v>
      </c>
      <c r="K4095" s="1" t="n">
        <v>4</v>
      </c>
      <c r="L4095" s="15" t="n">
        <v>1104.88</v>
      </c>
      <c r="M4095" s="15" t="n">
        <f aca="false">F4095*G4095</f>
        <v>1674.06</v>
      </c>
      <c r="N4095" s="15" t="n">
        <f aca="false">M4095-L4095</f>
        <v>569.18</v>
      </c>
      <c r="O4095" s="1" t="n">
        <f aca="false">YEAR(B4095)</f>
        <v>2033</v>
      </c>
      <c r="P4095" s="1" t="n">
        <f aca="false">MONTH(B4095)</f>
        <v>3</v>
      </c>
      <c r="Q4095" s="1" t="str">
        <f aca="false">TEXT(B4095,"mmm")</f>
        <v>Mar</v>
      </c>
      <c r="R4095" s="1" t="str">
        <f aca="false">"Q"&amp;ROUNDUP(MONTH(B4095)/3,0)</f>
        <v>Q1</v>
      </c>
    </row>
    <row r="4096" customFormat="false" ht="15" hidden="false" customHeight="true" outlineLevel="0" collapsed="false">
      <c r="A4096" s="1" t="n">
        <v>14095</v>
      </c>
      <c r="B4096" s="14" t="n">
        <v>48656</v>
      </c>
      <c r="C4096" s="1" t="n">
        <v>1553</v>
      </c>
      <c r="D4096" s="1" t="s">
        <v>37</v>
      </c>
      <c r="E4096" s="1" t="s">
        <v>28</v>
      </c>
      <c r="F4096" s="1" t="n">
        <v>2</v>
      </c>
      <c r="G4096" s="15" t="n">
        <v>481.23</v>
      </c>
      <c r="H4096" s="16" t="n">
        <v>0.25</v>
      </c>
      <c r="I4096" s="1" t="s">
        <v>31</v>
      </c>
      <c r="J4096" s="1" t="n">
        <v>10</v>
      </c>
      <c r="K4096" s="1" t="n">
        <v>2</v>
      </c>
      <c r="L4096" s="15" t="n">
        <v>721.84</v>
      </c>
      <c r="M4096" s="15" t="n">
        <f aca="false">F4096*G4096</f>
        <v>962.46</v>
      </c>
      <c r="N4096" s="15" t="n">
        <f aca="false">M4096-L4096</f>
        <v>240.62</v>
      </c>
      <c r="O4096" s="1" t="n">
        <f aca="false">YEAR(B4096)</f>
        <v>2033</v>
      </c>
      <c r="P4096" s="1" t="n">
        <f aca="false">MONTH(B4096)</f>
        <v>3</v>
      </c>
      <c r="Q4096" s="1" t="str">
        <f aca="false">TEXT(B4096,"mmm")</f>
        <v>Mar</v>
      </c>
      <c r="R4096" s="1" t="str">
        <f aca="false">"Q"&amp;ROUNDUP(MONTH(B4096)/3,0)</f>
        <v>Q1</v>
      </c>
    </row>
    <row r="4097" customFormat="false" ht="15" hidden="false" customHeight="true" outlineLevel="0" collapsed="false">
      <c r="A4097" s="1" t="n">
        <v>14096</v>
      </c>
      <c r="B4097" s="14" t="n">
        <v>48657</v>
      </c>
      <c r="C4097" s="1" t="n">
        <v>1827</v>
      </c>
      <c r="D4097" s="1" t="s">
        <v>27</v>
      </c>
      <c r="E4097" s="1" t="s">
        <v>28</v>
      </c>
      <c r="F4097" s="1" t="n">
        <v>5</v>
      </c>
      <c r="G4097" s="15" t="n">
        <v>371.44</v>
      </c>
      <c r="H4097" s="16" t="n">
        <v>0.2</v>
      </c>
      <c r="I4097" s="1" t="s">
        <v>33</v>
      </c>
      <c r="J4097" s="1" t="n">
        <v>10</v>
      </c>
      <c r="K4097" s="1" t="n">
        <v>4.2</v>
      </c>
      <c r="L4097" s="15" t="n">
        <v>1485.76</v>
      </c>
      <c r="M4097" s="15" t="n">
        <f aca="false">F4097*G4097</f>
        <v>1857.2</v>
      </c>
      <c r="N4097" s="15" t="n">
        <f aca="false">M4097-L4097</f>
        <v>371.44</v>
      </c>
      <c r="O4097" s="1" t="n">
        <f aca="false">YEAR(B4097)</f>
        <v>2033</v>
      </c>
      <c r="P4097" s="1" t="n">
        <f aca="false">MONTH(B4097)</f>
        <v>3</v>
      </c>
      <c r="Q4097" s="1" t="str">
        <f aca="false">TEXT(B4097,"mmm")</f>
        <v>Mar</v>
      </c>
      <c r="R4097" s="1" t="str">
        <f aca="false">"Q"&amp;ROUNDUP(MONTH(B4097)/3,0)</f>
        <v>Q1</v>
      </c>
    </row>
    <row r="4098" customFormat="false" ht="15" hidden="false" customHeight="true" outlineLevel="0" collapsed="false">
      <c r="A4098" s="1" t="n">
        <v>14097</v>
      </c>
      <c r="B4098" s="14" t="n">
        <v>48658</v>
      </c>
      <c r="C4098" s="1" t="n">
        <v>1467</v>
      </c>
      <c r="D4098" s="1" t="s">
        <v>37</v>
      </c>
      <c r="E4098" s="1" t="s">
        <v>28</v>
      </c>
      <c r="F4098" s="1" t="n">
        <v>3</v>
      </c>
      <c r="G4098" s="15" t="n">
        <v>82.77</v>
      </c>
      <c r="H4098" s="16" t="n">
        <v>0.01</v>
      </c>
      <c r="I4098" s="1" t="s">
        <v>33</v>
      </c>
      <c r="J4098" s="1" t="n">
        <v>9</v>
      </c>
      <c r="K4098" s="1" t="n">
        <v>4</v>
      </c>
      <c r="L4098" s="15" t="n">
        <v>245.83</v>
      </c>
      <c r="M4098" s="15" t="n">
        <f aca="false">F4098*G4098</f>
        <v>248.31</v>
      </c>
      <c r="N4098" s="15" t="n">
        <f aca="false">M4098-L4098</f>
        <v>2.47999999999999</v>
      </c>
      <c r="O4098" s="1" t="n">
        <f aca="false">YEAR(B4098)</f>
        <v>2033</v>
      </c>
      <c r="P4098" s="1" t="n">
        <f aca="false">MONTH(B4098)</f>
        <v>3</v>
      </c>
      <c r="Q4098" s="1" t="str">
        <f aca="false">TEXT(B4098,"mmm")</f>
        <v>Mar</v>
      </c>
      <c r="R4098" s="1" t="str">
        <f aca="false">"Q"&amp;ROUNDUP(MONTH(B4098)/3,0)</f>
        <v>Q1</v>
      </c>
    </row>
    <row r="4099" customFormat="false" ht="15" hidden="false" customHeight="true" outlineLevel="0" collapsed="false">
      <c r="A4099" s="1" t="n">
        <v>14098</v>
      </c>
      <c r="B4099" s="14" t="n">
        <v>48659</v>
      </c>
      <c r="C4099" s="1" t="n">
        <v>1453</v>
      </c>
      <c r="D4099" s="1" t="s">
        <v>34</v>
      </c>
      <c r="E4099" s="1" t="s">
        <v>28</v>
      </c>
      <c r="F4099" s="1" t="n">
        <v>3</v>
      </c>
      <c r="G4099" s="15" t="n">
        <v>185.52</v>
      </c>
      <c r="H4099" s="16" t="n">
        <v>0.13</v>
      </c>
      <c r="I4099" s="1" t="s">
        <v>29</v>
      </c>
      <c r="J4099" s="1" t="n">
        <v>4</v>
      </c>
      <c r="K4099" s="1" t="n">
        <v>1.8</v>
      </c>
      <c r="L4099" s="15" t="n">
        <v>484.21</v>
      </c>
      <c r="M4099" s="15" t="n">
        <f aca="false">F4099*G4099</f>
        <v>556.56</v>
      </c>
      <c r="N4099" s="15" t="n">
        <f aca="false">M4099-L4099</f>
        <v>72.3500000000001</v>
      </c>
      <c r="O4099" s="1" t="n">
        <f aca="false">YEAR(B4099)</f>
        <v>2033</v>
      </c>
      <c r="P4099" s="1" t="n">
        <f aca="false">MONTH(B4099)</f>
        <v>3</v>
      </c>
      <c r="Q4099" s="1" t="str">
        <f aca="false">TEXT(B4099,"mmm")</f>
        <v>Mar</v>
      </c>
      <c r="R4099" s="1" t="str">
        <f aca="false">"Q"&amp;ROUNDUP(MONTH(B4099)/3,0)</f>
        <v>Q1</v>
      </c>
    </row>
    <row r="4100" customFormat="false" ht="15" hidden="false" customHeight="true" outlineLevel="0" collapsed="false">
      <c r="A4100" s="1" t="n">
        <v>14099</v>
      </c>
      <c r="B4100" s="14" t="n">
        <v>48660</v>
      </c>
      <c r="C4100" s="1" t="n">
        <v>1267</v>
      </c>
      <c r="D4100" s="1" t="s">
        <v>37</v>
      </c>
      <c r="E4100" s="1" t="s">
        <v>36</v>
      </c>
      <c r="F4100" s="1" t="n">
        <v>7</v>
      </c>
      <c r="G4100" s="15" t="n">
        <v>581.77</v>
      </c>
      <c r="H4100" s="16" t="n">
        <v>0.2</v>
      </c>
      <c r="I4100" s="1" t="s">
        <v>31</v>
      </c>
      <c r="J4100" s="1" t="n">
        <v>6</v>
      </c>
      <c r="K4100" s="1" t="n">
        <v>4.6</v>
      </c>
      <c r="L4100" s="15" t="n">
        <v>3257.91</v>
      </c>
      <c r="M4100" s="15" t="n">
        <f aca="false">F4100*G4100</f>
        <v>4072.39</v>
      </c>
      <c r="N4100" s="15" t="n">
        <f aca="false">M4100-L4100</f>
        <v>814.48</v>
      </c>
      <c r="O4100" s="1" t="n">
        <f aca="false">YEAR(B4100)</f>
        <v>2033</v>
      </c>
      <c r="P4100" s="1" t="n">
        <f aca="false">MONTH(B4100)</f>
        <v>3</v>
      </c>
      <c r="Q4100" s="1" t="str">
        <f aca="false">TEXT(B4100,"mmm")</f>
        <v>Mar</v>
      </c>
      <c r="R4100" s="1" t="str">
        <f aca="false">"Q"&amp;ROUNDUP(MONTH(B4100)/3,0)</f>
        <v>Q1</v>
      </c>
    </row>
    <row r="4101" customFormat="false" ht="15" hidden="false" customHeight="true" outlineLevel="0" collapsed="false">
      <c r="A4101" s="1" t="n">
        <v>14100</v>
      </c>
      <c r="B4101" s="14" t="n">
        <v>48661</v>
      </c>
      <c r="C4101" s="1" t="n">
        <v>1385</v>
      </c>
      <c r="D4101" s="1" t="s">
        <v>34</v>
      </c>
      <c r="E4101" s="1" t="s">
        <v>35</v>
      </c>
      <c r="F4101" s="1" t="n">
        <v>5</v>
      </c>
      <c r="G4101" s="15" t="n">
        <v>201.86</v>
      </c>
      <c r="H4101" s="16" t="n">
        <v>0.28</v>
      </c>
      <c r="I4101" s="1" t="s">
        <v>33</v>
      </c>
      <c r="J4101" s="1" t="n">
        <v>9</v>
      </c>
      <c r="K4101" s="1" t="n">
        <v>1.6</v>
      </c>
      <c r="L4101" s="15" t="n">
        <v>726.7</v>
      </c>
      <c r="M4101" s="15" t="n">
        <f aca="false">F4101*G4101</f>
        <v>1009.3</v>
      </c>
      <c r="N4101" s="15" t="n">
        <f aca="false">M4101-L4101</f>
        <v>282.6</v>
      </c>
      <c r="O4101" s="1" t="n">
        <f aca="false">YEAR(B4101)</f>
        <v>2033</v>
      </c>
      <c r="P4101" s="1" t="n">
        <f aca="false">MONTH(B4101)</f>
        <v>3</v>
      </c>
      <c r="Q4101" s="1" t="str">
        <f aca="false">TEXT(B4101,"mmm")</f>
        <v>Mar</v>
      </c>
      <c r="R4101" s="1" t="str">
        <f aca="false">"Q"&amp;ROUNDUP(MONTH(B4101)/3,0)</f>
        <v>Q1</v>
      </c>
    </row>
    <row r="4102" customFormat="false" ht="15" hidden="false" customHeight="true" outlineLevel="0" collapsed="false">
      <c r="A4102" s="1" t="n">
        <v>14101</v>
      </c>
      <c r="B4102" s="14" t="n">
        <v>48662</v>
      </c>
      <c r="C4102" s="1" t="n">
        <v>1774</v>
      </c>
      <c r="D4102" s="1" t="s">
        <v>34</v>
      </c>
      <c r="E4102" s="1" t="s">
        <v>32</v>
      </c>
      <c r="F4102" s="1" t="n">
        <v>4</v>
      </c>
      <c r="G4102" s="15" t="n">
        <v>69.55</v>
      </c>
      <c r="H4102" s="16" t="n">
        <v>0.15</v>
      </c>
      <c r="I4102" s="1" t="s">
        <v>29</v>
      </c>
      <c r="J4102" s="1" t="n">
        <v>9</v>
      </c>
      <c r="K4102" s="1" t="n">
        <v>4.2</v>
      </c>
      <c r="L4102" s="15" t="n">
        <v>236.47</v>
      </c>
      <c r="M4102" s="15" t="n">
        <f aca="false">F4102*G4102</f>
        <v>278.2</v>
      </c>
      <c r="N4102" s="15" t="n">
        <f aca="false">M4102-L4102</f>
        <v>41.73</v>
      </c>
      <c r="O4102" s="1" t="n">
        <f aca="false">YEAR(B4102)</f>
        <v>2033</v>
      </c>
      <c r="P4102" s="1" t="n">
        <f aca="false">MONTH(B4102)</f>
        <v>3</v>
      </c>
      <c r="Q4102" s="1" t="str">
        <f aca="false">TEXT(B4102,"mmm")</f>
        <v>Mar</v>
      </c>
      <c r="R4102" s="1" t="str">
        <f aca="false">"Q"&amp;ROUNDUP(MONTH(B4102)/3,0)</f>
        <v>Q1</v>
      </c>
    </row>
    <row r="4103" customFormat="false" ht="15" hidden="false" customHeight="true" outlineLevel="0" collapsed="false">
      <c r="A4103" s="1" t="n">
        <v>14102</v>
      </c>
      <c r="B4103" s="14" t="n">
        <v>48663</v>
      </c>
      <c r="C4103" s="1" t="n">
        <v>1847</v>
      </c>
      <c r="D4103" s="1" t="s">
        <v>34</v>
      </c>
      <c r="E4103" s="1" t="s">
        <v>35</v>
      </c>
      <c r="F4103" s="1" t="n">
        <v>4</v>
      </c>
      <c r="G4103" s="15" t="n">
        <v>428.92</v>
      </c>
      <c r="H4103" s="16" t="n">
        <v>0.34</v>
      </c>
      <c r="I4103" s="1" t="s">
        <v>31</v>
      </c>
      <c r="J4103" s="1" t="n">
        <v>6</v>
      </c>
      <c r="K4103" s="1" t="n">
        <v>2.7</v>
      </c>
      <c r="L4103" s="15" t="n">
        <v>1132.35</v>
      </c>
      <c r="M4103" s="15" t="n">
        <f aca="false">F4103*G4103</f>
        <v>1715.68</v>
      </c>
      <c r="N4103" s="15" t="n">
        <f aca="false">M4103-L4103</f>
        <v>583.33</v>
      </c>
      <c r="O4103" s="1" t="n">
        <f aca="false">YEAR(B4103)</f>
        <v>2033</v>
      </c>
      <c r="P4103" s="1" t="n">
        <f aca="false">MONTH(B4103)</f>
        <v>3</v>
      </c>
      <c r="Q4103" s="1" t="str">
        <f aca="false">TEXT(B4103,"mmm")</f>
        <v>Mar</v>
      </c>
      <c r="R4103" s="1" t="str">
        <f aca="false">"Q"&amp;ROUNDUP(MONTH(B4103)/3,0)</f>
        <v>Q1</v>
      </c>
    </row>
    <row r="4104" customFormat="false" ht="15" hidden="false" customHeight="true" outlineLevel="0" collapsed="false">
      <c r="A4104" s="1" t="n">
        <v>14103</v>
      </c>
      <c r="B4104" s="14" t="n">
        <v>48664</v>
      </c>
      <c r="C4104" s="1" t="n">
        <v>1386</v>
      </c>
      <c r="D4104" s="1" t="s">
        <v>37</v>
      </c>
      <c r="E4104" s="1" t="s">
        <v>36</v>
      </c>
      <c r="F4104" s="1" t="n">
        <v>3</v>
      </c>
      <c r="G4104" s="15" t="n">
        <v>444.39</v>
      </c>
      <c r="H4104" s="16" t="n">
        <v>0.1</v>
      </c>
      <c r="I4104" s="1" t="s">
        <v>29</v>
      </c>
      <c r="J4104" s="1" t="n">
        <v>5</v>
      </c>
      <c r="K4104" s="1" t="n">
        <v>1.7</v>
      </c>
      <c r="L4104" s="15" t="n">
        <v>1199.85</v>
      </c>
      <c r="M4104" s="15" t="n">
        <f aca="false">F4104*G4104</f>
        <v>1333.17</v>
      </c>
      <c r="N4104" s="15" t="n">
        <f aca="false">M4104-L4104</f>
        <v>133.32</v>
      </c>
      <c r="O4104" s="1" t="n">
        <f aca="false">YEAR(B4104)</f>
        <v>2033</v>
      </c>
      <c r="P4104" s="1" t="n">
        <f aca="false">MONTH(B4104)</f>
        <v>3</v>
      </c>
      <c r="Q4104" s="1" t="str">
        <f aca="false">TEXT(B4104,"mmm")</f>
        <v>Mar</v>
      </c>
      <c r="R4104" s="1" t="str">
        <f aca="false">"Q"&amp;ROUNDUP(MONTH(B4104)/3,0)</f>
        <v>Q1</v>
      </c>
    </row>
    <row r="4105" customFormat="false" ht="15" hidden="false" customHeight="true" outlineLevel="0" collapsed="false">
      <c r="A4105" s="1" t="n">
        <v>14104</v>
      </c>
      <c r="B4105" s="14" t="n">
        <v>48665</v>
      </c>
      <c r="C4105" s="1" t="n">
        <v>1876</v>
      </c>
      <c r="D4105" s="1" t="s">
        <v>34</v>
      </c>
      <c r="E4105" s="1" t="s">
        <v>28</v>
      </c>
      <c r="F4105" s="1" t="n">
        <v>7</v>
      </c>
      <c r="G4105" s="15" t="n">
        <v>181.99</v>
      </c>
      <c r="H4105" s="16" t="n">
        <v>0.26</v>
      </c>
      <c r="I4105" s="1" t="s">
        <v>31</v>
      </c>
      <c r="J4105" s="1" t="n">
        <v>3</v>
      </c>
      <c r="K4105" s="1" t="n">
        <v>4.8</v>
      </c>
      <c r="L4105" s="15" t="n">
        <v>942.71</v>
      </c>
      <c r="M4105" s="15" t="n">
        <f aca="false">F4105*G4105</f>
        <v>1273.93</v>
      </c>
      <c r="N4105" s="15" t="n">
        <f aca="false">M4105-L4105</f>
        <v>331.22</v>
      </c>
      <c r="O4105" s="1" t="n">
        <f aca="false">YEAR(B4105)</f>
        <v>2033</v>
      </c>
      <c r="P4105" s="1" t="n">
        <f aca="false">MONTH(B4105)</f>
        <v>3</v>
      </c>
      <c r="Q4105" s="1" t="str">
        <f aca="false">TEXT(B4105,"mmm")</f>
        <v>Mar</v>
      </c>
      <c r="R4105" s="1" t="str">
        <f aca="false">"Q"&amp;ROUNDUP(MONTH(B4105)/3,0)</f>
        <v>Q1</v>
      </c>
    </row>
    <row r="4106" customFormat="false" ht="15" hidden="false" customHeight="true" outlineLevel="0" collapsed="false">
      <c r="A4106" s="1" t="n">
        <v>14105</v>
      </c>
      <c r="B4106" s="14" t="n">
        <v>48666</v>
      </c>
      <c r="C4106" s="1" t="n">
        <v>1258</v>
      </c>
      <c r="D4106" s="1" t="s">
        <v>34</v>
      </c>
      <c r="E4106" s="1" t="s">
        <v>32</v>
      </c>
      <c r="F4106" s="1" t="n">
        <v>4</v>
      </c>
      <c r="G4106" s="15" t="n">
        <v>189.14</v>
      </c>
      <c r="H4106" s="16" t="n">
        <v>0.15</v>
      </c>
      <c r="I4106" s="1" t="s">
        <v>33</v>
      </c>
      <c r="J4106" s="1" t="n">
        <v>5</v>
      </c>
      <c r="K4106" s="1" t="n">
        <v>4.9</v>
      </c>
      <c r="L4106" s="15" t="n">
        <v>643.08</v>
      </c>
      <c r="M4106" s="15" t="n">
        <f aca="false">F4106*G4106</f>
        <v>756.56</v>
      </c>
      <c r="N4106" s="15" t="n">
        <f aca="false">M4106-L4106</f>
        <v>113.48</v>
      </c>
      <c r="O4106" s="1" t="n">
        <f aca="false">YEAR(B4106)</f>
        <v>2033</v>
      </c>
      <c r="P4106" s="1" t="n">
        <f aca="false">MONTH(B4106)</f>
        <v>3</v>
      </c>
      <c r="Q4106" s="1" t="str">
        <f aca="false">TEXT(B4106,"mmm")</f>
        <v>Mar</v>
      </c>
      <c r="R4106" s="1" t="str">
        <f aca="false">"Q"&amp;ROUNDUP(MONTH(B4106)/3,0)</f>
        <v>Q1</v>
      </c>
    </row>
    <row r="4107" customFormat="false" ht="15" hidden="false" customHeight="true" outlineLevel="0" collapsed="false">
      <c r="A4107" s="1" t="n">
        <v>14106</v>
      </c>
      <c r="B4107" s="14" t="n">
        <v>48667</v>
      </c>
      <c r="C4107" s="1" t="n">
        <v>1282</v>
      </c>
      <c r="D4107" s="1" t="s">
        <v>34</v>
      </c>
      <c r="E4107" s="1" t="s">
        <v>32</v>
      </c>
      <c r="F4107" s="1" t="n">
        <v>4</v>
      </c>
      <c r="G4107" s="15" t="n">
        <v>289.3</v>
      </c>
      <c r="H4107" s="16" t="n">
        <v>0.17</v>
      </c>
      <c r="I4107" s="1" t="s">
        <v>31</v>
      </c>
      <c r="J4107" s="1" t="n">
        <v>3</v>
      </c>
      <c r="K4107" s="1" t="n">
        <v>3</v>
      </c>
      <c r="L4107" s="15" t="n">
        <v>960.48</v>
      </c>
      <c r="M4107" s="15" t="n">
        <f aca="false">F4107*G4107</f>
        <v>1157.2</v>
      </c>
      <c r="N4107" s="15" t="n">
        <f aca="false">M4107-L4107</f>
        <v>196.72</v>
      </c>
      <c r="O4107" s="1" t="n">
        <f aca="false">YEAR(B4107)</f>
        <v>2033</v>
      </c>
      <c r="P4107" s="1" t="n">
        <f aca="false">MONTH(B4107)</f>
        <v>3</v>
      </c>
      <c r="Q4107" s="1" t="str">
        <f aca="false">TEXT(B4107,"mmm")</f>
        <v>Mar</v>
      </c>
      <c r="R4107" s="1" t="str">
        <f aca="false">"Q"&amp;ROUNDUP(MONTH(B4107)/3,0)</f>
        <v>Q1</v>
      </c>
    </row>
    <row r="4108" customFormat="false" ht="15" hidden="false" customHeight="true" outlineLevel="0" collapsed="false">
      <c r="A4108" s="1" t="n">
        <v>14107</v>
      </c>
      <c r="B4108" s="14" t="n">
        <v>48668</v>
      </c>
      <c r="C4108" s="1" t="n">
        <v>1625</v>
      </c>
      <c r="D4108" s="1" t="s">
        <v>27</v>
      </c>
      <c r="E4108" s="1" t="s">
        <v>35</v>
      </c>
      <c r="F4108" s="1" t="n">
        <v>6</v>
      </c>
      <c r="G4108" s="15" t="n">
        <v>27.75</v>
      </c>
      <c r="H4108" s="16" t="n">
        <v>0.28</v>
      </c>
      <c r="I4108" s="1" t="s">
        <v>31</v>
      </c>
      <c r="J4108" s="1" t="n">
        <v>5</v>
      </c>
      <c r="K4108" s="1" t="n">
        <v>2.9</v>
      </c>
      <c r="L4108" s="15" t="n">
        <v>119.88</v>
      </c>
      <c r="M4108" s="15" t="n">
        <f aca="false">F4108*G4108</f>
        <v>166.5</v>
      </c>
      <c r="N4108" s="15" t="n">
        <f aca="false">M4108-L4108</f>
        <v>46.62</v>
      </c>
      <c r="O4108" s="1" t="n">
        <f aca="false">YEAR(B4108)</f>
        <v>2033</v>
      </c>
      <c r="P4108" s="1" t="n">
        <f aca="false">MONTH(B4108)</f>
        <v>3</v>
      </c>
      <c r="Q4108" s="1" t="str">
        <f aca="false">TEXT(B4108,"mmm")</f>
        <v>Mar</v>
      </c>
      <c r="R4108" s="1" t="str">
        <f aca="false">"Q"&amp;ROUNDUP(MONTH(B4108)/3,0)</f>
        <v>Q1</v>
      </c>
    </row>
    <row r="4109" customFormat="false" ht="15" hidden="false" customHeight="true" outlineLevel="0" collapsed="false">
      <c r="A4109" s="1" t="n">
        <v>14108</v>
      </c>
      <c r="B4109" s="14" t="n">
        <v>48669</v>
      </c>
      <c r="C4109" s="1" t="n">
        <v>1874</v>
      </c>
      <c r="D4109" s="1" t="s">
        <v>30</v>
      </c>
      <c r="E4109" s="1" t="s">
        <v>36</v>
      </c>
      <c r="F4109" s="1" t="n">
        <v>7</v>
      </c>
      <c r="G4109" s="15" t="n">
        <v>476.75</v>
      </c>
      <c r="H4109" s="16" t="n">
        <v>0.1</v>
      </c>
      <c r="I4109" s="1" t="s">
        <v>31</v>
      </c>
      <c r="J4109" s="1" t="n">
        <v>10</v>
      </c>
      <c r="K4109" s="1" t="n">
        <v>4.6</v>
      </c>
      <c r="L4109" s="15" t="n">
        <v>3003.52</v>
      </c>
      <c r="M4109" s="15" t="n">
        <f aca="false">F4109*G4109</f>
        <v>3337.25</v>
      </c>
      <c r="N4109" s="15" t="n">
        <f aca="false">M4109-L4109</f>
        <v>333.73</v>
      </c>
      <c r="O4109" s="1" t="n">
        <f aca="false">YEAR(B4109)</f>
        <v>2033</v>
      </c>
      <c r="P4109" s="1" t="n">
        <f aca="false">MONTH(B4109)</f>
        <v>3</v>
      </c>
      <c r="Q4109" s="1" t="str">
        <f aca="false">TEXT(B4109,"mmm")</f>
        <v>Mar</v>
      </c>
      <c r="R4109" s="1" t="str">
        <f aca="false">"Q"&amp;ROUNDUP(MONTH(B4109)/3,0)</f>
        <v>Q1</v>
      </c>
    </row>
    <row r="4110" customFormat="false" ht="15" hidden="false" customHeight="true" outlineLevel="0" collapsed="false">
      <c r="A4110" s="1" t="n">
        <v>14109</v>
      </c>
      <c r="B4110" s="14" t="n">
        <v>48670</v>
      </c>
      <c r="C4110" s="1" t="n">
        <v>1039</v>
      </c>
      <c r="D4110" s="1" t="s">
        <v>34</v>
      </c>
      <c r="E4110" s="1" t="s">
        <v>36</v>
      </c>
      <c r="F4110" s="1" t="n">
        <v>4</v>
      </c>
      <c r="G4110" s="15" t="n">
        <v>200.5</v>
      </c>
      <c r="H4110" s="16" t="n">
        <v>0.03</v>
      </c>
      <c r="I4110" s="1" t="s">
        <v>29</v>
      </c>
      <c r="J4110" s="1" t="n">
        <v>10</v>
      </c>
      <c r="K4110" s="1" t="n">
        <v>3.4</v>
      </c>
      <c r="L4110" s="15" t="n">
        <v>777.94</v>
      </c>
      <c r="M4110" s="15" t="n">
        <f aca="false">F4110*G4110</f>
        <v>802</v>
      </c>
      <c r="N4110" s="15" t="n">
        <f aca="false">M4110-L4110</f>
        <v>24.0599999999999</v>
      </c>
      <c r="O4110" s="1" t="n">
        <f aca="false">YEAR(B4110)</f>
        <v>2033</v>
      </c>
      <c r="P4110" s="1" t="n">
        <f aca="false">MONTH(B4110)</f>
        <v>4</v>
      </c>
      <c r="Q4110" s="1" t="str">
        <f aca="false">TEXT(B4110,"mmm")</f>
        <v>Apr</v>
      </c>
      <c r="R4110" s="1" t="str">
        <f aca="false">"Q"&amp;ROUNDUP(MONTH(B4110)/3,0)</f>
        <v>Q2</v>
      </c>
    </row>
    <row r="4111" customFormat="false" ht="15" hidden="false" customHeight="true" outlineLevel="0" collapsed="false">
      <c r="A4111" s="1" t="n">
        <v>14110</v>
      </c>
      <c r="B4111" s="14" t="n">
        <v>48671</v>
      </c>
      <c r="C4111" s="1" t="n">
        <v>1485</v>
      </c>
      <c r="D4111" s="1" t="s">
        <v>30</v>
      </c>
      <c r="E4111" s="1" t="s">
        <v>36</v>
      </c>
      <c r="F4111" s="1" t="n">
        <v>2</v>
      </c>
      <c r="G4111" s="15" t="n">
        <v>514.45</v>
      </c>
      <c r="H4111" s="16" t="n">
        <v>0.18</v>
      </c>
      <c r="I4111" s="1" t="s">
        <v>29</v>
      </c>
      <c r="J4111" s="1" t="n">
        <v>1</v>
      </c>
      <c r="K4111" s="1" t="n">
        <v>2.1</v>
      </c>
      <c r="L4111" s="15" t="n">
        <v>843.7</v>
      </c>
      <c r="M4111" s="15" t="n">
        <f aca="false">F4111*G4111</f>
        <v>1028.9</v>
      </c>
      <c r="N4111" s="15" t="n">
        <f aca="false">M4111-L4111</f>
        <v>185.2</v>
      </c>
      <c r="O4111" s="1" t="n">
        <f aca="false">YEAR(B4111)</f>
        <v>2033</v>
      </c>
      <c r="P4111" s="1" t="n">
        <f aca="false">MONTH(B4111)</f>
        <v>4</v>
      </c>
      <c r="Q4111" s="1" t="str">
        <f aca="false">TEXT(B4111,"mmm")</f>
        <v>Apr</v>
      </c>
      <c r="R4111" s="1" t="str">
        <f aca="false">"Q"&amp;ROUNDUP(MONTH(B4111)/3,0)</f>
        <v>Q2</v>
      </c>
    </row>
    <row r="4112" customFormat="false" ht="15" hidden="false" customHeight="true" outlineLevel="0" collapsed="false">
      <c r="A4112" s="1" t="n">
        <v>14111</v>
      </c>
      <c r="B4112" s="14" t="n">
        <v>48672</v>
      </c>
      <c r="C4112" s="1" t="n">
        <v>1928</v>
      </c>
      <c r="D4112" s="1" t="s">
        <v>30</v>
      </c>
      <c r="E4112" s="1" t="s">
        <v>32</v>
      </c>
      <c r="F4112" s="1" t="n">
        <v>1</v>
      </c>
      <c r="G4112" s="15" t="n">
        <v>484.54</v>
      </c>
      <c r="H4112" s="16" t="n">
        <v>0.19</v>
      </c>
      <c r="I4112" s="1" t="s">
        <v>31</v>
      </c>
      <c r="J4112" s="1" t="n">
        <v>6</v>
      </c>
      <c r="K4112" s="1" t="n">
        <v>2.7</v>
      </c>
      <c r="L4112" s="15" t="n">
        <v>392.48</v>
      </c>
      <c r="M4112" s="15" t="n">
        <f aca="false">F4112*G4112</f>
        <v>484.54</v>
      </c>
      <c r="N4112" s="15" t="n">
        <f aca="false">M4112-L4112</f>
        <v>92.06</v>
      </c>
      <c r="O4112" s="1" t="n">
        <f aca="false">YEAR(B4112)</f>
        <v>2033</v>
      </c>
      <c r="P4112" s="1" t="n">
        <f aca="false">MONTH(B4112)</f>
        <v>4</v>
      </c>
      <c r="Q4112" s="1" t="str">
        <f aca="false">TEXT(B4112,"mmm")</f>
        <v>Apr</v>
      </c>
      <c r="R4112" s="1" t="str">
        <f aca="false">"Q"&amp;ROUNDUP(MONTH(B4112)/3,0)</f>
        <v>Q2</v>
      </c>
    </row>
    <row r="4113" customFormat="false" ht="15" hidden="false" customHeight="true" outlineLevel="0" collapsed="false">
      <c r="A4113" s="1" t="n">
        <v>14112</v>
      </c>
      <c r="B4113" s="14" t="n">
        <v>48673</v>
      </c>
      <c r="C4113" s="1" t="n">
        <v>1219</v>
      </c>
      <c r="D4113" s="1" t="s">
        <v>37</v>
      </c>
      <c r="E4113" s="1" t="s">
        <v>35</v>
      </c>
      <c r="F4113" s="1" t="n">
        <v>3</v>
      </c>
      <c r="G4113" s="15" t="n">
        <v>401.92</v>
      </c>
      <c r="H4113" s="16" t="n">
        <v>0.28</v>
      </c>
      <c r="I4113" s="1" t="s">
        <v>29</v>
      </c>
      <c r="J4113" s="1" t="n">
        <v>7</v>
      </c>
      <c r="K4113" s="1" t="n">
        <v>4.3</v>
      </c>
      <c r="L4113" s="15" t="n">
        <v>868.15</v>
      </c>
      <c r="M4113" s="15" t="n">
        <f aca="false">F4113*G4113</f>
        <v>1205.76</v>
      </c>
      <c r="N4113" s="15" t="n">
        <f aca="false">M4113-L4113</f>
        <v>337.61</v>
      </c>
      <c r="O4113" s="1" t="n">
        <f aca="false">YEAR(B4113)</f>
        <v>2033</v>
      </c>
      <c r="P4113" s="1" t="n">
        <f aca="false">MONTH(B4113)</f>
        <v>4</v>
      </c>
      <c r="Q4113" s="1" t="str">
        <f aca="false">TEXT(B4113,"mmm")</f>
        <v>Apr</v>
      </c>
      <c r="R4113" s="1" t="str">
        <f aca="false">"Q"&amp;ROUNDUP(MONTH(B4113)/3,0)</f>
        <v>Q2</v>
      </c>
    </row>
    <row r="4114" customFormat="false" ht="15" hidden="false" customHeight="true" outlineLevel="0" collapsed="false">
      <c r="A4114" s="1" t="n">
        <v>14113</v>
      </c>
      <c r="B4114" s="14" t="n">
        <v>48674</v>
      </c>
      <c r="C4114" s="1" t="n">
        <v>1128</v>
      </c>
      <c r="D4114" s="1" t="s">
        <v>34</v>
      </c>
      <c r="E4114" s="1" t="s">
        <v>32</v>
      </c>
      <c r="F4114" s="1" t="n">
        <v>3</v>
      </c>
      <c r="G4114" s="15" t="n">
        <v>205.05</v>
      </c>
      <c r="H4114" s="16" t="n">
        <v>0.34</v>
      </c>
      <c r="I4114" s="1" t="s">
        <v>33</v>
      </c>
      <c r="J4114" s="1" t="n">
        <v>2</v>
      </c>
      <c r="K4114" s="1" t="n">
        <v>4.4</v>
      </c>
      <c r="L4114" s="15" t="n">
        <v>406</v>
      </c>
      <c r="M4114" s="15" t="n">
        <f aca="false">F4114*G4114</f>
        <v>615.15</v>
      </c>
      <c r="N4114" s="15" t="n">
        <f aca="false">M4114-L4114</f>
        <v>209.15</v>
      </c>
      <c r="O4114" s="1" t="n">
        <f aca="false">YEAR(B4114)</f>
        <v>2033</v>
      </c>
      <c r="P4114" s="1" t="n">
        <f aca="false">MONTH(B4114)</f>
        <v>4</v>
      </c>
      <c r="Q4114" s="1" t="str">
        <f aca="false">TEXT(B4114,"mmm")</f>
        <v>Apr</v>
      </c>
      <c r="R4114" s="1" t="str">
        <f aca="false">"Q"&amp;ROUNDUP(MONTH(B4114)/3,0)</f>
        <v>Q2</v>
      </c>
    </row>
    <row r="4115" customFormat="false" ht="15" hidden="false" customHeight="true" outlineLevel="0" collapsed="false">
      <c r="A4115" s="1" t="n">
        <v>14114</v>
      </c>
      <c r="B4115" s="14" t="n">
        <v>48675</v>
      </c>
      <c r="C4115" s="1" t="n">
        <v>1519</v>
      </c>
      <c r="D4115" s="1" t="s">
        <v>27</v>
      </c>
      <c r="E4115" s="1" t="s">
        <v>32</v>
      </c>
      <c r="F4115" s="1" t="n">
        <v>2</v>
      </c>
      <c r="G4115" s="15" t="n">
        <v>317.05</v>
      </c>
      <c r="H4115" s="16" t="n">
        <v>0.02</v>
      </c>
      <c r="I4115" s="1" t="s">
        <v>29</v>
      </c>
      <c r="J4115" s="1" t="n">
        <v>3</v>
      </c>
      <c r="K4115" s="1" t="n">
        <v>4.8</v>
      </c>
      <c r="L4115" s="15" t="n">
        <v>621.42</v>
      </c>
      <c r="M4115" s="15" t="n">
        <f aca="false">F4115*G4115</f>
        <v>634.1</v>
      </c>
      <c r="N4115" s="15" t="n">
        <f aca="false">M4115-L4115</f>
        <v>12.6800000000001</v>
      </c>
      <c r="O4115" s="1" t="n">
        <f aca="false">YEAR(B4115)</f>
        <v>2033</v>
      </c>
      <c r="P4115" s="1" t="n">
        <f aca="false">MONTH(B4115)</f>
        <v>4</v>
      </c>
      <c r="Q4115" s="1" t="str">
        <f aca="false">TEXT(B4115,"mmm")</f>
        <v>Apr</v>
      </c>
      <c r="R4115" s="1" t="str">
        <f aca="false">"Q"&amp;ROUNDUP(MONTH(B4115)/3,0)</f>
        <v>Q2</v>
      </c>
    </row>
    <row r="4116" customFormat="false" ht="15" hidden="false" customHeight="true" outlineLevel="0" collapsed="false">
      <c r="A4116" s="1" t="n">
        <v>14115</v>
      </c>
      <c r="B4116" s="14" t="n">
        <v>48676</v>
      </c>
      <c r="C4116" s="1" t="n">
        <v>1612</v>
      </c>
      <c r="D4116" s="1" t="s">
        <v>34</v>
      </c>
      <c r="E4116" s="1" t="s">
        <v>28</v>
      </c>
      <c r="F4116" s="1" t="n">
        <v>1</v>
      </c>
      <c r="G4116" s="15" t="n">
        <v>275.23</v>
      </c>
      <c r="H4116" s="16" t="n">
        <v>0.21</v>
      </c>
      <c r="I4116" s="1" t="s">
        <v>31</v>
      </c>
      <c r="J4116" s="1" t="n">
        <v>10</v>
      </c>
      <c r="K4116" s="1" t="n">
        <v>2.2</v>
      </c>
      <c r="L4116" s="15" t="n">
        <v>217.43</v>
      </c>
      <c r="M4116" s="15" t="n">
        <f aca="false">F4116*G4116</f>
        <v>275.23</v>
      </c>
      <c r="N4116" s="15" t="n">
        <f aca="false">M4116-L4116</f>
        <v>57.8</v>
      </c>
      <c r="O4116" s="1" t="n">
        <f aca="false">YEAR(B4116)</f>
        <v>2033</v>
      </c>
      <c r="P4116" s="1" t="n">
        <f aca="false">MONTH(B4116)</f>
        <v>4</v>
      </c>
      <c r="Q4116" s="1" t="str">
        <f aca="false">TEXT(B4116,"mmm")</f>
        <v>Apr</v>
      </c>
      <c r="R4116" s="1" t="str">
        <f aca="false">"Q"&amp;ROUNDUP(MONTH(B4116)/3,0)</f>
        <v>Q2</v>
      </c>
    </row>
    <row r="4117" customFormat="false" ht="15" hidden="false" customHeight="true" outlineLevel="0" collapsed="false">
      <c r="A4117" s="1" t="n">
        <v>14116</v>
      </c>
      <c r="B4117" s="14" t="n">
        <v>48677</v>
      </c>
      <c r="C4117" s="1" t="n">
        <v>1927</v>
      </c>
      <c r="D4117" s="1" t="s">
        <v>37</v>
      </c>
      <c r="E4117" s="1" t="s">
        <v>35</v>
      </c>
      <c r="F4117" s="1" t="n">
        <v>1</v>
      </c>
      <c r="G4117" s="15" t="n">
        <v>213.25</v>
      </c>
      <c r="H4117" s="16" t="n">
        <v>0.24</v>
      </c>
      <c r="I4117" s="1" t="s">
        <v>31</v>
      </c>
      <c r="J4117" s="1" t="n">
        <v>9</v>
      </c>
      <c r="K4117" s="1" t="n">
        <v>3.7</v>
      </c>
      <c r="L4117" s="15" t="n">
        <v>162.07</v>
      </c>
      <c r="M4117" s="15" t="n">
        <f aca="false">F4117*G4117</f>
        <v>213.25</v>
      </c>
      <c r="N4117" s="15" t="n">
        <f aca="false">M4117-L4117</f>
        <v>51.18</v>
      </c>
      <c r="O4117" s="1" t="n">
        <f aca="false">YEAR(B4117)</f>
        <v>2033</v>
      </c>
      <c r="P4117" s="1" t="n">
        <f aca="false">MONTH(B4117)</f>
        <v>4</v>
      </c>
      <c r="Q4117" s="1" t="str">
        <f aca="false">TEXT(B4117,"mmm")</f>
        <v>Apr</v>
      </c>
      <c r="R4117" s="1" t="str">
        <f aca="false">"Q"&amp;ROUNDUP(MONTH(B4117)/3,0)</f>
        <v>Q2</v>
      </c>
    </row>
    <row r="4118" customFormat="false" ht="15" hidden="false" customHeight="true" outlineLevel="0" collapsed="false">
      <c r="A4118" s="1" t="n">
        <v>14117</v>
      </c>
      <c r="B4118" s="14" t="n">
        <v>48678</v>
      </c>
      <c r="C4118" s="1" t="n">
        <v>1891</v>
      </c>
      <c r="D4118" s="1" t="s">
        <v>34</v>
      </c>
      <c r="E4118" s="1" t="s">
        <v>28</v>
      </c>
      <c r="F4118" s="1" t="n">
        <v>2</v>
      </c>
      <c r="G4118" s="15" t="n">
        <v>511.16</v>
      </c>
      <c r="H4118" s="16" t="n">
        <v>0.35</v>
      </c>
      <c r="I4118" s="1" t="s">
        <v>33</v>
      </c>
      <c r="J4118" s="1" t="n">
        <v>8</v>
      </c>
      <c r="K4118" s="1" t="n">
        <v>1.3</v>
      </c>
      <c r="L4118" s="15" t="n">
        <v>664.51</v>
      </c>
      <c r="M4118" s="15" t="n">
        <f aca="false">F4118*G4118</f>
        <v>1022.32</v>
      </c>
      <c r="N4118" s="15" t="n">
        <f aca="false">M4118-L4118</f>
        <v>357.81</v>
      </c>
      <c r="O4118" s="1" t="n">
        <f aca="false">YEAR(B4118)</f>
        <v>2033</v>
      </c>
      <c r="P4118" s="1" t="n">
        <f aca="false">MONTH(B4118)</f>
        <v>4</v>
      </c>
      <c r="Q4118" s="1" t="str">
        <f aca="false">TEXT(B4118,"mmm")</f>
        <v>Apr</v>
      </c>
      <c r="R4118" s="1" t="str">
        <f aca="false">"Q"&amp;ROUNDUP(MONTH(B4118)/3,0)</f>
        <v>Q2</v>
      </c>
    </row>
    <row r="4119" customFormat="false" ht="15" hidden="false" customHeight="true" outlineLevel="0" collapsed="false">
      <c r="A4119" s="1" t="n">
        <v>14118</v>
      </c>
      <c r="B4119" s="14" t="n">
        <v>48679</v>
      </c>
      <c r="C4119" s="1" t="n">
        <v>1687</v>
      </c>
      <c r="D4119" s="1" t="s">
        <v>30</v>
      </c>
      <c r="E4119" s="1" t="s">
        <v>36</v>
      </c>
      <c r="F4119" s="1" t="n">
        <v>5</v>
      </c>
      <c r="G4119" s="15" t="n">
        <v>297.85</v>
      </c>
      <c r="H4119" s="16" t="n">
        <v>0.33</v>
      </c>
      <c r="I4119" s="1" t="s">
        <v>31</v>
      </c>
      <c r="J4119" s="1" t="n">
        <v>4</v>
      </c>
      <c r="K4119" s="1" t="n">
        <v>3.9</v>
      </c>
      <c r="L4119" s="15" t="n">
        <v>997.8</v>
      </c>
      <c r="M4119" s="15" t="n">
        <f aca="false">F4119*G4119</f>
        <v>1489.25</v>
      </c>
      <c r="N4119" s="15" t="n">
        <f aca="false">M4119-L4119</f>
        <v>491.45</v>
      </c>
      <c r="O4119" s="1" t="n">
        <f aca="false">YEAR(B4119)</f>
        <v>2033</v>
      </c>
      <c r="P4119" s="1" t="n">
        <f aca="false">MONTH(B4119)</f>
        <v>4</v>
      </c>
      <c r="Q4119" s="1" t="str">
        <f aca="false">TEXT(B4119,"mmm")</f>
        <v>Apr</v>
      </c>
      <c r="R4119" s="1" t="str">
        <f aca="false">"Q"&amp;ROUNDUP(MONTH(B4119)/3,0)</f>
        <v>Q2</v>
      </c>
    </row>
    <row r="4120" customFormat="false" ht="15" hidden="false" customHeight="true" outlineLevel="0" collapsed="false">
      <c r="A4120" s="1" t="n">
        <v>14119</v>
      </c>
      <c r="B4120" s="14" t="n">
        <v>48680</v>
      </c>
      <c r="C4120" s="1" t="n">
        <v>1618</v>
      </c>
      <c r="D4120" s="1" t="s">
        <v>30</v>
      </c>
      <c r="E4120" s="1" t="s">
        <v>32</v>
      </c>
      <c r="F4120" s="1" t="n">
        <v>5</v>
      </c>
      <c r="G4120" s="15" t="n">
        <v>502.14</v>
      </c>
      <c r="H4120" s="16" t="n">
        <v>0.25</v>
      </c>
      <c r="I4120" s="1" t="s">
        <v>33</v>
      </c>
      <c r="J4120" s="1" t="n">
        <v>11</v>
      </c>
      <c r="K4120" s="1" t="n">
        <v>3.3</v>
      </c>
      <c r="L4120" s="15" t="n">
        <v>1883.02</v>
      </c>
      <c r="M4120" s="15" t="n">
        <f aca="false">F4120*G4120</f>
        <v>2510.7</v>
      </c>
      <c r="N4120" s="15" t="n">
        <f aca="false">M4120-L4120</f>
        <v>627.68</v>
      </c>
      <c r="O4120" s="1" t="n">
        <f aca="false">YEAR(B4120)</f>
        <v>2033</v>
      </c>
      <c r="P4120" s="1" t="n">
        <f aca="false">MONTH(B4120)</f>
        <v>4</v>
      </c>
      <c r="Q4120" s="1" t="str">
        <f aca="false">TEXT(B4120,"mmm")</f>
        <v>Apr</v>
      </c>
      <c r="R4120" s="1" t="str">
        <f aca="false">"Q"&amp;ROUNDUP(MONTH(B4120)/3,0)</f>
        <v>Q2</v>
      </c>
    </row>
    <row r="4121" customFormat="false" ht="15" hidden="false" customHeight="true" outlineLevel="0" collapsed="false">
      <c r="A4121" s="1" t="n">
        <v>14120</v>
      </c>
      <c r="B4121" s="14" t="n">
        <v>48681</v>
      </c>
      <c r="C4121" s="1" t="n">
        <v>1612</v>
      </c>
      <c r="D4121" s="1" t="s">
        <v>30</v>
      </c>
      <c r="E4121" s="1" t="s">
        <v>35</v>
      </c>
      <c r="F4121" s="1" t="n">
        <v>1</v>
      </c>
      <c r="G4121" s="15" t="n">
        <v>76.55</v>
      </c>
      <c r="H4121" s="16" t="n">
        <v>0.18</v>
      </c>
      <c r="I4121" s="1" t="s">
        <v>31</v>
      </c>
      <c r="J4121" s="1" t="n">
        <v>8</v>
      </c>
      <c r="K4121" s="1" t="n">
        <v>2</v>
      </c>
      <c r="L4121" s="15" t="n">
        <v>62.77</v>
      </c>
      <c r="M4121" s="15" t="n">
        <f aca="false">F4121*G4121</f>
        <v>76.55</v>
      </c>
      <c r="N4121" s="15" t="n">
        <f aca="false">M4121-L4121</f>
        <v>13.78</v>
      </c>
      <c r="O4121" s="1" t="n">
        <f aca="false">YEAR(B4121)</f>
        <v>2033</v>
      </c>
      <c r="P4121" s="1" t="n">
        <f aca="false">MONTH(B4121)</f>
        <v>4</v>
      </c>
      <c r="Q4121" s="1" t="str">
        <f aca="false">TEXT(B4121,"mmm")</f>
        <v>Apr</v>
      </c>
      <c r="R4121" s="1" t="str">
        <f aca="false">"Q"&amp;ROUNDUP(MONTH(B4121)/3,0)</f>
        <v>Q2</v>
      </c>
    </row>
    <row r="4122" customFormat="false" ht="15" hidden="false" customHeight="true" outlineLevel="0" collapsed="false">
      <c r="A4122" s="1" t="n">
        <v>14121</v>
      </c>
      <c r="B4122" s="14" t="n">
        <v>48682</v>
      </c>
      <c r="C4122" s="1" t="n">
        <v>1259</v>
      </c>
      <c r="D4122" s="1" t="s">
        <v>34</v>
      </c>
      <c r="E4122" s="1" t="s">
        <v>36</v>
      </c>
      <c r="F4122" s="1" t="n">
        <v>5</v>
      </c>
      <c r="G4122" s="15" t="n">
        <v>97.5</v>
      </c>
      <c r="H4122" s="16" t="n">
        <v>0.06</v>
      </c>
      <c r="I4122" s="1" t="s">
        <v>31</v>
      </c>
      <c r="J4122" s="1" t="n">
        <v>11</v>
      </c>
      <c r="K4122" s="1" t="n">
        <v>3.6</v>
      </c>
      <c r="L4122" s="15" t="n">
        <v>458.25</v>
      </c>
      <c r="M4122" s="15" t="n">
        <f aca="false">F4122*G4122</f>
        <v>487.5</v>
      </c>
      <c r="N4122" s="15" t="n">
        <f aca="false">M4122-L4122</f>
        <v>29.25</v>
      </c>
      <c r="O4122" s="1" t="n">
        <f aca="false">YEAR(B4122)</f>
        <v>2033</v>
      </c>
      <c r="P4122" s="1" t="n">
        <f aca="false">MONTH(B4122)</f>
        <v>4</v>
      </c>
      <c r="Q4122" s="1" t="str">
        <f aca="false">TEXT(B4122,"mmm")</f>
        <v>Apr</v>
      </c>
      <c r="R4122" s="1" t="str">
        <f aca="false">"Q"&amp;ROUNDUP(MONTH(B4122)/3,0)</f>
        <v>Q2</v>
      </c>
    </row>
    <row r="4123" customFormat="false" ht="15" hidden="false" customHeight="true" outlineLevel="0" collapsed="false">
      <c r="A4123" s="1" t="n">
        <v>14122</v>
      </c>
      <c r="B4123" s="14" t="n">
        <v>48683</v>
      </c>
      <c r="C4123" s="1" t="n">
        <v>1989</v>
      </c>
      <c r="D4123" s="1" t="s">
        <v>37</v>
      </c>
      <c r="E4123" s="1" t="s">
        <v>35</v>
      </c>
      <c r="F4123" s="1" t="n">
        <v>5</v>
      </c>
      <c r="G4123" s="15" t="n">
        <v>586.73</v>
      </c>
      <c r="H4123" s="16" t="n">
        <v>0.13</v>
      </c>
      <c r="I4123" s="1" t="s">
        <v>31</v>
      </c>
      <c r="J4123" s="1" t="n">
        <v>8</v>
      </c>
      <c r="K4123" s="1" t="n">
        <v>1.5</v>
      </c>
      <c r="L4123" s="15" t="n">
        <v>2552.28</v>
      </c>
      <c r="M4123" s="15" t="n">
        <f aca="false">F4123*G4123</f>
        <v>2933.65</v>
      </c>
      <c r="N4123" s="15" t="n">
        <f aca="false">M4123-L4123</f>
        <v>381.37</v>
      </c>
      <c r="O4123" s="1" t="n">
        <f aca="false">YEAR(B4123)</f>
        <v>2033</v>
      </c>
      <c r="P4123" s="1" t="n">
        <f aca="false">MONTH(B4123)</f>
        <v>4</v>
      </c>
      <c r="Q4123" s="1" t="str">
        <f aca="false">TEXT(B4123,"mmm")</f>
        <v>Apr</v>
      </c>
      <c r="R4123" s="1" t="str">
        <f aca="false">"Q"&amp;ROUNDUP(MONTH(B4123)/3,0)</f>
        <v>Q2</v>
      </c>
    </row>
    <row r="4124" customFormat="false" ht="15" hidden="false" customHeight="true" outlineLevel="0" collapsed="false">
      <c r="A4124" s="1" t="n">
        <v>14123</v>
      </c>
      <c r="B4124" s="14" t="n">
        <v>48684</v>
      </c>
      <c r="C4124" s="1" t="n">
        <v>1965</v>
      </c>
      <c r="D4124" s="1" t="s">
        <v>34</v>
      </c>
      <c r="E4124" s="1" t="s">
        <v>32</v>
      </c>
      <c r="F4124" s="1" t="n">
        <v>5</v>
      </c>
      <c r="G4124" s="15" t="n">
        <v>358.84</v>
      </c>
      <c r="H4124" s="16" t="n">
        <v>0.2</v>
      </c>
      <c r="I4124" s="1" t="s">
        <v>29</v>
      </c>
      <c r="J4124" s="1" t="n">
        <v>6</v>
      </c>
      <c r="K4124" s="1" t="n">
        <v>2.3</v>
      </c>
      <c r="L4124" s="15" t="n">
        <v>1435.36</v>
      </c>
      <c r="M4124" s="15" t="n">
        <f aca="false">F4124*G4124</f>
        <v>1794.2</v>
      </c>
      <c r="N4124" s="15" t="n">
        <f aca="false">M4124-L4124</f>
        <v>358.84</v>
      </c>
      <c r="O4124" s="1" t="n">
        <f aca="false">YEAR(B4124)</f>
        <v>2033</v>
      </c>
      <c r="P4124" s="1" t="n">
        <f aca="false">MONTH(B4124)</f>
        <v>4</v>
      </c>
      <c r="Q4124" s="1" t="str">
        <f aca="false">TEXT(B4124,"mmm")</f>
        <v>Apr</v>
      </c>
      <c r="R4124" s="1" t="str">
        <f aca="false">"Q"&amp;ROUNDUP(MONTH(B4124)/3,0)</f>
        <v>Q2</v>
      </c>
    </row>
    <row r="4125" customFormat="false" ht="15" hidden="false" customHeight="true" outlineLevel="0" collapsed="false">
      <c r="A4125" s="1" t="n">
        <v>14124</v>
      </c>
      <c r="B4125" s="14" t="n">
        <v>48685</v>
      </c>
      <c r="C4125" s="1" t="n">
        <v>1365</v>
      </c>
      <c r="D4125" s="1" t="s">
        <v>37</v>
      </c>
      <c r="E4125" s="1" t="s">
        <v>35</v>
      </c>
      <c r="F4125" s="1" t="n">
        <v>1</v>
      </c>
      <c r="G4125" s="15" t="n">
        <v>313.22</v>
      </c>
      <c r="H4125" s="16" t="n">
        <v>0.25</v>
      </c>
      <c r="I4125" s="1" t="s">
        <v>31</v>
      </c>
      <c r="J4125" s="1" t="n">
        <v>1</v>
      </c>
      <c r="K4125" s="1" t="n">
        <v>2.6</v>
      </c>
      <c r="L4125" s="15" t="n">
        <v>234.92</v>
      </c>
      <c r="M4125" s="15" t="n">
        <f aca="false">F4125*G4125</f>
        <v>313.22</v>
      </c>
      <c r="N4125" s="15" t="n">
        <f aca="false">M4125-L4125</f>
        <v>78.3</v>
      </c>
      <c r="O4125" s="1" t="n">
        <f aca="false">YEAR(B4125)</f>
        <v>2033</v>
      </c>
      <c r="P4125" s="1" t="n">
        <f aca="false">MONTH(B4125)</f>
        <v>4</v>
      </c>
      <c r="Q4125" s="1" t="str">
        <f aca="false">TEXT(B4125,"mmm")</f>
        <v>Apr</v>
      </c>
      <c r="R4125" s="1" t="str">
        <f aca="false">"Q"&amp;ROUNDUP(MONTH(B4125)/3,0)</f>
        <v>Q2</v>
      </c>
    </row>
    <row r="4126" customFormat="false" ht="15" hidden="false" customHeight="true" outlineLevel="0" collapsed="false">
      <c r="A4126" s="1" t="n">
        <v>14125</v>
      </c>
      <c r="B4126" s="14" t="n">
        <v>48686</v>
      </c>
      <c r="C4126" s="1" t="n">
        <v>1757</v>
      </c>
      <c r="D4126" s="1" t="s">
        <v>37</v>
      </c>
      <c r="E4126" s="1" t="s">
        <v>36</v>
      </c>
      <c r="F4126" s="1" t="n">
        <v>5</v>
      </c>
      <c r="G4126" s="15" t="n">
        <v>321.05</v>
      </c>
      <c r="H4126" s="16" t="n">
        <v>0.22</v>
      </c>
      <c r="I4126" s="1" t="s">
        <v>31</v>
      </c>
      <c r="J4126" s="1" t="n">
        <v>2</v>
      </c>
      <c r="K4126" s="1" t="n">
        <v>4.1</v>
      </c>
      <c r="L4126" s="15" t="n">
        <v>1252.1</v>
      </c>
      <c r="M4126" s="15" t="n">
        <f aca="false">F4126*G4126</f>
        <v>1605.25</v>
      </c>
      <c r="N4126" s="15" t="n">
        <f aca="false">M4126-L4126</f>
        <v>353.15</v>
      </c>
      <c r="O4126" s="1" t="n">
        <f aca="false">YEAR(B4126)</f>
        <v>2033</v>
      </c>
      <c r="P4126" s="1" t="n">
        <f aca="false">MONTH(B4126)</f>
        <v>4</v>
      </c>
      <c r="Q4126" s="1" t="str">
        <f aca="false">TEXT(B4126,"mmm")</f>
        <v>Apr</v>
      </c>
      <c r="R4126" s="1" t="str">
        <f aca="false">"Q"&amp;ROUNDUP(MONTH(B4126)/3,0)</f>
        <v>Q2</v>
      </c>
    </row>
    <row r="4127" customFormat="false" ht="15" hidden="false" customHeight="true" outlineLevel="0" collapsed="false">
      <c r="A4127" s="1" t="n">
        <v>14126</v>
      </c>
      <c r="B4127" s="14" t="n">
        <v>48687</v>
      </c>
      <c r="C4127" s="1" t="n">
        <v>1786</v>
      </c>
      <c r="D4127" s="1" t="s">
        <v>30</v>
      </c>
      <c r="E4127" s="1" t="s">
        <v>28</v>
      </c>
      <c r="F4127" s="1" t="n">
        <v>3</v>
      </c>
      <c r="G4127" s="15" t="n">
        <v>140.93</v>
      </c>
      <c r="H4127" s="16" t="n">
        <v>0.25</v>
      </c>
      <c r="I4127" s="1" t="s">
        <v>33</v>
      </c>
      <c r="J4127" s="1" t="n">
        <v>4</v>
      </c>
      <c r="K4127" s="1" t="n">
        <v>2.2</v>
      </c>
      <c r="L4127" s="15" t="n">
        <v>317.09</v>
      </c>
      <c r="M4127" s="15" t="n">
        <f aca="false">F4127*G4127</f>
        <v>422.79</v>
      </c>
      <c r="N4127" s="15" t="n">
        <f aca="false">M4127-L4127</f>
        <v>105.7</v>
      </c>
      <c r="O4127" s="1" t="n">
        <f aca="false">YEAR(B4127)</f>
        <v>2033</v>
      </c>
      <c r="P4127" s="1" t="n">
        <f aca="false">MONTH(B4127)</f>
        <v>4</v>
      </c>
      <c r="Q4127" s="1" t="str">
        <f aca="false">TEXT(B4127,"mmm")</f>
        <v>Apr</v>
      </c>
      <c r="R4127" s="1" t="str">
        <f aca="false">"Q"&amp;ROUNDUP(MONTH(B4127)/3,0)</f>
        <v>Q2</v>
      </c>
    </row>
    <row r="4128" customFormat="false" ht="15" hidden="false" customHeight="true" outlineLevel="0" collapsed="false">
      <c r="A4128" s="1" t="n">
        <v>14127</v>
      </c>
      <c r="B4128" s="14" t="n">
        <v>48688</v>
      </c>
      <c r="C4128" s="1" t="n">
        <v>1543</v>
      </c>
      <c r="D4128" s="1" t="s">
        <v>37</v>
      </c>
      <c r="E4128" s="1" t="s">
        <v>32</v>
      </c>
      <c r="F4128" s="1" t="n">
        <v>6</v>
      </c>
      <c r="G4128" s="15" t="n">
        <v>435.44</v>
      </c>
      <c r="H4128" s="16" t="n">
        <v>0.15</v>
      </c>
      <c r="I4128" s="1" t="s">
        <v>33</v>
      </c>
      <c r="J4128" s="1" t="n">
        <v>4</v>
      </c>
      <c r="K4128" s="1" t="n">
        <v>1.2</v>
      </c>
      <c r="L4128" s="15" t="n">
        <v>2220.74</v>
      </c>
      <c r="M4128" s="15" t="n">
        <f aca="false">F4128*G4128</f>
        <v>2612.64</v>
      </c>
      <c r="N4128" s="15" t="n">
        <f aca="false">M4128-L4128</f>
        <v>391.9</v>
      </c>
      <c r="O4128" s="1" t="n">
        <f aca="false">YEAR(B4128)</f>
        <v>2033</v>
      </c>
      <c r="P4128" s="1" t="n">
        <f aca="false">MONTH(B4128)</f>
        <v>4</v>
      </c>
      <c r="Q4128" s="1" t="str">
        <f aca="false">TEXT(B4128,"mmm")</f>
        <v>Apr</v>
      </c>
      <c r="R4128" s="1" t="str">
        <f aca="false">"Q"&amp;ROUNDUP(MONTH(B4128)/3,0)</f>
        <v>Q2</v>
      </c>
    </row>
    <row r="4129" customFormat="false" ht="15" hidden="false" customHeight="true" outlineLevel="0" collapsed="false">
      <c r="A4129" s="1" t="n">
        <v>14128</v>
      </c>
      <c r="B4129" s="14" t="n">
        <v>48689</v>
      </c>
      <c r="C4129" s="1" t="n">
        <v>1648</v>
      </c>
      <c r="D4129" s="1" t="s">
        <v>37</v>
      </c>
      <c r="E4129" s="1" t="s">
        <v>28</v>
      </c>
      <c r="F4129" s="1" t="n">
        <v>1</v>
      </c>
      <c r="G4129" s="15" t="n">
        <v>64.6</v>
      </c>
      <c r="H4129" s="16" t="n">
        <v>0.25</v>
      </c>
      <c r="I4129" s="1" t="s">
        <v>33</v>
      </c>
      <c r="J4129" s="1" t="n">
        <v>2</v>
      </c>
      <c r="K4129" s="1" t="n">
        <v>1.7</v>
      </c>
      <c r="L4129" s="15" t="n">
        <v>48.45</v>
      </c>
      <c r="M4129" s="15" t="n">
        <f aca="false">F4129*G4129</f>
        <v>64.6</v>
      </c>
      <c r="N4129" s="15" t="n">
        <f aca="false">M4129-L4129</f>
        <v>16.15</v>
      </c>
      <c r="O4129" s="1" t="n">
        <f aca="false">YEAR(B4129)</f>
        <v>2033</v>
      </c>
      <c r="P4129" s="1" t="n">
        <f aca="false">MONTH(B4129)</f>
        <v>4</v>
      </c>
      <c r="Q4129" s="1" t="str">
        <f aca="false">TEXT(B4129,"mmm")</f>
        <v>Apr</v>
      </c>
      <c r="R4129" s="1" t="str">
        <f aca="false">"Q"&amp;ROUNDUP(MONTH(B4129)/3,0)</f>
        <v>Q2</v>
      </c>
    </row>
    <row r="4130" customFormat="false" ht="15" hidden="false" customHeight="true" outlineLevel="0" collapsed="false">
      <c r="A4130" s="1" t="n">
        <v>14129</v>
      </c>
      <c r="B4130" s="14" t="n">
        <v>48690</v>
      </c>
      <c r="C4130" s="1" t="n">
        <v>1523</v>
      </c>
      <c r="D4130" s="1" t="s">
        <v>30</v>
      </c>
      <c r="E4130" s="1" t="s">
        <v>32</v>
      </c>
      <c r="F4130" s="1" t="n">
        <v>2</v>
      </c>
      <c r="G4130" s="15" t="n">
        <v>350.39</v>
      </c>
      <c r="H4130" s="16" t="n">
        <v>0.05</v>
      </c>
      <c r="I4130" s="1" t="s">
        <v>33</v>
      </c>
      <c r="J4130" s="1" t="n">
        <v>9</v>
      </c>
      <c r="K4130" s="1" t="n">
        <v>3.4</v>
      </c>
      <c r="L4130" s="15" t="n">
        <v>665.74</v>
      </c>
      <c r="M4130" s="15" t="n">
        <f aca="false">F4130*G4130</f>
        <v>700.78</v>
      </c>
      <c r="N4130" s="15" t="n">
        <f aca="false">M4130-L4130</f>
        <v>35.04</v>
      </c>
      <c r="O4130" s="1" t="n">
        <f aca="false">YEAR(B4130)</f>
        <v>2033</v>
      </c>
      <c r="P4130" s="1" t="n">
        <f aca="false">MONTH(B4130)</f>
        <v>4</v>
      </c>
      <c r="Q4130" s="1" t="str">
        <f aca="false">TEXT(B4130,"mmm")</f>
        <v>Apr</v>
      </c>
      <c r="R4130" s="1" t="str">
        <f aca="false">"Q"&amp;ROUNDUP(MONTH(B4130)/3,0)</f>
        <v>Q2</v>
      </c>
    </row>
    <row r="4131" customFormat="false" ht="15" hidden="false" customHeight="true" outlineLevel="0" collapsed="false">
      <c r="A4131" s="1" t="n">
        <v>14130</v>
      </c>
      <c r="B4131" s="14" t="n">
        <v>48691</v>
      </c>
      <c r="C4131" s="1" t="n">
        <v>1906</v>
      </c>
      <c r="D4131" s="1" t="s">
        <v>37</v>
      </c>
      <c r="E4131" s="1" t="s">
        <v>36</v>
      </c>
      <c r="F4131" s="1" t="n">
        <v>5</v>
      </c>
      <c r="G4131" s="15" t="n">
        <v>348.9</v>
      </c>
      <c r="H4131" s="16" t="n">
        <v>0.06</v>
      </c>
      <c r="I4131" s="1" t="s">
        <v>31</v>
      </c>
      <c r="J4131" s="1" t="n">
        <v>2</v>
      </c>
      <c r="K4131" s="1" t="n">
        <v>1.1</v>
      </c>
      <c r="L4131" s="15" t="n">
        <v>1639.83</v>
      </c>
      <c r="M4131" s="15" t="n">
        <f aca="false">F4131*G4131</f>
        <v>1744.5</v>
      </c>
      <c r="N4131" s="15" t="n">
        <f aca="false">M4131-L4131</f>
        <v>104.67</v>
      </c>
      <c r="O4131" s="1" t="n">
        <f aca="false">YEAR(B4131)</f>
        <v>2033</v>
      </c>
      <c r="P4131" s="1" t="n">
        <f aca="false">MONTH(B4131)</f>
        <v>4</v>
      </c>
      <c r="Q4131" s="1" t="str">
        <f aca="false">TEXT(B4131,"mmm")</f>
        <v>Apr</v>
      </c>
      <c r="R4131" s="1" t="str">
        <f aca="false">"Q"&amp;ROUNDUP(MONTH(B4131)/3,0)</f>
        <v>Q2</v>
      </c>
    </row>
    <row r="4132" customFormat="false" ht="15" hidden="false" customHeight="true" outlineLevel="0" collapsed="false">
      <c r="A4132" s="1" t="n">
        <v>14131</v>
      </c>
      <c r="B4132" s="14" t="n">
        <v>48692</v>
      </c>
      <c r="C4132" s="1" t="n">
        <v>1813</v>
      </c>
      <c r="D4132" s="1" t="s">
        <v>34</v>
      </c>
      <c r="E4132" s="1" t="s">
        <v>32</v>
      </c>
      <c r="F4132" s="1" t="n">
        <v>4</v>
      </c>
      <c r="G4132" s="15" t="n">
        <v>549.8</v>
      </c>
      <c r="H4132" s="16" t="n">
        <v>0.06</v>
      </c>
      <c r="I4132" s="1" t="s">
        <v>31</v>
      </c>
      <c r="J4132" s="1" t="n">
        <v>6</v>
      </c>
      <c r="K4132" s="1" t="n">
        <v>4.2</v>
      </c>
      <c r="L4132" s="15" t="n">
        <v>2067.25</v>
      </c>
      <c r="M4132" s="15" t="n">
        <f aca="false">F4132*G4132</f>
        <v>2199.2</v>
      </c>
      <c r="N4132" s="15" t="n">
        <f aca="false">M4132-L4132</f>
        <v>131.95</v>
      </c>
      <c r="O4132" s="1" t="n">
        <f aca="false">YEAR(B4132)</f>
        <v>2033</v>
      </c>
      <c r="P4132" s="1" t="n">
        <f aca="false">MONTH(B4132)</f>
        <v>4</v>
      </c>
      <c r="Q4132" s="1" t="str">
        <f aca="false">TEXT(B4132,"mmm")</f>
        <v>Apr</v>
      </c>
      <c r="R4132" s="1" t="str">
        <f aca="false">"Q"&amp;ROUNDUP(MONTH(B4132)/3,0)</f>
        <v>Q2</v>
      </c>
    </row>
    <row r="4133" customFormat="false" ht="15" hidden="false" customHeight="true" outlineLevel="0" collapsed="false">
      <c r="A4133" s="1" t="n">
        <v>14132</v>
      </c>
      <c r="B4133" s="14" t="n">
        <v>48693</v>
      </c>
      <c r="C4133" s="1" t="n">
        <v>1886</v>
      </c>
      <c r="D4133" s="1" t="s">
        <v>30</v>
      </c>
      <c r="E4133" s="1" t="s">
        <v>28</v>
      </c>
      <c r="F4133" s="1" t="n">
        <v>1</v>
      </c>
      <c r="G4133" s="15" t="n">
        <v>322.82</v>
      </c>
      <c r="H4133" s="16" t="n">
        <v>0.31</v>
      </c>
      <c r="I4133" s="1" t="s">
        <v>33</v>
      </c>
      <c r="J4133" s="1" t="n">
        <v>5</v>
      </c>
      <c r="K4133" s="1" t="n">
        <v>4.6</v>
      </c>
      <c r="L4133" s="15" t="n">
        <v>222.75</v>
      </c>
      <c r="M4133" s="15" t="n">
        <f aca="false">F4133*G4133</f>
        <v>322.82</v>
      </c>
      <c r="N4133" s="15" t="n">
        <f aca="false">M4133-L4133</f>
        <v>100.07</v>
      </c>
      <c r="O4133" s="1" t="n">
        <f aca="false">YEAR(B4133)</f>
        <v>2033</v>
      </c>
      <c r="P4133" s="1" t="n">
        <f aca="false">MONTH(B4133)</f>
        <v>4</v>
      </c>
      <c r="Q4133" s="1" t="str">
        <f aca="false">TEXT(B4133,"mmm")</f>
        <v>Apr</v>
      </c>
      <c r="R4133" s="1" t="str">
        <f aca="false">"Q"&amp;ROUNDUP(MONTH(B4133)/3,0)</f>
        <v>Q2</v>
      </c>
    </row>
    <row r="4134" customFormat="false" ht="15" hidden="false" customHeight="true" outlineLevel="0" collapsed="false">
      <c r="A4134" s="1" t="n">
        <v>14133</v>
      </c>
      <c r="B4134" s="14" t="n">
        <v>48694</v>
      </c>
      <c r="C4134" s="1" t="n">
        <v>1015</v>
      </c>
      <c r="D4134" s="1" t="s">
        <v>37</v>
      </c>
      <c r="E4134" s="1" t="s">
        <v>32</v>
      </c>
      <c r="F4134" s="1" t="n">
        <v>7</v>
      </c>
      <c r="G4134" s="15" t="n">
        <v>95.18</v>
      </c>
      <c r="H4134" s="16" t="n">
        <v>0.03</v>
      </c>
      <c r="I4134" s="1" t="s">
        <v>29</v>
      </c>
      <c r="J4134" s="1" t="n">
        <v>4</v>
      </c>
      <c r="K4134" s="1" t="n">
        <v>3</v>
      </c>
      <c r="L4134" s="15" t="n">
        <v>646.27</v>
      </c>
      <c r="M4134" s="15" t="n">
        <f aca="false">F4134*G4134</f>
        <v>666.26</v>
      </c>
      <c r="N4134" s="15" t="n">
        <f aca="false">M4134-L4134</f>
        <v>19.99</v>
      </c>
      <c r="O4134" s="1" t="n">
        <f aca="false">YEAR(B4134)</f>
        <v>2033</v>
      </c>
      <c r="P4134" s="1" t="n">
        <f aca="false">MONTH(B4134)</f>
        <v>4</v>
      </c>
      <c r="Q4134" s="1" t="str">
        <f aca="false">TEXT(B4134,"mmm")</f>
        <v>Apr</v>
      </c>
      <c r="R4134" s="1" t="str">
        <f aca="false">"Q"&amp;ROUNDUP(MONTH(B4134)/3,0)</f>
        <v>Q2</v>
      </c>
    </row>
    <row r="4135" customFormat="false" ht="15" hidden="false" customHeight="true" outlineLevel="0" collapsed="false">
      <c r="A4135" s="1" t="n">
        <v>14134</v>
      </c>
      <c r="B4135" s="14" t="n">
        <v>48695</v>
      </c>
      <c r="C4135" s="1" t="n">
        <v>1128</v>
      </c>
      <c r="D4135" s="1" t="s">
        <v>30</v>
      </c>
      <c r="E4135" s="1" t="s">
        <v>36</v>
      </c>
      <c r="F4135" s="1" t="n">
        <v>2</v>
      </c>
      <c r="G4135" s="15" t="n">
        <v>350.06</v>
      </c>
      <c r="H4135" s="16" t="n">
        <v>0.28</v>
      </c>
      <c r="I4135" s="1" t="s">
        <v>33</v>
      </c>
      <c r="J4135" s="1" t="n">
        <v>6</v>
      </c>
      <c r="K4135" s="1" t="n">
        <v>3.8</v>
      </c>
      <c r="L4135" s="15" t="n">
        <v>504.09</v>
      </c>
      <c r="M4135" s="15" t="n">
        <f aca="false">F4135*G4135</f>
        <v>700.12</v>
      </c>
      <c r="N4135" s="15" t="n">
        <f aca="false">M4135-L4135</f>
        <v>196.03</v>
      </c>
      <c r="O4135" s="1" t="n">
        <f aca="false">YEAR(B4135)</f>
        <v>2033</v>
      </c>
      <c r="P4135" s="1" t="n">
        <f aca="false">MONTH(B4135)</f>
        <v>4</v>
      </c>
      <c r="Q4135" s="1" t="str">
        <f aca="false">TEXT(B4135,"mmm")</f>
        <v>Apr</v>
      </c>
      <c r="R4135" s="1" t="str">
        <f aca="false">"Q"&amp;ROUNDUP(MONTH(B4135)/3,0)</f>
        <v>Q2</v>
      </c>
    </row>
    <row r="4136" customFormat="false" ht="15" hidden="false" customHeight="true" outlineLevel="0" collapsed="false">
      <c r="A4136" s="1" t="n">
        <v>14135</v>
      </c>
      <c r="B4136" s="14" t="n">
        <v>48696</v>
      </c>
      <c r="C4136" s="1" t="n">
        <v>1574</v>
      </c>
      <c r="D4136" s="1" t="s">
        <v>34</v>
      </c>
      <c r="E4136" s="1" t="s">
        <v>32</v>
      </c>
      <c r="F4136" s="1" t="n">
        <v>6</v>
      </c>
      <c r="G4136" s="15" t="n">
        <v>68.43</v>
      </c>
      <c r="H4136" s="16" t="n">
        <v>0.08</v>
      </c>
      <c r="I4136" s="1" t="s">
        <v>31</v>
      </c>
      <c r="J4136" s="1" t="n">
        <v>4</v>
      </c>
      <c r="K4136" s="1" t="n">
        <v>2.9</v>
      </c>
      <c r="L4136" s="15" t="n">
        <v>377.73</v>
      </c>
      <c r="M4136" s="15" t="n">
        <f aca="false">F4136*G4136</f>
        <v>410.58</v>
      </c>
      <c r="N4136" s="15" t="n">
        <f aca="false">M4136-L4136</f>
        <v>32.85</v>
      </c>
      <c r="O4136" s="1" t="n">
        <f aca="false">YEAR(B4136)</f>
        <v>2033</v>
      </c>
      <c r="P4136" s="1" t="n">
        <f aca="false">MONTH(B4136)</f>
        <v>4</v>
      </c>
      <c r="Q4136" s="1" t="str">
        <f aca="false">TEXT(B4136,"mmm")</f>
        <v>Apr</v>
      </c>
      <c r="R4136" s="1" t="str">
        <f aca="false">"Q"&amp;ROUNDUP(MONTH(B4136)/3,0)</f>
        <v>Q2</v>
      </c>
    </row>
    <row r="4137" customFormat="false" ht="15" hidden="false" customHeight="true" outlineLevel="0" collapsed="false">
      <c r="A4137" s="1" t="n">
        <v>14136</v>
      </c>
      <c r="B4137" s="14" t="n">
        <v>48697</v>
      </c>
      <c r="C4137" s="1" t="n">
        <v>1108</v>
      </c>
      <c r="D4137" s="1" t="s">
        <v>30</v>
      </c>
      <c r="E4137" s="1" t="s">
        <v>28</v>
      </c>
      <c r="F4137" s="1" t="n">
        <v>3</v>
      </c>
      <c r="G4137" s="15" t="n">
        <v>134.22</v>
      </c>
      <c r="H4137" s="16" t="n">
        <v>0.16</v>
      </c>
      <c r="I4137" s="1" t="s">
        <v>31</v>
      </c>
      <c r="J4137" s="1" t="n">
        <v>9</v>
      </c>
      <c r="K4137" s="1" t="n">
        <v>2.2</v>
      </c>
      <c r="L4137" s="15" t="n">
        <v>338.23</v>
      </c>
      <c r="M4137" s="15" t="n">
        <f aca="false">F4137*G4137</f>
        <v>402.66</v>
      </c>
      <c r="N4137" s="15" t="n">
        <f aca="false">M4137-L4137</f>
        <v>64.43</v>
      </c>
      <c r="O4137" s="1" t="n">
        <f aca="false">YEAR(B4137)</f>
        <v>2033</v>
      </c>
      <c r="P4137" s="1" t="n">
        <f aca="false">MONTH(B4137)</f>
        <v>4</v>
      </c>
      <c r="Q4137" s="1" t="str">
        <f aca="false">TEXT(B4137,"mmm")</f>
        <v>Apr</v>
      </c>
      <c r="R4137" s="1" t="str">
        <f aca="false">"Q"&amp;ROUNDUP(MONTH(B4137)/3,0)</f>
        <v>Q2</v>
      </c>
    </row>
    <row r="4138" customFormat="false" ht="15" hidden="false" customHeight="true" outlineLevel="0" collapsed="false">
      <c r="A4138" s="1" t="n">
        <v>14137</v>
      </c>
      <c r="B4138" s="14" t="n">
        <v>48698</v>
      </c>
      <c r="C4138" s="1" t="n">
        <v>1886</v>
      </c>
      <c r="D4138" s="1" t="s">
        <v>37</v>
      </c>
      <c r="E4138" s="1" t="s">
        <v>36</v>
      </c>
      <c r="F4138" s="1" t="n">
        <v>7</v>
      </c>
      <c r="G4138" s="15" t="n">
        <v>33.2</v>
      </c>
      <c r="H4138" s="16" t="n">
        <v>0.32</v>
      </c>
      <c r="I4138" s="1" t="s">
        <v>31</v>
      </c>
      <c r="J4138" s="1" t="n">
        <v>11</v>
      </c>
      <c r="K4138" s="1" t="n">
        <v>1.7</v>
      </c>
      <c r="L4138" s="15" t="n">
        <v>158.03</v>
      </c>
      <c r="M4138" s="15" t="n">
        <f aca="false">F4138*G4138</f>
        <v>232.4</v>
      </c>
      <c r="N4138" s="15" t="n">
        <f aca="false">M4138-L4138</f>
        <v>74.37</v>
      </c>
      <c r="O4138" s="1" t="n">
        <f aca="false">YEAR(B4138)</f>
        <v>2033</v>
      </c>
      <c r="P4138" s="1" t="n">
        <f aca="false">MONTH(B4138)</f>
        <v>4</v>
      </c>
      <c r="Q4138" s="1" t="str">
        <f aca="false">TEXT(B4138,"mmm")</f>
        <v>Apr</v>
      </c>
      <c r="R4138" s="1" t="str">
        <f aca="false">"Q"&amp;ROUNDUP(MONTH(B4138)/3,0)</f>
        <v>Q2</v>
      </c>
    </row>
    <row r="4139" customFormat="false" ht="15" hidden="false" customHeight="true" outlineLevel="0" collapsed="false">
      <c r="A4139" s="1" t="n">
        <v>14138</v>
      </c>
      <c r="B4139" s="14" t="n">
        <v>48699</v>
      </c>
      <c r="C4139" s="1" t="n">
        <v>1532</v>
      </c>
      <c r="D4139" s="1" t="s">
        <v>27</v>
      </c>
      <c r="E4139" s="1" t="s">
        <v>28</v>
      </c>
      <c r="F4139" s="1" t="n">
        <v>2</v>
      </c>
      <c r="G4139" s="15" t="n">
        <v>315.28</v>
      </c>
      <c r="H4139" s="16" t="n">
        <v>0.21</v>
      </c>
      <c r="I4139" s="1" t="s">
        <v>33</v>
      </c>
      <c r="J4139" s="1" t="n">
        <v>10</v>
      </c>
      <c r="K4139" s="1" t="n">
        <v>3.1</v>
      </c>
      <c r="L4139" s="15" t="n">
        <v>498.14</v>
      </c>
      <c r="M4139" s="15" t="n">
        <f aca="false">F4139*G4139</f>
        <v>630.56</v>
      </c>
      <c r="N4139" s="15" t="n">
        <f aca="false">M4139-L4139</f>
        <v>132.42</v>
      </c>
      <c r="O4139" s="1" t="n">
        <f aca="false">YEAR(B4139)</f>
        <v>2033</v>
      </c>
      <c r="P4139" s="1" t="n">
        <f aca="false">MONTH(B4139)</f>
        <v>4</v>
      </c>
      <c r="Q4139" s="1" t="str">
        <f aca="false">TEXT(B4139,"mmm")</f>
        <v>Apr</v>
      </c>
      <c r="R4139" s="1" t="str">
        <f aca="false">"Q"&amp;ROUNDUP(MONTH(B4139)/3,0)</f>
        <v>Q2</v>
      </c>
    </row>
    <row r="4140" customFormat="false" ht="15" hidden="false" customHeight="true" outlineLevel="0" collapsed="false">
      <c r="A4140" s="1" t="n">
        <v>14139</v>
      </c>
      <c r="B4140" s="14" t="n">
        <v>48700</v>
      </c>
      <c r="C4140" s="1" t="n">
        <v>1669</v>
      </c>
      <c r="D4140" s="1" t="s">
        <v>30</v>
      </c>
      <c r="E4140" s="1" t="s">
        <v>32</v>
      </c>
      <c r="F4140" s="1" t="n">
        <v>5</v>
      </c>
      <c r="G4140" s="15" t="n">
        <v>64.45</v>
      </c>
      <c r="H4140" s="16" t="n">
        <v>0.07</v>
      </c>
      <c r="I4140" s="1" t="s">
        <v>31</v>
      </c>
      <c r="J4140" s="1" t="n">
        <v>7</v>
      </c>
      <c r="K4140" s="1" t="n">
        <v>4.7</v>
      </c>
      <c r="L4140" s="15" t="n">
        <v>299.69</v>
      </c>
      <c r="M4140" s="15" t="n">
        <f aca="false">F4140*G4140</f>
        <v>322.25</v>
      </c>
      <c r="N4140" s="15" t="n">
        <f aca="false">M4140-L4140</f>
        <v>22.56</v>
      </c>
      <c r="O4140" s="1" t="n">
        <f aca="false">YEAR(B4140)</f>
        <v>2033</v>
      </c>
      <c r="P4140" s="1" t="n">
        <f aca="false">MONTH(B4140)</f>
        <v>5</v>
      </c>
      <c r="Q4140" s="1" t="str">
        <f aca="false">TEXT(B4140,"mmm")</f>
        <v>May</v>
      </c>
      <c r="R4140" s="1" t="str">
        <f aca="false">"Q"&amp;ROUNDUP(MONTH(B4140)/3,0)</f>
        <v>Q2</v>
      </c>
    </row>
    <row r="4141" customFormat="false" ht="15" hidden="false" customHeight="true" outlineLevel="0" collapsed="false">
      <c r="A4141" s="1" t="n">
        <v>14140</v>
      </c>
      <c r="B4141" s="14" t="n">
        <v>48701</v>
      </c>
      <c r="C4141" s="1" t="n">
        <v>1268</v>
      </c>
      <c r="D4141" s="1" t="s">
        <v>37</v>
      </c>
      <c r="E4141" s="1" t="s">
        <v>35</v>
      </c>
      <c r="F4141" s="1" t="n">
        <v>4</v>
      </c>
      <c r="G4141" s="15" t="n">
        <v>289.6</v>
      </c>
      <c r="H4141" s="16" t="n">
        <v>0.1</v>
      </c>
      <c r="I4141" s="1" t="s">
        <v>31</v>
      </c>
      <c r="J4141" s="1" t="n">
        <v>3</v>
      </c>
      <c r="K4141" s="1" t="n">
        <v>4.6</v>
      </c>
      <c r="L4141" s="15" t="n">
        <v>1042.56</v>
      </c>
      <c r="M4141" s="15" t="n">
        <f aca="false">F4141*G4141</f>
        <v>1158.4</v>
      </c>
      <c r="N4141" s="15" t="n">
        <f aca="false">M4141-L4141</f>
        <v>115.84</v>
      </c>
      <c r="O4141" s="1" t="n">
        <f aca="false">YEAR(B4141)</f>
        <v>2033</v>
      </c>
      <c r="P4141" s="1" t="n">
        <f aca="false">MONTH(B4141)</f>
        <v>5</v>
      </c>
      <c r="Q4141" s="1" t="str">
        <f aca="false">TEXT(B4141,"mmm")</f>
        <v>May</v>
      </c>
      <c r="R4141" s="1" t="str">
        <f aca="false">"Q"&amp;ROUNDUP(MONTH(B4141)/3,0)</f>
        <v>Q2</v>
      </c>
    </row>
    <row r="4142" customFormat="false" ht="15" hidden="false" customHeight="true" outlineLevel="0" collapsed="false">
      <c r="A4142" s="1" t="n">
        <v>14141</v>
      </c>
      <c r="B4142" s="14" t="n">
        <v>48702</v>
      </c>
      <c r="C4142" s="1" t="n">
        <v>1161</v>
      </c>
      <c r="D4142" s="1" t="s">
        <v>27</v>
      </c>
      <c r="E4142" s="1" t="s">
        <v>28</v>
      </c>
      <c r="F4142" s="1" t="n">
        <v>5</v>
      </c>
      <c r="G4142" s="15" t="n">
        <v>560.77</v>
      </c>
      <c r="H4142" s="16" t="n">
        <v>0.32</v>
      </c>
      <c r="I4142" s="1" t="s">
        <v>31</v>
      </c>
      <c r="J4142" s="1" t="n">
        <v>10</v>
      </c>
      <c r="K4142" s="1" t="n">
        <v>4.7</v>
      </c>
      <c r="L4142" s="15" t="n">
        <v>1906.62</v>
      </c>
      <c r="M4142" s="15" t="n">
        <f aca="false">F4142*G4142</f>
        <v>2803.85</v>
      </c>
      <c r="N4142" s="15" t="n">
        <f aca="false">M4142-L4142</f>
        <v>897.23</v>
      </c>
      <c r="O4142" s="1" t="n">
        <f aca="false">YEAR(B4142)</f>
        <v>2033</v>
      </c>
      <c r="P4142" s="1" t="n">
        <f aca="false">MONTH(B4142)</f>
        <v>5</v>
      </c>
      <c r="Q4142" s="1" t="str">
        <f aca="false">TEXT(B4142,"mmm")</f>
        <v>May</v>
      </c>
      <c r="R4142" s="1" t="str">
        <f aca="false">"Q"&amp;ROUNDUP(MONTH(B4142)/3,0)</f>
        <v>Q2</v>
      </c>
    </row>
    <row r="4143" customFormat="false" ht="15" hidden="false" customHeight="true" outlineLevel="0" collapsed="false">
      <c r="A4143" s="1" t="n">
        <v>14142</v>
      </c>
      <c r="B4143" s="14" t="n">
        <v>48703</v>
      </c>
      <c r="C4143" s="1" t="n">
        <v>1259</v>
      </c>
      <c r="D4143" s="1" t="s">
        <v>34</v>
      </c>
      <c r="E4143" s="1" t="s">
        <v>32</v>
      </c>
      <c r="F4143" s="1" t="n">
        <v>2</v>
      </c>
      <c r="G4143" s="15" t="n">
        <v>436.06</v>
      </c>
      <c r="H4143" s="16" t="n">
        <v>0.15</v>
      </c>
      <c r="I4143" s="1" t="s">
        <v>33</v>
      </c>
      <c r="J4143" s="1" t="n">
        <v>4</v>
      </c>
      <c r="K4143" s="1" t="n">
        <v>4.9</v>
      </c>
      <c r="L4143" s="15" t="n">
        <v>741.3</v>
      </c>
      <c r="M4143" s="15" t="n">
        <f aca="false">F4143*G4143</f>
        <v>872.12</v>
      </c>
      <c r="N4143" s="15" t="n">
        <f aca="false">M4143-L4143</f>
        <v>130.82</v>
      </c>
      <c r="O4143" s="1" t="n">
        <f aca="false">YEAR(B4143)</f>
        <v>2033</v>
      </c>
      <c r="P4143" s="1" t="n">
        <f aca="false">MONTH(B4143)</f>
        <v>5</v>
      </c>
      <c r="Q4143" s="1" t="str">
        <f aca="false">TEXT(B4143,"mmm")</f>
        <v>May</v>
      </c>
      <c r="R4143" s="1" t="str">
        <f aca="false">"Q"&amp;ROUNDUP(MONTH(B4143)/3,0)</f>
        <v>Q2</v>
      </c>
    </row>
    <row r="4144" customFormat="false" ht="15" hidden="false" customHeight="true" outlineLevel="0" collapsed="false">
      <c r="A4144" s="1" t="n">
        <v>14143</v>
      </c>
      <c r="B4144" s="14" t="n">
        <v>48704</v>
      </c>
      <c r="C4144" s="1" t="n">
        <v>1923</v>
      </c>
      <c r="D4144" s="1" t="s">
        <v>34</v>
      </c>
      <c r="E4144" s="1" t="s">
        <v>35</v>
      </c>
      <c r="F4144" s="1" t="n">
        <v>1</v>
      </c>
      <c r="G4144" s="15" t="n">
        <v>60.29</v>
      </c>
      <c r="H4144" s="16" t="n">
        <v>0.21</v>
      </c>
      <c r="I4144" s="1" t="s">
        <v>31</v>
      </c>
      <c r="J4144" s="1" t="n">
        <v>1</v>
      </c>
      <c r="K4144" s="1" t="n">
        <v>1.7</v>
      </c>
      <c r="L4144" s="15" t="n">
        <v>47.63</v>
      </c>
      <c r="M4144" s="15" t="n">
        <f aca="false">F4144*G4144</f>
        <v>60.29</v>
      </c>
      <c r="N4144" s="15" t="n">
        <f aca="false">M4144-L4144</f>
        <v>12.66</v>
      </c>
      <c r="O4144" s="1" t="n">
        <f aca="false">YEAR(B4144)</f>
        <v>2033</v>
      </c>
      <c r="P4144" s="1" t="n">
        <f aca="false">MONTH(B4144)</f>
        <v>5</v>
      </c>
      <c r="Q4144" s="1" t="str">
        <f aca="false">TEXT(B4144,"mmm")</f>
        <v>May</v>
      </c>
      <c r="R4144" s="1" t="str">
        <f aca="false">"Q"&amp;ROUNDUP(MONTH(B4144)/3,0)</f>
        <v>Q2</v>
      </c>
    </row>
    <row r="4145" customFormat="false" ht="15" hidden="false" customHeight="true" outlineLevel="0" collapsed="false">
      <c r="A4145" s="1" t="n">
        <v>14144</v>
      </c>
      <c r="B4145" s="14" t="n">
        <v>48705</v>
      </c>
      <c r="C4145" s="1" t="n">
        <v>1101</v>
      </c>
      <c r="D4145" s="1" t="s">
        <v>37</v>
      </c>
      <c r="E4145" s="1" t="s">
        <v>35</v>
      </c>
      <c r="F4145" s="1" t="n">
        <v>7</v>
      </c>
      <c r="G4145" s="15" t="n">
        <v>146.16</v>
      </c>
      <c r="H4145" s="16" t="n">
        <v>0.16</v>
      </c>
      <c r="I4145" s="1" t="s">
        <v>33</v>
      </c>
      <c r="J4145" s="1" t="n">
        <v>6</v>
      </c>
      <c r="K4145" s="1" t="n">
        <v>1.6</v>
      </c>
      <c r="L4145" s="15" t="n">
        <v>859.42</v>
      </c>
      <c r="M4145" s="15" t="n">
        <f aca="false">F4145*G4145</f>
        <v>1023.12</v>
      </c>
      <c r="N4145" s="15" t="n">
        <f aca="false">M4145-L4145</f>
        <v>163.7</v>
      </c>
      <c r="O4145" s="1" t="n">
        <f aca="false">YEAR(B4145)</f>
        <v>2033</v>
      </c>
      <c r="P4145" s="1" t="n">
        <f aca="false">MONTH(B4145)</f>
        <v>5</v>
      </c>
      <c r="Q4145" s="1" t="str">
        <f aca="false">TEXT(B4145,"mmm")</f>
        <v>May</v>
      </c>
      <c r="R4145" s="1" t="str">
        <f aca="false">"Q"&amp;ROUNDUP(MONTH(B4145)/3,0)</f>
        <v>Q2</v>
      </c>
    </row>
    <row r="4146" customFormat="false" ht="15" hidden="false" customHeight="true" outlineLevel="0" collapsed="false">
      <c r="A4146" s="1" t="n">
        <v>14145</v>
      </c>
      <c r="B4146" s="14" t="n">
        <v>48706</v>
      </c>
      <c r="C4146" s="1" t="n">
        <v>1505</v>
      </c>
      <c r="D4146" s="1" t="s">
        <v>37</v>
      </c>
      <c r="E4146" s="1" t="s">
        <v>36</v>
      </c>
      <c r="F4146" s="1" t="n">
        <v>4</v>
      </c>
      <c r="G4146" s="15" t="n">
        <v>409.09</v>
      </c>
      <c r="H4146" s="16" t="n">
        <v>0.13</v>
      </c>
      <c r="I4146" s="1" t="s">
        <v>33</v>
      </c>
      <c r="J4146" s="1" t="n">
        <v>2</v>
      </c>
      <c r="K4146" s="1" t="n">
        <v>2.7</v>
      </c>
      <c r="L4146" s="15" t="n">
        <v>1423.63</v>
      </c>
      <c r="M4146" s="15" t="n">
        <f aca="false">F4146*G4146</f>
        <v>1636.36</v>
      </c>
      <c r="N4146" s="15" t="n">
        <f aca="false">M4146-L4146</f>
        <v>212.73</v>
      </c>
      <c r="O4146" s="1" t="n">
        <f aca="false">YEAR(B4146)</f>
        <v>2033</v>
      </c>
      <c r="P4146" s="1" t="n">
        <f aca="false">MONTH(B4146)</f>
        <v>5</v>
      </c>
      <c r="Q4146" s="1" t="str">
        <f aca="false">TEXT(B4146,"mmm")</f>
        <v>May</v>
      </c>
      <c r="R4146" s="1" t="str">
        <f aca="false">"Q"&amp;ROUNDUP(MONTH(B4146)/3,0)</f>
        <v>Q2</v>
      </c>
    </row>
    <row r="4147" customFormat="false" ht="15" hidden="false" customHeight="true" outlineLevel="0" collapsed="false">
      <c r="A4147" s="1" t="n">
        <v>14146</v>
      </c>
      <c r="B4147" s="14" t="n">
        <v>48707</v>
      </c>
      <c r="C4147" s="1" t="n">
        <v>1734</v>
      </c>
      <c r="D4147" s="1" t="s">
        <v>27</v>
      </c>
      <c r="E4147" s="1" t="s">
        <v>35</v>
      </c>
      <c r="F4147" s="1" t="n">
        <v>7</v>
      </c>
      <c r="G4147" s="15" t="n">
        <v>538.4</v>
      </c>
      <c r="H4147" s="16" t="n">
        <v>0.08</v>
      </c>
      <c r="I4147" s="1" t="s">
        <v>31</v>
      </c>
      <c r="J4147" s="1" t="n">
        <v>4</v>
      </c>
      <c r="K4147" s="1" t="n">
        <v>3.8</v>
      </c>
      <c r="L4147" s="15" t="n">
        <v>3467.3</v>
      </c>
      <c r="M4147" s="15" t="n">
        <f aca="false">F4147*G4147</f>
        <v>3768.8</v>
      </c>
      <c r="N4147" s="15" t="n">
        <f aca="false">M4147-L4147</f>
        <v>301.5</v>
      </c>
      <c r="O4147" s="1" t="n">
        <f aca="false">YEAR(B4147)</f>
        <v>2033</v>
      </c>
      <c r="P4147" s="1" t="n">
        <f aca="false">MONTH(B4147)</f>
        <v>5</v>
      </c>
      <c r="Q4147" s="1" t="str">
        <f aca="false">TEXT(B4147,"mmm")</f>
        <v>May</v>
      </c>
      <c r="R4147" s="1" t="str">
        <f aca="false">"Q"&amp;ROUNDUP(MONTH(B4147)/3,0)</f>
        <v>Q2</v>
      </c>
    </row>
    <row r="4148" customFormat="false" ht="15" hidden="false" customHeight="true" outlineLevel="0" collapsed="false">
      <c r="A4148" s="1" t="n">
        <v>14147</v>
      </c>
      <c r="B4148" s="14" t="n">
        <v>48708</v>
      </c>
      <c r="C4148" s="1" t="n">
        <v>1570</v>
      </c>
      <c r="D4148" s="1" t="s">
        <v>30</v>
      </c>
      <c r="E4148" s="1" t="s">
        <v>28</v>
      </c>
      <c r="F4148" s="1" t="n">
        <v>7</v>
      </c>
      <c r="G4148" s="15" t="n">
        <v>34.26</v>
      </c>
      <c r="H4148" s="16" t="n">
        <v>0.24</v>
      </c>
      <c r="I4148" s="1" t="s">
        <v>33</v>
      </c>
      <c r="J4148" s="1" t="n">
        <v>5</v>
      </c>
      <c r="K4148" s="1" t="n">
        <v>2.8</v>
      </c>
      <c r="L4148" s="15" t="n">
        <v>182.26</v>
      </c>
      <c r="M4148" s="15" t="n">
        <f aca="false">F4148*G4148</f>
        <v>239.82</v>
      </c>
      <c r="N4148" s="15" t="n">
        <f aca="false">M4148-L4148</f>
        <v>57.56</v>
      </c>
      <c r="O4148" s="1" t="n">
        <f aca="false">YEAR(B4148)</f>
        <v>2033</v>
      </c>
      <c r="P4148" s="1" t="n">
        <f aca="false">MONTH(B4148)</f>
        <v>5</v>
      </c>
      <c r="Q4148" s="1" t="str">
        <f aca="false">TEXT(B4148,"mmm")</f>
        <v>May</v>
      </c>
      <c r="R4148" s="1" t="str">
        <f aca="false">"Q"&amp;ROUNDUP(MONTH(B4148)/3,0)</f>
        <v>Q2</v>
      </c>
    </row>
    <row r="4149" customFormat="false" ht="15" hidden="false" customHeight="true" outlineLevel="0" collapsed="false">
      <c r="A4149" s="1" t="n">
        <v>14148</v>
      </c>
      <c r="B4149" s="14" t="n">
        <v>48709</v>
      </c>
      <c r="C4149" s="1" t="n">
        <v>1246</v>
      </c>
      <c r="D4149" s="1" t="s">
        <v>34</v>
      </c>
      <c r="E4149" s="1" t="s">
        <v>28</v>
      </c>
      <c r="F4149" s="1" t="n">
        <v>4</v>
      </c>
      <c r="G4149" s="15" t="n">
        <v>490.28</v>
      </c>
      <c r="H4149" s="16" t="n">
        <v>0.25</v>
      </c>
      <c r="I4149" s="1" t="s">
        <v>31</v>
      </c>
      <c r="J4149" s="1" t="n">
        <v>8</v>
      </c>
      <c r="K4149" s="1" t="n">
        <v>4.6</v>
      </c>
      <c r="L4149" s="15" t="n">
        <v>1470.84</v>
      </c>
      <c r="M4149" s="15" t="n">
        <f aca="false">F4149*G4149</f>
        <v>1961.12</v>
      </c>
      <c r="N4149" s="15" t="n">
        <f aca="false">M4149-L4149</f>
        <v>490.28</v>
      </c>
      <c r="O4149" s="1" t="n">
        <f aca="false">YEAR(B4149)</f>
        <v>2033</v>
      </c>
      <c r="P4149" s="1" t="n">
        <f aca="false">MONTH(B4149)</f>
        <v>5</v>
      </c>
      <c r="Q4149" s="1" t="str">
        <f aca="false">TEXT(B4149,"mmm")</f>
        <v>May</v>
      </c>
      <c r="R4149" s="1" t="str">
        <f aca="false">"Q"&amp;ROUNDUP(MONTH(B4149)/3,0)</f>
        <v>Q2</v>
      </c>
    </row>
    <row r="4150" customFormat="false" ht="15" hidden="false" customHeight="true" outlineLevel="0" collapsed="false">
      <c r="A4150" s="1" t="n">
        <v>14149</v>
      </c>
      <c r="B4150" s="14" t="n">
        <v>48710</v>
      </c>
      <c r="C4150" s="1" t="n">
        <v>1639</v>
      </c>
      <c r="D4150" s="1" t="s">
        <v>30</v>
      </c>
      <c r="E4150" s="1" t="s">
        <v>35</v>
      </c>
      <c r="F4150" s="1" t="n">
        <v>2</v>
      </c>
      <c r="G4150" s="15" t="n">
        <v>343.66</v>
      </c>
      <c r="H4150" s="16" t="n">
        <v>0.1</v>
      </c>
      <c r="I4150" s="1" t="s">
        <v>31</v>
      </c>
      <c r="J4150" s="1" t="n">
        <v>3</v>
      </c>
      <c r="K4150" s="1" t="n">
        <v>3.9</v>
      </c>
      <c r="L4150" s="15" t="n">
        <v>618.59</v>
      </c>
      <c r="M4150" s="15" t="n">
        <f aca="false">F4150*G4150</f>
        <v>687.32</v>
      </c>
      <c r="N4150" s="15" t="n">
        <f aca="false">M4150-L4150</f>
        <v>68.73</v>
      </c>
      <c r="O4150" s="1" t="n">
        <f aca="false">YEAR(B4150)</f>
        <v>2033</v>
      </c>
      <c r="P4150" s="1" t="n">
        <f aca="false">MONTH(B4150)</f>
        <v>5</v>
      </c>
      <c r="Q4150" s="1" t="str">
        <f aca="false">TEXT(B4150,"mmm")</f>
        <v>May</v>
      </c>
      <c r="R4150" s="1" t="str">
        <f aca="false">"Q"&amp;ROUNDUP(MONTH(B4150)/3,0)</f>
        <v>Q2</v>
      </c>
    </row>
    <row r="4151" customFormat="false" ht="15" hidden="false" customHeight="true" outlineLevel="0" collapsed="false">
      <c r="A4151" s="1" t="n">
        <v>14150</v>
      </c>
      <c r="B4151" s="14" t="n">
        <v>48711</v>
      </c>
      <c r="C4151" s="1" t="n">
        <v>1794</v>
      </c>
      <c r="D4151" s="1" t="s">
        <v>34</v>
      </c>
      <c r="E4151" s="1" t="s">
        <v>32</v>
      </c>
      <c r="F4151" s="1" t="n">
        <v>6</v>
      </c>
      <c r="G4151" s="15" t="n">
        <v>334.46</v>
      </c>
      <c r="H4151" s="16" t="n">
        <v>0.28</v>
      </c>
      <c r="I4151" s="1" t="s">
        <v>33</v>
      </c>
      <c r="J4151" s="1" t="n">
        <v>6</v>
      </c>
      <c r="K4151" s="1" t="n">
        <v>3.5</v>
      </c>
      <c r="L4151" s="15" t="n">
        <v>1444.87</v>
      </c>
      <c r="M4151" s="15" t="n">
        <f aca="false">F4151*G4151</f>
        <v>2006.76</v>
      </c>
      <c r="N4151" s="15" t="n">
        <f aca="false">M4151-L4151</f>
        <v>561.89</v>
      </c>
      <c r="O4151" s="1" t="n">
        <f aca="false">YEAR(B4151)</f>
        <v>2033</v>
      </c>
      <c r="P4151" s="1" t="n">
        <f aca="false">MONTH(B4151)</f>
        <v>5</v>
      </c>
      <c r="Q4151" s="1" t="str">
        <f aca="false">TEXT(B4151,"mmm")</f>
        <v>May</v>
      </c>
      <c r="R4151" s="1" t="str">
        <f aca="false">"Q"&amp;ROUNDUP(MONTH(B4151)/3,0)</f>
        <v>Q2</v>
      </c>
    </row>
    <row r="4152" customFormat="false" ht="15" hidden="false" customHeight="true" outlineLevel="0" collapsed="false">
      <c r="A4152" s="1" t="n">
        <v>14151</v>
      </c>
      <c r="B4152" s="14" t="n">
        <v>48712</v>
      </c>
      <c r="C4152" s="1" t="n">
        <v>1836</v>
      </c>
      <c r="D4152" s="1" t="s">
        <v>34</v>
      </c>
      <c r="E4152" s="1" t="s">
        <v>28</v>
      </c>
      <c r="F4152" s="1" t="n">
        <v>6</v>
      </c>
      <c r="G4152" s="15" t="n">
        <v>575.32</v>
      </c>
      <c r="H4152" s="16" t="n">
        <v>0.3</v>
      </c>
      <c r="I4152" s="1" t="s">
        <v>33</v>
      </c>
      <c r="J4152" s="1" t="n">
        <v>1</v>
      </c>
      <c r="K4152" s="1" t="n">
        <v>1.3</v>
      </c>
      <c r="L4152" s="15" t="n">
        <v>2416.34</v>
      </c>
      <c r="M4152" s="15" t="n">
        <f aca="false">F4152*G4152</f>
        <v>3451.92</v>
      </c>
      <c r="N4152" s="15" t="n">
        <f aca="false">M4152-L4152</f>
        <v>1035.58</v>
      </c>
      <c r="O4152" s="1" t="n">
        <f aca="false">YEAR(B4152)</f>
        <v>2033</v>
      </c>
      <c r="P4152" s="1" t="n">
        <f aca="false">MONTH(B4152)</f>
        <v>5</v>
      </c>
      <c r="Q4152" s="1" t="str">
        <f aca="false">TEXT(B4152,"mmm")</f>
        <v>May</v>
      </c>
      <c r="R4152" s="1" t="str">
        <f aca="false">"Q"&amp;ROUNDUP(MONTH(B4152)/3,0)</f>
        <v>Q2</v>
      </c>
    </row>
    <row r="4153" customFormat="false" ht="15" hidden="false" customHeight="true" outlineLevel="0" collapsed="false">
      <c r="A4153" s="1" t="n">
        <v>14152</v>
      </c>
      <c r="B4153" s="14" t="n">
        <v>48713</v>
      </c>
      <c r="C4153" s="1" t="n">
        <v>1536</v>
      </c>
      <c r="D4153" s="1" t="s">
        <v>37</v>
      </c>
      <c r="E4153" s="1" t="s">
        <v>28</v>
      </c>
      <c r="F4153" s="1" t="n">
        <v>5</v>
      </c>
      <c r="G4153" s="15" t="n">
        <v>452.37</v>
      </c>
      <c r="H4153" s="16" t="n">
        <v>0.32</v>
      </c>
      <c r="I4153" s="1" t="s">
        <v>33</v>
      </c>
      <c r="J4153" s="1" t="n">
        <v>9</v>
      </c>
      <c r="K4153" s="1" t="n">
        <v>1.7</v>
      </c>
      <c r="L4153" s="15" t="n">
        <v>1538.06</v>
      </c>
      <c r="M4153" s="15" t="n">
        <f aca="false">F4153*G4153</f>
        <v>2261.85</v>
      </c>
      <c r="N4153" s="15" t="n">
        <f aca="false">M4153-L4153</f>
        <v>723.79</v>
      </c>
      <c r="O4153" s="1" t="n">
        <f aca="false">YEAR(B4153)</f>
        <v>2033</v>
      </c>
      <c r="P4153" s="1" t="n">
        <f aca="false">MONTH(B4153)</f>
        <v>5</v>
      </c>
      <c r="Q4153" s="1" t="str">
        <f aca="false">TEXT(B4153,"mmm")</f>
        <v>May</v>
      </c>
      <c r="R4153" s="1" t="str">
        <f aca="false">"Q"&amp;ROUNDUP(MONTH(B4153)/3,0)</f>
        <v>Q2</v>
      </c>
    </row>
    <row r="4154" customFormat="false" ht="15" hidden="false" customHeight="true" outlineLevel="0" collapsed="false">
      <c r="A4154" s="1" t="n">
        <v>14153</v>
      </c>
      <c r="B4154" s="14" t="n">
        <v>48714</v>
      </c>
      <c r="C4154" s="1" t="n">
        <v>1130</v>
      </c>
      <c r="D4154" s="1" t="s">
        <v>34</v>
      </c>
      <c r="E4154" s="1" t="s">
        <v>36</v>
      </c>
      <c r="F4154" s="1" t="n">
        <v>2</v>
      </c>
      <c r="G4154" s="15" t="n">
        <v>512.32</v>
      </c>
      <c r="H4154" s="16" t="n">
        <v>0.06</v>
      </c>
      <c r="I4154" s="1" t="s">
        <v>33</v>
      </c>
      <c r="J4154" s="1" t="n">
        <v>1</v>
      </c>
      <c r="K4154" s="1" t="n">
        <v>2.7</v>
      </c>
      <c r="L4154" s="15" t="n">
        <v>963.16</v>
      </c>
      <c r="M4154" s="15" t="n">
        <f aca="false">F4154*G4154</f>
        <v>1024.64</v>
      </c>
      <c r="N4154" s="15" t="n">
        <f aca="false">M4154-L4154</f>
        <v>61.4800000000001</v>
      </c>
      <c r="O4154" s="1" t="n">
        <f aca="false">YEAR(B4154)</f>
        <v>2033</v>
      </c>
      <c r="P4154" s="1" t="n">
        <f aca="false">MONTH(B4154)</f>
        <v>5</v>
      </c>
      <c r="Q4154" s="1" t="str">
        <f aca="false">TEXT(B4154,"mmm")</f>
        <v>May</v>
      </c>
      <c r="R4154" s="1" t="str">
        <f aca="false">"Q"&amp;ROUNDUP(MONTH(B4154)/3,0)</f>
        <v>Q2</v>
      </c>
    </row>
    <row r="4155" customFormat="false" ht="15" hidden="false" customHeight="true" outlineLevel="0" collapsed="false">
      <c r="A4155" s="1" t="n">
        <v>14154</v>
      </c>
      <c r="B4155" s="14" t="n">
        <v>48715</v>
      </c>
      <c r="C4155" s="1" t="n">
        <v>1352</v>
      </c>
      <c r="D4155" s="1" t="s">
        <v>37</v>
      </c>
      <c r="E4155" s="1" t="s">
        <v>32</v>
      </c>
      <c r="F4155" s="1" t="n">
        <v>4</v>
      </c>
      <c r="G4155" s="15" t="n">
        <v>222.09</v>
      </c>
      <c r="H4155" s="16" t="n">
        <v>0.11</v>
      </c>
      <c r="I4155" s="1" t="s">
        <v>29</v>
      </c>
      <c r="J4155" s="1" t="n">
        <v>2</v>
      </c>
      <c r="K4155" s="1" t="n">
        <v>4.9</v>
      </c>
      <c r="L4155" s="15" t="n">
        <v>790.64</v>
      </c>
      <c r="M4155" s="15" t="n">
        <f aca="false">F4155*G4155</f>
        <v>888.36</v>
      </c>
      <c r="N4155" s="15" t="n">
        <f aca="false">M4155-L4155</f>
        <v>97.72</v>
      </c>
      <c r="O4155" s="1" t="n">
        <f aca="false">YEAR(B4155)</f>
        <v>2033</v>
      </c>
      <c r="P4155" s="1" t="n">
        <f aca="false">MONTH(B4155)</f>
        <v>5</v>
      </c>
      <c r="Q4155" s="1" t="str">
        <f aca="false">TEXT(B4155,"mmm")</f>
        <v>May</v>
      </c>
      <c r="R4155" s="1" t="str">
        <f aca="false">"Q"&amp;ROUNDUP(MONTH(B4155)/3,0)</f>
        <v>Q2</v>
      </c>
    </row>
    <row r="4156" customFormat="false" ht="15" hidden="false" customHeight="true" outlineLevel="0" collapsed="false">
      <c r="A4156" s="1" t="n">
        <v>14155</v>
      </c>
      <c r="B4156" s="14" t="n">
        <v>48716</v>
      </c>
      <c r="C4156" s="1" t="n">
        <v>1195</v>
      </c>
      <c r="D4156" s="1" t="s">
        <v>30</v>
      </c>
      <c r="E4156" s="1" t="s">
        <v>35</v>
      </c>
      <c r="F4156" s="1" t="n">
        <v>2</v>
      </c>
      <c r="G4156" s="15" t="n">
        <v>339.3</v>
      </c>
      <c r="H4156" s="16" t="n">
        <v>0.3</v>
      </c>
      <c r="I4156" s="1" t="s">
        <v>31</v>
      </c>
      <c r="J4156" s="1" t="n">
        <v>1</v>
      </c>
      <c r="K4156" s="1" t="n">
        <v>2.3</v>
      </c>
      <c r="L4156" s="15" t="n">
        <v>475.02</v>
      </c>
      <c r="M4156" s="15" t="n">
        <f aca="false">F4156*G4156</f>
        <v>678.6</v>
      </c>
      <c r="N4156" s="15" t="n">
        <f aca="false">M4156-L4156</f>
        <v>203.58</v>
      </c>
      <c r="O4156" s="1" t="n">
        <f aca="false">YEAR(B4156)</f>
        <v>2033</v>
      </c>
      <c r="P4156" s="1" t="n">
        <f aca="false">MONTH(B4156)</f>
        <v>5</v>
      </c>
      <c r="Q4156" s="1" t="str">
        <f aca="false">TEXT(B4156,"mmm")</f>
        <v>May</v>
      </c>
      <c r="R4156" s="1" t="str">
        <f aca="false">"Q"&amp;ROUNDUP(MONTH(B4156)/3,0)</f>
        <v>Q2</v>
      </c>
    </row>
    <row r="4157" customFormat="false" ht="15" hidden="false" customHeight="true" outlineLevel="0" collapsed="false">
      <c r="A4157" s="1" t="n">
        <v>14156</v>
      </c>
      <c r="B4157" s="14" t="n">
        <v>48717</v>
      </c>
      <c r="C4157" s="1" t="n">
        <v>1792</v>
      </c>
      <c r="D4157" s="1" t="s">
        <v>30</v>
      </c>
      <c r="E4157" s="1" t="s">
        <v>32</v>
      </c>
      <c r="F4157" s="1" t="n">
        <v>4</v>
      </c>
      <c r="G4157" s="15" t="n">
        <v>375.01</v>
      </c>
      <c r="H4157" s="16" t="n">
        <v>0.07</v>
      </c>
      <c r="I4157" s="1" t="s">
        <v>33</v>
      </c>
      <c r="J4157" s="1" t="n">
        <v>8</v>
      </c>
      <c r="K4157" s="1" t="n">
        <v>3.5</v>
      </c>
      <c r="L4157" s="15" t="n">
        <v>1395.04</v>
      </c>
      <c r="M4157" s="15" t="n">
        <f aca="false">F4157*G4157</f>
        <v>1500.04</v>
      </c>
      <c r="N4157" s="15" t="n">
        <f aca="false">M4157-L4157</f>
        <v>105</v>
      </c>
      <c r="O4157" s="1" t="n">
        <f aca="false">YEAR(B4157)</f>
        <v>2033</v>
      </c>
      <c r="P4157" s="1" t="n">
        <f aca="false">MONTH(B4157)</f>
        <v>5</v>
      </c>
      <c r="Q4157" s="1" t="str">
        <f aca="false">TEXT(B4157,"mmm")</f>
        <v>May</v>
      </c>
      <c r="R4157" s="1" t="str">
        <f aca="false">"Q"&amp;ROUNDUP(MONTH(B4157)/3,0)</f>
        <v>Q2</v>
      </c>
    </row>
    <row r="4158" customFormat="false" ht="15" hidden="false" customHeight="true" outlineLevel="0" collapsed="false">
      <c r="A4158" s="1" t="n">
        <v>14157</v>
      </c>
      <c r="B4158" s="14" t="n">
        <v>48718</v>
      </c>
      <c r="C4158" s="1" t="n">
        <v>1915</v>
      </c>
      <c r="D4158" s="1" t="s">
        <v>34</v>
      </c>
      <c r="E4158" s="1" t="s">
        <v>36</v>
      </c>
      <c r="F4158" s="1" t="n">
        <v>7</v>
      </c>
      <c r="G4158" s="15" t="n">
        <v>203.13</v>
      </c>
      <c r="H4158" s="16" t="n">
        <v>0</v>
      </c>
      <c r="I4158" s="1" t="s">
        <v>33</v>
      </c>
      <c r="J4158" s="1" t="n">
        <v>4</v>
      </c>
      <c r="K4158" s="1" t="n">
        <v>5</v>
      </c>
      <c r="L4158" s="15" t="n">
        <v>1421.91</v>
      </c>
      <c r="M4158" s="15" t="n">
        <f aca="false">F4158*G4158</f>
        <v>1421.91</v>
      </c>
      <c r="N4158" s="15" t="n">
        <f aca="false">M4158-L4158</f>
        <v>0</v>
      </c>
      <c r="O4158" s="1" t="n">
        <f aca="false">YEAR(B4158)</f>
        <v>2033</v>
      </c>
      <c r="P4158" s="1" t="n">
        <f aca="false">MONTH(B4158)</f>
        <v>5</v>
      </c>
      <c r="Q4158" s="1" t="str">
        <f aca="false">TEXT(B4158,"mmm")</f>
        <v>May</v>
      </c>
      <c r="R4158" s="1" t="str">
        <f aca="false">"Q"&amp;ROUNDUP(MONTH(B4158)/3,0)</f>
        <v>Q2</v>
      </c>
    </row>
    <row r="4159" customFormat="false" ht="15" hidden="false" customHeight="true" outlineLevel="0" collapsed="false">
      <c r="A4159" s="1" t="n">
        <v>14158</v>
      </c>
      <c r="B4159" s="14" t="n">
        <v>48719</v>
      </c>
      <c r="C4159" s="1" t="n">
        <v>1929</v>
      </c>
      <c r="D4159" s="1" t="s">
        <v>34</v>
      </c>
      <c r="E4159" s="1" t="s">
        <v>36</v>
      </c>
      <c r="F4159" s="1" t="n">
        <v>5</v>
      </c>
      <c r="G4159" s="15" t="n">
        <v>348.6</v>
      </c>
      <c r="H4159" s="16" t="n">
        <v>0.3</v>
      </c>
      <c r="I4159" s="1" t="s">
        <v>31</v>
      </c>
      <c r="J4159" s="1" t="n">
        <v>2</v>
      </c>
      <c r="K4159" s="1" t="n">
        <v>2.1</v>
      </c>
      <c r="L4159" s="15" t="n">
        <v>1220.1</v>
      </c>
      <c r="M4159" s="15" t="n">
        <f aca="false">F4159*G4159</f>
        <v>1743</v>
      </c>
      <c r="N4159" s="15" t="n">
        <f aca="false">M4159-L4159</f>
        <v>522.9</v>
      </c>
      <c r="O4159" s="1" t="n">
        <f aca="false">YEAR(B4159)</f>
        <v>2033</v>
      </c>
      <c r="P4159" s="1" t="n">
        <f aca="false">MONTH(B4159)</f>
        <v>5</v>
      </c>
      <c r="Q4159" s="1" t="str">
        <f aca="false">TEXT(B4159,"mmm")</f>
        <v>May</v>
      </c>
      <c r="R4159" s="1" t="str">
        <f aca="false">"Q"&amp;ROUNDUP(MONTH(B4159)/3,0)</f>
        <v>Q2</v>
      </c>
    </row>
    <row r="4160" customFormat="false" ht="15" hidden="false" customHeight="true" outlineLevel="0" collapsed="false">
      <c r="A4160" s="1" t="n">
        <v>14159</v>
      </c>
      <c r="B4160" s="14" t="n">
        <v>48720</v>
      </c>
      <c r="C4160" s="1" t="n">
        <v>1665</v>
      </c>
      <c r="D4160" s="1" t="s">
        <v>34</v>
      </c>
      <c r="E4160" s="1" t="s">
        <v>32</v>
      </c>
      <c r="F4160" s="1" t="n">
        <v>1</v>
      </c>
      <c r="G4160" s="15" t="n">
        <v>153.44</v>
      </c>
      <c r="H4160" s="16" t="n">
        <v>0.11</v>
      </c>
      <c r="I4160" s="1" t="s">
        <v>31</v>
      </c>
      <c r="J4160" s="1" t="n">
        <v>7</v>
      </c>
      <c r="K4160" s="1" t="n">
        <v>1.7</v>
      </c>
      <c r="L4160" s="15" t="n">
        <v>136.56</v>
      </c>
      <c r="M4160" s="15" t="n">
        <f aca="false">F4160*G4160</f>
        <v>153.44</v>
      </c>
      <c r="N4160" s="15" t="n">
        <f aca="false">M4160-L4160</f>
        <v>16.88</v>
      </c>
      <c r="O4160" s="1" t="n">
        <f aca="false">YEAR(B4160)</f>
        <v>2033</v>
      </c>
      <c r="P4160" s="1" t="n">
        <f aca="false">MONTH(B4160)</f>
        <v>5</v>
      </c>
      <c r="Q4160" s="1" t="str">
        <f aca="false">TEXT(B4160,"mmm")</f>
        <v>May</v>
      </c>
      <c r="R4160" s="1" t="str">
        <f aca="false">"Q"&amp;ROUNDUP(MONTH(B4160)/3,0)</f>
        <v>Q2</v>
      </c>
    </row>
    <row r="4161" customFormat="false" ht="15" hidden="false" customHeight="true" outlineLevel="0" collapsed="false">
      <c r="A4161" s="1" t="n">
        <v>14160</v>
      </c>
      <c r="B4161" s="14" t="n">
        <v>48721</v>
      </c>
      <c r="C4161" s="1" t="n">
        <v>1381</v>
      </c>
      <c r="D4161" s="1" t="s">
        <v>27</v>
      </c>
      <c r="E4161" s="1" t="s">
        <v>36</v>
      </c>
      <c r="F4161" s="1" t="n">
        <v>7</v>
      </c>
      <c r="G4161" s="15" t="n">
        <v>98.87</v>
      </c>
      <c r="H4161" s="16" t="n">
        <v>0.15</v>
      </c>
      <c r="I4161" s="1" t="s">
        <v>33</v>
      </c>
      <c r="J4161" s="1" t="n">
        <v>8</v>
      </c>
      <c r="K4161" s="1" t="n">
        <v>3.2</v>
      </c>
      <c r="L4161" s="15" t="n">
        <v>588.28</v>
      </c>
      <c r="M4161" s="15" t="n">
        <f aca="false">F4161*G4161</f>
        <v>692.09</v>
      </c>
      <c r="N4161" s="15" t="n">
        <f aca="false">M4161-L4161</f>
        <v>103.81</v>
      </c>
      <c r="O4161" s="1" t="n">
        <f aca="false">YEAR(B4161)</f>
        <v>2033</v>
      </c>
      <c r="P4161" s="1" t="n">
        <f aca="false">MONTH(B4161)</f>
        <v>5</v>
      </c>
      <c r="Q4161" s="1" t="str">
        <f aca="false">TEXT(B4161,"mmm")</f>
        <v>May</v>
      </c>
      <c r="R4161" s="1" t="str">
        <f aca="false">"Q"&amp;ROUNDUP(MONTH(B4161)/3,0)</f>
        <v>Q2</v>
      </c>
    </row>
    <row r="4162" customFormat="false" ht="15" hidden="false" customHeight="true" outlineLevel="0" collapsed="false">
      <c r="A4162" s="1" t="n">
        <v>14161</v>
      </c>
      <c r="B4162" s="14" t="n">
        <v>48722</v>
      </c>
      <c r="C4162" s="1" t="n">
        <v>1644</v>
      </c>
      <c r="D4162" s="1" t="s">
        <v>37</v>
      </c>
      <c r="E4162" s="1" t="s">
        <v>36</v>
      </c>
      <c r="F4162" s="1" t="n">
        <v>1</v>
      </c>
      <c r="G4162" s="15" t="n">
        <v>233.77</v>
      </c>
      <c r="H4162" s="16" t="n">
        <v>0.16</v>
      </c>
      <c r="I4162" s="1" t="s">
        <v>31</v>
      </c>
      <c r="J4162" s="1" t="n">
        <v>9</v>
      </c>
      <c r="K4162" s="1" t="n">
        <v>3.2</v>
      </c>
      <c r="L4162" s="15" t="n">
        <v>196.37</v>
      </c>
      <c r="M4162" s="15" t="n">
        <f aca="false">F4162*G4162</f>
        <v>233.77</v>
      </c>
      <c r="N4162" s="15" t="n">
        <f aca="false">M4162-L4162</f>
        <v>37.4</v>
      </c>
      <c r="O4162" s="1" t="n">
        <f aca="false">YEAR(B4162)</f>
        <v>2033</v>
      </c>
      <c r="P4162" s="1" t="n">
        <f aca="false">MONTH(B4162)</f>
        <v>5</v>
      </c>
      <c r="Q4162" s="1" t="str">
        <f aca="false">TEXT(B4162,"mmm")</f>
        <v>May</v>
      </c>
      <c r="R4162" s="1" t="str">
        <f aca="false">"Q"&amp;ROUNDUP(MONTH(B4162)/3,0)</f>
        <v>Q2</v>
      </c>
    </row>
    <row r="4163" customFormat="false" ht="15" hidden="false" customHeight="true" outlineLevel="0" collapsed="false">
      <c r="A4163" s="1" t="n">
        <v>14162</v>
      </c>
      <c r="B4163" s="14" t="n">
        <v>48723</v>
      </c>
      <c r="C4163" s="1" t="n">
        <v>1226</v>
      </c>
      <c r="D4163" s="1" t="s">
        <v>30</v>
      </c>
      <c r="E4163" s="1" t="s">
        <v>36</v>
      </c>
      <c r="F4163" s="1" t="n">
        <v>2</v>
      </c>
      <c r="G4163" s="15" t="n">
        <v>447.48</v>
      </c>
      <c r="H4163" s="16" t="n">
        <v>0.3</v>
      </c>
      <c r="I4163" s="1" t="s">
        <v>31</v>
      </c>
      <c r="J4163" s="1" t="n">
        <v>5</v>
      </c>
      <c r="K4163" s="1" t="n">
        <v>4.7</v>
      </c>
      <c r="L4163" s="15" t="n">
        <v>626.47</v>
      </c>
      <c r="M4163" s="15" t="n">
        <f aca="false">F4163*G4163</f>
        <v>894.96</v>
      </c>
      <c r="N4163" s="15" t="n">
        <f aca="false">M4163-L4163</f>
        <v>268.49</v>
      </c>
      <c r="O4163" s="1" t="n">
        <f aca="false">YEAR(B4163)</f>
        <v>2033</v>
      </c>
      <c r="P4163" s="1" t="n">
        <f aca="false">MONTH(B4163)</f>
        <v>5</v>
      </c>
      <c r="Q4163" s="1" t="str">
        <f aca="false">TEXT(B4163,"mmm")</f>
        <v>May</v>
      </c>
      <c r="R4163" s="1" t="str">
        <f aca="false">"Q"&amp;ROUNDUP(MONTH(B4163)/3,0)</f>
        <v>Q2</v>
      </c>
    </row>
    <row r="4164" customFormat="false" ht="15" hidden="false" customHeight="true" outlineLevel="0" collapsed="false">
      <c r="A4164" s="1" t="n">
        <v>14163</v>
      </c>
      <c r="B4164" s="14" t="n">
        <v>48724</v>
      </c>
      <c r="C4164" s="1" t="n">
        <v>1700</v>
      </c>
      <c r="D4164" s="1" t="s">
        <v>34</v>
      </c>
      <c r="E4164" s="1" t="s">
        <v>32</v>
      </c>
      <c r="F4164" s="1" t="n">
        <v>4</v>
      </c>
      <c r="G4164" s="15" t="n">
        <v>550.97</v>
      </c>
      <c r="H4164" s="16" t="n">
        <v>0.12</v>
      </c>
      <c r="I4164" s="1" t="s">
        <v>33</v>
      </c>
      <c r="J4164" s="1" t="n">
        <v>3</v>
      </c>
      <c r="K4164" s="1" t="n">
        <v>1.1</v>
      </c>
      <c r="L4164" s="15" t="n">
        <v>1939.41</v>
      </c>
      <c r="M4164" s="15" t="n">
        <f aca="false">F4164*G4164</f>
        <v>2203.88</v>
      </c>
      <c r="N4164" s="15" t="n">
        <f aca="false">M4164-L4164</f>
        <v>264.47</v>
      </c>
      <c r="O4164" s="1" t="n">
        <f aca="false">YEAR(B4164)</f>
        <v>2033</v>
      </c>
      <c r="P4164" s="1" t="n">
        <f aca="false">MONTH(B4164)</f>
        <v>5</v>
      </c>
      <c r="Q4164" s="1" t="str">
        <f aca="false">TEXT(B4164,"mmm")</f>
        <v>May</v>
      </c>
      <c r="R4164" s="1" t="str">
        <f aca="false">"Q"&amp;ROUNDUP(MONTH(B4164)/3,0)</f>
        <v>Q2</v>
      </c>
    </row>
    <row r="4165" customFormat="false" ht="15" hidden="false" customHeight="true" outlineLevel="0" collapsed="false">
      <c r="A4165" s="1" t="n">
        <v>14164</v>
      </c>
      <c r="B4165" s="14" t="n">
        <v>48725</v>
      </c>
      <c r="C4165" s="1" t="n">
        <v>1475</v>
      </c>
      <c r="D4165" s="1" t="s">
        <v>27</v>
      </c>
      <c r="E4165" s="1" t="s">
        <v>36</v>
      </c>
      <c r="F4165" s="1" t="n">
        <v>1</v>
      </c>
      <c r="G4165" s="15" t="n">
        <v>282.76</v>
      </c>
      <c r="H4165" s="16" t="n">
        <v>0.31</v>
      </c>
      <c r="I4165" s="1" t="s">
        <v>29</v>
      </c>
      <c r="J4165" s="1" t="n">
        <v>1</v>
      </c>
      <c r="K4165" s="1" t="n">
        <v>2.6</v>
      </c>
      <c r="L4165" s="15" t="n">
        <v>195.1</v>
      </c>
      <c r="M4165" s="15" t="n">
        <f aca="false">F4165*G4165</f>
        <v>282.76</v>
      </c>
      <c r="N4165" s="15" t="n">
        <f aca="false">M4165-L4165</f>
        <v>87.66</v>
      </c>
      <c r="O4165" s="1" t="n">
        <f aca="false">YEAR(B4165)</f>
        <v>2033</v>
      </c>
      <c r="P4165" s="1" t="n">
        <f aca="false">MONTH(B4165)</f>
        <v>5</v>
      </c>
      <c r="Q4165" s="1" t="str">
        <f aca="false">TEXT(B4165,"mmm")</f>
        <v>May</v>
      </c>
      <c r="R4165" s="1" t="str">
        <f aca="false">"Q"&amp;ROUNDUP(MONTH(B4165)/3,0)</f>
        <v>Q2</v>
      </c>
    </row>
    <row r="4166" customFormat="false" ht="15" hidden="false" customHeight="true" outlineLevel="0" collapsed="false">
      <c r="A4166" s="1" t="n">
        <v>14165</v>
      </c>
      <c r="B4166" s="14" t="n">
        <v>48726</v>
      </c>
      <c r="C4166" s="1" t="n">
        <v>1476</v>
      </c>
      <c r="D4166" s="1" t="s">
        <v>34</v>
      </c>
      <c r="E4166" s="1" t="s">
        <v>35</v>
      </c>
      <c r="F4166" s="1" t="n">
        <v>7</v>
      </c>
      <c r="G4166" s="15" t="n">
        <v>391.05</v>
      </c>
      <c r="H4166" s="16" t="n">
        <v>0.22</v>
      </c>
      <c r="I4166" s="1" t="s">
        <v>29</v>
      </c>
      <c r="J4166" s="1" t="n">
        <v>8</v>
      </c>
      <c r="K4166" s="1" t="n">
        <v>2.2</v>
      </c>
      <c r="L4166" s="15" t="n">
        <v>2135.13</v>
      </c>
      <c r="M4166" s="15" t="n">
        <f aca="false">F4166*G4166</f>
        <v>2737.35</v>
      </c>
      <c r="N4166" s="15" t="n">
        <f aca="false">M4166-L4166</f>
        <v>602.22</v>
      </c>
      <c r="O4166" s="1" t="n">
        <f aca="false">YEAR(B4166)</f>
        <v>2033</v>
      </c>
      <c r="P4166" s="1" t="n">
        <f aca="false">MONTH(B4166)</f>
        <v>5</v>
      </c>
      <c r="Q4166" s="1" t="str">
        <f aca="false">TEXT(B4166,"mmm")</f>
        <v>May</v>
      </c>
      <c r="R4166" s="1" t="str">
        <f aca="false">"Q"&amp;ROUNDUP(MONTH(B4166)/3,0)</f>
        <v>Q2</v>
      </c>
    </row>
    <row r="4167" customFormat="false" ht="15" hidden="false" customHeight="true" outlineLevel="0" collapsed="false">
      <c r="A4167" s="1" t="n">
        <v>14166</v>
      </c>
      <c r="B4167" s="14" t="n">
        <v>48727</v>
      </c>
      <c r="C4167" s="1" t="n">
        <v>1264</v>
      </c>
      <c r="D4167" s="1" t="s">
        <v>34</v>
      </c>
      <c r="E4167" s="1" t="s">
        <v>35</v>
      </c>
      <c r="F4167" s="1" t="n">
        <v>4</v>
      </c>
      <c r="G4167" s="15" t="n">
        <v>75.28</v>
      </c>
      <c r="H4167" s="16" t="n">
        <v>0.18</v>
      </c>
      <c r="I4167" s="1" t="s">
        <v>31</v>
      </c>
      <c r="J4167" s="1" t="n">
        <v>6</v>
      </c>
      <c r="K4167" s="1" t="n">
        <v>3.3</v>
      </c>
      <c r="L4167" s="15" t="n">
        <v>246.92</v>
      </c>
      <c r="M4167" s="15" t="n">
        <f aca="false">F4167*G4167</f>
        <v>301.12</v>
      </c>
      <c r="N4167" s="15" t="n">
        <f aca="false">M4167-L4167</f>
        <v>54.2</v>
      </c>
      <c r="O4167" s="1" t="n">
        <f aca="false">YEAR(B4167)</f>
        <v>2033</v>
      </c>
      <c r="P4167" s="1" t="n">
        <f aca="false">MONTH(B4167)</f>
        <v>5</v>
      </c>
      <c r="Q4167" s="1" t="str">
        <f aca="false">TEXT(B4167,"mmm")</f>
        <v>May</v>
      </c>
      <c r="R4167" s="1" t="str">
        <f aca="false">"Q"&amp;ROUNDUP(MONTH(B4167)/3,0)</f>
        <v>Q2</v>
      </c>
    </row>
    <row r="4168" customFormat="false" ht="15" hidden="false" customHeight="true" outlineLevel="0" collapsed="false">
      <c r="A4168" s="1" t="n">
        <v>14167</v>
      </c>
      <c r="B4168" s="14" t="n">
        <v>48728</v>
      </c>
      <c r="C4168" s="1" t="n">
        <v>1371</v>
      </c>
      <c r="D4168" s="1" t="s">
        <v>30</v>
      </c>
      <c r="E4168" s="1" t="s">
        <v>28</v>
      </c>
      <c r="F4168" s="1" t="n">
        <v>5</v>
      </c>
      <c r="G4168" s="15" t="n">
        <v>544.11</v>
      </c>
      <c r="H4168" s="16" t="n">
        <v>0.11</v>
      </c>
      <c r="I4168" s="1" t="s">
        <v>33</v>
      </c>
      <c r="J4168" s="1" t="n">
        <v>5</v>
      </c>
      <c r="K4168" s="1" t="n">
        <v>1</v>
      </c>
      <c r="L4168" s="15" t="n">
        <v>2421.29</v>
      </c>
      <c r="M4168" s="15" t="n">
        <f aca="false">F4168*G4168</f>
        <v>2720.55</v>
      </c>
      <c r="N4168" s="15" t="n">
        <f aca="false">M4168-L4168</f>
        <v>299.26</v>
      </c>
      <c r="O4168" s="1" t="n">
        <f aca="false">YEAR(B4168)</f>
        <v>2033</v>
      </c>
      <c r="P4168" s="1" t="n">
        <f aca="false">MONTH(B4168)</f>
        <v>5</v>
      </c>
      <c r="Q4168" s="1" t="str">
        <f aca="false">TEXT(B4168,"mmm")</f>
        <v>May</v>
      </c>
      <c r="R4168" s="1" t="str">
        <f aca="false">"Q"&amp;ROUNDUP(MONTH(B4168)/3,0)</f>
        <v>Q2</v>
      </c>
    </row>
    <row r="4169" customFormat="false" ht="15" hidden="false" customHeight="true" outlineLevel="0" collapsed="false">
      <c r="A4169" s="1" t="n">
        <v>14168</v>
      </c>
      <c r="B4169" s="14" t="n">
        <v>48729</v>
      </c>
      <c r="C4169" s="1" t="n">
        <v>1485</v>
      </c>
      <c r="D4169" s="1" t="s">
        <v>27</v>
      </c>
      <c r="E4169" s="1" t="s">
        <v>35</v>
      </c>
      <c r="F4169" s="1" t="n">
        <v>7</v>
      </c>
      <c r="G4169" s="15" t="n">
        <v>347.63</v>
      </c>
      <c r="H4169" s="16" t="n">
        <v>0.09</v>
      </c>
      <c r="I4169" s="1" t="s">
        <v>31</v>
      </c>
      <c r="J4169" s="1" t="n">
        <v>7</v>
      </c>
      <c r="K4169" s="1" t="n">
        <v>3.8</v>
      </c>
      <c r="L4169" s="15" t="n">
        <v>2214.4</v>
      </c>
      <c r="M4169" s="15" t="n">
        <f aca="false">F4169*G4169</f>
        <v>2433.41</v>
      </c>
      <c r="N4169" s="15" t="n">
        <f aca="false">M4169-L4169</f>
        <v>219.01</v>
      </c>
      <c r="O4169" s="1" t="n">
        <f aca="false">YEAR(B4169)</f>
        <v>2033</v>
      </c>
      <c r="P4169" s="1" t="n">
        <f aca="false">MONTH(B4169)</f>
        <v>5</v>
      </c>
      <c r="Q4169" s="1" t="str">
        <f aca="false">TEXT(B4169,"mmm")</f>
        <v>May</v>
      </c>
      <c r="R4169" s="1" t="str">
        <f aca="false">"Q"&amp;ROUNDUP(MONTH(B4169)/3,0)</f>
        <v>Q2</v>
      </c>
    </row>
    <row r="4170" customFormat="false" ht="15" hidden="false" customHeight="true" outlineLevel="0" collapsed="false">
      <c r="A4170" s="1" t="n">
        <v>14169</v>
      </c>
      <c r="B4170" s="14" t="n">
        <v>48730</v>
      </c>
      <c r="C4170" s="1" t="n">
        <v>1433</v>
      </c>
      <c r="D4170" s="1" t="s">
        <v>34</v>
      </c>
      <c r="E4170" s="1" t="s">
        <v>28</v>
      </c>
      <c r="F4170" s="1" t="n">
        <v>2</v>
      </c>
      <c r="G4170" s="15" t="n">
        <v>471.5</v>
      </c>
      <c r="H4170" s="16" t="n">
        <v>0.22</v>
      </c>
      <c r="I4170" s="1" t="s">
        <v>31</v>
      </c>
      <c r="J4170" s="1" t="n">
        <v>5</v>
      </c>
      <c r="K4170" s="1" t="n">
        <v>2.9</v>
      </c>
      <c r="L4170" s="15" t="n">
        <v>735.54</v>
      </c>
      <c r="M4170" s="15" t="n">
        <f aca="false">F4170*G4170</f>
        <v>943</v>
      </c>
      <c r="N4170" s="15" t="n">
        <f aca="false">M4170-L4170</f>
        <v>207.46</v>
      </c>
      <c r="O4170" s="1" t="n">
        <f aca="false">YEAR(B4170)</f>
        <v>2033</v>
      </c>
      <c r="P4170" s="1" t="n">
        <f aca="false">MONTH(B4170)</f>
        <v>5</v>
      </c>
      <c r="Q4170" s="1" t="str">
        <f aca="false">TEXT(B4170,"mmm")</f>
        <v>May</v>
      </c>
      <c r="R4170" s="1" t="str">
        <f aca="false">"Q"&amp;ROUNDUP(MONTH(B4170)/3,0)</f>
        <v>Q2</v>
      </c>
    </row>
    <row r="4171" customFormat="false" ht="15" hidden="false" customHeight="true" outlineLevel="0" collapsed="false">
      <c r="A4171" s="1" t="n">
        <v>14170</v>
      </c>
      <c r="B4171" s="14" t="n">
        <v>48731</v>
      </c>
      <c r="C4171" s="1" t="n">
        <v>1645</v>
      </c>
      <c r="D4171" s="1" t="s">
        <v>34</v>
      </c>
      <c r="E4171" s="1" t="s">
        <v>32</v>
      </c>
      <c r="F4171" s="1" t="n">
        <v>4</v>
      </c>
      <c r="G4171" s="15" t="n">
        <v>479.75</v>
      </c>
      <c r="H4171" s="16" t="n">
        <v>0.16</v>
      </c>
      <c r="I4171" s="1" t="s">
        <v>33</v>
      </c>
      <c r="J4171" s="1" t="n">
        <v>11</v>
      </c>
      <c r="K4171" s="1" t="n">
        <v>3.8</v>
      </c>
      <c r="L4171" s="15" t="n">
        <v>1611.96</v>
      </c>
      <c r="M4171" s="15" t="n">
        <f aca="false">F4171*G4171</f>
        <v>1919</v>
      </c>
      <c r="N4171" s="15" t="n">
        <f aca="false">M4171-L4171</f>
        <v>307.04</v>
      </c>
      <c r="O4171" s="1" t="n">
        <f aca="false">YEAR(B4171)</f>
        <v>2033</v>
      </c>
      <c r="P4171" s="1" t="n">
        <f aca="false">MONTH(B4171)</f>
        <v>6</v>
      </c>
      <c r="Q4171" s="1" t="str">
        <f aca="false">TEXT(B4171,"mmm")</f>
        <v>Jun</v>
      </c>
      <c r="R4171" s="1" t="str">
        <f aca="false">"Q"&amp;ROUNDUP(MONTH(B4171)/3,0)</f>
        <v>Q2</v>
      </c>
    </row>
    <row r="4172" customFormat="false" ht="15" hidden="false" customHeight="true" outlineLevel="0" collapsed="false">
      <c r="A4172" s="1" t="n">
        <v>14171</v>
      </c>
      <c r="B4172" s="14" t="n">
        <v>48732</v>
      </c>
      <c r="C4172" s="1" t="n">
        <v>1210</v>
      </c>
      <c r="D4172" s="1" t="s">
        <v>27</v>
      </c>
      <c r="E4172" s="1" t="s">
        <v>36</v>
      </c>
      <c r="F4172" s="1" t="n">
        <v>2</v>
      </c>
      <c r="G4172" s="15" t="n">
        <v>165.04</v>
      </c>
      <c r="H4172" s="16" t="n">
        <v>0.32</v>
      </c>
      <c r="I4172" s="1" t="s">
        <v>31</v>
      </c>
      <c r="J4172" s="1" t="n">
        <v>4</v>
      </c>
      <c r="K4172" s="1" t="n">
        <v>2.8</v>
      </c>
      <c r="L4172" s="15" t="n">
        <v>224.45</v>
      </c>
      <c r="M4172" s="15" t="n">
        <f aca="false">F4172*G4172</f>
        <v>330.08</v>
      </c>
      <c r="N4172" s="15" t="n">
        <f aca="false">M4172-L4172</f>
        <v>105.63</v>
      </c>
      <c r="O4172" s="1" t="n">
        <f aca="false">YEAR(B4172)</f>
        <v>2033</v>
      </c>
      <c r="P4172" s="1" t="n">
        <f aca="false">MONTH(B4172)</f>
        <v>6</v>
      </c>
      <c r="Q4172" s="1" t="str">
        <f aca="false">TEXT(B4172,"mmm")</f>
        <v>Jun</v>
      </c>
      <c r="R4172" s="1" t="str">
        <f aca="false">"Q"&amp;ROUNDUP(MONTH(B4172)/3,0)</f>
        <v>Q2</v>
      </c>
    </row>
    <row r="4173" customFormat="false" ht="15" hidden="false" customHeight="true" outlineLevel="0" collapsed="false">
      <c r="A4173" s="1" t="n">
        <v>14172</v>
      </c>
      <c r="B4173" s="14" t="n">
        <v>48733</v>
      </c>
      <c r="C4173" s="1" t="n">
        <v>1571</v>
      </c>
      <c r="D4173" s="1" t="s">
        <v>34</v>
      </c>
      <c r="E4173" s="1" t="s">
        <v>35</v>
      </c>
      <c r="F4173" s="1" t="n">
        <v>4</v>
      </c>
      <c r="G4173" s="15" t="n">
        <v>324.57</v>
      </c>
      <c r="H4173" s="16" t="n">
        <v>0.17</v>
      </c>
      <c r="I4173" s="1" t="s">
        <v>31</v>
      </c>
      <c r="J4173" s="1" t="n">
        <v>5</v>
      </c>
      <c r="K4173" s="1" t="n">
        <v>2.9</v>
      </c>
      <c r="L4173" s="15" t="n">
        <v>1077.57</v>
      </c>
      <c r="M4173" s="15" t="n">
        <f aca="false">F4173*G4173</f>
        <v>1298.28</v>
      </c>
      <c r="N4173" s="15" t="n">
        <f aca="false">M4173-L4173</f>
        <v>220.71</v>
      </c>
      <c r="O4173" s="1" t="n">
        <f aca="false">YEAR(B4173)</f>
        <v>2033</v>
      </c>
      <c r="P4173" s="1" t="n">
        <f aca="false">MONTH(B4173)</f>
        <v>6</v>
      </c>
      <c r="Q4173" s="1" t="str">
        <f aca="false">TEXT(B4173,"mmm")</f>
        <v>Jun</v>
      </c>
      <c r="R4173" s="1" t="str">
        <f aca="false">"Q"&amp;ROUNDUP(MONTH(B4173)/3,0)</f>
        <v>Q2</v>
      </c>
    </row>
    <row r="4174" customFormat="false" ht="15" hidden="false" customHeight="true" outlineLevel="0" collapsed="false">
      <c r="A4174" s="1" t="n">
        <v>14173</v>
      </c>
      <c r="B4174" s="14" t="n">
        <v>48734</v>
      </c>
      <c r="C4174" s="1" t="n">
        <v>1939</v>
      </c>
      <c r="D4174" s="1" t="s">
        <v>34</v>
      </c>
      <c r="E4174" s="1" t="s">
        <v>28</v>
      </c>
      <c r="F4174" s="1" t="n">
        <v>7</v>
      </c>
      <c r="G4174" s="15" t="n">
        <v>576.88</v>
      </c>
      <c r="H4174" s="16" t="n">
        <v>0.18</v>
      </c>
      <c r="I4174" s="1" t="s">
        <v>29</v>
      </c>
      <c r="J4174" s="1" t="n">
        <v>11</v>
      </c>
      <c r="K4174" s="1" t="n">
        <v>4.6</v>
      </c>
      <c r="L4174" s="15" t="n">
        <v>3311.29</v>
      </c>
      <c r="M4174" s="15" t="n">
        <f aca="false">F4174*G4174</f>
        <v>4038.16</v>
      </c>
      <c r="N4174" s="15" t="n">
        <f aca="false">M4174-L4174</f>
        <v>726.87</v>
      </c>
      <c r="O4174" s="1" t="n">
        <f aca="false">YEAR(B4174)</f>
        <v>2033</v>
      </c>
      <c r="P4174" s="1" t="n">
        <f aca="false">MONTH(B4174)</f>
        <v>6</v>
      </c>
      <c r="Q4174" s="1" t="str">
        <f aca="false">TEXT(B4174,"mmm")</f>
        <v>Jun</v>
      </c>
      <c r="R4174" s="1" t="str">
        <f aca="false">"Q"&amp;ROUNDUP(MONTH(B4174)/3,0)</f>
        <v>Q2</v>
      </c>
    </row>
    <row r="4175" customFormat="false" ht="15" hidden="false" customHeight="true" outlineLevel="0" collapsed="false">
      <c r="A4175" s="1" t="n">
        <v>14174</v>
      </c>
      <c r="B4175" s="14" t="n">
        <v>48735</v>
      </c>
      <c r="C4175" s="1" t="n">
        <v>1376</v>
      </c>
      <c r="D4175" s="1" t="s">
        <v>30</v>
      </c>
      <c r="E4175" s="1" t="s">
        <v>32</v>
      </c>
      <c r="F4175" s="1" t="n">
        <v>6</v>
      </c>
      <c r="G4175" s="15" t="n">
        <v>67.44</v>
      </c>
      <c r="H4175" s="16" t="n">
        <v>0.15</v>
      </c>
      <c r="I4175" s="1" t="s">
        <v>29</v>
      </c>
      <c r="J4175" s="1" t="n">
        <v>7</v>
      </c>
      <c r="K4175" s="1" t="n">
        <v>1.8</v>
      </c>
      <c r="L4175" s="15" t="n">
        <v>343.94</v>
      </c>
      <c r="M4175" s="15" t="n">
        <f aca="false">F4175*G4175</f>
        <v>404.64</v>
      </c>
      <c r="N4175" s="15" t="n">
        <f aca="false">M4175-L4175</f>
        <v>60.7</v>
      </c>
      <c r="O4175" s="1" t="n">
        <f aca="false">YEAR(B4175)</f>
        <v>2033</v>
      </c>
      <c r="P4175" s="1" t="n">
        <f aca="false">MONTH(B4175)</f>
        <v>6</v>
      </c>
      <c r="Q4175" s="1" t="str">
        <f aca="false">TEXT(B4175,"mmm")</f>
        <v>Jun</v>
      </c>
      <c r="R4175" s="1" t="str">
        <f aca="false">"Q"&amp;ROUNDUP(MONTH(B4175)/3,0)</f>
        <v>Q2</v>
      </c>
    </row>
    <row r="4176" customFormat="false" ht="15" hidden="false" customHeight="true" outlineLevel="0" collapsed="false">
      <c r="A4176" s="1" t="n">
        <v>14175</v>
      </c>
      <c r="B4176" s="14" t="n">
        <v>48736</v>
      </c>
      <c r="C4176" s="1" t="n">
        <v>1394</v>
      </c>
      <c r="D4176" s="1" t="s">
        <v>27</v>
      </c>
      <c r="E4176" s="1" t="s">
        <v>28</v>
      </c>
      <c r="F4176" s="1" t="n">
        <v>6</v>
      </c>
      <c r="G4176" s="15" t="n">
        <v>414.58</v>
      </c>
      <c r="H4176" s="16" t="n">
        <v>0.28</v>
      </c>
      <c r="I4176" s="1" t="s">
        <v>33</v>
      </c>
      <c r="J4176" s="1" t="n">
        <v>11</v>
      </c>
      <c r="K4176" s="1" t="n">
        <v>1.9</v>
      </c>
      <c r="L4176" s="15" t="n">
        <v>1790.99</v>
      </c>
      <c r="M4176" s="15" t="n">
        <f aca="false">F4176*G4176</f>
        <v>2487.48</v>
      </c>
      <c r="N4176" s="15" t="n">
        <f aca="false">M4176-L4176</f>
        <v>696.49</v>
      </c>
      <c r="O4176" s="1" t="n">
        <f aca="false">YEAR(B4176)</f>
        <v>2033</v>
      </c>
      <c r="P4176" s="1" t="n">
        <f aca="false">MONTH(B4176)</f>
        <v>6</v>
      </c>
      <c r="Q4176" s="1" t="str">
        <f aca="false">TEXT(B4176,"mmm")</f>
        <v>Jun</v>
      </c>
      <c r="R4176" s="1" t="str">
        <f aca="false">"Q"&amp;ROUNDUP(MONTH(B4176)/3,0)</f>
        <v>Q2</v>
      </c>
    </row>
    <row r="4177" customFormat="false" ht="15" hidden="false" customHeight="true" outlineLevel="0" collapsed="false">
      <c r="A4177" s="1" t="n">
        <v>14176</v>
      </c>
      <c r="B4177" s="14" t="n">
        <v>48737</v>
      </c>
      <c r="C4177" s="1" t="n">
        <v>1449</v>
      </c>
      <c r="D4177" s="1" t="s">
        <v>30</v>
      </c>
      <c r="E4177" s="1" t="s">
        <v>36</v>
      </c>
      <c r="F4177" s="1" t="n">
        <v>4</v>
      </c>
      <c r="G4177" s="15" t="n">
        <v>577.92</v>
      </c>
      <c r="H4177" s="16" t="n">
        <v>0.15</v>
      </c>
      <c r="I4177" s="1" t="s">
        <v>29</v>
      </c>
      <c r="J4177" s="1" t="n">
        <v>6</v>
      </c>
      <c r="K4177" s="1" t="n">
        <v>3.2</v>
      </c>
      <c r="L4177" s="15" t="n">
        <v>1964.93</v>
      </c>
      <c r="M4177" s="15" t="n">
        <f aca="false">F4177*G4177</f>
        <v>2311.68</v>
      </c>
      <c r="N4177" s="15" t="n">
        <f aca="false">M4177-L4177</f>
        <v>346.75</v>
      </c>
      <c r="O4177" s="1" t="n">
        <f aca="false">YEAR(B4177)</f>
        <v>2033</v>
      </c>
      <c r="P4177" s="1" t="n">
        <f aca="false">MONTH(B4177)</f>
        <v>6</v>
      </c>
      <c r="Q4177" s="1" t="str">
        <f aca="false">TEXT(B4177,"mmm")</f>
        <v>Jun</v>
      </c>
      <c r="R4177" s="1" t="str">
        <f aca="false">"Q"&amp;ROUNDUP(MONTH(B4177)/3,0)</f>
        <v>Q2</v>
      </c>
    </row>
    <row r="4178" customFormat="false" ht="15" hidden="false" customHeight="true" outlineLevel="0" collapsed="false">
      <c r="A4178" s="1" t="n">
        <v>14177</v>
      </c>
      <c r="B4178" s="14" t="n">
        <v>48738</v>
      </c>
      <c r="C4178" s="1" t="n">
        <v>1942</v>
      </c>
      <c r="D4178" s="1" t="s">
        <v>27</v>
      </c>
      <c r="E4178" s="1" t="s">
        <v>35</v>
      </c>
      <c r="F4178" s="1" t="n">
        <v>5</v>
      </c>
      <c r="G4178" s="15" t="n">
        <v>190.84</v>
      </c>
      <c r="H4178" s="16" t="n">
        <v>0.09</v>
      </c>
      <c r="I4178" s="1" t="s">
        <v>33</v>
      </c>
      <c r="J4178" s="1" t="n">
        <v>10</v>
      </c>
      <c r="K4178" s="1" t="n">
        <v>3.6</v>
      </c>
      <c r="L4178" s="15" t="n">
        <v>868.32</v>
      </c>
      <c r="M4178" s="15" t="n">
        <f aca="false">F4178*G4178</f>
        <v>954.2</v>
      </c>
      <c r="N4178" s="15" t="n">
        <f aca="false">M4178-L4178</f>
        <v>85.88</v>
      </c>
      <c r="O4178" s="1" t="n">
        <f aca="false">YEAR(B4178)</f>
        <v>2033</v>
      </c>
      <c r="P4178" s="1" t="n">
        <f aca="false">MONTH(B4178)</f>
        <v>6</v>
      </c>
      <c r="Q4178" s="1" t="str">
        <f aca="false">TEXT(B4178,"mmm")</f>
        <v>Jun</v>
      </c>
      <c r="R4178" s="1" t="str">
        <f aca="false">"Q"&amp;ROUNDUP(MONTH(B4178)/3,0)</f>
        <v>Q2</v>
      </c>
    </row>
    <row r="4179" customFormat="false" ht="15" hidden="false" customHeight="true" outlineLevel="0" collapsed="false">
      <c r="A4179" s="1" t="n">
        <v>14178</v>
      </c>
      <c r="B4179" s="14" t="n">
        <v>48739</v>
      </c>
      <c r="C4179" s="1" t="n">
        <v>1363</v>
      </c>
      <c r="D4179" s="1" t="s">
        <v>37</v>
      </c>
      <c r="E4179" s="1" t="s">
        <v>32</v>
      </c>
      <c r="F4179" s="1" t="n">
        <v>2</v>
      </c>
      <c r="G4179" s="15" t="n">
        <v>518.95</v>
      </c>
      <c r="H4179" s="16" t="n">
        <v>0.3</v>
      </c>
      <c r="I4179" s="1" t="s">
        <v>31</v>
      </c>
      <c r="J4179" s="1" t="n">
        <v>10</v>
      </c>
      <c r="K4179" s="1" t="n">
        <v>2.4</v>
      </c>
      <c r="L4179" s="15" t="n">
        <v>726.53</v>
      </c>
      <c r="M4179" s="15" t="n">
        <f aca="false">F4179*G4179</f>
        <v>1037.9</v>
      </c>
      <c r="N4179" s="15" t="n">
        <f aca="false">M4179-L4179</f>
        <v>311.37</v>
      </c>
      <c r="O4179" s="1" t="n">
        <f aca="false">YEAR(B4179)</f>
        <v>2033</v>
      </c>
      <c r="P4179" s="1" t="n">
        <f aca="false">MONTH(B4179)</f>
        <v>6</v>
      </c>
      <c r="Q4179" s="1" t="str">
        <f aca="false">TEXT(B4179,"mmm")</f>
        <v>Jun</v>
      </c>
      <c r="R4179" s="1" t="str">
        <f aca="false">"Q"&amp;ROUNDUP(MONTH(B4179)/3,0)</f>
        <v>Q2</v>
      </c>
    </row>
    <row r="4180" customFormat="false" ht="15" hidden="false" customHeight="true" outlineLevel="0" collapsed="false">
      <c r="A4180" s="1" t="n">
        <v>14179</v>
      </c>
      <c r="B4180" s="14" t="n">
        <v>48740</v>
      </c>
      <c r="C4180" s="1" t="n">
        <v>1875</v>
      </c>
      <c r="D4180" s="1" t="s">
        <v>34</v>
      </c>
      <c r="E4180" s="1" t="s">
        <v>28</v>
      </c>
      <c r="F4180" s="1" t="n">
        <v>3</v>
      </c>
      <c r="G4180" s="15" t="n">
        <v>561.19</v>
      </c>
      <c r="H4180" s="16" t="n">
        <v>0.21</v>
      </c>
      <c r="I4180" s="1" t="s">
        <v>33</v>
      </c>
      <c r="J4180" s="1" t="n">
        <v>11</v>
      </c>
      <c r="K4180" s="1" t="n">
        <v>3.1</v>
      </c>
      <c r="L4180" s="15" t="n">
        <v>1330.02</v>
      </c>
      <c r="M4180" s="15" t="n">
        <f aca="false">F4180*G4180</f>
        <v>1683.57</v>
      </c>
      <c r="N4180" s="15" t="n">
        <f aca="false">M4180-L4180</f>
        <v>353.55</v>
      </c>
      <c r="O4180" s="1" t="n">
        <f aca="false">YEAR(B4180)</f>
        <v>2033</v>
      </c>
      <c r="P4180" s="1" t="n">
        <f aca="false">MONTH(B4180)</f>
        <v>6</v>
      </c>
      <c r="Q4180" s="1" t="str">
        <f aca="false">TEXT(B4180,"mmm")</f>
        <v>Jun</v>
      </c>
      <c r="R4180" s="1" t="str">
        <f aca="false">"Q"&amp;ROUNDUP(MONTH(B4180)/3,0)</f>
        <v>Q2</v>
      </c>
    </row>
    <row r="4181" customFormat="false" ht="15" hidden="false" customHeight="true" outlineLevel="0" collapsed="false">
      <c r="A4181" s="1" t="n">
        <v>14180</v>
      </c>
      <c r="B4181" s="14" t="n">
        <v>48741</v>
      </c>
      <c r="C4181" s="1" t="n">
        <v>1456</v>
      </c>
      <c r="D4181" s="1" t="s">
        <v>27</v>
      </c>
      <c r="E4181" s="1" t="s">
        <v>32</v>
      </c>
      <c r="F4181" s="1" t="n">
        <v>4</v>
      </c>
      <c r="G4181" s="15" t="n">
        <v>452.05</v>
      </c>
      <c r="H4181" s="16" t="n">
        <v>0.21</v>
      </c>
      <c r="I4181" s="1" t="s">
        <v>31</v>
      </c>
      <c r="J4181" s="1" t="n">
        <v>9</v>
      </c>
      <c r="K4181" s="1" t="n">
        <v>1.9</v>
      </c>
      <c r="L4181" s="15" t="n">
        <v>1428.48</v>
      </c>
      <c r="M4181" s="15" t="n">
        <f aca="false">F4181*G4181</f>
        <v>1808.2</v>
      </c>
      <c r="N4181" s="15" t="n">
        <f aca="false">M4181-L4181</f>
        <v>379.72</v>
      </c>
      <c r="O4181" s="1" t="n">
        <f aca="false">YEAR(B4181)</f>
        <v>2033</v>
      </c>
      <c r="P4181" s="1" t="n">
        <f aca="false">MONTH(B4181)</f>
        <v>6</v>
      </c>
      <c r="Q4181" s="1" t="str">
        <f aca="false">TEXT(B4181,"mmm")</f>
        <v>Jun</v>
      </c>
      <c r="R4181" s="1" t="str">
        <f aca="false">"Q"&amp;ROUNDUP(MONTH(B4181)/3,0)</f>
        <v>Q2</v>
      </c>
    </row>
    <row r="4182" customFormat="false" ht="15" hidden="false" customHeight="true" outlineLevel="0" collapsed="false">
      <c r="A4182" s="1" t="n">
        <v>14181</v>
      </c>
      <c r="B4182" s="14" t="n">
        <v>48742</v>
      </c>
      <c r="C4182" s="1" t="n">
        <v>1724</v>
      </c>
      <c r="D4182" s="1" t="s">
        <v>30</v>
      </c>
      <c r="E4182" s="1" t="s">
        <v>28</v>
      </c>
      <c r="F4182" s="1" t="n">
        <v>4</v>
      </c>
      <c r="G4182" s="15" t="n">
        <v>150.33</v>
      </c>
      <c r="H4182" s="16" t="n">
        <v>0.21</v>
      </c>
      <c r="I4182" s="1" t="s">
        <v>31</v>
      </c>
      <c r="J4182" s="1" t="n">
        <v>10</v>
      </c>
      <c r="K4182" s="1" t="n">
        <v>1.5</v>
      </c>
      <c r="L4182" s="15" t="n">
        <v>475.04</v>
      </c>
      <c r="M4182" s="15" t="n">
        <f aca="false">F4182*G4182</f>
        <v>601.32</v>
      </c>
      <c r="N4182" s="15" t="n">
        <f aca="false">M4182-L4182</f>
        <v>126.28</v>
      </c>
      <c r="O4182" s="1" t="n">
        <f aca="false">YEAR(B4182)</f>
        <v>2033</v>
      </c>
      <c r="P4182" s="1" t="n">
        <f aca="false">MONTH(B4182)</f>
        <v>6</v>
      </c>
      <c r="Q4182" s="1" t="str">
        <f aca="false">TEXT(B4182,"mmm")</f>
        <v>Jun</v>
      </c>
      <c r="R4182" s="1" t="str">
        <f aca="false">"Q"&amp;ROUNDUP(MONTH(B4182)/3,0)</f>
        <v>Q2</v>
      </c>
    </row>
    <row r="4183" customFormat="false" ht="15" hidden="false" customHeight="true" outlineLevel="0" collapsed="false">
      <c r="A4183" s="1" t="n">
        <v>14182</v>
      </c>
      <c r="B4183" s="14" t="n">
        <v>48743</v>
      </c>
      <c r="C4183" s="1" t="n">
        <v>1727</v>
      </c>
      <c r="D4183" s="1" t="s">
        <v>34</v>
      </c>
      <c r="E4183" s="1" t="s">
        <v>28</v>
      </c>
      <c r="F4183" s="1" t="n">
        <v>6</v>
      </c>
      <c r="G4183" s="15" t="n">
        <v>210.39</v>
      </c>
      <c r="H4183" s="16" t="n">
        <v>0.25</v>
      </c>
      <c r="I4183" s="1" t="s">
        <v>29</v>
      </c>
      <c r="J4183" s="1" t="n">
        <v>2</v>
      </c>
      <c r="K4183" s="1" t="n">
        <v>2</v>
      </c>
      <c r="L4183" s="15" t="n">
        <v>946.75</v>
      </c>
      <c r="M4183" s="15" t="n">
        <f aca="false">F4183*G4183</f>
        <v>1262.34</v>
      </c>
      <c r="N4183" s="15" t="n">
        <f aca="false">M4183-L4183</f>
        <v>315.59</v>
      </c>
      <c r="O4183" s="1" t="n">
        <f aca="false">YEAR(B4183)</f>
        <v>2033</v>
      </c>
      <c r="P4183" s="1" t="n">
        <f aca="false">MONTH(B4183)</f>
        <v>6</v>
      </c>
      <c r="Q4183" s="1" t="str">
        <f aca="false">TEXT(B4183,"mmm")</f>
        <v>Jun</v>
      </c>
      <c r="R4183" s="1" t="str">
        <f aca="false">"Q"&amp;ROUNDUP(MONTH(B4183)/3,0)</f>
        <v>Q2</v>
      </c>
    </row>
    <row r="4184" customFormat="false" ht="15" hidden="false" customHeight="true" outlineLevel="0" collapsed="false">
      <c r="A4184" s="1" t="n">
        <v>14183</v>
      </c>
      <c r="B4184" s="14" t="n">
        <v>48744</v>
      </c>
      <c r="C4184" s="1" t="n">
        <v>1225</v>
      </c>
      <c r="D4184" s="1" t="s">
        <v>30</v>
      </c>
      <c r="E4184" s="1" t="s">
        <v>36</v>
      </c>
      <c r="F4184" s="1" t="n">
        <v>1</v>
      </c>
      <c r="G4184" s="15" t="n">
        <v>35.95</v>
      </c>
      <c r="H4184" s="16" t="n">
        <v>0.11</v>
      </c>
      <c r="I4184" s="1" t="s">
        <v>33</v>
      </c>
      <c r="J4184" s="1" t="n">
        <v>7</v>
      </c>
      <c r="K4184" s="1" t="n">
        <v>4.7</v>
      </c>
      <c r="L4184" s="15" t="n">
        <v>32</v>
      </c>
      <c r="M4184" s="15" t="n">
        <f aca="false">F4184*G4184</f>
        <v>35.95</v>
      </c>
      <c r="N4184" s="15" t="n">
        <f aca="false">M4184-L4184</f>
        <v>3.95</v>
      </c>
      <c r="O4184" s="1" t="n">
        <f aca="false">YEAR(B4184)</f>
        <v>2033</v>
      </c>
      <c r="P4184" s="1" t="n">
        <f aca="false">MONTH(B4184)</f>
        <v>6</v>
      </c>
      <c r="Q4184" s="1" t="str">
        <f aca="false">TEXT(B4184,"mmm")</f>
        <v>Jun</v>
      </c>
      <c r="R4184" s="1" t="str">
        <f aca="false">"Q"&amp;ROUNDUP(MONTH(B4184)/3,0)</f>
        <v>Q2</v>
      </c>
    </row>
    <row r="4185" customFormat="false" ht="15" hidden="false" customHeight="true" outlineLevel="0" collapsed="false">
      <c r="A4185" s="1" t="n">
        <v>14184</v>
      </c>
      <c r="B4185" s="14" t="n">
        <v>48745</v>
      </c>
      <c r="C4185" s="1" t="n">
        <v>1981</v>
      </c>
      <c r="D4185" s="1" t="s">
        <v>34</v>
      </c>
      <c r="E4185" s="1" t="s">
        <v>36</v>
      </c>
      <c r="F4185" s="1" t="n">
        <v>7</v>
      </c>
      <c r="G4185" s="15" t="n">
        <v>501.4</v>
      </c>
      <c r="H4185" s="16" t="n">
        <v>0.01</v>
      </c>
      <c r="I4185" s="1" t="s">
        <v>31</v>
      </c>
      <c r="J4185" s="1" t="n">
        <v>1</v>
      </c>
      <c r="K4185" s="1" t="n">
        <v>4.2</v>
      </c>
      <c r="L4185" s="15" t="n">
        <v>3474.7</v>
      </c>
      <c r="M4185" s="15" t="n">
        <f aca="false">F4185*G4185</f>
        <v>3509.8</v>
      </c>
      <c r="N4185" s="15" t="n">
        <f aca="false">M4185-L4185</f>
        <v>35.0999999999999</v>
      </c>
      <c r="O4185" s="1" t="n">
        <f aca="false">YEAR(B4185)</f>
        <v>2033</v>
      </c>
      <c r="P4185" s="1" t="n">
        <f aca="false">MONTH(B4185)</f>
        <v>6</v>
      </c>
      <c r="Q4185" s="1" t="str">
        <f aca="false">TEXT(B4185,"mmm")</f>
        <v>Jun</v>
      </c>
      <c r="R4185" s="1" t="str">
        <f aca="false">"Q"&amp;ROUNDUP(MONTH(B4185)/3,0)</f>
        <v>Q2</v>
      </c>
    </row>
    <row r="4186" customFormat="false" ht="15" hidden="false" customHeight="true" outlineLevel="0" collapsed="false">
      <c r="A4186" s="1" t="n">
        <v>14185</v>
      </c>
      <c r="B4186" s="14" t="n">
        <v>48746</v>
      </c>
      <c r="C4186" s="1" t="n">
        <v>1130</v>
      </c>
      <c r="D4186" s="1" t="s">
        <v>34</v>
      </c>
      <c r="E4186" s="1" t="s">
        <v>28</v>
      </c>
      <c r="F4186" s="1" t="n">
        <v>6</v>
      </c>
      <c r="G4186" s="15" t="n">
        <v>512.02</v>
      </c>
      <c r="H4186" s="16" t="n">
        <v>0.28</v>
      </c>
      <c r="I4186" s="1" t="s">
        <v>31</v>
      </c>
      <c r="J4186" s="1" t="n">
        <v>8</v>
      </c>
      <c r="K4186" s="1" t="n">
        <v>1.6</v>
      </c>
      <c r="L4186" s="15" t="n">
        <v>2211.93</v>
      </c>
      <c r="M4186" s="15" t="n">
        <f aca="false">F4186*G4186</f>
        <v>3072.12</v>
      </c>
      <c r="N4186" s="15" t="n">
        <f aca="false">M4186-L4186</f>
        <v>860.19</v>
      </c>
      <c r="O4186" s="1" t="n">
        <f aca="false">YEAR(B4186)</f>
        <v>2033</v>
      </c>
      <c r="P4186" s="1" t="n">
        <f aca="false">MONTH(B4186)</f>
        <v>6</v>
      </c>
      <c r="Q4186" s="1" t="str">
        <f aca="false">TEXT(B4186,"mmm")</f>
        <v>Jun</v>
      </c>
      <c r="R4186" s="1" t="str">
        <f aca="false">"Q"&amp;ROUNDUP(MONTH(B4186)/3,0)</f>
        <v>Q2</v>
      </c>
    </row>
    <row r="4187" customFormat="false" ht="15" hidden="false" customHeight="true" outlineLevel="0" collapsed="false">
      <c r="A4187" s="1" t="n">
        <v>14186</v>
      </c>
      <c r="B4187" s="14" t="n">
        <v>48747</v>
      </c>
      <c r="C4187" s="1" t="n">
        <v>1587</v>
      </c>
      <c r="D4187" s="1" t="s">
        <v>34</v>
      </c>
      <c r="E4187" s="1" t="s">
        <v>35</v>
      </c>
      <c r="F4187" s="1" t="n">
        <v>2</v>
      </c>
      <c r="G4187" s="15" t="n">
        <v>385.14</v>
      </c>
      <c r="H4187" s="16" t="n">
        <v>0.05</v>
      </c>
      <c r="I4187" s="1" t="s">
        <v>31</v>
      </c>
      <c r="J4187" s="1" t="n">
        <v>4</v>
      </c>
      <c r="K4187" s="1" t="n">
        <v>1.2</v>
      </c>
      <c r="L4187" s="15" t="n">
        <v>731.77</v>
      </c>
      <c r="M4187" s="15" t="n">
        <f aca="false">F4187*G4187</f>
        <v>770.28</v>
      </c>
      <c r="N4187" s="15" t="n">
        <f aca="false">M4187-L4187</f>
        <v>38.51</v>
      </c>
      <c r="O4187" s="1" t="n">
        <f aca="false">YEAR(B4187)</f>
        <v>2033</v>
      </c>
      <c r="P4187" s="1" t="n">
        <f aca="false">MONTH(B4187)</f>
        <v>6</v>
      </c>
      <c r="Q4187" s="1" t="str">
        <f aca="false">TEXT(B4187,"mmm")</f>
        <v>Jun</v>
      </c>
      <c r="R4187" s="1" t="str">
        <f aca="false">"Q"&amp;ROUNDUP(MONTH(B4187)/3,0)</f>
        <v>Q2</v>
      </c>
    </row>
    <row r="4188" customFormat="false" ht="15" hidden="false" customHeight="true" outlineLevel="0" collapsed="false">
      <c r="A4188" s="1" t="n">
        <v>14187</v>
      </c>
      <c r="B4188" s="14" t="n">
        <v>48748</v>
      </c>
      <c r="C4188" s="1" t="n">
        <v>1475</v>
      </c>
      <c r="D4188" s="1" t="s">
        <v>30</v>
      </c>
      <c r="E4188" s="1" t="s">
        <v>32</v>
      </c>
      <c r="F4188" s="1" t="n">
        <v>6</v>
      </c>
      <c r="G4188" s="15" t="n">
        <v>221.23</v>
      </c>
      <c r="H4188" s="16" t="n">
        <v>0.25</v>
      </c>
      <c r="I4188" s="1" t="s">
        <v>29</v>
      </c>
      <c r="J4188" s="1" t="n">
        <v>8</v>
      </c>
      <c r="K4188" s="1" t="n">
        <v>1.4</v>
      </c>
      <c r="L4188" s="15" t="n">
        <v>995.53</v>
      </c>
      <c r="M4188" s="15" t="n">
        <f aca="false">F4188*G4188</f>
        <v>1327.38</v>
      </c>
      <c r="N4188" s="15" t="n">
        <f aca="false">M4188-L4188</f>
        <v>331.85</v>
      </c>
      <c r="O4188" s="1" t="n">
        <f aca="false">YEAR(B4188)</f>
        <v>2033</v>
      </c>
      <c r="P4188" s="1" t="n">
        <f aca="false">MONTH(B4188)</f>
        <v>6</v>
      </c>
      <c r="Q4188" s="1" t="str">
        <f aca="false">TEXT(B4188,"mmm")</f>
        <v>Jun</v>
      </c>
      <c r="R4188" s="1" t="str">
        <f aca="false">"Q"&amp;ROUNDUP(MONTH(B4188)/3,0)</f>
        <v>Q2</v>
      </c>
    </row>
    <row r="4189" customFormat="false" ht="15" hidden="false" customHeight="true" outlineLevel="0" collapsed="false">
      <c r="A4189" s="1" t="n">
        <v>14188</v>
      </c>
      <c r="B4189" s="14" t="n">
        <v>48749</v>
      </c>
      <c r="C4189" s="1" t="n">
        <v>1797</v>
      </c>
      <c r="D4189" s="1" t="s">
        <v>37</v>
      </c>
      <c r="E4189" s="1" t="s">
        <v>32</v>
      </c>
      <c r="F4189" s="1" t="n">
        <v>3</v>
      </c>
      <c r="G4189" s="15" t="n">
        <v>59.93</v>
      </c>
      <c r="H4189" s="16" t="n">
        <v>0.03</v>
      </c>
      <c r="I4189" s="1" t="s">
        <v>33</v>
      </c>
      <c r="J4189" s="1" t="n">
        <v>8</v>
      </c>
      <c r="K4189" s="1" t="n">
        <v>2.2</v>
      </c>
      <c r="L4189" s="15" t="n">
        <v>174.4</v>
      </c>
      <c r="M4189" s="15" t="n">
        <f aca="false">F4189*G4189</f>
        <v>179.79</v>
      </c>
      <c r="N4189" s="15" t="n">
        <f aca="false">M4189-L4189</f>
        <v>5.38999999999999</v>
      </c>
      <c r="O4189" s="1" t="n">
        <f aca="false">YEAR(B4189)</f>
        <v>2033</v>
      </c>
      <c r="P4189" s="1" t="n">
        <f aca="false">MONTH(B4189)</f>
        <v>6</v>
      </c>
      <c r="Q4189" s="1" t="str">
        <f aca="false">TEXT(B4189,"mmm")</f>
        <v>Jun</v>
      </c>
      <c r="R4189" s="1" t="str">
        <f aca="false">"Q"&amp;ROUNDUP(MONTH(B4189)/3,0)</f>
        <v>Q2</v>
      </c>
    </row>
    <row r="4190" customFormat="false" ht="15" hidden="false" customHeight="true" outlineLevel="0" collapsed="false">
      <c r="A4190" s="1" t="n">
        <v>14189</v>
      </c>
      <c r="B4190" s="14" t="n">
        <v>48750</v>
      </c>
      <c r="C4190" s="1" t="n">
        <v>1985</v>
      </c>
      <c r="D4190" s="1" t="s">
        <v>30</v>
      </c>
      <c r="E4190" s="1" t="s">
        <v>36</v>
      </c>
      <c r="F4190" s="1" t="n">
        <v>5</v>
      </c>
      <c r="G4190" s="15" t="n">
        <v>455.54</v>
      </c>
      <c r="H4190" s="16" t="n">
        <v>0.13</v>
      </c>
      <c r="I4190" s="1" t="s">
        <v>33</v>
      </c>
      <c r="J4190" s="1" t="n">
        <v>4</v>
      </c>
      <c r="K4190" s="1" t="n">
        <v>4.2</v>
      </c>
      <c r="L4190" s="15" t="n">
        <v>1981.6</v>
      </c>
      <c r="M4190" s="15" t="n">
        <f aca="false">F4190*G4190</f>
        <v>2277.7</v>
      </c>
      <c r="N4190" s="15" t="n">
        <f aca="false">M4190-L4190</f>
        <v>296.1</v>
      </c>
      <c r="O4190" s="1" t="n">
        <f aca="false">YEAR(B4190)</f>
        <v>2033</v>
      </c>
      <c r="P4190" s="1" t="n">
        <f aca="false">MONTH(B4190)</f>
        <v>6</v>
      </c>
      <c r="Q4190" s="1" t="str">
        <f aca="false">TEXT(B4190,"mmm")</f>
        <v>Jun</v>
      </c>
      <c r="R4190" s="1" t="str">
        <f aca="false">"Q"&amp;ROUNDUP(MONTH(B4190)/3,0)</f>
        <v>Q2</v>
      </c>
    </row>
    <row r="4191" customFormat="false" ht="15" hidden="false" customHeight="true" outlineLevel="0" collapsed="false">
      <c r="A4191" s="1" t="n">
        <v>14190</v>
      </c>
      <c r="B4191" s="14" t="n">
        <v>48751</v>
      </c>
      <c r="C4191" s="1" t="n">
        <v>1276</v>
      </c>
      <c r="D4191" s="1" t="s">
        <v>27</v>
      </c>
      <c r="E4191" s="1" t="s">
        <v>35</v>
      </c>
      <c r="F4191" s="1" t="n">
        <v>7</v>
      </c>
      <c r="G4191" s="15" t="n">
        <v>440.02</v>
      </c>
      <c r="H4191" s="16" t="n">
        <v>0.02</v>
      </c>
      <c r="I4191" s="1" t="s">
        <v>33</v>
      </c>
      <c r="J4191" s="1" t="n">
        <v>4</v>
      </c>
      <c r="K4191" s="1" t="n">
        <v>2.3</v>
      </c>
      <c r="L4191" s="15" t="n">
        <v>3018.54</v>
      </c>
      <c r="M4191" s="15" t="n">
        <f aca="false">F4191*G4191</f>
        <v>3080.14</v>
      </c>
      <c r="N4191" s="15" t="n">
        <f aca="false">M4191-L4191</f>
        <v>61.5999999999999</v>
      </c>
      <c r="O4191" s="1" t="n">
        <f aca="false">YEAR(B4191)</f>
        <v>2033</v>
      </c>
      <c r="P4191" s="1" t="n">
        <f aca="false">MONTH(B4191)</f>
        <v>6</v>
      </c>
      <c r="Q4191" s="1" t="str">
        <f aca="false">TEXT(B4191,"mmm")</f>
        <v>Jun</v>
      </c>
      <c r="R4191" s="1" t="str">
        <f aca="false">"Q"&amp;ROUNDUP(MONTH(B4191)/3,0)</f>
        <v>Q2</v>
      </c>
    </row>
    <row r="4192" customFormat="false" ht="15" hidden="false" customHeight="true" outlineLevel="0" collapsed="false">
      <c r="A4192" s="1" t="n">
        <v>14191</v>
      </c>
      <c r="B4192" s="14" t="n">
        <v>48752</v>
      </c>
      <c r="C4192" s="1" t="n">
        <v>1155</v>
      </c>
      <c r="D4192" s="1" t="s">
        <v>34</v>
      </c>
      <c r="E4192" s="1" t="s">
        <v>28</v>
      </c>
      <c r="F4192" s="1" t="n">
        <v>3</v>
      </c>
      <c r="G4192" s="15" t="n">
        <v>548.87</v>
      </c>
      <c r="H4192" s="16" t="n">
        <v>0.18</v>
      </c>
      <c r="I4192" s="1" t="s">
        <v>33</v>
      </c>
      <c r="J4192" s="1" t="n">
        <v>5</v>
      </c>
      <c r="K4192" s="1" t="n">
        <v>1.7</v>
      </c>
      <c r="L4192" s="15" t="n">
        <v>1350.22</v>
      </c>
      <c r="M4192" s="15" t="n">
        <f aca="false">F4192*G4192</f>
        <v>1646.61</v>
      </c>
      <c r="N4192" s="15" t="n">
        <f aca="false">M4192-L4192</f>
        <v>296.39</v>
      </c>
      <c r="O4192" s="1" t="n">
        <f aca="false">YEAR(B4192)</f>
        <v>2033</v>
      </c>
      <c r="P4192" s="1" t="n">
        <f aca="false">MONTH(B4192)</f>
        <v>6</v>
      </c>
      <c r="Q4192" s="1" t="str">
        <f aca="false">TEXT(B4192,"mmm")</f>
        <v>Jun</v>
      </c>
      <c r="R4192" s="1" t="str">
        <f aca="false">"Q"&amp;ROUNDUP(MONTH(B4192)/3,0)</f>
        <v>Q2</v>
      </c>
    </row>
    <row r="4193" customFormat="false" ht="15" hidden="false" customHeight="true" outlineLevel="0" collapsed="false">
      <c r="A4193" s="1" t="n">
        <v>14192</v>
      </c>
      <c r="B4193" s="14" t="n">
        <v>48753</v>
      </c>
      <c r="C4193" s="1" t="n">
        <v>1759</v>
      </c>
      <c r="D4193" s="1" t="s">
        <v>34</v>
      </c>
      <c r="E4193" s="1" t="s">
        <v>36</v>
      </c>
      <c r="F4193" s="1" t="n">
        <v>5</v>
      </c>
      <c r="G4193" s="15" t="n">
        <v>442.36</v>
      </c>
      <c r="H4193" s="16" t="n">
        <v>0.23</v>
      </c>
      <c r="I4193" s="1" t="s">
        <v>33</v>
      </c>
      <c r="J4193" s="1" t="n">
        <v>7</v>
      </c>
      <c r="K4193" s="1" t="n">
        <v>2.6</v>
      </c>
      <c r="L4193" s="15" t="n">
        <v>1703.09</v>
      </c>
      <c r="M4193" s="15" t="n">
        <f aca="false">F4193*G4193</f>
        <v>2211.8</v>
      </c>
      <c r="N4193" s="15" t="n">
        <f aca="false">M4193-L4193</f>
        <v>508.71</v>
      </c>
      <c r="O4193" s="1" t="n">
        <f aca="false">YEAR(B4193)</f>
        <v>2033</v>
      </c>
      <c r="P4193" s="1" t="n">
        <f aca="false">MONTH(B4193)</f>
        <v>6</v>
      </c>
      <c r="Q4193" s="1" t="str">
        <f aca="false">TEXT(B4193,"mmm")</f>
        <v>Jun</v>
      </c>
      <c r="R4193" s="1" t="str">
        <f aca="false">"Q"&amp;ROUNDUP(MONTH(B4193)/3,0)</f>
        <v>Q2</v>
      </c>
    </row>
    <row r="4194" customFormat="false" ht="15" hidden="false" customHeight="true" outlineLevel="0" collapsed="false">
      <c r="A4194" s="1" t="n">
        <v>14193</v>
      </c>
      <c r="B4194" s="14" t="n">
        <v>48754</v>
      </c>
      <c r="C4194" s="1" t="n">
        <v>1217</v>
      </c>
      <c r="D4194" s="1" t="s">
        <v>34</v>
      </c>
      <c r="E4194" s="1" t="s">
        <v>28</v>
      </c>
      <c r="F4194" s="1" t="n">
        <v>3</v>
      </c>
      <c r="G4194" s="15" t="n">
        <v>499.79</v>
      </c>
      <c r="H4194" s="16" t="n">
        <v>0.06</v>
      </c>
      <c r="I4194" s="1" t="s">
        <v>33</v>
      </c>
      <c r="J4194" s="1" t="n">
        <v>6</v>
      </c>
      <c r="K4194" s="1" t="n">
        <v>1.5</v>
      </c>
      <c r="L4194" s="15" t="n">
        <v>1409.41</v>
      </c>
      <c r="M4194" s="15" t="n">
        <f aca="false">F4194*G4194</f>
        <v>1499.37</v>
      </c>
      <c r="N4194" s="15" t="n">
        <f aca="false">M4194-L4194</f>
        <v>89.96</v>
      </c>
      <c r="O4194" s="1" t="n">
        <f aca="false">YEAR(B4194)</f>
        <v>2033</v>
      </c>
      <c r="P4194" s="1" t="n">
        <f aca="false">MONTH(B4194)</f>
        <v>6</v>
      </c>
      <c r="Q4194" s="1" t="str">
        <f aca="false">TEXT(B4194,"mmm")</f>
        <v>Jun</v>
      </c>
      <c r="R4194" s="1" t="str">
        <f aca="false">"Q"&amp;ROUNDUP(MONTH(B4194)/3,0)</f>
        <v>Q2</v>
      </c>
    </row>
    <row r="4195" customFormat="false" ht="15" hidden="false" customHeight="true" outlineLevel="0" collapsed="false">
      <c r="A4195" s="1" t="n">
        <v>14194</v>
      </c>
      <c r="B4195" s="14" t="n">
        <v>48755</v>
      </c>
      <c r="C4195" s="1" t="n">
        <v>1189</v>
      </c>
      <c r="D4195" s="1" t="s">
        <v>34</v>
      </c>
      <c r="E4195" s="1" t="s">
        <v>28</v>
      </c>
      <c r="F4195" s="1" t="n">
        <v>7</v>
      </c>
      <c r="G4195" s="15" t="n">
        <v>451.38</v>
      </c>
      <c r="H4195" s="16" t="n">
        <v>0.13</v>
      </c>
      <c r="I4195" s="1" t="s">
        <v>29</v>
      </c>
      <c r="J4195" s="1" t="n">
        <v>1</v>
      </c>
      <c r="K4195" s="1" t="n">
        <v>2.9</v>
      </c>
      <c r="L4195" s="15" t="n">
        <v>2748.9</v>
      </c>
      <c r="M4195" s="15" t="n">
        <f aca="false">F4195*G4195</f>
        <v>3159.66</v>
      </c>
      <c r="N4195" s="15" t="n">
        <f aca="false">M4195-L4195</f>
        <v>410.76</v>
      </c>
      <c r="O4195" s="1" t="n">
        <f aca="false">YEAR(B4195)</f>
        <v>2033</v>
      </c>
      <c r="P4195" s="1" t="n">
        <f aca="false">MONTH(B4195)</f>
        <v>6</v>
      </c>
      <c r="Q4195" s="1" t="str">
        <f aca="false">TEXT(B4195,"mmm")</f>
        <v>Jun</v>
      </c>
      <c r="R4195" s="1" t="str">
        <f aca="false">"Q"&amp;ROUNDUP(MONTH(B4195)/3,0)</f>
        <v>Q2</v>
      </c>
    </row>
    <row r="4196" customFormat="false" ht="15" hidden="false" customHeight="true" outlineLevel="0" collapsed="false">
      <c r="A4196" s="1" t="n">
        <v>14195</v>
      </c>
      <c r="B4196" s="14" t="n">
        <v>48756</v>
      </c>
      <c r="C4196" s="1" t="n">
        <v>1416</v>
      </c>
      <c r="D4196" s="1" t="s">
        <v>34</v>
      </c>
      <c r="E4196" s="1" t="s">
        <v>36</v>
      </c>
      <c r="F4196" s="1" t="n">
        <v>6</v>
      </c>
      <c r="G4196" s="15" t="n">
        <v>383.95</v>
      </c>
      <c r="H4196" s="16" t="n">
        <v>0.33</v>
      </c>
      <c r="I4196" s="1" t="s">
        <v>29</v>
      </c>
      <c r="J4196" s="1" t="n">
        <v>6</v>
      </c>
      <c r="K4196" s="1" t="n">
        <v>3.7</v>
      </c>
      <c r="L4196" s="15" t="n">
        <v>1543.48</v>
      </c>
      <c r="M4196" s="15" t="n">
        <f aca="false">F4196*G4196</f>
        <v>2303.7</v>
      </c>
      <c r="N4196" s="15" t="n">
        <f aca="false">M4196-L4196</f>
        <v>760.22</v>
      </c>
      <c r="O4196" s="1" t="n">
        <f aca="false">YEAR(B4196)</f>
        <v>2033</v>
      </c>
      <c r="P4196" s="1" t="n">
        <f aca="false">MONTH(B4196)</f>
        <v>6</v>
      </c>
      <c r="Q4196" s="1" t="str">
        <f aca="false">TEXT(B4196,"mmm")</f>
        <v>Jun</v>
      </c>
      <c r="R4196" s="1" t="str">
        <f aca="false">"Q"&amp;ROUNDUP(MONTH(B4196)/3,0)</f>
        <v>Q2</v>
      </c>
    </row>
    <row r="4197" customFormat="false" ht="15" hidden="false" customHeight="true" outlineLevel="0" collapsed="false">
      <c r="A4197" s="1" t="n">
        <v>14196</v>
      </c>
      <c r="B4197" s="14" t="n">
        <v>48757</v>
      </c>
      <c r="C4197" s="1" t="n">
        <v>1980</v>
      </c>
      <c r="D4197" s="1" t="s">
        <v>37</v>
      </c>
      <c r="E4197" s="1" t="s">
        <v>35</v>
      </c>
      <c r="F4197" s="1" t="n">
        <v>3</v>
      </c>
      <c r="G4197" s="15" t="n">
        <v>264.78</v>
      </c>
      <c r="H4197" s="16" t="n">
        <v>0.15</v>
      </c>
      <c r="I4197" s="1" t="s">
        <v>29</v>
      </c>
      <c r="J4197" s="1" t="n">
        <v>3</v>
      </c>
      <c r="K4197" s="1" t="n">
        <v>2.5</v>
      </c>
      <c r="L4197" s="15" t="n">
        <v>675.19</v>
      </c>
      <c r="M4197" s="15" t="n">
        <f aca="false">F4197*G4197</f>
        <v>794.34</v>
      </c>
      <c r="N4197" s="15" t="n">
        <f aca="false">M4197-L4197</f>
        <v>119.15</v>
      </c>
      <c r="O4197" s="1" t="n">
        <f aca="false">YEAR(B4197)</f>
        <v>2033</v>
      </c>
      <c r="P4197" s="1" t="n">
        <f aca="false">MONTH(B4197)</f>
        <v>6</v>
      </c>
      <c r="Q4197" s="1" t="str">
        <f aca="false">TEXT(B4197,"mmm")</f>
        <v>Jun</v>
      </c>
      <c r="R4197" s="1" t="str">
        <f aca="false">"Q"&amp;ROUNDUP(MONTH(B4197)/3,0)</f>
        <v>Q2</v>
      </c>
    </row>
    <row r="4198" customFormat="false" ht="15" hidden="false" customHeight="true" outlineLevel="0" collapsed="false">
      <c r="A4198" s="1" t="n">
        <v>14197</v>
      </c>
      <c r="B4198" s="14" t="n">
        <v>48758</v>
      </c>
      <c r="C4198" s="1" t="n">
        <v>1674</v>
      </c>
      <c r="D4198" s="1" t="s">
        <v>27</v>
      </c>
      <c r="E4198" s="1" t="s">
        <v>32</v>
      </c>
      <c r="F4198" s="1" t="n">
        <v>6</v>
      </c>
      <c r="G4198" s="15" t="n">
        <v>542.74</v>
      </c>
      <c r="H4198" s="16" t="n">
        <v>0.28</v>
      </c>
      <c r="I4198" s="1" t="s">
        <v>33</v>
      </c>
      <c r="J4198" s="1" t="n">
        <v>9</v>
      </c>
      <c r="K4198" s="1" t="n">
        <v>1.7</v>
      </c>
      <c r="L4198" s="15" t="n">
        <v>2344.64</v>
      </c>
      <c r="M4198" s="15" t="n">
        <f aca="false">F4198*G4198</f>
        <v>3256.44</v>
      </c>
      <c r="N4198" s="15" t="n">
        <f aca="false">M4198-L4198</f>
        <v>911.8</v>
      </c>
      <c r="O4198" s="1" t="n">
        <f aca="false">YEAR(B4198)</f>
        <v>2033</v>
      </c>
      <c r="P4198" s="1" t="n">
        <f aca="false">MONTH(B4198)</f>
        <v>6</v>
      </c>
      <c r="Q4198" s="1" t="str">
        <f aca="false">TEXT(B4198,"mmm")</f>
        <v>Jun</v>
      </c>
      <c r="R4198" s="1" t="str">
        <f aca="false">"Q"&amp;ROUNDUP(MONTH(B4198)/3,0)</f>
        <v>Q2</v>
      </c>
    </row>
    <row r="4199" customFormat="false" ht="15" hidden="false" customHeight="true" outlineLevel="0" collapsed="false">
      <c r="A4199" s="1" t="n">
        <v>14198</v>
      </c>
      <c r="B4199" s="14" t="n">
        <v>48759</v>
      </c>
      <c r="C4199" s="1" t="n">
        <v>1691</v>
      </c>
      <c r="D4199" s="1" t="s">
        <v>27</v>
      </c>
      <c r="E4199" s="1" t="s">
        <v>36</v>
      </c>
      <c r="F4199" s="1" t="n">
        <v>7</v>
      </c>
      <c r="G4199" s="15" t="n">
        <v>395.82</v>
      </c>
      <c r="H4199" s="16" t="n">
        <v>0.32</v>
      </c>
      <c r="I4199" s="1" t="s">
        <v>29</v>
      </c>
      <c r="J4199" s="1" t="n">
        <v>3</v>
      </c>
      <c r="K4199" s="1" t="n">
        <v>2.8</v>
      </c>
      <c r="L4199" s="15" t="n">
        <v>1884.1</v>
      </c>
      <c r="M4199" s="15" t="n">
        <f aca="false">F4199*G4199</f>
        <v>2770.74</v>
      </c>
      <c r="N4199" s="15" t="n">
        <f aca="false">M4199-L4199</f>
        <v>886.64</v>
      </c>
      <c r="O4199" s="1" t="n">
        <f aca="false">YEAR(B4199)</f>
        <v>2033</v>
      </c>
      <c r="P4199" s="1" t="n">
        <f aca="false">MONTH(B4199)</f>
        <v>6</v>
      </c>
      <c r="Q4199" s="1" t="str">
        <f aca="false">TEXT(B4199,"mmm")</f>
        <v>Jun</v>
      </c>
      <c r="R4199" s="1" t="str">
        <f aca="false">"Q"&amp;ROUNDUP(MONTH(B4199)/3,0)</f>
        <v>Q2</v>
      </c>
    </row>
    <row r="4200" customFormat="false" ht="15" hidden="false" customHeight="true" outlineLevel="0" collapsed="false">
      <c r="A4200" s="1" t="n">
        <v>14199</v>
      </c>
      <c r="B4200" s="14" t="n">
        <v>48760</v>
      </c>
      <c r="C4200" s="1" t="n">
        <v>1545</v>
      </c>
      <c r="D4200" s="1" t="s">
        <v>34</v>
      </c>
      <c r="E4200" s="1" t="s">
        <v>35</v>
      </c>
      <c r="F4200" s="1" t="n">
        <v>6</v>
      </c>
      <c r="G4200" s="15" t="n">
        <v>248.04</v>
      </c>
      <c r="H4200" s="16" t="n">
        <v>0.34</v>
      </c>
      <c r="I4200" s="1" t="s">
        <v>31</v>
      </c>
      <c r="J4200" s="1" t="n">
        <v>9</v>
      </c>
      <c r="K4200" s="1" t="n">
        <v>4</v>
      </c>
      <c r="L4200" s="15" t="n">
        <v>982.24</v>
      </c>
      <c r="M4200" s="15" t="n">
        <f aca="false">F4200*G4200</f>
        <v>1488.24</v>
      </c>
      <c r="N4200" s="15" t="n">
        <f aca="false">M4200-L4200</f>
        <v>506</v>
      </c>
      <c r="O4200" s="1" t="n">
        <f aca="false">YEAR(B4200)</f>
        <v>2033</v>
      </c>
      <c r="P4200" s="1" t="n">
        <f aca="false">MONTH(B4200)</f>
        <v>6</v>
      </c>
      <c r="Q4200" s="1" t="str">
        <f aca="false">TEXT(B4200,"mmm")</f>
        <v>Jun</v>
      </c>
      <c r="R4200" s="1" t="str">
        <f aca="false">"Q"&amp;ROUNDUP(MONTH(B4200)/3,0)</f>
        <v>Q2</v>
      </c>
    </row>
    <row r="4201" customFormat="false" ht="15" hidden="false" customHeight="true" outlineLevel="0" collapsed="false">
      <c r="A4201" s="1" t="n">
        <v>14200</v>
      </c>
      <c r="B4201" s="14" t="n">
        <v>48761</v>
      </c>
      <c r="C4201" s="1" t="n">
        <v>1040</v>
      </c>
      <c r="D4201" s="1" t="s">
        <v>27</v>
      </c>
      <c r="E4201" s="1" t="s">
        <v>28</v>
      </c>
      <c r="F4201" s="1" t="n">
        <v>2</v>
      </c>
      <c r="G4201" s="15" t="n">
        <v>63.83</v>
      </c>
      <c r="H4201" s="16" t="n">
        <v>0.31</v>
      </c>
      <c r="I4201" s="1" t="s">
        <v>29</v>
      </c>
      <c r="J4201" s="1" t="n">
        <v>5</v>
      </c>
      <c r="K4201" s="1" t="n">
        <v>1.3</v>
      </c>
      <c r="L4201" s="15" t="n">
        <v>88.09</v>
      </c>
      <c r="M4201" s="15" t="n">
        <f aca="false">F4201*G4201</f>
        <v>127.66</v>
      </c>
      <c r="N4201" s="15" t="n">
        <f aca="false">M4201-L4201</f>
        <v>39.57</v>
      </c>
      <c r="O4201" s="1" t="n">
        <f aca="false">YEAR(B4201)</f>
        <v>2033</v>
      </c>
      <c r="P4201" s="1" t="n">
        <f aca="false">MONTH(B4201)</f>
        <v>7</v>
      </c>
      <c r="Q4201" s="1" t="str">
        <f aca="false">TEXT(B4201,"mmm")</f>
        <v>Jul</v>
      </c>
      <c r="R4201" s="1" t="str">
        <f aca="false">"Q"&amp;ROUNDUP(MONTH(B4201)/3,0)</f>
        <v>Q3</v>
      </c>
    </row>
    <row r="4202" customFormat="false" ht="15" hidden="false" customHeight="true" outlineLevel="0" collapsed="false">
      <c r="A4202" s="1" t="n">
        <v>14201</v>
      </c>
      <c r="B4202" s="14" t="n">
        <v>48762</v>
      </c>
      <c r="C4202" s="1" t="n">
        <v>1306</v>
      </c>
      <c r="D4202" s="1" t="s">
        <v>34</v>
      </c>
      <c r="E4202" s="1" t="s">
        <v>36</v>
      </c>
      <c r="F4202" s="1" t="n">
        <v>6</v>
      </c>
      <c r="G4202" s="15" t="n">
        <v>185.06</v>
      </c>
      <c r="H4202" s="16" t="n">
        <v>0.11</v>
      </c>
      <c r="I4202" s="1" t="s">
        <v>29</v>
      </c>
      <c r="J4202" s="1" t="n">
        <v>10</v>
      </c>
      <c r="K4202" s="1" t="n">
        <v>1.3</v>
      </c>
      <c r="L4202" s="15" t="n">
        <v>988.22</v>
      </c>
      <c r="M4202" s="15" t="n">
        <f aca="false">F4202*G4202</f>
        <v>1110.36</v>
      </c>
      <c r="N4202" s="15" t="n">
        <f aca="false">M4202-L4202</f>
        <v>122.14</v>
      </c>
      <c r="O4202" s="1" t="n">
        <f aca="false">YEAR(B4202)</f>
        <v>2033</v>
      </c>
      <c r="P4202" s="1" t="n">
        <f aca="false">MONTH(B4202)</f>
        <v>7</v>
      </c>
      <c r="Q4202" s="1" t="str">
        <f aca="false">TEXT(B4202,"mmm")</f>
        <v>Jul</v>
      </c>
      <c r="R4202" s="1" t="str">
        <f aca="false">"Q"&amp;ROUNDUP(MONTH(B4202)/3,0)</f>
        <v>Q3</v>
      </c>
    </row>
    <row r="4203" customFormat="false" ht="15" hidden="false" customHeight="true" outlineLevel="0" collapsed="false">
      <c r="A4203" s="1" t="n">
        <v>14202</v>
      </c>
      <c r="B4203" s="14" t="n">
        <v>48763</v>
      </c>
      <c r="C4203" s="1" t="n">
        <v>1942</v>
      </c>
      <c r="D4203" s="1" t="s">
        <v>34</v>
      </c>
      <c r="E4203" s="1" t="s">
        <v>32</v>
      </c>
      <c r="F4203" s="1" t="n">
        <v>1</v>
      </c>
      <c r="G4203" s="15" t="n">
        <v>333.08</v>
      </c>
      <c r="H4203" s="16" t="n">
        <v>0.34</v>
      </c>
      <c r="I4203" s="1" t="s">
        <v>29</v>
      </c>
      <c r="J4203" s="1" t="n">
        <v>8</v>
      </c>
      <c r="K4203" s="1" t="n">
        <v>2.3</v>
      </c>
      <c r="L4203" s="15" t="n">
        <v>219.83</v>
      </c>
      <c r="M4203" s="15" t="n">
        <f aca="false">F4203*G4203</f>
        <v>333.08</v>
      </c>
      <c r="N4203" s="15" t="n">
        <f aca="false">M4203-L4203</f>
        <v>113.25</v>
      </c>
      <c r="O4203" s="1" t="n">
        <f aca="false">YEAR(B4203)</f>
        <v>2033</v>
      </c>
      <c r="P4203" s="1" t="n">
        <f aca="false">MONTH(B4203)</f>
        <v>7</v>
      </c>
      <c r="Q4203" s="1" t="str">
        <f aca="false">TEXT(B4203,"mmm")</f>
        <v>Jul</v>
      </c>
      <c r="R4203" s="1" t="str">
        <f aca="false">"Q"&amp;ROUNDUP(MONTH(B4203)/3,0)</f>
        <v>Q3</v>
      </c>
    </row>
    <row r="4204" customFormat="false" ht="15" hidden="false" customHeight="true" outlineLevel="0" collapsed="false">
      <c r="A4204" s="1" t="n">
        <v>14203</v>
      </c>
      <c r="B4204" s="14" t="n">
        <v>48764</v>
      </c>
      <c r="C4204" s="1" t="n">
        <v>1337</v>
      </c>
      <c r="D4204" s="1" t="s">
        <v>27</v>
      </c>
      <c r="E4204" s="1" t="s">
        <v>32</v>
      </c>
      <c r="F4204" s="1" t="n">
        <v>3</v>
      </c>
      <c r="G4204" s="15" t="n">
        <v>176.25</v>
      </c>
      <c r="H4204" s="16" t="n">
        <v>0.28</v>
      </c>
      <c r="I4204" s="1" t="s">
        <v>29</v>
      </c>
      <c r="J4204" s="1" t="n">
        <v>9</v>
      </c>
      <c r="K4204" s="1" t="n">
        <v>2.7</v>
      </c>
      <c r="L4204" s="15" t="n">
        <v>380.7</v>
      </c>
      <c r="M4204" s="15" t="n">
        <f aca="false">F4204*G4204</f>
        <v>528.75</v>
      </c>
      <c r="N4204" s="15" t="n">
        <f aca="false">M4204-L4204</f>
        <v>148.05</v>
      </c>
      <c r="O4204" s="1" t="n">
        <f aca="false">YEAR(B4204)</f>
        <v>2033</v>
      </c>
      <c r="P4204" s="1" t="n">
        <f aca="false">MONTH(B4204)</f>
        <v>7</v>
      </c>
      <c r="Q4204" s="1" t="str">
        <f aca="false">TEXT(B4204,"mmm")</f>
        <v>Jul</v>
      </c>
      <c r="R4204" s="1" t="str">
        <f aca="false">"Q"&amp;ROUNDUP(MONTH(B4204)/3,0)</f>
        <v>Q3</v>
      </c>
    </row>
    <row r="4205" customFormat="false" ht="15" hidden="false" customHeight="true" outlineLevel="0" collapsed="false">
      <c r="A4205" s="1" t="n">
        <v>14204</v>
      </c>
      <c r="B4205" s="14" t="n">
        <v>48765</v>
      </c>
      <c r="C4205" s="1" t="n">
        <v>1313</v>
      </c>
      <c r="D4205" s="1" t="s">
        <v>30</v>
      </c>
      <c r="E4205" s="1" t="s">
        <v>28</v>
      </c>
      <c r="F4205" s="1" t="n">
        <v>7</v>
      </c>
      <c r="G4205" s="15" t="n">
        <v>144.42</v>
      </c>
      <c r="H4205" s="16" t="n">
        <v>0.29</v>
      </c>
      <c r="I4205" s="1" t="s">
        <v>31</v>
      </c>
      <c r="J4205" s="1" t="n">
        <v>9</v>
      </c>
      <c r="K4205" s="1" t="n">
        <v>1.9</v>
      </c>
      <c r="L4205" s="15" t="n">
        <v>717.77</v>
      </c>
      <c r="M4205" s="15" t="n">
        <f aca="false">F4205*G4205</f>
        <v>1010.94</v>
      </c>
      <c r="N4205" s="15" t="n">
        <f aca="false">M4205-L4205</f>
        <v>293.17</v>
      </c>
      <c r="O4205" s="1" t="n">
        <f aca="false">YEAR(B4205)</f>
        <v>2033</v>
      </c>
      <c r="P4205" s="1" t="n">
        <f aca="false">MONTH(B4205)</f>
        <v>7</v>
      </c>
      <c r="Q4205" s="1" t="str">
        <f aca="false">TEXT(B4205,"mmm")</f>
        <v>Jul</v>
      </c>
      <c r="R4205" s="1" t="str">
        <f aca="false">"Q"&amp;ROUNDUP(MONTH(B4205)/3,0)</f>
        <v>Q3</v>
      </c>
    </row>
    <row r="4206" customFormat="false" ht="15" hidden="false" customHeight="true" outlineLevel="0" collapsed="false">
      <c r="A4206" s="1" t="n">
        <v>14205</v>
      </c>
      <c r="B4206" s="14" t="n">
        <v>48766</v>
      </c>
      <c r="C4206" s="1" t="n">
        <v>1074</v>
      </c>
      <c r="D4206" s="1" t="s">
        <v>34</v>
      </c>
      <c r="E4206" s="1" t="s">
        <v>36</v>
      </c>
      <c r="F4206" s="1" t="n">
        <v>4</v>
      </c>
      <c r="G4206" s="15" t="n">
        <v>323.53</v>
      </c>
      <c r="H4206" s="16" t="n">
        <v>0.01</v>
      </c>
      <c r="I4206" s="1" t="s">
        <v>31</v>
      </c>
      <c r="J4206" s="1" t="n">
        <v>7</v>
      </c>
      <c r="K4206" s="1" t="n">
        <v>1.1</v>
      </c>
      <c r="L4206" s="15" t="n">
        <v>1281.18</v>
      </c>
      <c r="M4206" s="15" t="n">
        <f aca="false">F4206*G4206</f>
        <v>1294.12</v>
      </c>
      <c r="N4206" s="15" t="n">
        <f aca="false">M4206-L4206</f>
        <v>12.9399999999998</v>
      </c>
      <c r="O4206" s="1" t="n">
        <f aca="false">YEAR(B4206)</f>
        <v>2033</v>
      </c>
      <c r="P4206" s="1" t="n">
        <f aca="false">MONTH(B4206)</f>
        <v>7</v>
      </c>
      <c r="Q4206" s="1" t="str">
        <f aca="false">TEXT(B4206,"mmm")</f>
        <v>Jul</v>
      </c>
      <c r="R4206" s="1" t="str">
        <f aca="false">"Q"&amp;ROUNDUP(MONTH(B4206)/3,0)</f>
        <v>Q3</v>
      </c>
    </row>
    <row r="4207" customFormat="false" ht="15" hidden="false" customHeight="true" outlineLevel="0" collapsed="false">
      <c r="A4207" s="1" t="n">
        <v>14206</v>
      </c>
      <c r="B4207" s="14" t="n">
        <v>48767</v>
      </c>
      <c r="C4207" s="1" t="n">
        <v>1952</v>
      </c>
      <c r="D4207" s="1" t="s">
        <v>30</v>
      </c>
      <c r="E4207" s="1" t="s">
        <v>32</v>
      </c>
      <c r="F4207" s="1" t="n">
        <v>4</v>
      </c>
      <c r="G4207" s="15" t="n">
        <v>114.34</v>
      </c>
      <c r="H4207" s="16" t="n">
        <v>0.33</v>
      </c>
      <c r="I4207" s="1" t="s">
        <v>31</v>
      </c>
      <c r="J4207" s="1" t="n">
        <v>10</v>
      </c>
      <c r="K4207" s="1" t="n">
        <v>1.9</v>
      </c>
      <c r="L4207" s="15" t="n">
        <v>306.43</v>
      </c>
      <c r="M4207" s="15" t="n">
        <f aca="false">F4207*G4207</f>
        <v>457.36</v>
      </c>
      <c r="N4207" s="15" t="n">
        <f aca="false">M4207-L4207</f>
        <v>150.93</v>
      </c>
      <c r="O4207" s="1" t="n">
        <f aca="false">YEAR(B4207)</f>
        <v>2033</v>
      </c>
      <c r="P4207" s="1" t="n">
        <f aca="false">MONTH(B4207)</f>
        <v>7</v>
      </c>
      <c r="Q4207" s="1" t="str">
        <f aca="false">TEXT(B4207,"mmm")</f>
        <v>Jul</v>
      </c>
      <c r="R4207" s="1" t="str">
        <f aca="false">"Q"&amp;ROUNDUP(MONTH(B4207)/3,0)</f>
        <v>Q3</v>
      </c>
    </row>
    <row r="4208" customFormat="false" ht="15" hidden="false" customHeight="true" outlineLevel="0" collapsed="false">
      <c r="A4208" s="1" t="n">
        <v>14207</v>
      </c>
      <c r="B4208" s="14" t="n">
        <v>48768</v>
      </c>
      <c r="C4208" s="1" t="n">
        <v>1278</v>
      </c>
      <c r="D4208" s="1" t="s">
        <v>34</v>
      </c>
      <c r="E4208" s="1" t="s">
        <v>36</v>
      </c>
      <c r="F4208" s="1" t="n">
        <v>4</v>
      </c>
      <c r="G4208" s="15" t="n">
        <v>483.24</v>
      </c>
      <c r="H4208" s="16" t="n">
        <v>0.27</v>
      </c>
      <c r="I4208" s="1" t="s">
        <v>33</v>
      </c>
      <c r="J4208" s="1" t="n">
        <v>1</v>
      </c>
      <c r="K4208" s="1" t="n">
        <v>2.7</v>
      </c>
      <c r="L4208" s="15" t="n">
        <v>1411.06</v>
      </c>
      <c r="M4208" s="15" t="n">
        <f aca="false">F4208*G4208</f>
        <v>1932.96</v>
      </c>
      <c r="N4208" s="15" t="n">
        <f aca="false">M4208-L4208</f>
        <v>521.9</v>
      </c>
      <c r="O4208" s="1" t="n">
        <f aca="false">YEAR(B4208)</f>
        <v>2033</v>
      </c>
      <c r="P4208" s="1" t="n">
        <f aca="false">MONTH(B4208)</f>
        <v>7</v>
      </c>
      <c r="Q4208" s="1" t="str">
        <f aca="false">TEXT(B4208,"mmm")</f>
        <v>Jul</v>
      </c>
      <c r="R4208" s="1" t="str">
        <f aca="false">"Q"&amp;ROUNDUP(MONTH(B4208)/3,0)</f>
        <v>Q3</v>
      </c>
    </row>
    <row r="4209" customFormat="false" ht="15" hidden="false" customHeight="true" outlineLevel="0" collapsed="false">
      <c r="A4209" s="1" t="n">
        <v>14208</v>
      </c>
      <c r="B4209" s="14" t="n">
        <v>48769</v>
      </c>
      <c r="C4209" s="1" t="n">
        <v>1175</v>
      </c>
      <c r="D4209" s="1" t="s">
        <v>37</v>
      </c>
      <c r="E4209" s="1" t="s">
        <v>32</v>
      </c>
      <c r="F4209" s="1" t="n">
        <v>7</v>
      </c>
      <c r="G4209" s="15" t="n">
        <v>298.36</v>
      </c>
      <c r="H4209" s="16" t="n">
        <v>0.27</v>
      </c>
      <c r="I4209" s="1" t="s">
        <v>31</v>
      </c>
      <c r="J4209" s="1" t="n">
        <v>8</v>
      </c>
      <c r="K4209" s="1" t="n">
        <v>1.3</v>
      </c>
      <c r="L4209" s="15" t="n">
        <v>1524.62</v>
      </c>
      <c r="M4209" s="15" t="n">
        <f aca="false">F4209*G4209</f>
        <v>2088.52</v>
      </c>
      <c r="N4209" s="15" t="n">
        <f aca="false">M4209-L4209</f>
        <v>563.9</v>
      </c>
      <c r="O4209" s="1" t="n">
        <f aca="false">YEAR(B4209)</f>
        <v>2033</v>
      </c>
      <c r="P4209" s="1" t="n">
        <f aca="false">MONTH(B4209)</f>
        <v>7</v>
      </c>
      <c r="Q4209" s="1" t="str">
        <f aca="false">TEXT(B4209,"mmm")</f>
        <v>Jul</v>
      </c>
      <c r="R4209" s="1" t="str">
        <f aca="false">"Q"&amp;ROUNDUP(MONTH(B4209)/3,0)</f>
        <v>Q3</v>
      </c>
    </row>
    <row r="4210" customFormat="false" ht="15" hidden="false" customHeight="true" outlineLevel="0" collapsed="false">
      <c r="A4210" s="1" t="n">
        <v>14209</v>
      </c>
      <c r="B4210" s="14" t="n">
        <v>48770</v>
      </c>
      <c r="C4210" s="1" t="n">
        <v>1895</v>
      </c>
      <c r="D4210" s="1" t="s">
        <v>30</v>
      </c>
      <c r="E4210" s="1" t="s">
        <v>28</v>
      </c>
      <c r="F4210" s="1" t="n">
        <v>1</v>
      </c>
      <c r="G4210" s="15" t="n">
        <v>350.71</v>
      </c>
      <c r="H4210" s="16" t="n">
        <v>0.03</v>
      </c>
      <c r="I4210" s="1" t="s">
        <v>33</v>
      </c>
      <c r="J4210" s="1" t="n">
        <v>7</v>
      </c>
      <c r="K4210" s="1" t="n">
        <v>3.9</v>
      </c>
      <c r="L4210" s="15" t="n">
        <v>340.19</v>
      </c>
      <c r="M4210" s="15" t="n">
        <f aca="false">F4210*G4210</f>
        <v>350.71</v>
      </c>
      <c r="N4210" s="15" t="n">
        <f aca="false">M4210-L4210</f>
        <v>10.52</v>
      </c>
      <c r="O4210" s="1" t="n">
        <f aca="false">YEAR(B4210)</f>
        <v>2033</v>
      </c>
      <c r="P4210" s="1" t="n">
        <f aca="false">MONTH(B4210)</f>
        <v>7</v>
      </c>
      <c r="Q4210" s="1" t="str">
        <f aca="false">TEXT(B4210,"mmm")</f>
        <v>Jul</v>
      </c>
      <c r="R4210" s="1" t="str">
        <f aca="false">"Q"&amp;ROUNDUP(MONTH(B4210)/3,0)</f>
        <v>Q3</v>
      </c>
    </row>
    <row r="4211" customFormat="false" ht="15" hidden="false" customHeight="true" outlineLevel="0" collapsed="false">
      <c r="A4211" s="1" t="n">
        <v>14210</v>
      </c>
      <c r="B4211" s="14" t="n">
        <v>48771</v>
      </c>
      <c r="C4211" s="1" t="n">
        <v>1661</v>
      </c>
      <c r="D4211" s="1" t="s">
        <v>27</v>
      </c>
      <c r="E4211" s="1" t="s">
        <v>28</v>
      </c>
      <c r="F4211" s="1" t="n">
        <v>6</v>
      </c>
      <c r="G4211" s="15" t="n">
        <v>101.22</v>
      </c>
      <c r="H4211" s="16" t="n">
        <v>0.08</v>
      </c>
      <c r="I4211" s="1" t="s">
        <v>33</v>
      </c>
      <c r="J4211" s="1" t="n">
        <v>4</v>
      </c>
      <c r="K4211" s="1" t="n">
        <v>3.2</v>
      </c>
      <c r="L4211" s="15" t="n">
        <v>558.73</v>
      </c>
      <c r="M4211" s="15" t="n">
        <f aca="false">F4211*G4211</f>
        <v>607.32</v>
      </c>
      <c r="N4211" s="15" t="n">
        <f aca="false">M4211-L4211</f>
        <v>48.5899999999999</v>
      </c>
      <c r="O4211" s="1" t="n">
        <f aca="false">YEAR(B4211)</f>
        <v>2033</v>
      </c>
      <c r="P4211" s="1" t="n">
        <f aca="false">MONTH(B4211)</f>
        <v>7</v>
      </c>
      <c r="Q4211" s="1" t="str">
        <f aca="false">TEXT(B4211,"mmm")</f>
        <v>Jul</v>
      </c>
      <c r="R4211" s="1" t="str">
        <f aca="false">"Q"&amp;ROUNDUP(MONTH(B4211)/3,0)</f>
        <v>Q3</v>
      </c>
    </row>
    <row r="4212" customFormat="false" ht="15" hidden="false" customHeight="true" outlineLevel="0" collapsed="false">
      <c r="A4212" s="1" t="n">
        <v>14211</v>
      </c>
      <c r="B4212" s="14" t="n">
        <v>48772</v>
      </c>
      <c r="C4212" s="1" t="n">
        <v>1272</v>
      </c>
      <c r="D4212" s="1" t="s">
        <v>34</v>
      </c>
      <c r="E4212" s="1" t="s">
        <v>36</v>
      </c>
      <c r="F4212" s="1" t="n">
        <v>3</v>
      </c>
      <c r="G4212" s="15" t="n">
        <v>204.88</v>
      </c>
      <c r="H4212" s="16" t="n">
        <v>0.34</v>
      </c>
      <c r="I4212" s="1" t="s">
        <v>33</v>
      </c>
      <c r="J4212" s="1" t="n">
        <v>6</v>
      </c>
      <c r="K4212" s="1" t="n">
        <v>2.7</v>
      </c>
      <c r="L4212" s="15" t="n">
        <v>405.66</v>
      </c>
      <c r="M4212" s="15" t="n">
        <f aca="false">F4212*G4212</f>
        <v>614.64</v>
      </c>
      <c r="N4212" s="15" t="n">
        <f aca="false">M4212-L4212</f>
        <v>208.98</v>
      </c>
      <c r="O4212" s="1" t="n">
        <f aca="false">YEAR(B4212)</f>
        <v>2033</v>
      </c>
      <c r="P4212" s="1" t="n">
        <f aca="false">MONTH(B4212)</f>
        <v>7</v>
      </c>
      <c r="Q4212" s="1" t="str">
        <f aca="false">TEXT(B4212,"mmm")</f>
        <v>Jul</v>
      </c>
      <c r="R4212" s="1" t="str">
        <f aca="false">"Q"&amp;ROUNDUP(MONTH(B4212)/3,0)</f>
        <v>Q3</v>
      </c>
    </row>
    <row r="4213" customFormat="false" ht="15" hidden="false" customHeight="true" outlineLevel="0" collapsed="false">
      <c r="A4213" s="1" t="n">
        <v>14212</v>
      </c>
      <c r="B4213" s="14" t="n">
        <v>48773</v>
      </c>
      <c r="C4213" s="1" t="n">
        <v>1836</v>
      </c>
      <c r="D4213" s="1" t="s">
        <v>30</v>
      </c>
      <c r="E4213" s="1" t="s">
        <v>35</v>
      </c>
      <c r="F4213" s="1" t="n">
        <v>5</v>
      </c>
      <c r="G4213" s="15" t="n">
        <v>254.9</v>
      </c>
      <c r="H4213" s="16" t="n">
        <v>0.18</v>
      </c>
      <c r="I4213" s="1" t="s">
        <v>29</v>
      </c>
      <c r="J4213" s="1" t="n">
        <v>10</v>
      </c>
      <c r="K4213" s="1" t="n">
        <v>3.1</v>
      </c>
      <c r="L4213" s="15" t="n">
        <v>1045.09</v>
      </c>
      <c r="M4213" s="15" t="n">
        <f aca="false">F4213*G4213</f>
        <v>1274.5</v>
      </c>
      <c r="N4213" s="15" t="n">
        <f aca="false">M4213-L4213</f>
        <v>229.41</v>
      </c>
      <c r="O4213" s="1" t="n">
        <f aca="false">YEAR(B4213)</f>
        <v>2033</v>
      </c>
      <c r="P4213" s="1" t="n">
        <f aca="false">MONTH(B4213)</f>
        <v>7</v>
      </c>
      <c r="Q4213" s="1" t="str">
        <f aca="false">TEXT(B4213,"mmm")</f>
        <v>Jul</v>
      </c>
      <c r="R4213" s="1" t="str">
        <f aca="false">"Q"&amp;ROUNDUP(MONTH(B4213)/3,0)</f>
        <v>Q3</v>
      </c>
    </row>
    <row r="4214" customFormat="false" ht="15" hidden="false" customHeight="true" outlineLevel="0" collapsed="false">
      <c r="A4214" s="1" t="n">
        <v>14213</v>
      </c>
      <c r="B4214" s="14" t="n">
        <v>48774</v>
      </c>
      <c r="C4214" s="1" t="n">
        <v>1619</v>
      </c>
      <c r="D4214" s="1" t="s">
        <v>30</v>
      </c>
      <c r="E4214" s="1" t="s">
        <v>35</v>
      </c>
      <c r="F4214" s="1" t="n">
        <v>5</v>
      </c>
      <c r="G4214" s="15" t="n">
        <v>487.8</v>
      </c>
      <c r="H4214" s="16" t="n">
        <v>0.14</v>
      </c>
      <c r="I4214" s="1" t="s">
        <v>33</v>
      </c>
      <c r="J4214" s="1" t="n">
        <v>2</v>
      </c>
      <c r="K4214" s="1" t="n">
        <v>3.6</v>
      </c>
      <c r="L4214" s="15" t="n">
        <v>2097.54</v>
      </c>
      <c r="M4214" s="15" t="n">
        <f aca="false">F4214*G4214</f>
        <v>2439</v>
      </c>
      <c r="N4214" s="15" t="n">
        <f aca="false">M4214-L4214</f>
        <v>341.46</v>
      </c>
      <c r="O4214" s="1" t="n">
        <f aca="false">YEAR(B4214)</f>
        <v>2033</v>
      </c>
      <c r="P4214" s="1" t="n">
        <f aca="false">MONTH(B4214)</f>
        <v>7</v>
      </c>
      <c r="Q4214" s="1" t="str">
        <f aca="false">TEXT(B4214,"mmm")</f>
        <v>Jul</v>
      </c>
      <c r="R4214" s="1" t="str">
        <f aca="false">"Q"&amp;ROUNDUP(MONTH(B4214)/3,0)</f>
        <v>Q3</v>
      </c>
    </row>
    <row r="4215" customFormat="false" ht="15" hidden="false" customHeight="true" outlineLevel="0" collapsed="false">
      <c r="A4215" s="1" t="n">
        <v>14214</v>
      </c>
      <c r="B4215" s="14" t="n">
        <v>48775</v>
      </c>
      <c r="C4215" s="1" t="n">
        <v>1650</v>
      </c>
      <c r="D4215" s="1" t="s">
        <v>30</v>
      </c>
      <c r="E4215" s="1" t="s">
        <v>28</v>
      </c>
      <c r="F4215" s="1" t="n">
        <v>7</v>
      </c>
      <c r="G4215" s="15" t="n">
        <v>465.54</v>
      </c>
      <c r="H4215" s="16" t="n">
        <v>0.29</v>
      </c>
      <c r="I4215" s="1" t="s">
        <v>33</v>
      </c>
      <c r="J4215" s="1" t="n">
        <v>4</v>
      </c>
      <c r="K4215" s="1" t="n">
        <v>5</v>
      </c>
      <c r="L4215" s="15" t="n">
        <v>2313.73</v>
      </c>
      <c r="M4215" s="15" t="n">
        <f aca="false">F4215*G4215</f>
        <v>3258.78</v>
      </c>
      <c r="N4215" s="15" t="n">
        <f aca="false">M4215-L4215</f>
        <v>945.05</v>
      </c>
      <c r="O4215" s="1" t="n">
        <f aca="false">YEAR(B4215)</f>
        <v>2033</v>
      </c>
      <c r="P4215" s="1" t="n">
        <f aca="false">MONTH(B4215)</f>
        <v>7</v>
      </c>
      <c r="Q4215" s="1" t="str">
        <f aca="false">TEXT(B4215,"mmm")</f>
        <v>Jul</v>
      </c>
      <c r="R4215" s="1" t="str">
        <f aca="false">"Q"&amp;ROUNDUP(MONTH(B4215)/3,0)</f>
        <v>Q3</v>
      </c>
    </row>
    <row r="4216" customFormat="false" ht="15" hidden="false" customHeight="true" outlineLevel="0" collapsed="false">
      <c r="A4216" s="1" t="n">
        <v>14215</v>
      </c>
      <c r="B4216" s="14" t="n">
        <v>48776</v>
      </c>
      <c r="C4216" s="1" t="n">
        <v>1861</v>
      </c>
      <c r="D4216" s="1" t="s">
        <v>34</v>
      </c>
      <c r="E4216" s="1" t="s">
        <v>32</v>
      </c>
      <c r="F4216" s="1" t="n">
        <v>2</v>
      </c>
      <c r="G4216" s="15" t="n">
        <v>145.44</v>
      </c>
      <c r="H4216" s="16" t="n">
        <v>0.03</v>
      </c>
      <c r="I4216" s="1" t="s">
        <v>33</v>
      </c>
      <c r="J4216" s="1" t="n">
        <v>8</v>
      </c>
      <c r="K4216" s="1" t="n">
        <v>4.1</v>
      </c>
      <c r="L4216" s="15" t="n">
        <v>282.15</v>
      </c>
      <c r="M4216" s="15" t="n">
        <f aca="false">F4216*G4216</f>
        <v>290.88</v>
      </c>
      <c r="N4216" s="15" t="n">
        <f aca="false">M4216-L4216</f>
        <v>8.73000000000002</v>
      </c>
      <c r="O4216" s="1" t="n">
        <f aca="false">YEAR(B4216)</f>
        <v>2033</v>
      </c>
      <c r="P4216" s="1" t="n">
        <f aca="false">MONTH(B4216)</f>
        <v>7</v>
      </c>
      <c r="Q4216" s="1" t="str">
        <f aca="false">TEXT(B4216,"mmm")</f>
        <v>Jul</v>
      </c>
      <c r="R4216" s="1" t="str">
        <f aca="false">"Q"&amp;ROUNDUP(MONTH(B4216)/3,0)</f>
        <v>Q3</v>
      </c>
    </row>
    <row r="4217" customFormat="false" ht="15" hidden="false" customHeight="true" outlineLevel="0" collapsed="false">
      <c r="A4217" s="1" t="n">
        <v>14216</v>
      </c>
      <c r="B4217" s="14" t="n">
        <v>48777</v>
      </c>
      <c r="C4217" s="1" t="n">
        <v>1782</v>
      </c>
      <c r="D4217" s="1" t="s">
        <v>37</v>
      </c>
      <c r="E4217" s="1" t="s">
        <v>35</v>
      </c>
      <c r="F4217" s="1" t="n">
        <v>1</v>
      </c>
      <c r="G4217" s="15" t="n">
        <v>375.46</v>
      </c>
      <c r="H4217" s="16" t="n">
        <v>0.15</v>
      </c>
      <c r="I4217" s="1" t="s">
        <v>29</v>
      </c>
      <c r="J4217" s="1" t="n">
        <v>4</v>
      </c>
      <c r="K4217" s="1" t="n">
        <v>3.2</v>
      </c>
      <c r="L4217" s="15" t="n">
        <v>319.14</v>
      </c>
      <c r="M4217" s="15" t="n">
        <f aca="false">F4217*G4217</f>
        <v>375.46</v>
      </c>
      <c r="N4217" s="15" t="n">
        <f aca="false">M4217-L4217</f>
        <v>56.32</v>
      </c>
      <c r="O4217" s="1" t="n">
        <f aca="false">YEAR(B4217)</f>
        <v>2033</v>
      </c>
      <c r="P4217" s="1" t="n">
        <f aca="false">MONTH(B4217)</f>
        <v>7</v>
      </c>
      <c r="Q4217" s="1" t="str">
        <f aca="false">TEXT(B4217,"mmm")</f>
        <v>Jul</v>
      </c>
      <c r="R4217" s="1" t="str">
        <f aca="false">"Q"&amp;ROUNDUP(MONTH(B4217)/3,0)</f>
        <v>Q3</v>
      </c>
    </row>
    <row r="4218" customFormat="false" ht="15" hidden="false" customHeight="true" outlineLevel="0" collapsed="false">
      <c r="A4218" s="1" t="n">
        <v>14217</v>
      </c>
      <c r="B4218" s="14" t="n">
        <v>48778</v>
      </c>
      <c r="C4218" s="1" t="n">
        <v>1858</v>
      </c>
      <c r="D4218" s="1" t="s">
        <v>27</v>
      </c>
      <c r="E4218" s="1" t="s">
        <v>28</v>
      </c>
      <c r="F4218" s="1" t="n">
        <v>3</v>
      </c>
      <c r="G4218" s="15" t="n">
        <v>157.42</v>
      </c>
      <c r="H4218" s="16" t="n">
        <v>0.13</v>
      </c>
      <c r="I4218" s="1" t="s">
        <v>31</v>
      </c>
      <c r="J4218" s="1" t="n">
        <v>10</v>
      </c>
      <c r="K4218" s="1" t="n">
        <v>4.1</v>
      </c>
      <c r="L4218" s="15" t="n">
        <v>410.87</v>
      </c>
      <c r="M4218" s="15" t="n">
        <f aca="false">F4218*G4218</f>
        <v>472.26</v>
      </c>
      <c r="N4218" s="15" t="n">
        <f aca="false">M4218-L4218</f>
        <v>61.39</v>
      </c>
      <c r="O4218" s="1" t="n">
        <f aca="false">YEAR(B4218)</f>
        <v>2033</v>
      </c>
      <c r="P4218" s="1" t="n">
        <f aca="false">MONTH(B4218)</f>
        <v>7</v>
      </c>
      <c r="Q4218" s="1" t="str">
        <f aca="false">TEXT(B4218,"mmm")</f>
        <v>Jul</v>
      </c>
      <c r="R4218" s="1" t="str">
        <f aca="false">"Q"&amp;ROUNDUP(MONTH(B4218)/3,0)</f>
        <v>Q3</v>
      </c>
    </row>
    <row r="4219" customFormat="false" ht="15" hidden="false" customHeight="true" outlineLevel="0" collapsed="false">
      <c r="A4219" s="1" t="n">
        <v>14218</v>
      </c>
      <c r="B4219" s="14" t="n">
        <v>48779</v>
      </c>
      <c r="C4219" s="1" t="n">
        <v>1930</v>
      </c>
      <c r="D4219" s="1" t="s">
        <v>27</v>
      </c>
      <c r="E4219" s="1" t="s">
        <v>32</v>
      </c>
      <c r="F4219" s="1" t="n">
        <v>6</v>
      </c>
      <c r="G4219" s="15" t="n">
        <v>593.12</v>
      </c>
      <c r="H4219" s="16" t="n">
        <v>0.12</v>
      </c>
      <c r="I4219" s="1" t="s">
        <v>31</v>
      </c>
      <c r="J4219" s="1" t="n">
        <v>4</v>
      </c>
      <c r="K4219" s="1" t="n">
        <v>2.9</v>
      </c>
      <c r="L4219" s="15" t="n">
        <v>3131.67</v>
      </c>
      <c r="M4219" s="15" t="n">
        <f aca="false">F4219*G4219</f>
        <v>3558.72</v>
      </c>
      <c r="N4219" s="15" t="n">
        <f aca="false">M4219-L4219</f>
        <v>427.05</v>
      </c>
      <c r="O4219" s="1" t="n">
        <f aca="false">YEAR(B4219)</f>
        <v>2033</v>
      </c>
      <c r="P4219" s="1" t="n">
        <f aca="false">MONTH(B4219)</f>
        <v>7</v>
      </c>
      <c r="Q4219" s="1" t="str">
        <f aca="false">TEXT(B4219,"mmm")</f>
        <v>Jul</v>
      </c>
      <c r="R4219" s="1" t="str">
        <f aca="false">"Q"&amp;ROUNDUP(MONTH(B4219)/3,0)</f>
        <v>Q3</v>
      </c>
    </row>
    <row r="4220" customFormat="false" ht="15" hidden="false" customHeight="true" outlineLevel="0" collapsed="false">
      <c r="A4220" s="1" t="n">
        <v>14219</v>
      </c>
      <c r="B4220" s="14" t="n">
        <v>48780</v>
      </c>
      <c r="C4220" s="1" t="n">
        <v>1288</v>
      </c>
      <c r="D4220" s="1" t="s">
        <v>37</v>
      </c>
      <c r="E4220" s="1" t="s">
        <v>32</v>
      </c>
      <c r="F4220" s="1" t="n">
        <v>4</v>
      </c>
      <c r="G4220" s="15" t="n">
        <v>571.99</v>
      </c>
      <c r="H4220" s="16" t="n">
        <v>0.11</v>
      </c>
      <c r="I4220" s="1" t="s">
        <v>29</v>
      </c>
      <c r="J4220" s="1" t="n">
        <v>4</v>
      </c>
      <c r="K4220" s="1" t="n">
        <v>2.2</v>
      </c>
      <c r="L4220" s="15" t="n">
        <v>2036.28</v>
      </c>
      <c r="M4220" s="15" t="n">
        <f aca="false">F4220*G4220</f>
        <v>2287.96</v>
      </c>
      <c r="N4220" s="15" t="n">
        <f aca="false">M4220-L4220</f>
        <v>251.68</v>
      </c>
      <c r="O4220" s="1" t="n">
        <f aca="false">YEAR(B4220)</f>
        <v>2033</v>
      </c>
      <c r="P4220" s="1" t="n">
        <f aca="false">MONTH(B4220)</f>
        <v>7</v>
      </c>
      <c r="Q4220" s="1" t="str">
        <f aca="false">TEXT(B4220,"mmm")</f>
        <v>Jul</v>
      </c>
      <c r="R4220" s="1" t="str">
        <f aca="false">"Q"&amp;ROUNDUP(MONTH(B4220)/3,0)</f>
        <v>Q3</v>
      </c>
    </row>
    <row r="4221" customFormat="false" ht="15" hidden="false" customHeight="true" outlineLevel="0" collapsed="false">
      <c r="A4221" s="1" t="n">
        <v>14220</v>
      </c>
      <c r="B4221" s="14" t="n">
        <v>48781</v>
      </c>
      <c r="C4221" s="1" t="n">
        <v>1723</v>
      </c>
      <c r="D4221" s="1" t="s">
        <v>27</v>
      </c>
      <c r="E4221" s="1" t="s">
        <v>35</v>
      </c>
      <c r="F4221" s="1" t="n">
        <v>1</v>
      </c>
      <c r="G4221" s="15" t="n">
        <v>344.51</v>
      </c>
      <c r="H4221" s="16" t="n">
        <v>0.07</v>
      </c>
      <c r="I4221" s="1" t="s">
        <v>33</v>
      </c>
      <c r="J4221" s="1" t="n">
        <v>10</v>
      </c>
      <c r="K4221" s="1" t="n">
        <v>2</v>
      </c>
      <c r="L4221" s="15" t="n">
        <v>320.39</v>
      </c>
      <c r="M4221" s="15" t="n">
        <f aca="false">F4221*G4221</f>
        <v>344.51</v>
      </c>
      <c r="N4221" s="15" t="n">
        <f aca="false">M4221-L4221</f>
        <v>24.12</v>
      </c>
      <c r="O4221" s="1" t="n">
        <f aca="false">YEAR(B4221)</f>
        <v>2033</v>
      </c>
      <c r="P4221" s="1" t="n">
        <f aca="false">MONTH(B4221)</f>
        <v>7</v>
      </c>
      <c r="Q4221" s="1" t="str">
        <f aca="false">TEXT(B4221,"mmm")</f>
        <v>Jul</v>
      </c>
      <c r="R4221" s="1" t="str">
        <f aca="false">"Q"&amp;ROUNDUP(MONTH(B4221)/3,0)</f>
        <v>Q3</v>
      </c>
    </row>
    <row r="4222" customFormat="false" ht="15" hidden="false" customHeight="true" outlineLevel="0" collapsed="false">
      <c r="A4222" s="1" t="n">
        <v>14221</v>
      </c>
      <c r="B4222" s="14" t="n">
        <v>48782</v>
      </c>
      <c r="C4222" s="1" t="n">
        <v>1892</v>
      </c>
      <c r="D4222" s="1" t="s">
        <v>30</v>
      </c>
      <c r="E4222" s="1" t="s">
        <v>28</v>
      </c>
      <c r="F4222" s="1" t="n">
        <v>1</v>
      </c>
      <c r="G4222" s="15" t="n">
        <v>423.86</v>
      </c>
      <c r="H4222" s="16" t="n">
        <v>0.06</v>
      </c>
      <c r="I4222" s="1" t="s">
        <v>33</v>
      </c>
      <c r="J4222" s="1" t="n">
        <v>9</v>
      </c>
      <c r="K4222" s="1" t="n">
        <v>2.6</v>
      </c>
      <c r="L4222" s="15" t="n">
        <v>398.43</v>
      </c>
      <c r="M4222" s="15" t="n">
        <f aca="false">F4222*G4222</f>
        <v>423.86</v>
      </c>
      <c r="N4222" s="15" t="n">
        <f aca="false">M4222-L4222</f>
        <v>25.43</v>
      </c>
      <c r="O4222" s="1" t="n">
        <f aca="false">YEAR(B4222)</f>
        <v>2033</v>
      </c>
      <c r="P4222" s="1" t="n">
        <f aca="false">MONTH(B4222)</f>
        <v>7</v>
      </c>
      <c r="Q4222" s="1" t="str">
        <f aca="false">TEXT(B4222,"mmm")</f>
        <v>Jul</v>
      </c>
      <c r="R4222" s="1" t="str">
        <f aca="false">"Q"&amp;ROUNDUP(MONTH(B4222)/3,0)</f>
        <v>Q3</v>
      </c>
    </row>
    <row r="4223" customFormat="false" ht="15" hidden="false" customHeight="true" outlineLevel="0" collapsed="false">
      <c r="A4223" s="1" t="n">
        <v>14222</v>
      </c>
      <c r="B4223" s="14" t="n">
        <v>48783</v>
      </c>
      <c r="C4223" s="1" t="n">
        <v>1271</v>
      </c>
      <c r="D4223" s="1" t="s">
        <v>37</v>
      </c>
      <c r="E4223" s="1" t="s">
        <v>32</v>
      </c>
      <c r="F4223" s="1" t="n">
        <v>3</v>
      </c>
      <c r="G4223" s="15" t="n">
        <v>483.84</v>
      </c>
      <c r="H4223" s="16" t="n">
        <v>0.22</v>
      </c>
      <c r="I4223" s="1" t="s">
        <v>33</v>
      </c>
      <c r="J4223" s="1" t="n">
        <v>11</v>
      </c>
      <c r="K4223" s="1" t="n">
        <v>1</v>
      </c>
      <c r="L4223" s="15" t="n">
        <v>1132.19</v>
      </c>
      <c r="M4223" s="15" t="n">
        <f aca="false">F4223*G4223</f>
        <v>1451.52</v>
      </c>
      <c r="N4223" s="15" t="n">
        <f aca="false">M4223-L4223</f>
        <v>319.33</v>
      </c>
      <c r="O4223" s="1" t="n">
        <f aca="false">YEAR(B4223)</f>
        <v>2033</v>
      </c>
      <c r="P4223" s="1" t="n">
        <f aca="false">MONTH(B4223)</f>
        <v>7</v>
      </c>
      <c r="Q4223" s="1" t="str">
        <f aca="false">TEXT(B4223,"mmm")</f>
        <v>Jul</v>
      </c>
      <c r="R4223" s="1" t="str">
        <f aca="false">"Q"&amp;ROUNDUP(MONTH(B4223)/3,0)</f>
        <v>Q3</v>
      </c>
    </row>
    <row r="4224" customFormat="false" ht="15" hidden="false" customHeight="true" outlineLevel="0" collapsed="false">
      <c r="A4224" s="1" t="n">
        <v>14223</v>
      </c>
      <c r="B4224" s="14" t="n">
        <v>48784</v>
      </c>
      <c r="C4224" s="1" t="n">
        <v>1929</v>
      </c>
      <c r="D4224" s="1" t="s">
        <v>34</v>
      </c>
      <c r="E4224" s="1" t="s">
        <v>32</v>
      </c>
      <c r="F4224" s="1" t="n">
        <v>7</v>
      </c>
      <c r="G4224" s="15" t="n">
        <v>436.78</v>
      </c>
      <c r="H4224" s="16" t="n">
        <v>0.32</v>
      </c>
      <c r="I4224" s="1" t="s">
        <v>31</v>
      </c>
      <c r="J4224" s="1" t="n">
        <v>2</v>
      </c>
      <c r="K4224" s="1" t="n">
        <v>1.7</v>
      </c>
      <c r="L4224" s="15" t="n">
        <v>2079.07</v>
      </c>
      <c r="M4224" s="15" t="n">
        <f aca="false">F4224*G4224</f>
        <v>3057.46</v>
      </c>
      <c r="N4224" s="15" t="n">
        <f aca="false">M4224-L4224</f>
        <v>978.39</v>
      </c>
      <c r="O4224" s="1" t="n">
        <f aca="false">YEAR(B4224)</f>
        <v>2033</v>
      </c>
      <c r="P4224" s="1" t="n">
        <f aca="false">MONTH(B4224)</f>
        <v>7</v>
      </c>
      <c r="Q4224" s="1" t="str">
        <f aca="false">TEXT(B4224,"mmm")</f>
        <v>Jul</v>
      </c>
      <c r="R4224" s="1" t="str">
        <f aca="false">"Q"&amp;ROUNDUP(MONTH(B4224)/3,0)</f>
        <v>Q3</v>
      </c>
    </row>
    <row r="4225" customFormat="false" ht="15" hidden="false" customHeight="true" outlineLevel="0" collapsed="false">
      <c r="A4225" s="1" t="n">
        <v>14224</v>
      </c>
      <c r="B4225" s="14" t="n">
        <v>48785</v>
      </c>
      <c r="C4225" s="1" t="n">
        <v>1065</v>
      </c>
      <c r="D4225" s="1" t="s">
        <v>30</v>
      </c>
      <c r="E4225" s="1" t="s">
        <v>36</v>
      </c>
      <c r="F4225" s="1" t="n">
        <v>6</v>
      </c>
      <c r="G4225" s="15" t="n">
        <v>424.4</v>
      </c>
      <c r="H4225" s="16" t="n">
        <v>0.18</v>
      </c>
      <c r="I4225" s="1" t="s">
        <v>33</v>
      </c>
      <c r="J4225" s="1" t="n">
        <v>7</v>
      </c>
      <c r="K4225" s="1" t="n">
        <v>1.5</v>
      </c>
      <c r="L4225" s="15" t="n">
        <v>2088.05</v>
      </c>
      <c r="M4225" s="15" t="n">
        <f aca="false">F4225*G4225</f>
        <v>2546.4</v>
      </c>
      <c r="N4225" s="15" t="n">
        <f aca="false">M4225-L4225</f>
        <v>458.349999999999</v>
      </c>
      <c r="O4225" s="1" t="n">
        <f aca="false">YEAR(B4225)</f>
        <v>2033</v>
      </c>
      <c r="P4225" s="1" t="n">
        <f aca="false">MONTH(B4225)</f>
        <v>7</v>
      </c>
      <c r="Q4225" s="1" t="str">
        <f aca="false">TEXT(B4225,"mmm")</f>
        <v>Jul</v>
      </c>
      <c r="R4225" s="1" t="str">
        <f aca="false">"Q"&amp;ROUNDUP(MONTH(B4225)/3,0)</f>
        <v>Q3</v>
      </c>
    </row>
    <row r="4226" customFormat="false" ht="15" hidden="false" customHeight="true" outlineLevel="0" collapsed="false">
      <c r="A4226" s="1" t="n">
        <v>14225</v>
      </c>
      <c r="B4226" s="14" t="n">
        <v>48786</v>
      </c>
      <c r="C4226" s="1" t="n">
        <v>1482</v>
      </c>
      <c r="D4226" s="1" t="s">
        <v>34</v>
      </c>
      <c r="E4226" s="1" t="s">
        <v>36</v>
      </c>
      <c r="F4226" s="1" t="n">
        <v>7</v>
      </c>
      <c r="G4226" s="15" t="n">
        <v>575.75</v>
      </c>
      <c r="H4226" s="16" t="n">
        <v>0.1</v>
      </c>
      <c r="I4226" s="1" t="s">
        <v>31</v>
      </c>
      <c r="J4226" s="1" t="n">
        <v>3</v>
      </c>
      <c r="K4226" s="1" t="n">
        <v>4.8</v>
      </c>
      <c r="L4226" s="15" t="n">
        <v>3627.22</v>
      </c>
      <c r="M4226" s="15" t="n">
        <f aca="false">F4226*G4226</f>
        <v>4030.25</v>
      </c>
      <c r="N4226" s="15" t="n">
        <f aca="false">M4226-L4226</f>
        <v>403.03</v>
      </c>
      <c r="O4226" s="1" t="n">
        <f aca="false">YEAR(B4226)</f>
        <v>2033</v>
      </c>
      <c r="P4226" s="1" t="n">
        <f aca="false">MONTH(B4226)</f>
        <v>7</v>
      </c>
      <c r="Q4226" s="1" t="str">
        <f aca="false">TEXT(B4226,"mmm")</f>
        <v>Jul</v>
      </c>
      <c r="R4226" s="1" t="str">
        <f aca="false">"Q"&amp;ROUNDUP(MONTH(B4226)/3,0)</f>
        <v>Q3</v>
      </c>
    </row>
    <row r="4227" customFormat="false" ht="15" hidden="false" customHeight="true" outlineLevel="0" collapsed="false">
      <c r="A4227" s="1" t="n">
        <v>14226</v>
      </c>
      <c r="B4227" s="14" t="n">
        <v>48787</v>
      </c>
      <c r="C4227" s="1" t="n">
        <v>1935</v>
      </c>
      <c r="D4227" s="1" t="s">
        <v>30</v>
      </c>
      <c r="E4227" s="1" t="s">
        <v>35</v>
      </c>
      <c r="F4227" s="1" t="n">
        <v>7</v>
      </c>
      <c r="G4227" s="15" t="n">
        <v>363.93</v>
      </c>
      <c r="H4227" s="16" t="n">
        <v>0.06</v>
      </c>
      <c r="I4227" s="1" t="s">
        <v>33</v>
      </c>
      <c r="J4227" s="1" t="n">
        <v>4</v>
      </c>
      <c r="K4227" s="1" t="n">
        <v>1.3</v>
      </c>
      <c r="L4227" s="15" t="n">
        <v>2394.66</v>
      </c>
      <c r="M4227" s="15" t="n">
        <f aca="false">F4227*G4227</f>
        <v>2547.51</v>
      </c>
      <c r="N4227" s="15" t="n">
        <f aca="false">M4227-L4227</f>
        <v>152.85</v>
      </c>
      <c r="O4227" s="1" t="n">
        <f aca="false">YEAR(B4227)</f>
        <v>2033</v>
      </c>
      <c r="P4227" s="1" t="n">
        <f aca="false">MONTH(B4227)</f>
        <v>7</v>
      </c>
      <c r="Q4227" s="1" t="str">
        <f aca="false">TEXT(B4227,"mmm")</f>
        <v>Jul</v>
      </c>
      <c r="R4227" s="1" t="str">
        <f aca="false">"Q"&amp;ROUNDUP(MONTH(B4227)/3,0)</f>
        <v>Q3</v>
      </c>
    </row>
    <row r="4228" customFormat="false" ht="15" hidden="false" customHeight="true" outlineLevel="0" collapsed="false">
      <c r="A4228" s="1" t="n">
        <v>14227</v>
      </c>
      <c r="B4228" s="14" t="n">
        <v>48788</v>
      </c>
      <c r="C4228" s="1" t="n">
        <v>1247</v>
      </c>
      <c r="D4228" s="1" t="s">
        <v>34</v>
      </c>
      <c r="E4228" s="1" t="s">
        <v>36</v>
      </c>
      <c r="F4228" s="1" t="n">
        <v>2</v>
      </c>
      <c r="G4228" s="15" t="n">
        <v>387.24</v>
      </c>
      <c r="H4228" s="16" t="n">
        <v>0.29</v>
      </c>
      <c r="I4228" s="1" t="s">
        <v>33</v>
      </c>
      <c r="J4228" s="1" t="n">
        <v>1</v>
      </c>
      <c r="K4228" s="1" t="n">
        <v>3</v>
      </c>
      <c r="L4228" s="15" t="n">
        <v>549.88</v>
      </c>
      <c r="M4228" s="15" t="n">
        <f aca="false">F4228*G4228</f>
        <v>774.48</v>
      </c>
      <c r="N4228" s="15" t="n">
        <f aca="false">M4228-L4228</f>
        <v>224.6</v>
      </c>
      <c r="O4228" s="1" t="n">
        <f aca="false">YEAR(B4228)</f>
        <v>2033</v>
      </c>
      <c r="P4228" s="1" t="n">
        <f aca="false">MONTH(B4228)</f>
        <v>7</v>
      </c>
      <c r="Q4228" s="1" t="str">
        <f aca="false">TEXT(B4228,"mmm")</f>
        <v>Jul</v>
      </c>
      <c r="R4228" s="1" t="str">
        <f aca="false">"Q"&amp;ROUNDUP(MONTH(B4228)/3,0)</f>
        <v>Q3</v>
      </c>
    </row>
    <row r="4229" customFormat="false" ht="15" hidden="false" customHeight="true" outlineLevel="0" collapsed="false">
      <c r="A4229" s="1" t="n">
        <v>14228</v>
      </c>
      <c r="B4229" s="14" t="n">
        <v>48789</v>
      </c>
      <c r="C4229" s="1" t="n">
        <v>1155</v>
      </c>
      <c r="D4229" s="1" t="s">
        <v>27</v>
      </c>
      <c r="E4229" s="1" t="s">
        <v>28</v>
      </c>
      <c r="F4229" s="1" t="n">
        <v>7</v>
      </c>
      <c r="G4229" s="15" t="n">
        <v>511.82</v>
      </c>
      <c r="H4229" s="16" t="n">
        <v>0.34</v>
      </c>
      <c r="I4229" s="1" t="s">
        <v>33</v>
      </c>
      <c r="J4229" s="1" t="n">
        <v>3</v>
      </c>
      <c r="K4229" s="1" t="n">
        <v>4.7</v>
      </c>
      <c r="L4229" s="15" t="n">
        <v>2364.61</v>
      </c>
      <c r="M4229" s="15" t="n">
        <f aca="false">F4229*G4229</f>
        <v>3582.74</v>
      </c>
      <c r="N4229" s="15" t="n">
        <f aca="false">M4229-L4229</f>
        <v>1218.13</v>
      </c>
      <c r="O4229" s="1" t="n">
        <f aca="false">YEAR(B4229)</f>
        <v>2033</v>
      </c>
      <c r="P4229" s="1" t="n">
        <f aca="false">MONTH(B4229)</f>
        <v>7</v>
      </c>
      <c r="Q4229" s="1" t="str">
        <f aca="false">TEXT(B4229,"mmm")</f>
        <v>Jul</v>
      </c>
      <c r="R4229" s="1" t="str">
        <f aca="false">"Q"&amp;ROUNDUP(MONTH(B4229)/3,0)</f>
        <v>Q3</v>
      </c>
    </row>
    <row r="4230" customFormat="false" ht="15" hidden="false" customHeight="true" outlineLevel="0" collapsed="false">
      <c r="A4230" s="1" t="n">
        <v>14229</v>
      </c>
      <c r="B4230" s="14" t="n">
        <v>48790</v>
      </c>
      <c r="C4230" s="1" t="n">
        <v>1046</v>
      </c>
      <c r="D4230" s="1" t="s">
        <v>34</v>
      </c>
      <c r="E4230" s="1" t="s">
        <v>35</v>
      </c>
      <c r="F4230" s="1" t="n">
        <v>6</v>
      </c>
      <c r="G4230" s="15" t="n">
        <v>406.89</v>
      </c>
      <c r="H4230" s="16" t="n">
        <v>0.12</v>
      </c>
      <c r="I4230" s="1" t="s">
        <v>33</v>
      </c>
      <c r="J4230" s="1" t="n">
        <v>2</v>
      </c>
      <c r="K4230" s="1" t="n">
        <v>3.4</v>
      </c>
      <c r="L4230" s="15" t="n">
        <v>2148.38</v>
      </c>
      <c r="M4230" s="15" t="n">
        <f aca="false">F4230*G4230</f>
        <v>2441.34</v>
      </c>
      <c r="N4230" s="15" t="n">
        <f aca="false">M4230-L4230</f>
        <v>292.96</v>
      </c>
      <c r="O4230" s="1" t="n">
        <f aca="false">YEAR(B4230)</f>
        <v>2033</v>
      </c>
      <c r="P4230" s="1" t="n">
        <f aca="false">MONTH(B4230)</f>
        <v>7</v>
      </c>
      <c r="Q4230" s="1" t="str">
        <f aca="false">TEXT(B4230,"mmm")</f>
        <v>Jul</v>
      </c>
      <c r="R4230" s="1" t="str">
        <f aca="false">"Q"&amp;ROUNDUP(MONTH(B4230)/3,0)</f>
        <v>Q3</v>
      </c>
    </row>
    <row r="4231" customFormat="false" ht="15" hidden="false" customHeight="true" outlineLevel="0" collapsed="false">
      <c r="A4231" s="1" t="n">
        <v>14230</v>
      </c>
      <c r="B4231" s="14" t="n">
        <v>48791</v>
      </c>
      <c r="C4231" s="1" t="n">
        <v>1934</v>
      </c>
      <c r="D4231" s="1" t="s">
        <v>34</v>
      </c>
      <c r="E4231" s="1" t="s">
        <v>35</v>
      </c>
      <c r="F4231" s="1" t="n">
        <v>2</v>
      </c>
      <c r="G4231" s="15" t="n">
        <v>443.77</v>
      </c>
      <c r="H4231" s="16" t="n">
        <v>0.1</v>
      </c>
      <c r="I4231" s="1" t="s">
        <v>29</v>
      </c>
      <c r="J4231" s="1" t="n">
        <v>10</v>
      </c>
      <c r="K4231" s="1" t="n">
        <v>3</v>
      </c>
      <c r="L4231" s="15" t="n">
        <v>798.79</v>
      </c>
      <c r="M4231" s="15" t="n">
        <f aca="false">F4231*G4231</f>
        <v>887.54</v>
      </c>
      <c r="N4231" s="15" t="n">
        <f aca="false">M4231-L4231</f>
        <v>88.75</v>
      </c>
      <c r="O4231" s="1" t="n">
        <f aca="false">YEAR(B4231)</f>
        <v>2033</v>
      </c>
      <c r="P4231" s="1" t="n">
        <f aca="false">MONTH(B4231)</f>
        <v>7</v>
      </c>
      <c r="Q4231" s="1" t="str">
        <f aca="false">TEXT(B4231,"mmm")</f>
        <v>Jul</v>
      </c>
      <c r="R4231" s="1" t="str">
        <f aca="false">"Q"&amp;ROUNDUP(MONTH(B4231)/3,0)</f>
        <v>Q3</v>
      </c>
    </row>
    <row r="4232" customFormat="false" ht="15" hidden="false" customHeight="true" outlineLevel="0" collapsed="false">
      <c r="A4232" s="1" t="n">
        <v>14231</v>
      </c>
      <c r="B4232" s="14" t="n">
        <v>48792</v>
      </c>
      <c r="C4232" s="1" t="n">
        <v>1453</v>
      </c>
      <c r="D4232" s="1" t="s">
        <v>30</v>
      </c>
      <c r="E4232" s="1" t="s">
        <v>36</v>
      </c>
      <c r="F4232" s="1" t="n">
        <v>2</v>
      </c>
      <c r="G4232" s="15" t="n">
        <v>151.99</v>
      </c>
      <c r="H4232" s="16" t="n">
        <v>0.21</v>
      </c>
      <c r="I4232" s="1" t="s">
        <v>33</v>
      </c>
      <c r="J4232" s="1" t="n">
        <v>7</v>
      </c>
      <c r="K4232" s="1" t="n">
        <v>4</v>
      </c>
      <c r="L4232" s="15" t="n">
        <v>240.14</v>
      </c>
      <c r="M4232" s="15" t="n">
        <f aca="false">F4232*G4232</f>
        <v>303.98</v>
      </c>
      <c r="N4232" s="15" t="n">
        <f aca="false">M4232-L4232</f>
        <v>63.84</v>
      </c>
      <c r="O4232" s="1" t="n">
        <f aca="false">YEAR(B4232)</f>
        <v>2033</v>
      </c>
      <c r="P4232" s="1" t="n">
        <f aca="false">MONTH(B4232)</f>
        <v>8</v>
      </c>
      <c r="Q4232" s="1" t="str">
        <f aca="false">TEXT(B4232,"mmm")</f>
        <v>Aug</v>
      </c>
      <c r="R4232" s="1" t="str">
        <f aca="false">"Q"&amp;ROUNDUP(MONTH(B4232)/3,0)</f>
        <v>Q3</v>
      </c>
    </row>
    <row r="4233" customFormat="false" ht="15" hidden="false" customHeight="true" outlineLevel="0" collapsed="false">
      <c r="A4233" s="1" t="n">
        <v>14232</v>
      </c>
      <c r="B4233" s="14" t="n">
        <v>48793</v>
      </c>
      <c r="C4233" s="1" t="n">
        <v>1200</v>
      </c>
      <c r="D4233" s="1" t="s">
        <v>34</v>
      </c>
      <c r="E4233" s="1" t="s">
        <v>32</v>
      </c>
      <c r="F4233" s="1" t="n">
        <v>4</v>
      </c>
      <c r="G4233" s="15" t="n">
        <v>232.19</v>
      </c>
      <c r="H4233" s="16" t="n">
        <v>0.27</v>
      </c>
      <c r="I4233" s="1" t="s">
        <v>29</v>
      </c>
      <c r="J4233" s="1" t="n">
        <v>6</v>
      </c>
      <c r="K4233" s="1" t="n">
        <v>2.4</v>
      </c>
      <c r="L4233" s="15" t="n">
        <v>677.99</v>
      </c>
      <c r="M4233" s="15" t="n">
        <f aca="false">F4233*G4233</f>
        <v>928.76</v>
      </c>
      <c r="N4233" s="15" t="n">
        <f aca="false">M4233-L4233</f>
        <v>250.77</v>
      </c>
      <c r="O4233" s="1" t="n">
        <f aca="false">YEAR(B4233)</f>
        <v>2033</v>
      </c>
      <c r="P4233" s="1" t="n">
        <f aca="false">MONTH(B4233)</f>
        <v>8</v>
      </c>
      <c r="Q4233" s="1" t="str">
        <f aca="false">TEXT(B4233,"mmm")</f>
        <v>Aug</v>
      </c>
      <c r="R4233" s="1" t="str">
        <f aca="false">"Q"&amp;ROUNDUP(MONTH(B4233)/3,0)</f>
        <v>Q3</v>
      </c>
    </row>
    <row r="4234" customFormat="false" ht="15" hidden="false" customHeight="true" outlineLevel="0" collapsed="false">
      <c r="A4234" s="1" t="n">
        <v>14233</v>
      </c>
      <c r="B4234" s="14" t="n">
        <v>48794</v>
      </c>
      <c r="C4234" s="1" t="n">
        <v>1659</v>
      </c>
      <c r="D4234" s="1" t="s">
        <v>34</v>
      </c>
      <c r="E4234" s="1" t="s">
        <v>28</v>
      </c>
      <c r="F4234" s="1" t="n">
        <v>4</v>
      </c>
      <c r="G4234" s="15" t="n">
        <v>101.17</v>
      </c>
      <c r="H4234" s="16" t="n">
        <v>0.16</v>
      </c>
      <c r="I4234" s="1" t="s">
        <v>33</v>
      </c>
      <c r="J4234" s="1" t="n">
        <v>1</v>
      </c>
      <c r="K4234" s="1" t="n">
        <v>1.8</v>
      </c>
      <c r="L4234" s="15" t="n">
        <v>339.93</v>
      </c>
      <c r="M4234" s="15" t="n">
        <f aca="false">F4234*G4234</f>
        <v>404.68</v>
      </c>
      <c r="N4234" s="15" t="n">
        <f aca="false">M4234-L4234</f>
        <v>64.75</v>
      </c>
      <c r="O4234" s="1" t="n">
        <f aca="false">YEAR(B4234)</f>
        <v>2033</v>
      </c>
      <c r="P4234" s="1" t="n">
        <f aca="false">MONTH(B4234)</f>
        <v>8</v>
      </c>
      <c r="Q4234" s="1" t="str">
        <f aca="false">TEXT(B4234,"mmm")</f>
        <v>Aug</v>
      </c>
      <c r="R4234" s="1" t="str">
        <f aca="false">"Q"&amp;ROUNDUP(MONTH(B4234)/3,0)</f>
        <v>Q3</v>
      </c>
    </row>
    <row r="4235" customFormat="false" ht="15" hidden="false" customHeight="true" outlineLevel="0" collapsed="false">
      <c r="A4235" s="1" t="n">
        <v>14234</v>
      </c>
      <c r="B4235" s="14" t="n">
        <v>48795</v>
      </c>
      <c r="C4235" s="1" t="n">
        <v>1123</v>
      </c>
      <c r="D4235" s="1" t="s">
        <v>34</v>
      </c>
      <c r="E4235" s="1" t="s">
        <v>28</v>
      </c>
      <c r="F4235" s="1" t="n">
        <v>3</v>
      </c>
      <c r="G4235" s="15" t="n">
        <v>310.87</v>
      </c>
      <c r="H4235" s="16" t="n">
        <v>0.22</v>
      </c>
      <c r="I4235" s="1" t="s">
        <v>33</v>
      </c>
      <c r="J4235" s="1" t="n">
        <v>11</v>
      </c>
      <c r="K4235" s="1" t="n">
        <v>4.4</v>
      </c>
      <c r="L4235" s="15" t="n">
        <v>727.44</v>
      </c>
      <c r="M4235" s="15" t="n">
        <f aca="false">F4235*G4235</f>
        <v>932.61</v>
      </c>
      <c r="N4235" s="15" t="n">
        <f aca="false">M4235-L4235</f>
        <v>205.17</v>
      </c>
      <c r="O4235" s="1" t="n">
        <f aca="false">YEAR(B4235)</f>
        <v>2033</v>
      </c>
      <c r="P4235" s="1" t="n">
        <f aca="false">MONTH(B4235)</f>
        <v>8</v>
      </c>
      <c r="Q4235" s="1" t="str">
        <f aca="false">TEXT(B4235,"mmm")</f>
        <v>Aug</v>
      </c>
      <c r="R4235" s="1" t="str">
        <f aca="false">"Q"&amp;ROUNDUP(MONTH(B4235)/3,0)</f>
        <v>Q3</v>
      </c>
    </row>
    <row r="4236" customFormat="false" ht="15" hidden="false" customHeight="true" outlineLevel="0" collapsed="false">
      <c r="A4236" s="1" t="n">
        <v>14235</v>
      </c>
      <c r="B4236" s="14" t="n">
        <v>48796</v>
      </c>
      <c r="C4236" s="1" t="n">
        <v>1000</v>
      </c>
      <c r="D4236" s="1" t="s">
        <v>30</v>
      </c>
      <c r="E4236" s="1" t="s">
        <v>28</v>
      </c>
      <c r="F4236" s="1" t="n">
        <v>6</v>
      </c>
      <c r="G4236" s="15" t="n">
        <v>281.6</v>
      </c>
      <c r="H4236" s="16" t="n">
        <v>0.25</v>
      </c>
      <c r="I4236" s="1" t="s">
        <v>31</v>
      </c>
      <c r="J4236" s="1" t="n">
        <v>8</v>
      </c>
      <c r="K4236" s="1" t="n">
        <v>1.2</v>
      </c>
      <c r="L4236" s="15" t="n">
        <v>1267.2</v>
      </c>
      <c r="M4236" s="15" t="n">
        <f aca="false">F4236*G4236</f>
        <v>1689.6</v>
      </c>
      <c r="N4236" s="15" t="n">
        <f aca="false">M4236-L4236</f>
        <v>422.4</v>
      </c>
      <c r="O4236" s="1" t="n">
        <f aca="false">YEAR(B4236)</f>
        <v>2033</v>
      </c>
      <c r="P4236" s="1" t="n">
        <f aca="false">MONTH(B4236)</f>
        <v>8</v>
      </c>
      <c r="Q4236" s="1" t="str">
        <f aca="false">TEXT(B4236,"mmm")</f>
        <v>Aug</v>
      </c>
      <c r="R4236" s="1" t="str">
        <f aca="false">"Q"&amp;ROUNDUP(MONTH(B4236)/3,0)</f>
        <v>Q3</v>
      </c>
    </row>
    <row r="4237" customFormat="false" ht="15" hidden="false" customHeight="true" outlineLevel="0" collapsed="false">
      <c r="A4237" s="1" t="n">
        <v>14236</v>
      </c>
      <c r="B4237" s="14" t="n">
        <v>48797</v>
      </c>
      <c r="C4237" s="1" t="n">
        <v>1967</v>
      </c>
      <c r="D4237" s="1" t="s">
        <v>30</v>
      </c>
      <c r="E4237" s="1" t="s">
        <v>35</v>
      </c>
      <c r="F4237" s="1" t="n">
        <v>7</v>
      </c>
      <c r="G4237" s="15" t="n">
        <v>598.34</v>
      </c>
      <c r="H4237" s="16" t="n">
        <v>0.34</v>
      </c>
      <c r="I4237" s="1" t="s">
        <v>31</v>
      </c>
      <c r="J4237" s="1" t="n">
        <v>9</v>
      </c>
      <c r="K4237" s="1" t="n">
        <v>4.2</v>
      </c>
      <c r="L4237" s="15" t="n">
        <v>2764.33</v>
      </c>
      <c r="M4237" s="15" t="n">
        <f aca="false">F4237*G4237</f>
        <v>4188.38</v>
      </c>
      <c r="N4237" s="15" t="n">
        <f aca="false">M4237-L4237</f>
        <v>1424.05</v>
      </c>
      <c r="O4237" s="1" t="n">
        <f aca="false">YEAR(B4237)</f>
        <v>2033</v>
      </c>
      <c r="P4237" s="1" t="n">
        <f aca="false">MONTH(B4237)</f>
        <v>8</v>
      </c>
      <c r="Q4237" s="1" t="str">
        <f aca="false">TEXT(B4237,"mmm")</f>
        <v>Aug</v>
      </c>
      <c r="R4237" s="1" t="str">
        <f aca="false">"Q"&amp;ROUNDUP(MONTH(B4237)/3,0)</f>
        <v>Q3</v>
      </c>
    </row>
    <row r="4238" customFormat="false" ht="15" hidden="false" customHeight="true" outlineLevel="0" collapsed="false">
      <c r="A4238" s="1" t="n">
        <v>14237</v>
      </c>
      <c r="B4238" s="14" t="n">
        <v>48798</v>
      </c>
      <c r="C4238" s="1" t="n">
        <v>1758</v>
      </c>
      <c r="D4238" s="1" t="s">
        <v>37</v>
      </c>
      <c r="E4238" s="1" t="s">
        <v>28</v>
      </c>
      <c r="F4238" s="1" t="n">
        <v>2</v>
      </c>
      <c r="G4238" s="15" t="n">
        <v>372.56</v>
      </c>
      <c r="H4238" s="16" t="n">
        <v>0.06</v>
      </c>
      <c r="I4238" s="1" t="s">
        <v>33</v>
      </c>
      <c r="J4238" s="1" t="n">
        <v>1</v>
      </c>
      <c r="K4238" s="1" t="n">
        <v>1.4</v>
      </c>
      <c r="L4238" s="15" t="n">
        <v>700.41</v>
      </c>
      <c r="M4238" s="15" t="n">
        <f aca="false">F4238*G4238</f>
        <v>745.12</v>
      </c>
      <c r="N4238" s="15" t="n">
        <f aca="false">M4238-L4238</f>
        <v>44.71</v>
      </c>
      <c r="O4238" s="1" t="n">
        <f aca="false">YEAR(B4238)</f>
        <v>2033</v>
      </c>
      <c r="P4238" s="1" t="n">
        <f aca="false">MONTH(B4238)</f>
        <v>8</v>
      </c>
      <c r="Q4238" s="1" t="str">
        <f aca="false">TEXT(B4238,"mmm")</f>
        <v>Aug</v>
      </c>
      <c r="R4238" s="1" t="str">
        <f aca="false">"Q"&amp;ROUNDUP(MONTH(B4238)/3,0)</f>
        <v>Q3</v>
      </c>
    </row>
    <row r="4239" customFormat="false" ht="15" hidden="false" customHeight="true" outlineLevel="0" collapsed="false">
      <c r="A4239" s="1" t="n">
        <v>14238</v>
      </c>
      <c r="B4239" s="14" t="n">
        <v>48799</v>
      </c>
      <c r="C4239" s="1" t="n">
        <v>1854</v>
      </c>
      <c r="D4239" s="1" t="s">
        <v>37</v>
      </c>
      <c r="E4239" s="1" t="s">
        <v>32</v>
      </c>
      <c r="F4239" s="1" t="n">
        <v>3</v>
      </c>
      <c r="G4239" s="15" t="n">
        <v>475.07</v>
      </c>
      <c r="H4239" s="16" t="n">
        <v>0.35</v>
      </c>
      <c r="I4239" s="1" t="s">
        <v>31</v>
      </c>
      <c r="J4239" s="1" t="n">
        <v>5</v>
      </c>
      <c r="K4239" s="1" t="n">
        <v>3.5</v>
      </c>
      <c r="L4239" s="15" t="n">
        <v>926.39</v>
      </c>
      <c r="M4239" s="15" t="n">
        <f aca="false">F4239*G4239</f>
        <v>1425.21</v>
      </c>
      <c r="N4239" s="15" t="n">
        <f aca="false">M4239-L4239</f>
        <v>498.82</v>
      </c>
      <c r="O4239" s="1" t="n">
        <f aca="false">YEAR(B4239)</f>
        <v>2033</v>
      </c>
      <c r="P4239" s="1" t="n">
        <f aca="false">MONTH(B4239)</f>
        <v>8</v>
      </c>
      <c r="Q4239" s="1" t="str">
        <f aca="false">TEXT(B4239,"mmm")</f>
        <v>Aug</v>
      </c>
      <c r="R4239" s="1" t="str">
        <f aca="false">"Q"&amp;ROUNDUP(MONTH(B4239)/3,0)</f>
        <v>Q3</v>
      </c>
    </row>
    <row r="4240" customFormat="false" ht="15" hidden="false" customHeight="true" outlineLevel="0" collapsed="false">
      <c r="A4240" s="1" t="n">
        <v>14239</v>
      </c>
      <c r="B4240" s="14" t="n">
        <v>48800</v>
      </c>
      <c r="C4240" s="1" t="n">
        <v>1639</v>
      </c>
      <c r="D4240" s="1" t="s">
        <v>30</v>
      </c>
      <c r="E4240" s="1" t="s">
        <v>32</v>
      </c>
      <c r="F4240" s="1" t="n">
        <v>2</v>
      </c>
      <c r="G4240" s="15" t="n">
        <v>210.4</v>
      </c>
      <c r="H4240" s="16" t="n">
        <v>0.14</v>
      </c>
      <c r="I4240" s="1" t="s">
        <v>33</v>
      </c>
      <c r="J4240" s="1" t="n">
        <v>7</v>
      </c>
      <c r="K4240" s="1" t="n">
        <v>2.9</v>
      </c>
      <c r="L4240" s="15" t="n">
        <v>361.89</v>
      </c>
      <c r="M4240" s="15" t="n">
        <f aca="false">F4240*G4240</f>
        <v>420.8</v>
      </c>
      <c r="N4240" s="15" t="n">
        <f aca="false">M4240-L4240</f>
        <v>58.91</v>
      </c>
      <c r="O4240" s="1" t="n">
        <f aca="false">YEAR(B4240)</f>
        <v>2033</v>
      </c>
      <c r="P4240" s="1" t="n">
        <f aca="false">MONTH(B4240)</f>
        <v>8</v>
      </c>
      <c r="Q4240" s="1" t="str">
        <f aca="false">TEXT(B4240,"mmm")</f>
        <v>Aug</v>
      </c>
      <c r="R4240" s="1" t="str">
        <f aca="false">"Q"&amp;ROUNDUP(MONTH(B4240)/3,0)</f>
        <v>Q3</v>
      </c>
    </row>
    <row r="4241" customFormat="false" ht="15" hidden="false" customHeight="true" outlineLevel="0" collapsed="false">
      <c r="A4241" s="1" t="n">
        <v>14240</v>
      </c>
      <c r="B4241" s="14" t="n">
        <v>48801</v>
      </c>
      <c r="C4241" s="1" t="n">
        <v>1190</v>
      </c>
      <c r="D4241" s="1" t="s">
        <v>34</v>
      </c>
      <c r="E4241" s="1" t="s">
        <v>36</v>
      </c>
      <c r="F4241" s="1" t="n">
        <v>1</v>
      </c>
      <c r="G4241" s="15" t="n">
        <v>501.45</v>
      </c>
      <c r="H4241" s="16" t="n">
        <v>0.25</v>
      </c>
      <c r="I4241" s="1" t="s">
        <v>33</v>
      </c>
      <c r="J4241" s="1" t="n">
        <v>2</v>
      </c>
      <c r="K4241" s="1" t="n">
        <v>5</v>
      </c>
      <c r="L4241" s="15" t="n">
        <v>376.09</v>
      </c>
      <c r="M4241" s="15" t="n">
        <f aca="false">F4241*G4241</f>
        <v>501.45</v>
      </c>
      <c r="N4241" s="15" t="n">
        <f aca="false">M4241-L4241</f>
        <v>125.36</v>
      </c>
      <c r="O4241" s="1" t="n">
        <f aca="false">YEAR(B4241)</f>
        <v>2033</v>
      </c>
      <c r="P4241" s="1" t="n">
        <f aca="false">MONTH(B4241)</f>
        <v>8</v>
      </c>
      <c r="Q4241" s="1" t="str">
        <f aca="false">TEXT(B4241,"mmm")</f>
        <v>Aug</v>
      </c>
      <c r="R4241" s="1" t="str">
        <f aca="false">"Q"&amp;ROUNDUP(MONTH(B4241)/3,0)</f>
        <v>Q3</v>
      </c>
    </row>
    <row r="4242" customFormat="false" ht="15" hidden="false" customHeight="true" outlineLevel="0" collapsed="false">
      <c r="A4242" s="1" t="n">
        <v>14241</v>
      </c>
      <c r="B4242" s="14" t="n">
        <v>48802</v>
      </c>
      <c r="C4242" s="1" t="n">
        <v>1578</v>
      </c>
      <c r="D4242" s="1" t="s">
        <v>34</v>
      </c>
      <c r="E4242" s="1" t="s">
        <v>28</v>
      </c>
      <c r="F4242" s="1" t="n">
        <v>5</v>
      </c>
      <c r="G4242" s="15" t="n">
        <v>374.82</v>
      </c>
      <c r="H4242" s="16" t="n">
        <v>0.2</v>
      </c>
      <c r="I4242" s="1" t="s">
        <v>29</v>
      </c>
      <c r="J4242" s="1" t="n">
        <v>6</v>
      </c>
      <c r="K4242" s="1" t="n">
        <v>2.6</v>
      </c>
      <c r="L4242" s="15" t="n">
        <v>1499.28</v>
      </c>
      <c r="M4242" s="15" t="n">
        <f aca="false">F4242*G4242</f>
        <v>1874.1</v>
      </c>
      <c r="N4242" s="15" t="n">
        <f aca="false">M4242-L4242</f>
        <v>374.82</v>
      </c>
      <c r="O4242" s="1" t="n">
        <f aca="false">YEAR(B4242)</f>
        <v>2033</v>
      </c>
      <c r="P4242" s="1" t="n">
        <f aca="false">MONTH(B4242)</f>
        <v>8</v>
      </c>
      <c r="Q4242" s="1" t="str">
        <f aca="false">TEXT(B4242,"mmm")</f>
        <v>Aug</v>
      </c>
      <c r="R4242" s="1" t="str">
        <f aca="false">"Q"&amp;ROUNDUP(MONTH(B4242)/3,0)</f>
        <v>Q3</v>
      </c>
    </row>
    <row r="4243" customFormat="false" ht="15" hidden="false" customHeight="true" outlineLevel="0" collapsed="false">
      <c r="A4243" s="1" t="n">
        <v>14242</v>
      </c>
      <c r="B4243" s="14" t="n">
        <v>48803</v>
      </c>
      <c r="C4243" s="1" t="n">
        <v>1515</v>
      </c>
      <c r="D4243" s="1" t="s">
        <v>37</v>
      </c>
      <c r="E4243" s="1" t="s">
        <v>35</v>
      </c>
      <c r="F4243" s="1" t="n">
        <v>5</v>
      </c>
      <c r="G4243" s="15" t="n">
        <v>422.74</v>
      </c>
      <c r="H4243" s="16" t="n">
        <v>0.17</v>
      </c>
      <c r="I4243" s="1" t="s">
        <v>29</v>
      </c>
      <c r="J4243" s="1" t="n">
        <v>8</v>
      </c>
      <c r="K4243" s="1" t="n">
        <v>4.8</v>
      </c>
      <c r="L4243" s="15" t="n">
        <v>1754.37</v>
      </c>
      <c r="M4243" s="15" t="n">
        <f aca="false">F4243*G4243</f>
        <v>2113.7</v>
      </c>
      <c r="N4243" s="15" t="n">
        <f aca="false">M4243-L4243</f>
        <v>359.33</v>
      </c>
      <c r="O4243" s="1" t="n">
        <f aca="false">YEAR(B4243)</f>
        <v>2033</v>
      </c>
      <c r="P4243" s="1" t="n">
        <f aca="false">MONTH(B4243)</f>
        <v>8</v>
      </c>
      <c r="Q4243" s="1" t="str">
        <f aca="false">TEXT(B4243,"mmm")</f>
        <v>Aug</v>
      </c>
      <c r="R4243" s="1" t="str">
        <f aca="false">"Q"&amp;ROUNDUP(MONTH(B4243)/3,0)</f>
        <v>Q3</v>
      </c>
    </row>
    <row r="4244" customFormat="false" ht="15" hidden="false" customHeight="true" outlineLevel="0" collapsed="false">
      <c r="A4244" s="1" t="n">
        <v>14243</v>
      </c>
      <c r="B4244" s="14" t="n">
        <v>48804</v>
      </c>
      <c r="C4244" s="1" t="n">
        <v>1441</v>
      </c>
      <c r="D4244" s="1" t="s">
        <v>34</v>
      </c>
      <c r="E4244" s="1" t="s">
        <v>36</v>
      </c>
      <c r="F4244" s="1" t="n">
        <v>2</v>
      </c>
      <c r="G4244" s="15" t="n">
        <v>187.24</v>
      </c>
      <c r="H4244" s="16" t="n">
        <v>0.24</v>
      </c>
      <c r="I4244" s="1" t="s">
        <v>31</v>
      </c>
      <c r="J4244" s="1" t="n">
        <v>8</v>
      </c>
      <c r="K4244" s="1" t="n">
        <v>2.6</v>
      </c>
      <c r="L4244" s="15" t="n">
        <v>284.6</v>
      </c>
      <c r="M4244" s="15" t="n">
        <f aca="false">F4244*G4244</f>
        <v>374.48</v>
      </c>
      <c r="N4244" s="15" t="n">
        <f aca="false">M4244-L4244</f>
        <v>89.88</v>
      </c>
      <c r="O4244" s="1" t="n">
        <f aca="false">YEAR(B4244)</f>
        <v>2033</v>
      </c>
      <c r="P4244" s="1" t="n">
        <f aca="false">MONTH(B4244)</f>
        <v>8</v>
      </c>
      <c r="Q4244" s="1" t="str">
        <f aca="false">TEXT(B4244,"mmm")</f>
        <v>Aug</v>
      </c>
      <c r="R4244" s="1" t="str">
        <f aca="false">"Q"&amp;ROUNDUP(MONTH(B4244)/3,0)</f>
        <v>Q3</v>
      </c>
    </row>
    <row r="4245" customFormat="false" ht="15" hidden="false" customHeight="true" outlineLevel="0" collapsed="false">
      <c r="A4245" s="1" t="n">
        <v>14244</v>
      </c>
      <c r="B4245" s="14" t="n">
        <v>48805</v>
      </c>
      <c r="C4245" s="1" t="n">
        <v>1920</v>
      </c>
      <c r="D4245" s="1" t="s">
        <v>34</v>
      </c>
      <c r="E4245" s="1" t="s">
        <v>32</v>
      </c>
      <c r="F4245" s="1" t="n">
        <v>3</v>
      </c>
      <c r="G4245" s="15" t="n">
        <v>335.95</v>
      </c>
      <c r="H4245" s="16" t="n">
        <v>0.14</v>
      </c>
      <c r="I4245" s="1" t="s">
        <v>31</v>
      </c>
      <c r="J4245" s="1" t="n">
        <v>10</v>
      </c>
      <c r="K4245" s="1" t="n">
        <v>3.7</v>
      </c>
      <c r="L4245" s="15" t="n">
        <v>866.75</v>
      </c>
      <c r="M4245" s="15" t="n">
        <f aca="false">F4245*G4245</f>
        <v>1007.85</v>
      </c>
      <c r="N4245" s="15" t="n">
        <f aca="false">M4245-L4245</f>
        <v>141.1</v>
      </c>
      <c r="O4245" s="1" t="n">
        <f aca="false">YEAR(B4245)</f>
        <v>2033</v>
      </c>
      <c r="P4245" s="1" t="n">
        <f aca="false">MONTH(B4245)</f>
        <v>8</v>
      </c>
      <c r="Q4245" s="1" t="str">
        <f aca="false">TEXT(B4245,"mmm")</f>
        <v>Aug</v>
      </c>
      <c r="R4245" s="1" t="str">
        <f aca="false">"Q"&amp;ROUNDUP(MONTH(B4245)/3,0)</f>
        <v>Q3</v>
      </c>
    </row>
    <row r="4246" customFormat="false" ht="15" hidden="false" customHeight="true" outlineLevel="0" collapsed="false">
      <c r="A4246" s="1" t="n">
        <v>14245</v>
      </c>
      <c r="B4246" s="14" t="n">
        <v>48806</v>
      </c>
      <c r="C4246" s="1" t="n">
        <v>1814</v>
      </c>
      <c r="D4246" s="1" t="s">
        <v>37</v>
      </c>
      <c r="E4246" s="1" t="s">
        <v>28</v>
      </c>
      <c r="F4246" s="1" t="n">
        <v>4</v>
      </c>
      <c r="G4246" s="15" t="n">
        <v>385.91</v>
      </c>
      <c r="H4246" s="16" t="n">
        <v>0.04</v>
      </c>
      <c r="I4246" s="1" t="s">
        <v>33</v>
      </c>
      <c r="J4246" s="1" t="n">
        <v>10</v>
      </c>
      <c r="K4246" s="1" t="n">
        <v>3.6</v>
      </c>
      <c r="L4246" s="15" t="n">
        <v>1481.89</v>
      </c>
      <c r="M4246" s="15" t="n">
        <f aca="false">F4246*G4246</f>
        <v>1543.64</v>
      </c>
      <c r="N4246" s="15" t="n">
        <f aca="false">M4246-L4246</f>
        <v>61.75</v>
      </c>
      <c r="O4246" s="1" t="n">
        <f aca="false">YEAR(B4246)</f>
        <v>2033</v>
      </c>
      <c r="P4246" s="1" t="n">
        <f aca="false">MONTH(B4246)</f>
        <v>8</v>
      </c>
      <c r="Q4246" s="1" t="str">
        <f aca="false">TEXT(B4246,"mmm")</f>
        <v>Aug</v>
      </c>
      <c r="R4246" s="1" t="str">
        <f aca="false">"Q"&amp;ROUNDUP(MONTH(B4246)/3,0)</f>
        <v>Q3</v>
      </c>
    </row>
    <row r="4247" customFormat="false" ht="15" hidden="false" customHeight="true" outlineLevel="0" collapsed="false">
      <c r="A4247" s="1" t="n">
        <v>14246</v>
      </c>
      <c r="B4247" s="14" t="n">
        <v>48807</v>
      </c>
      <c r="C4247" s="1" t="n">
        <v>1805</v>
      </c>
      <c r="D4247" s="1" t="s">
        <v>30</v>
      </c>
      <c r="E4247" s="1" t="s">
        <v>32</v>
      </c>
      <c r="F4247" s="1" t="n">
        <v>6</v>
      </c>
      <c r="G4247" s="15" t="n">
        <v>359.62</v>
      </c>
      <c r="H4247" s="16" t="n">
        <v>0.17</v>
      </c>
      <c r="I4247" s="1" t="s">
        <v>31</v>
      </c>
      <c r="J4247" s="1" t="n">
        <v>8</v>
      </c>
      <c r="K4247" s="1" t="n">
        <v>1.3</v>
      </c>
      <c r="L4247" s="15" t="n">
        <v>1790.91</v>
      </c>
      <c r="M4247" s="15" t="n">
        <f aca="false">F4247*G4247</f>
        <v>2157.72</v>
      </c>
      <c r="N4247" s="15" t="n">
        <f aca="false">M4247-L4247</f>
        <v>366.81</v>
      </c>
      <c r="O4247" s="1" t="n">
        <f aca="false">YEAR(B4247)</f>
        <v>2033</v>
      </c>
      <c r="P4247" s="1" t="n">
        <f aca="false">MONTH(B4247)</f>
        <v>8</v>
      </c>
      <c r="Q4247" s="1" t="str">
        <f aca="false">TEXT(B4247,"mmm")</f>
        <v>Aug</v>
      </c>
      <c r="R4247" s="1" t="str">
        <f aca="false">"Q"&amp;ROUNDUP(MONTH(B4247)/3,0)</f>
        <v>Q3</v>
      </c>
    </row>
    <row r="4248" customFormat="false" ht="15" hidden="false" customHeight="true" outlineLevel="0" collapsed="false">
      <c r="A4248" s="1" t="n">
        <v>14247</v>
      </c>
      <c r="B4248" s="14" t="n">
        <v>48808</v>
      </c>
      <c r="C4248" s="1" t="n">
        <v>1142</v>
      </c>
      <c r="D4248" s="1" t="s">
        <v>34</v>
      </c>
      <c r="E4248" s="1" t="s">
        <v>36</v>
      </c>
      <c r="F4248" s="1" t="n">
        <v>2</v>
      </c>
      <c r="G4248" s="15" t="n">
        <v>550.39</v>
      </c>
      <c r="H4248" s="16" t="n">
        <v>0.18</v>
      </c>
      <c r="I4248" s="1" t="s">
        <v>31</v>
      </c>
      <c r="J4248" s="1" t="n">
        <v>6</v>
      </c>
      <c r="K4248" s="1" t="n">
        <v>4</v>
      </c>
      <c r="L4248" s="15" t="n">
        <v>902.64</v>
      </c>
      <c r="M4248" s="15" t="n">
        <f aca="false">F4248*G4248</f>
        <v>1100.78</v>
      </c>
      <c r="N4248" s="15" t="n">
        <f aca="false">M4248-L4248</f>
        <v>198.14</v>
      </c>
      <c r="O4248" s="1" t="n">
        <f aca="false">YEAR(B4248)</f>
        <v>2033</v>
      </c>
      <c r="P4248" s="1" t="n">
        <f aca="false">MONTH(B4248)</f>
        <v>8</v>
      </c>
      <c r="Q4248" s="1" t="str">
        <f aca="false">TEXT(B4248,"mmm")</f>
        <v>Aug</v>
      </c>
      <c r="R4248" s="1" t="str">
        <f aca="false">"Q"&amp;ROUNDUP(MONTH(B4248)/3,0)</f>
        <v>Q3</v>
      </c>
    </row>
    <row r="4249" customFormat="false" ht="15" hidden="false" customHeight="true" outlineLevel="0" collapsed="false">
      <c r="A4249" s="1" t="n">
        <v>14248</v>
      </c>
      <c r="B4249" s="14" t="n">
        <v>48809</v>
      </c>
      <c r="C4249" s="1" t="n">
        <v>1190</v>
      </c>
      <c r="D4249" s="1" t="s">
        <v>34</v>
      </c>
      <c r="E4249" s="1" t="s">
        <v>32</v>
      </c>
      <c r="F4249" s="1" t="n">
        <v>2</v>
      </c>
      <c r="G4249" s="15" t="n">
        <v>540.49</v>
      </c>
      <c r="H4249" s="16" t="n">
        <v>0.07</v>
      </c>
      <c r="I4249" s="1" t="s">
        <v>29</v>
      </c>
      <c r="J4249" s="1" t="n">
        <v>6</v>
      </c>
      <c r="K4249" s="1" t="n">
        <v>1.8</v>
      </c>
      <c r="L4249" s="15" t="n">
        <v>1005.31</v>
      </c>
      <c r="M4249" s="15" t="n">
        <f aca="false">F4249*G4249</f>
        <v>1080.98</v>
      </c>
      <c r="N4249" s="15" t="n">
        <f aca="false">M4249-L4249</f>
        <v>75.6700000000001</v>
      </c>
      <c r="O4249" s="1" t="n">
        <f aca="false">YEAR(B4249)</f>
        <v>2033</v>
      </c>
      <c r="P4249" s="1" t="n">
        <f aca="false">MONTH(B4249)</f>
        <v>8</v>
      </c>
      <c r="Q4249" s="1" t="str">
        <f aca="false">TEXT(B4249,"mmm")</f>
        <v>Aug</v>
      </c>
      <c r="R4249" s="1" t="str">
        <f aca="false">"Q"&amp;ROUNDUP(MONTH(B4249)/3,0)</f>
        <v>Q3</v>
      </c>
    </row>
    <row r="4250" customFormat="false" ht="15" hidden="false" customHeight="true" outlineLevel="0" collapsed="false">
      <c r="A4250" s="1" t="n">
        <v>14249</v>
      </c>
      <c r="B4250" s="14" t="n">
        <v>48810</v>
      </c>
      <c r="C4250" s="1" t="n">
        <v>1532</v>
      </c>
      <c r="D4250" s="1" t="s">
        <v>27</v>
      </c>
      <c r="E4250" s="1" t="s">
        <v>28</v>
      </c>
      <c r="F4250" s="1" t="n">
        <v>6</v>
      </c>
      <c r="G4250" s="15" t="n">
        <v>583.03</v>
      </c>
      <c r="H4250" s="16" t="n">
        <v>0.33</v>
      </c>
      <c r="I4250" s="1" t="s">
        <v>29</v>
      </c>
      <c r="J4250" s="1" t="n">
        <v>11</v>
      </c>
      <c r="K4250" s="1" t="n">
        <v>2.6</v>
      </c>
      <c r="L4250" s="15" t="n">
        <v>2343.78</v>
      </c>
      <c r="M4250" s="15" t="n">
        <f aca="false">F4250*G4250</f>
        <v>3498.18</v>
      </c>
      <c r="N4250" s="15" t="n">
        <f aca="false">M4250-L4250</f>
        <v>1154.4</v>
      </c>
      <c r="O4250" s="1" t="n">
        <f aca="false">YEAR(B4250)</f>
        <v>2033</v>
      </c>
      <c r="P4250" s="1" t="n">
        <f aca="false">MONTH(B4250)</f>
        <v>8</v>
      </c>
      <c r="Q4250" s="1" t="str">
        <f aca="false">TEXT(B4250,"mmm")</f>
        <v>Aug</v>
      </c>
      <c r="R4250" s="1" t="str">
        <f aca="false">"Q"&amp;ROUNDUP(MONTH(B4250)/3,0)</f>
        <v>Q3</v>
      </c>
    </row>
    <row r="4251" customFormat="false" ht="15" hidden="false" customHeight="true" outlineLevel="0" collapsed="false">
      <c r="A4251" s="1" t="n">
        <v>14250</v>
      </c>
      <c r="B4251" s="14" t="n">
        <v>48811</v>
      </c>
      <c r="C4251" s="1" t="n">
        <v>1226</v>
      </c>
      <c r="D4251" s="1" t="s">
        <v>27</v>
      </c>
      <c r="E4251" s="1" t="s">
        <v>28</v>
      </c>
      <c r="F4251" s="1" t="n">
        <v>7</v>
      </c>
      <c r="G4251" s="15" t="n">
        <v>405.45</v>
      </c>
      <c r="H4251" s="16" t="n">
        <v>0.08</v>
      </c>
      <c r="I4251" s="1" t="s">
        <v>33</v>
      </c>
      <c r="J4251" s="1" t="n">
        <v>3</v>
      </c>
      <c r="K4251" s="1" t="n">
        <v>4.1</v>
      </c>
      <c r="L4251" s="15" t="n">
        <v>2611.1</v>
      </c>
      <c r="M4251" s="15" t="n">
        <f aca="false">F4251*G4251</f>
        <v>2838.15</v>
      </c>
      <c r="N4251" s="15" t="n">
        <f aca="false">M4251-L4251</f>
        <v>227.05</v>
      </c>
      <c r="O4251" s="1" t="n">
        <f aca="false">YEAR(B4251)</f>
        <v>2033</v>
      </c>
      <c r="P4251" s="1" t="n">
        <f aca="false">MONTH(B4251)</f>
        <v>8</v>
      </c>
      <c r="Q4251" s="1" t="str">
        <f aca="false">TEXT(B4251,"mmm")</f>
        <v>Aug</v>
      </c>
      <c r="R4251" s="1" t="str">
        <f aca="false">"Q"&amp;ROUNDUP(MONTH(B4251)/3,0)</f>
        <v>Q3</v>
      </c>
    </row>
    <row r="4252" customFormat="false" ht="15" hidden="false" customHeight="true" outlineLevel="0" collapsed="false">
      <c r="A4252" s="1" t="n">
        <v>14251</v>
      </c>
      <c r="B4252" s="14" t="n">
        <v>48812</v>
      </c>
      <c r="C4252" s="1" t="n">
        <v>1312</v>
      </c>
      <c r="D4252" s="1" t="s">
        <v>37</v>
      </c>
      <c r="E4252" s="1" t="s">
        <v>36</v>
      </c>
      <c r="F4252" s="1" t="n">
        <v>4</v>
      </c>
      <c r="G4252" s="15" t="n">
        <v>583.57</v>
      </c>
      <c r="H4252" s="16" t="n">
        <v>0.14</v>
      </c>
      <c r="I4252" s="1" t="s">
        <v>33</v>
      </c>
      <c r="J4252" s="1" t="n">
        <v>2</v>
      </c>
      <c r="K4252" s="1" t="n">
        <v>4.8</v>
      </c>
      <c r="L4252" s="15" t="n">
        <v>2007.48</v>
      </c>
      <c r="M4252" s="15" t="n">
        <f aca="false">F4252*G4252</f>
        <v>2334.28</v>
      </c>
      <c r="N4252" s="15" t="n">
        <f aca="false">M4252-L4252</f>
        <v>326.8</v>
      </c>
      <c r="O4252" s="1" t="n">
        <f aca="false">YEAR(B4252)</f>
        <v>2033</v>
      </c>
      <c r="P4252" s="1" t="n">
        <f aca="false">MONTH(B4252)</f>
        <v>8</v>
      </c>
      <c r="Q4252" s="1" t="str">
        <f aca="false">TEXT(B4252,"mmm")</f>
        <v>Aug</v>
      </c>
      <c r="R4252" s="1" t="str">
        <f aca="false">"Q"&amp;ROUNDUP(MONTH(B4252)/3,0)</f>
        <v>Q3</v>
      </c>
    </row>
    <row r="4253" customFormat="false" ht="15" hidden="false" customHeight="true" outlineLevel="0" collapsed="false">
      <c r="A4253" s="1" t="n">
        <v>14252</v>
      </c>
      <c r="B4253" s="14" t="n">
        <v>48813</v>
      </c>
      <c r="C4253" s="1" t="n">
        <v>1628</v>
      </c>
      <c r="D4253" s="1" t="s">
        <v>30</v>
      </c>
      <c r="E4253" s="1" t="s">
        <v>28</v>
      </c>
      <c r="F4253" s="1" t="n">
        <v>2</v>
      </c>
      <c r="G4253" s="15" t="n">
        <v>502</v>
      </c>
      <c r="H4253" s="16" t="n">
        <v>0.05</v>
      </c>
      <c r="I4253" s="1" t="s">
        <v>31</v>
      </c>
      <c r="J4253" s="1" t="n">
        <v>5</v>
      </c>
      <c r="K4253" s="1" t="n">
        <v>3.2</v>
      </c>
      <c r="L4253" s="15" t="n">
        <v>953.8</v>
      </c>
      <c r="M4253" s="15" t="n">
        <f aca="false">F4253*G4253</f>
        <v>1004</v>
      </c>
      <c r="N4253" s="15" t="n">
        <f aca="false">M4253-L4253</f>
        <v>50.2</v>
      </c>
      <c r="O4253" s="1" t="n">
        <f aca="false">YEAR(B4253)</f>
        <v>2033</v>
      </c>
      <c r="P4253" s="1" t="n">
        <f aca="false">MONTH(B4253)</f>
        <v>8</v>
      </c>
      <c r="Q4253" s="1" t="str">
        <f aca="false">TEXT(B4253,"mmm")</f>
        <v>Aug</v>
      </c>
      <c r="R4253" s="1" t="str">
        <f aca="false">"Q"&amp;ROUNDUP(MONTH(B4253)/3,0)</f>
        <v>Q3</v>
      </c>
    </row>
    <row r="4254" customFormat="false" ht="15" hidden="false" customHeight="true" outlineLevel="0" collapsed="false">
      <c r="A4254" s="1" t="n">
        <v>14253</v>
      </c>
      <c r="B4254" s="14" t="n">
        <v>48814</v>
      </c>
      <c r="C4254" s="1" t="n">
        <v>1948</v>
      </c>
      <c r="D4254" s="1" t="s">
        <v>30</v>
      </c>
      <c r="E4254" s="1" t="s">
        <v>32</v>
      </c>
      <c r="F4254" s="1" t="n">
        <v>1</v>
      </c>
      <c r="G4254" s="15" t="n">
        <v>173.44</v>
      </c>
      <c r="H4254" s="16" t="n">
        <v>0.19</v>
      </c>
      <c r="I4254" s="1" t="s">
        <v>33</v>
      </c>
      <c r="J4254" s="1" t="n">
        <v>9</v>
      </c>
      <c r="K4254" s="1" t="n">
        <v>3.1</v>
      </c>
      <c r="L4254" s="15" t="n">
        <v>140.49</v>
      </c>
      <c r="M4254" s="15" t="n">
        <f aca="false">F4254*G4254</f>
        <v>173.44</v>
      </c>
      <c r="N4254" s="15" t="n">
        <f aca="false">M4254-L4254</f>
        <v>32.95</v>
      </c>
      <c r="O4254" s="1" t="n">
        <f aca="false">YEAR(B4254)</f>
        <v>2033</v>
      </c>
      <c r="P4254" s="1" t="n">
        <f aca="false">MONTH(B4254)</f>
        <v>8</v>
      </c>
      <c r="Q4254" s="1" t="str">
        <f aca="false">TEXT(B4254,"mmm")</f>
        <v>Aug</v>
      </c>
      <c r="R4254" s="1" t="str">
        <f aca="false">"Q"&amp;ROUNDUP(MONTH(B4254)/3,0)</f>
        <v>Q3</v>
      </c>
    </row>
    <row r="4255" customFormat="false" ht="15" hidden="false" customHeight="true" outlineLevel="0" collapsed="false">
      <c r="A4255" s="1" t="n">
        <v>14254</v>
      </c>
      <c r="B4255" s="14" t="n">
        <v>48815</v>
      </c>
      <c r="C4255" s="1" t="n">
        <v>1301</v>
      </c>
      <c r="D4255" s="1" t="s">
        <v>27</v>
      </c>
      <c r="E4255" s="1" t="s">
        <v>32</v>
      </c>
      <c r="F4255" s="1" t="n">
        <v>4</v>
      </c>
      <c r="G4255" s="15" t="n">
        <v>265.05</v>
      </c>
      <c r="H4255" s="16" t="n">
        <v>0.11</v>
      </c>
      <c r="I4255" s="1" t="s">
        <v>33</v>
      </c>
      <c r="J4255" s="1" t="n">
        <v>4</v>
      </c>
      <c r="K4255" s="1" t="n">
        <v>3</v>
      </c>
      <c r="L4255" s="15" t="n">
        <v>943.58</v>
      </c>
      <c r="M4255" s="15" t="n">
        <f aca="false">F4255*G4255</f>
        <v>1060.2</v>
      </c>
      <c r="N4255" s="15" t="n">
        <f aca="false">M4255-L4255</f>
        <v>116.62</v>
      </c>
      <c r="O4255" s="1" t="n">
        <f aca="false">YEAR(B4255)</f>
        <v>2033</v>
      </c>
      <c r="P4255" s="1" t="n">
        <f aca="false">MONTH(B4255)</f>
        <v>8</v>
      </c>
      <c r="Q4255" s="1" t="str">
        <f aca="false">TEXT(B4255,"mmm")</f>
        <v>Aug</v>
      </c>
      <c r="R4255" s="1" t="str">
        <f aca="false">"Q"&amp;ROUNDUP(MONTH(B4255)/3,0)</f>
        <v>Q3</v>
      </c>
    </row>
    <row r="4256" customFormat="false" ht="15" hidden="false" customHeight="true" outlineLevel="0" collapsed="false">
      <c r="A4256" s="1" t="n">
        <v>14255</v>
      </c>
      <c r="B4256" s="14" t="n">
        <v>48816</v>
      </c>
      <c r="C4256" s="1" t="n">
        <v>1653</v>
      </c>
      <c r="D4256" s="1" t="s">
        <v>27</v>
      </c>
      <c r="E4256" s="1" t="s">
        <v>35</v>
      </c>
      <c r="F4256" s="1" t="n">
        <v>1</v>
      </c>
      <c r="G4256" s="15" t="n">
        <v>154.46</v>
      </c>
      <c r="H4256" s="16" t="n">
        <v>0.17</v>
      </c>
      <c r="I4256" s="1" t="s">
        <v>33</v>
      </c>
      <c r="J4256" s="1" t="n">
        <v>5</v>
      </c>
      <c r="K4256" s="1" t="n">
        <v>4.3</v>
      </c>
      <c r="L4256" s="15" t="n">
        <v>128.2</v>
      </c>
      <c r="M4256" s="15" t="n">
        <f aca="false">F4256*G4256</f>
        <v>154.46</v>
      </c>
      <c r="N4256" s="15" t="n">
        <f aca="false">M4256-L4256</f>
        <v>26.26</v>
      </c>
      <c r="O4256" s="1" t="n">
        <f aca="false">YEAR(B4256)</f>
        <v>2033</v>
      </c>
      <c r="P4256" s="1" t="n">
        <f aca="false">MONTH(B4256)</f>
        <v>8</v>
      </c>
      <c r="Q4256" s="1" t="str">
        <f aca="false">TEXT(B4256,"mmm")</f>
        <v>Aug</v>
      </c>
      <c r="R4256" s="1" t="str">
        <f aca="false">"Q"&amp;ROUNDUP(MONTH(B4256)/3,0)</f>
        <v>Q3</v>
      </c>
    </row>
    <row r="4257" customFormat="false" ht="15" hidden="false" customHeight="true" outlineLevel="0" collapsed="false">
      <c r="A4257" s="1" t="n">
        <v>14256</v>
      </c>
      <c r="B4257" s="14" t="n">
        <v>48817</v>
      </c>
      <c r="C4257" s="1" t="n">
        <v>1995</v>
      </c>
      <c r="D4257" s="1" t="s">
        <v>34</v>
      </c>
      <c r="E4257" s="1" t="s">
        <v>35</v>
      </c>
      <c r="F4257" s="1" t="n">
        <v>5</v>
      </c>
      <c r="G4257" s="15" t="n">
        <v>17.46</v>
      </c>
      <c r="H4257" s="16" t="n">
        <v>0.08</v>
      </c>
      <c r="I4257" s="1" t="s">
        <v>31</v>
      </c>
      <c r="J4257" s="1" t="n">
        <v>6</v>
      </c>
      <c r="K4257" s="1" t="n">
        <v>5</v>
      </c>
      <c r="L4257" s="15" t="n">
        <v>80.32</v>
      </c>
      <c r="M4257" s="15" t="n">
        <f aca="false">F4257*G4257</f>
        <v>87.3</v>
      </c>
      <c r="N4257" s="15" t="n">
        <f aca="false">M4257-L4257</f>
        <v>6.98000000000002</v>
      </c>
      <c r="O4257" s="1" t="n">
        <f aca="false">YEAR(B4257)</f>
        <v>2033</v>
      </c>
      <c r="P4257" s="1" t="n">
        <f aca="false">MONTH(B4257)</f>
        <v>8</v>
      </c>
      <c r="Q4257" s="1" t="str">
        <f aca="false">TEXT(B4257,"mmm")</f>
        <v>Aug</v>
      </c>
      <c r="R4257" s="1" t="str">
        <f aca="false">"Q"&amp;ROUNDUP(MONTH(B4257)/3,0)</f>
        <v>Q3</v>
      </c>
    </row>
    <row r="4258" customFormat="false" ht="15" hidden="false" customHeight="true" outlineLevel="0" collapsed="false">
      <c r="A4258" s="1" t="n">
        <v>14257</v>
      </c>
      <c r="B4258" s="14" t="n">
        <v>48818</v>
      </c>
      <c r="C4258" s="1" t="n">
        <v>1459</v>
      </c>
      <c r="D4258" s="1" t="s">
        <v>37</v>
      </c>
      <c r="E4258" s="1" t="s">
        <v>35</v>
      </c>
      <c r="F4258" s="1" t="n">
        <v>6</v>
      </c>
      <c r="G4258" s="15" t="n">
        <v>125.01</v>
      </c>
      <c r="H4258" s="16" t="n">
        <v>0.02</v>
      </c>
      <c r="I4258" s="1" t="s">
        <v>29</v>
      </c>
      <c r="J4258" s="1" t="n">
        <v>11</v>
      </c>
      <c r="K4258" s="1" t="n">
        <v>3.5</v>
      </c>
      <c r="L4258" s="15" t="n">
        <v>735.06</v>
      </c>
      <c r="M4258" s="15" t="n">
        <f aca="false">F4258*G4258</f>
        <v>750.06</v>
      </c>
      <c r="N4258" s="15" t="n">
        <f aca="false">M4258-L4258</f>
        <v>15.0000000000001</v>
      </c>
      <c r="O4258" s="1" t="n">
        <f aca="false">YEAR(B4258)</f>
        <v>2033</v>
      </c>
      <c r="P4258" s="1" t="n">
        <f aca="false">MONTH(B4258)</f>
        <v>8</v>
      </c>
      <c r="Q4258" s="1" t="str">
        <f aca="false">TEXT(B4258,"mmm")</f>
        <v>Aug</v>
      </c>
      <c r="R4258" s="1" t="str">
        <f aca="false">"Q"&amp;ROUNDUP(MONTH(B4258)/3,0)</f>
        <v>Q3</v>
      </c>
    </row>
    <row r="4259" customFormat="false" ht="15" hidden="false" customHeight="true" outlineLevel="0" collapsed="false">
      <c r="A4259" s="1" t="n">
        <v>14258</v>
      </c>
      <c r="B4259" s="14" t="n">
        <v>48819</v>
      </c>
      <c r="C4259" s="1" t="n">
        <v>1400</v>
      </c>
      <c r="D4259" s="1" t="s">
        <v>34</v>
      </c>
      <c r="E4259" s="1" t="s">
        <v>32</v>
      </c>
      <c r="F4259" s="1" t="n">
        <v>4</v>
      </c>
      <c r="G4259" s="15" t="n">
        <v>17.38</v>
      </c>
      <c r="H4259" s="16" t="n">
        <v>0.27</v>
      </c>
      <c r="I4259" s="1" t="s">
        <v>33</v>
      </c>
      <c r="J4259" s="1" t="n">
        <v>6</v>
      </c>
      <c r="K4259" s="1" t="n">
        <v>2.5</v>
      </c>
      <c r="L4259" s="15" t="n">
        <v>50.75</v>
      </c>
      <c r="M4259" s="15" t="n">
        <f aca="false">F4259*G4259</f>
        <v>69.52</v>
      </c>
      <c r="N4259" s="15" t="n">
        <f aca="false">M4259-L4259</f>
        <v>18.77</v>
      </c>
      <c r="O4259" s="1" t="n">
        <f aca="false">YEAR(B4259)</f>
        <v>2033</v>
      </c>
      <c r="P4259" s="1" t="n">
        <f aca="false">MONTH(B4259)</f>
        <v>8</v>
      </c>
      <c r="Q4259" s="1" t="str">
        <f aca="false">TEXT(B4259,"mmm")</f>
        <v>Aug</v>
      </c>
      <c r="R4259" s="1" t="str">
        <f aca="false">"Q"&amp;ROUNDUP(MONTH(B4259)/3,0)</f>
        <v>Q3</v>
      </c>
    </row>
    <row r="4260" customFormat="false" ht="15" hidden="false" customHeight="true" outlineLevel="0" collapsed="false">
      <c r="A4260" s="1" t="n">
        <v>14259</v>
      </c>
      <c r="B4260" s="14" t="n">
        <v>48820</v>
      </c>
      <c r="C4260" s="1" t="n">
        <v>1550</v>
      </c>
      <c r="D4260" s="1" t="s">
        <v>34</v>
      </c>
      <c r="E4260" s="1" t="s">
        <v>32</v>
      </c>
      <c r="F4260" s="1" t="n">
        <v>7</v>
      </c>
      <c r="G4260" s="15" t="n">
        <v>436.11</v>
      </c>
      <c r="H4260" s="16" t="n">
        <v>0.22</v>
      </c>
      <c r="I4260" s="1" t="s">
        <v>33</v>
      </c>
      <c r="J4260" s="1" t="n">
        <v>4</v>
      </c>
      <c r="K4260" s="1" t="n">
        <v>1.9</v>
      </c>
      <c r="L4260" s="15" t="n">
        <v>2381.16</v>
      </c>
      <c r="M4260" s="15" t="n">
        <f aca="false">F4260*G4260</f>
        <v>3052.77</v>
      </c>
      <c r="N4260" s="15" t="n">
        <f aca="false">M4260-L4260</f>
        <v>671.61</v>
      </c>
      <c r="O4260" s="1" t="n">
        <f aca="false">YEAR(B4260)</f>
        <v>2033</v>
      </c>
      <c r="P4260" s="1" t="n">
        <f aca="false">MONTH(B4260)</f>
        <v>8</v>
      </c>
      <c r="Q4260" s="1" t="str">
        <f aca="false">TEXT(B4260,"mmm")</f>
        <v>Aug</v>
      </c>
      <c r="R4260" s="1" t="str">
        <f aca="false">"Q"&amp;ROUNDUP(MONTH(B4260)/3,0)</f>
        <v>Q3</v>
      </c>
    </row>
    <row r="4261" customFormat="false" ht="15" hidden="false" customHeight="true" outlineLevel="0" collapsed="false">
      <c r="A4261" s="1" t="n">
        <v>14260</v>
      </c>
      <c r="B4261" s="14" t="n">
        <v>48821</v>
      </c>
      <c r="C4261" s="1" t="n">
        <v>1392</v>
      </c>
      <c r="D4261" s="1" t="s">
        <v>37</v>
      </c>
      <c r="E4261" s="1" t="s">
        <v>36</v>
      </c>
      <c r="F4261" s="1" t="n">
        <v>4</v>
      </c>
      <c r="G4261" s="15" t="n">
        <v>263.94</v>
      </c>
      <c r="H4261" s="16" t="n">
        <v>0.12</v>
      </c>
      <c r="I4261" s="1" t="s">
        <v>29</v>
      </c>
      <c r="J4261" s="1" t="n">
        <v>4</v>
      </c>
      <c r="K4261" s="1" t="n">
        <v>1.8</v>
      </c>
      <c r="L4261" s="15" t="n">
        <v>929.07</v>
      </c>
      <c r="M4261" s="15" t="n">
        <f aca="false">F4261*G4261</f>
        <v>1055.76</v>
      </c>
      <c r="N4261" s="15" t="n">
        <f aca="false">M4261-L4261</f>
        <v>126.69</v>
      </c>
      <c r="O4261" s="1" t="n">
        <f aca="false">YEAR(B4261)</f>
        <v>2033</v>
      </c>
      <c r="P4261" s="1" t="n">
        <f aca="false">MONTH(B4261)</f>
        <v>8</v>
      </c>
      <c r="Q4261" s="1" t="str">
        <f aca="false">TEXT(B4261,"mmm")</f>
        <v>Aug</v>
      </c>
      <c r="R4261" s="1" t="str">
        <f aca="false">"Q"&amp;ROUNDUP(MONTH(B4261)/3,0)</f>
        <v>Q3</v>
      </c>
    </row>
    <row r="4262" customFormat="false" ht="15" hidden="false" customHeight="true" outlineLevel="0" collapsed="false">
      <c r="A4262" s="1" t="n">
        <v>14261</v>
      </c>
      <c r="B4262" s="14" t="n">
        <v>48822</v>
      </c>
      <c r="C4262" s="1" t="n">
        <v>1866</v>
      </c>
      <c r="D4262" s="1" t="s">
        <v>30</v>
      </c>
      <c r="E4262" s="1" t="s">
        <v>35</v>
      </c>
      <c r="F4262" s="1" t="n">
        <v>3</v>
      </c>
      <c r="G4262" s="15" t="n">
        <v>197.86</v>
      </c>
      <c r="H4262" s="16" t="n">
        <v>0.02</v>
      </c>
      <c r="I4262" s="1" t="s">
        <v>31</v>
      </c>
      <c r="J4262" s="1" t="n">
        <v>8</v>
      </c>
      <c r="K4262" s="1" t="n">
        <v>4.4</v>
      </c>
      <c r="L4262" s="15" t="n">
        <v>581.71</v>
      </c>
      <c r="M4262" s="15" t="n">
        <f aca="false">F4262*G4262</f>
        <v>593.58</v>
      </c>
      <c r="N4262" s="15" t="n">
        <f aca="false">M4262-L4262</f>
        <v>11.87</v>
      </c>
      <c r="O4262" s="1" t="n">
        <f aca="false">YEAR(B4262)</f>
        <v>2033</v>
      </c>
      <c r="P4262" s="1" t="n">
        <f aca="false">MONTH(B4262)</f>
        <v>8</v>
      </c>
      <c r="Q4262" s="1" t="str">
        <f aca="false">TEXT(B4262,"mmm")</f>
        <v>Aug</v>
      </c>
      <c r="R4262" s="1" t="str">
        <f aca="false">"Q"&amp;ROUNDUP(MONTH(B4262)/3,0)</f>
        <v>Q3</v>
      </c>
    </row>
    <row r="4263" customFormat="false" ht="15" hidden="false" customHeight="true" outlineLevel="0" collapsed="false">
      <c r="A4263" s="1" t="n">
        <v>14262</v>
      </c>
      <c r="B4263" s="14" t="n">
        <v>48823</v>
      </c>
      <c r="C4263" s="1" t="n">
        <v>1763</v>
      </c>
      <c r="D4263" s="1" t="s">
        <v>27</v>
      </c>
      <c r="E4263" s="1" t="s">
        <v>32</v>
      </c>
      <c r="F4263" s="1" t="n">
        <v>3</v>
      </c>
      <c r="G4263" s="15" t="n">
        <v>460.61</v>
      </c>
      <c r="H4263" s="16" t="n">
        <v>0.3</v>
      </c>
      <c r="I4263" s="1" t="s">
        <v>31</v>
      </c>
      <c r="J4263" s="1" t="n">
        <v>5</v>
      </c>
      <c r="K4263" s="1" t="n">
        <v>5</v>
      </c>
      <c r="L4263" s="15" t="n">
        <v>967.28</v>
      </c>
      <c r="M4263" s="15" t="n">
        <f aca="false">F4263*G4263</f>
        <v>1381.83</v>
      </c>
      <c r="N4263" s="15" t="n">
        <f aca="false">M4263-L4263</f>
        <v>414.55</v>
      </c>
      <c r="O4263" s="1" t="n">
        <f aca="false">YEAR(B4263)</f>
        <v>2033</v>
      </c>
      <c r="P4263" s="1" t="n">
        <f aca="false">MONTH(B4263)</f>
        <v>9</v>
      </c>
      <c r="Q4263" s="1" t="str">
        <f aca="false">TEXT(B4263,"mmm")</f>
        <v>Sep</v>
      </c>
      <c r="R4263" s="1" t="str">
        <f aca="false">"Q"&amp;ROUNDUP(MONTH(B4263)/3,0)</f>
        <v>Q3</v>
      </c>
    </row>
    <row r="4264" customFormat="false" ht="15" hidden="false" customHeight="true" outlineLevel="0" collapsed="false">
      <c r="A4264" s="1" t="n">
        <v>14263</v>
      </c>
      <c r="B4264" s="14" t="n">
        <v>48824</v>
      </c>
      <c r="C4264" s="1" t="n">
        <v>1844</v>
      </c>
      <c r="D4264" s="1" t="s">
        <v>34</v>
      </c>
      <c r="E4264" s="1" t="s">
        <v>36</v>
      </c>
      <c r="F4264" s="1" t="n">
        <v>6</v>
      </c>
      <c r="G4264" s="15" t="n">
        <v>502</v>
      </c>
      <c r="H4264" s="16" t="n">
        <v>0.06</v>
      </c>
      <c r="I4264" s="1" t="s">
        <v>29</v>
      </c>
      <c r="J4264" s="1" t="n">
        <v>11</v>
      </c>
      <c r="K4264" s="1" t="n">
        <v>3.8</v>
      </c>
      <c r="L4264" s="15" t="n">
        <v>2831.28</v>
      </c>
      <c r="M4264" s="15" t="n">
        <f aca="false">F4264*G4264</f>
        <v>3012</v>
      </c>
      <c r="N4264" s="15" t="n">
        <f aca="false">M4264-L4264</f>
        <v>180.72</v>
      </c>
      <c r="O4264" s="1" t="n">
        <f aca="false">YEAR(B4264)</f>
        <v>2033</v>
      </c>
      <c r="P4264" s="1" t="n">
        <f aca="false">MONTH(B4264)</f>
        <v>9</v>
      </c>
      <c r="Q4264" s="1" t="str">
        <f aca="false">TEXT(B4264,"mmm")</f>
        <v>Sep</v>
      </c>
      <c r="R4264" s="1" t="str">
        <f aca="false">"Q"&amp;ROUNDUP(MONTH(B4264)/3,0)</f>
        <v>Q3</v>
      </c>
    </row>
    <row r="4265" customFormat="false" ht="15" hidden="false" customHeight="true" outlineLevel="0" collapsed="false">
      <c r="A4265" s="1" t="n">
        <v>14264</v>
      </c>
      <c r="B4265" s="14" t="n">
        <v>48825</v>
      </c>
      <c r="C4265" s="1" t="n">
        <v>1206</v>
      </c>
      <c r="D4265" s="1" t="s">
        <v>30</v>
      </c>
      <c r="E4265" s="1" t="s">
        <v>32</v>
      </c>
      <c r="F4265" s="1" t="n">
        <v>7</v>
      </c>
      <c r="G4265" s="15" t="n">
        <v>585.55</v>
      </c>
      <c r="H4265" s="16" t="n">
        <v>0.33</v>
      </c>
      <c r="I4265" s="1" t="s">
        <v>29</v>
      </c>
      <c r="J4265" s="1" t="n">
        <v>5</v>
      </c>
      <c r="K4265" s="1" t="n">
        <v>4.8</v>
      </c>
      <c r="L4265" s="15" t="n">
        <v>2746.23</v>
      </c>
      <c r="M4265" s="15" t="n">
        <f aca="false">F4265*G4265</f>
        <v>4098.85</v>
      </c>
      <c r="N4265" s="15" t="n">
        <f aca="false">M4265-L4265</f>
        <v>1352.62</v>
      </c>
      <c r="O4265" s="1" t="n">
        <f aca="false">YEAR(B4265)</f>
        <v>2033</v>
      </c>
      <c r="P4265" s="1" t="n">
        <f aca="false">MONTH(B4265)</f>
        <v>9</v>
      </c>
      <c r="Q4265" s="1" t="str">
        <f aca="false">TEXT(B4265,"mmm")</f>
        <v>Sep</v>
      </c>
      <c r="R4265" s="1" t="str">
        <f aca="false">"Q"&amp;ROUNDUP(MONTH(B4265)/3,0)</f>
        <v>Q3</v>
      </c>
    </row>
    <row r="4266" customFormat="false" ht="15" hidden="false" customHeight="true" outlineLevel="0" collapsed="false">
      <c r="A4266" s="1" t="n">
        <v>14265</v>
      </c>
      <c r="B4266" s="14" t="n">
        <v>48826</v>
      </c>
      <c r="C4266" s="1" t="n">
        <v>1209</v>
      </c>
      <c r="D4266" s="1" t="s">
        <v>27</v>
      </c>
      <c r="E4266" s="1" t="s">
        <v>36</v>
      </c>
      <c r="F4266" s="1" t="n">
        <v>4</v>
      </c>
      <c r="G4266" s="15" t="n">
        <v>390.58</v>
      </c>
      <c r="H4266" s="16" t="n">
        <v>0.17</v>
      </c>
      <c r="I4266" s="1" t="s">
        <v>33</v>
      </c>
      <c r="J4266" s="1" t="n">
        <v>9</v>
      </c>
      <c r="K4266" s="1" t="n">
        <v>2.4</v>
      </c>
      <c r="L4266" s="15" t="n">
        <v>1296.73</v>
      </c>
      <c r="M4266" s="15" t="n">
        <f aca="false">F4266*G4266</f>
        <v>1562.32</v>
      </c>
      <c r="N4266" s="15" t="n">
        <f aca="false">M4266-L4266</f>
        <v>265.59</v>
      </c>
      <c r="O4266" s="1" t="n">
        <f aca="false">YEAR(B4266)</f>
        <v>2033</v>
      </c>
      <c r="P4266" s="1" t="n">
        <f aca="false">MONTH(B4266)</f>
        <v>9</v>
      </c>
      <c r="Q4266" s="1" t="str">
        <f aca="false">TEXT(B4266,"mmm")</f>
        <v>Sep</v>
      </c>
      <c r="R4266" s="1" t="str">
        <f aca="false">"Q"&amp;ROUNDUP(MONTH(B4266)/3,0)</f>
        <v>Q3</v>
      </c>
    </row>
    <row r="4267" customFormat="false" ht="15" hidden="false" customHeight="true" outlineLevel="0" collapsed="false">
      <c r="A4267" s="1" t="n">
        <v>14266</v>
      </c>
      <c r="B4267" s="14" t="n">
        <v>48827</v>
      </c>
      <c r="C4267" s="1" t="n">
        <v>1114</v>
      </c>
      <c r="D4267" s="1" t="s">
        <v>27</v>
      </c>
      <c r="E4267" s="1" t="s">
        <v>35</v>
      </c>
      <c r="F4267" s="1" t="n">
        <v>5</v>
      </c>
      <c r="G4267" s="15" t="n">
        <v>284.99</v>
      </c>
      <c r="H4267" s="16" t="n">
        <v>0.12</v>
      </c>
      <c r="I4267" s="1" t="s">
        <v>31</v>
      </c>
      <c r="J4267" s="1" t="n">
        <v>4</v>
      </c>
      <c r="K4267" s="1" t="n">
        <v>3.5</v>
      </c>
      <c r="L4267" s="15" t="n">
        <v>1253.96</v>
      </c>
      <c r="M4267" s="15" t="n">
        <f aca="false">F4267*G4267</f>
        <v>1424.95</v>
      </c>
      <c r="N4267" s="15" t="n">
        <f aca="false">M4267-L4267</f>
        <v>170.99</v>
      </c>
      <c r="O4267" s="1" t="n">
        <f aca="false">YEAR(B4267)</f>
        <v>2033</v>
      </c>
      <c r="P4267" s="1" t="n">
        <f aca="false">MONTH(B4267)</f>
        <v>9</v>
      </c>
      <c r="Q4267" s="1" t="str">
        <f aca="false">TEXT(B4267,"mmm")</f>
        <v>Sep</v>
      </c>
      <c r="R4267" s="1" t="str">
        <f aca="false">"Q"&amp;ROUNDUP(MONTH(B4267)/3,0)</f>
        <v>Q3</v>
      </c>
    </row>
    <row r="4268" customFormat="false" ht="15" hidden="false" customHeight="true" outlineLevel="0" collapsed="false">
      <c r="A4268" s="1" t="n">
        <v>14267</v>
      </c>
      <c r="B4268" s="14" t="n">
        <v>48828</v>
      </c>
      <c r="C4268" s="1" t="n">
        <v>1736</v>
      </c>
      <c r="D4268" s="1" t="s">
        <v>34</v>
      </c>
      <c r="E4268" s="1" t="s">
        <v>35</v>
      </c>
      <c r="F4268" s="1" t="n">
        <v>7</v>
      </c>
      <c r="G4268" s="15" t="n">
        <v>193.58</v>
      </c>
      <c r="H4268" s="16" t="n">
        <v>0.26</v>
      </c>
      <c r="I4268" s="1" t="s">
        <v>33</v>
      </c>
      <c r="J4268" s="1" t="n">
        <v>7</v>
      </c>
      <c r="K4268" s="1" t="n">
        <v>3</v>
      </c>
      <c r="L4268" s="15" t="n">
        <v>1002.74</v>
      </c>
      <c r="M4268" s="15" t="n">
        <f aca="false">F4268*G4268</f>
        <v>1355.06</v>
      </c>
      <c r="N4268" s="15" t="n">
        <f aca="false">M4268-L4268</f>
        <v>352.32</v>
      </c>
      <c r="O4268" s="1" t="n">
        <f aca="false">YEAR(B4268)</f>
        <v>2033</v>
      </c>
      <c r="P4268" s="1" t="n">
        <f aca="false">MONTH(B4268)</f>
        <v>9</v>
      </c>
      <c r="Q4268" s="1" t="str">
        <f aca="false">TEXT(B4268,"mmm")</f>
        <v>Sep</v>
      </c>
      <c r="R4268" s="1" t="str">
        <f aca="false">"Q"&amp;ROUNDUP(MONTH(B4268)/3,0)</f>
        <v>Q3</v>
      </c>
    </row>
    <row r="4269" customFormat="false" ht="15" hidden="false" customHeight="true" outlineLevel="0" collapsed="false">
      <c r="A4269" s="1" t="n">
        <v>14268</v>
      </c>
      <c r="B4269" s="14" t="n">
        <v>48829</v>
      </c>
      <c r="C4269" s="1" t="n">
        <v>1645</v>
      </c>
      <c r="D4269" s="1" t="s">
        <v>30</v>
      </c>
      <c r="E4269" s="1" t="s">
        <v>35</v>
      </c>
      <c r="F4269" s="1" t="n">
        <v>2</v>
      </c>
      <c r="G4269" s="15" t="n">
        <v>145.06</v>
      </c>
      <c r="H4269" s="16" t="n">
        <v>0.31</v>
      </c>
      <c r="I4269" s="1" t="s">
        <v>31</v>
      </c>
      <c r="J4269" s="1" t="n">
        <v>5</v>
      </c>
      <c r="K4269" s="1" t="n">
        <v>2.9</v>
      </c>
      <c r="L4269" s="15" t="n">
        <v>200.18</v>
      </c>
      <c r="M4269" s="15" t="n">
        <f aca="false">F4269*G4269</f>
        <v>290.12</v>
      </c>
      <c r="N4269" s="15" t="n">
        <f aca="false">M4269-L4269</f>
        <v>89.94</v>
      </c>
      <c r="O4269" s="1" t="n">
        <f aca="false">YEAR(B4269)</f>
        <v>2033</v>
      </c>
      <c r="P4269" s="1" t="n">
        <f aca="false">MONTH(B4269)</f>
        <v>9</v>
      </c>
      <c r="Q4269" s="1" t="str">
        <f aca="false">TEXT(B4269,"mmm")</f>
        <v>Sep</v>
      </c>
      <c r="R4269" s="1" t="str">
        <f aca="false">"Q"&amp;ROUNDUP(MONTH(B4269)/3,0)</f>
        <v>Q3</v>
      </c>
    </row>
    <row r="4270" customFormat="false" ht="15" hidden="false" customHeight="true" outlineLevel="0" collapsed="false">
      <c r="A4270" s="1" t="n">
        <v>14269</v>
      </c>
      <c r="B4270" s="14" t="n">
        <v>48830</v>
      </c>
      <c r="C4270" s="1" t="n">
        <v>1250</v>
      </c>
      <c r="D4270" s="1" t="s">
        <v>30</v>
      </c>
      <c r="E4270" s="1" t="s">
        <v>32</v>
      </c>
      <c r="F4270" s="1" t="n">
        <v>6</v>
      </c>
      <c r="G4270" s="15" t="n">
        <v>139.56</v>
      </c>
      <c r="H4270" s="16" t="n">
        <v>0.13</v>
      </c>
      <c r="I4270" s="1" t="s">
        <v>33</v>
      </c>
      <c r="J4270" s="1" t="n">
        <v>9</v>
      </c>
      <c r="K4270" s="1" t="n">
        <v>3.5</v>
      </c>
      <c r="L4270" s="15" t="n">
        <v>728.5</v>
      </c>
      <c r="M4270" s="15" t="n">
        <f aca="false">F4270*G4270</f>
        <v>837.36</v>
      </c>
      <c r="N4270" s="15" t="n">
        <f aca="false">M4270-L4270</f>
        <v>108.86</v>
      </c>
      <c r="O4270" s="1" t="n">
        <f aca="false">YEAR(B4270)</f>
        <v>2033</v>
      </c>
      <c r="P4270" s="1" t="n">
        <f aca="false">MONTH(B4270)</f>
        <v>9</v>
      </c>
      <c r="Q4270" s="1" t="str">
        <f aca="false">TEXT(B4270,"mmm")</f>
        <v>Sep</v>
      </c>
      <c r="R4270" s="1" t="str">
        <f aca="false">"Q"&amp;ROUNDUP(MONTH(B4270)/3,0)</f>
        <v>Q3</v>
      </c>
    </row>
    <row r="4271" customFormat="false" ht="15" hidden="false" customHeight="true" outlineLevel="0" collapsed="false">
      <c r="A4271" s="1" t="n">
        <v>14270</v>
      </c>
      <c r="B4271" s="14" t="n">
        <v>48831</v>
      </c>
      <c r="C4271" s="1" t="n">
        <v>1218</v>
      </c>
      <c r="D4271" s="1" t="s">
        <v>34</v>
      </c>
      <c r="E4271" s="1" t="s">
        <v>32</v>
      </c>
      <c r="F4271" s="1" t="n">
        <v>7</v>
      </c>
      <c r="G4271" s="15" t="n">
        <v>254.38</v>
      </c>
      <c r="H4271" s="16" t="n">
        <v>0.14</v>
      </c>
      <c r="I4271" s="1" t="s">
        <v>31</v>
      </c>
      <c r="J4271" s="1" t="n">
        <v>8</v>
      </c>
      <c r="K4271" s="1" t="n">
        <v>2.2</v>
      </c>
      <c r="L4271" s="15" t="n">
        <v>1531.37</v>
      </c>
      <c r="M4271" s="15" t="n">
        <f aca="false">F4271*G4271</f>
        <v>1780.66</v>
      </c>
      <c r="N4271" s="15" t="n">
        <f aca="false">M4271-L4271</f>
        <v>249.29</v>
      </c>
      <c r="O4271" s="1" t="n">
        <f aca="false">YEAR(B4271)</f>
        <v>2033</v>
      </c>
      <c r="P4271" s="1" t="n">
        <f aca="false">MONTH(B4271)</f>
        <v>9</v>
      </c>
      <c r="Q4271" s="1" t="str">
        <f aca="false">TEXT(B4271,"mmm")</f>
        <v>Sep</v>
      </c>
      <c r="R4271" s="1" t="str">
        <f aca="false">"Q"&amp;ROUNDUP(MONTH(B4271)/3,0)</f>
        <v>Q3</v>
      </c>
    </row>
    <row r="4272" customFormat="false" ht="15" hidden="false" customHeight="true" outlineLevel="0" collapsed="false">
      <c r="A4272" s="1" t="n">
        <v>14271</v>
      </c>
      <c r="B4272" s="14" t="n">
        <v>48832</v>
      </c>
      <c r="C4272" s="1" t="n">
        <v>1406</v>
      </c>
      <c r="D4272" s="1" t="s">
        <v>27</v>
      </c>
      <c r="E4272" s="1" t="s">
        <v>36</v>
      </c>
      <c r="F4272" s="1" t="n">
        <v>6</v>
      </c>
      <c r="G4272" s="15" t="n">
        <v>595.2</v>
      </c>
      <c r="H4272" s="16" t="n">
        <v>0.15</v>
      </c>
      <c r="I4272" s="1" t="s">
        <v>29</v>
      </c>
      <c r="J4272" s="1" t="n">
        <v>8</v>
      </c>
      <c r="K4272" s="1" t="n">
        <v>3.6</v>
      </c>
      <c r="L4272" s="15" t="n">
        <v>3035.52</v>
      </c>
      <c r="M4272" s="15" t="n">
        <f aca="false">F4272*G4272</f>
        <v>3571.2</v>
      </c>
      <c r="N4272" s="15" t="n">
        <f aca="false">M4272-L4272</f>
        <v>535.68</v>
      </c>
      <c r="O4272" s="1" t="n">
        <f aca="false">YEAR(B4272)</f>
        <v>2033</v>
      </c>
      <c r="P4272" s="1" t="n">
        <f aca="false">MONTH(B4272)</f>
        <v>9</v>
      </c>
      <c r="Q4272" s="1" t="str">
        <f aca="false">TEXT(B4272,"mmm")</f>
        <v>Sep</v>
      </c>
      <c r="R4272" s="1" t="str">
        <f aca="false">"Q"&amp;ROUNDUP(MONTH(B4272)/3,0)</f>
        <v>Q3</v>
      </c>
    </row>
    <row r="4273" customFormat="false" ht="15" hidden="false" customHeight="true" outlineLevel="0" collapsed="false">
      <c r="A4273" s="1" t="n">
        <v>14272</v>
      </c>
      <c r="B4273" s="14" t="n">
        <v>48833</v>
      </c>
      <c r="C4273" s="1" t="n">
        <v>1442</v>
      </c>
      <c r="D4273" s="1" t="s">
        <v>27</v>
      </c>
      <c r="E4273" s="1" t="s">
        <v>28</v>
      </c>
      <c r="F4273" s="1" t="n">
        <v>7</v>
      </c>
      <c r="G4273" s="15" t="n">
        <v>15.5</v>
      </c>
      <c r="H4273" s="16" t="n">
        <v>0.32</v>
      </c>
      <c r="I4273" s="1" t="s">
        <v>33</v>
      </c>
      <c r="J4273" s="1" t="n">
        <v>10</v>
      </c>
      <c r="K4273" s="1" t="n">
        <v>3.7</v>
      </c>
      <c r="L4273" s="15" t="n">
        <v>73.78</v>
      </c>
      <c r="M4273" s="15" t="n">
        <f aca="false">F4273*G4273</f>
        <v>108.5</v>
      </c>
      <c r="N4273" s="15" t="n">
        <f aca="false">M4273-L4273</f>
        <v>34.72</v>
      </c>
      <c r="O4273" s="1" t="n">
        <f aca="false">YEAR(B4273)</f>
        <v>2033</v>
      </c>
      <c r="P4273" s="1" t="n">
        <f aca="false">MONTH(B4273)</f>
        <v>9</v>
      </c>
      <c r="Q4273" s="1" t="str">
        <f aca="false">TEXT(B4273,"mmm")</f>
        <v>Sep</v>
      </c>
      <c r="R4273" s="1" t="str">
        <f aca="false">"Q"&amp;ROUNDUP(MONTH(B4273)/3,0)</f>
        <v>Q3</v>
      </c>
    </row>
    <row r="4274" customFormat="false" ht="15" hidden="false" customHeight="true" outlineLevel="0" collapsed="false">
      <c r="A4274" s="1" t="n">
        <v>14273</v>
      </c>
      <c r="B4274" s="14" t="n">
        <v>48834</v>
      </c>
      <c r="C4274" s="1" t="n">
        <v>1602</v>
      </c>
      <c r="D4274" s="1" t="s">
        <v>34</v>
      </c>
      <c r="E4274" s="1" t="s">
        <v>28</v>
      </c>
      <c r="F4274" s="1" t="n">
        <v>3</v>
      </c>
      <c r="G4274" s="15" t="n">
        <v>130.37</v>
      </c>
      <c r="H4274" s="16" t="n">
        <v>0.24</v>
      </c>
      <c r="I4274" s="1" t="s">
        <v>29</v>
      </c>
      <c r="J4274" s="1" t="n">
        <v>10</v>
      </c>
      <c r="K4274" s="1" t="n">
        <v>4.3</v>
      </c>
      <c r="L4274" s="15" t="n">
        <v>297.24</v>
      </c>
      <c r="M4274" s="15" t="n">
        <f aca="false">F4274*G4274</f>
        <v>391.11</v>
      </c>
      <c r="N4274" s="15" t="n">
        <f aca="false">M4274-L4274</f>
        <v>93.87</v>
      </c>
      <c r="O4274" s="1" t="n">
        <f aca="false">YEAR(B4274)</f>
        <v>2033</v>
      </c>
      <c r="P4274" s="1" t="n">
        <f aca="false">MONTH(B4274)</f>
        <v>9</v>
      </c>
      <c r="Q4274" s="1" t="str">
        <f aca="false">TEXT(B4274,"mmm")</f>
        <v>Sep</v>
      </c>
      <c r="R4274" s="1" t="str">
        <f aca="false">"Q"&amp;ROUNDUP(MONTH(B4274)/3,0)</f>
        <v>Q3</v>
      </c>
    </row>
    <row r="4275" customFormat="false" ht="15" hidden="false" customHeight="true" outlineLevel="0" collapsed="false">
      <c r="A4275" s="1" t="n">
        <v>14274</v>
      </c>
      <c r="B4275" s="14" t="n">
        <v>48835</v>
      </c>
      <c r="C4275" s="1" t="n">
        <v>1353</v>
      </c>
      <c r="D4275" s="1" t="s">
        <v>34</v>
      </c>
      <c r="E4275" s="1" t="s">
        <v>35</v>
      </c>
      <c r="F4275" s="1" t="n">
        <v>5</v>
      </c>
      <c r="G4275" s="15" t="n">
        <v>125.21</v>
      </c>
      <c r="H4275" s="16" t="n">
        <v>0.09</v>
      </c>
      <c r="I4275" s="1" t="s">
        <v>31</v>
      </c>
      <c r="J4275" s="1" t="n">
        <v>3</v>
      </c>
      <c r="K4275" s="1" t="n">
        <v>3.9</v>
      </c>
      <c r="L4275" s="15" t="n">
        <v>569.71</v>
      </c>
      <c r="M4275" s="15" t="n">
        <f aca="false">F4275*G4275</f>
        <v>626.05</v>
      </c>
      <c r="N4275" s="15" t="n">
        <f aca="false">M4275-L4275</f>
        <v>56.3399999999999</v>
      </c>
      <c r="O4275" s="1" t="n">
        <f aca="false">YEAR(B4275)</f>
        <v>2033</v>
      </c>
      <c r="P4275" s="1" t="n">
        <f aca="false">MONTH(B4275)</f>
        <v>9</v>
      </c>
      <c r="Q4275" s="1" t="str">
        <f aca="false">TEXT(B4275,"mmm")</f>
        <v>Sep</v>
      </c>
      <c r="R4275" s="1" t="str">
        <f aca="false">"Q"&amp;ROUNDUP(MONTH(B4275)/3,0)</f>
        <v>Q3</v>
      </c>
    </row>
    <row r="4276" customFormat="false" ht="15" hidden="false" customHeight="true" outlineLevel="0" collapsed="false">
      <c r="A4276" s="1" t="n">
        <v>14275</v>
      </c>
      <c r="B4276" s="14" t="n">
        <v>48836</v>
      </c>
      <c r="C4276" s="1" t="n">
        <v>1887</v>
      </c>
      <c r="D4276" s="1" t="s">
        <v>34</v>
      </c>
      <c r="E4276" s="1" t="s">
        <v>28</v>
      </c>
      <c r="F4276" s="1" t="n">
        <v>6</v>
      </c>
      <c r="G4276" s="15" t="n">
        <v>434.51</v>
      </c>
      <c r="H4276" s="16" t="n">
        <v>0.06</v>
      </c>
      <c r="I4276" s="1" t="s">
        <v>31</v>
      </c>
      <c r="J4276" s="1" t="n">
        <v>9</v>
      </c>
      <c r="K4276" s="1" t="n">
        <v>2.3</v>
      </c>
      <c r="L4276" s="15" t="n">
        <v>2450.64</v>
      </c>
      <c r="M4276" s="15" t="n">
        <f aca="false">F4276*G4276</f>
        <v>2607.06</v>
      </c>
      <c r="N4276" s="15" t="n">
        <f aca="false">M4276-L4276</f>
        <v>156.42</v>
      </c>
      <c r="O4276" s="1" t="n">
        <f aca="false">YEAR(B4276)</f>
        <v>2033</v>
      </c>
      <c r="P4276" s="1" t="n">
        <f aca="false">MONTH(B4276)</f>
        <v>9</v>
      </c>
      <c r="Q4276" s="1" t="str">
        <f aca="false">TEXT(B4276,"mmm")</f>
        <v>Sep</v>
      </c>
      <c r="R4276" s="1" t="str">
        <f aca="false">"Q"&amp;ROUNDUP(MONTH(B4276)/3,0)</f>
        <v>Q3</v>
      </c>
    </row>
    <row r="4277" customFormat="false" ht="15" hidden="false" customHeight="true" outlineLevel="0" collapsed="false">
      <c r="A4277" s="1" t="n">
        <v>14276</v>
      </c>
      <c r="B4277" s="14" t="n">
        <v>48837</v>
      </c>
      <c r="C4277" s="1" t="n">
        <v>1557</v>
      </c>
      <c r="D4277" s="1" t="s">
        <v>27</v>
      </c>
      <c r="E4277" s="1" t="s">
        <v>35</v>
      </c>
      <c r="F4277" s="1" t="n">
        <v>5</v>
      </c>
      <c r="G4277" s="15" t="n">
        <v>221.2</v>
      </c>
      <c r="H4277" s="16" t="n">
        <v>0.08</v>
      </c>
      <c r="I4277" s="1" t="s">
        <v>29</v>
      </c>
      <c r="J4277" s="1" t="n">
        <v>8</v>
      </c>
      <c r="K4277" s="1" t="n">
        <v>2.8</v>
      </c>
      <c r="L4277" s="15" t="n">
        <v>1017.52</v>
      </c>
      <c r="M4277" s="15" t="n">
        <f aca="false">F4277*G4277</f>
        <v>1106</v>
      </c>
      <c r="N4277" s="15" t="n">
        <f aca="false">M4277-L4277</f>
        <v>88.48</v>
      </c>
      <c r="O4277" s="1" t="n">
        <f aca="false">YEAR(B4277)</f>
        <v>2033</v>
      </c>
      <c r="P4277" s="1" t="n">
        <f aca="false">MONTH(B4277)</f>
        <v>9</v>
      </c>
      <c r="Q4277" s="1" t="str">
        <f aca="false">TEXT(B4277,"mmm")</f>
        <v>Sep</v>
      </c>
      <c r="R4277" s="1" t="str">
        <f aca="false">"Q"&amp;ROUNDUP(MONTH(B4277)/3,0)</f>
        <v>Q3</v>
      </c>
    </row>
    <row r="4278" customFormat="false" ht="15" hidden="false" customHeight="true" outlineLevel="0" collapsed="false">
      <c r="A4278" s="1" t="n">
        <v>14277</v>
      </c>
      <c r="B4278" s="14" t="n">
        <v>48838</v>
      </c>
      <c r="C4278" s="1" t="n">
        <v>1549</v>
      </c>
      <c r="D4278" s="1" t="s">
        <v>34</v>
      </c>
      <c r="E4278" s="1" t="s">
        <v>36</v>
      </c>
      <c r="F4278" s="1" t="n">
        <v>6</v>
      </c>
      <c r="G4278" s="15" t="n">
        <v>282.5</v>
      </c>
      <c r="H4278" s="16" t="n">
        <v>0.09</v>
      </c>
      <c r="I4278" s="1" t="s">
        <v>31</v>
      </c>
      <c r="J4278" s="1" t="n">
        <v>3</v>
      </c>
      <c r="K4278" s="1" t="n">
        <v>1.5</v>
      </c>
      <c r="L4278" s="15" t="n">
        <v>1542.45</v>
      </c>
      <c r="M4278" s="15" t="n">
        <f aca="false">F4278*G4278</f>
        <v>1695</v>
      </c>
      <c r="N4278" s="15" t="n">
        <f aca="false">M4278-L4278</f>
        <v>152.55</v>
      </c>
      <c r="O4278" s="1" t="n">
        <f aca="false">YEAR(B4278)</f>
        <v>2033</v>
      </c>
      <c r="P4278" s="1" t="n">
        <f aca="false">MONTH(B4278)</f>
        <v>9</v>
      </c>
      <c r="Q4278" s="1" t="str">
        <f aca="false">TEXT(B4278,"mmm")</f>
        <v>Sep</v>
      </c>
      <c r="R4278" s="1" t="str">
        <f aca="false">"Q"&amp;ROUNDUP(MONTH(B4278)/3,0)</f>
        <v>Q3</v>
      </c>
    </row>
    <row r="4279" customFormat="false" ht="15" hidden="false" customHeight="true" outlineLevel="0" collapsed="false">
      <c r="A4279" s="1" t="n">
        <v>14278</v>
      </c>
      <c r="B4279" s="14" t="n">
        <v>48839</v>
      </c>
      <c r="C4279" s="1" t="n">
        <v>1141</v>
      </c>
      <c r="D4279" s="1" t="s">
        <v>30</v>
      </c>
      <c r="E4279" s="1" t="s">
        <v>28</v>
      </c>
      <c r="F4279" s="1" t="n">
        <v>3</v>
      </c>
      <c r="G4279" s="15" t="n">
        <v>101.95</v>
      </c>
      <c r="H4279" s="16" t="n">
        <v>0.08</v>
      </c>
      <c r="I4279" s="1" t="s">
        <v>33</v>
      </c>
      <c r="J4279" s="1" t="n">
        <v>10</v>
      </c>
      <c r="K4279" s="1" t="n">
        <v>2</v>
      </c>
      <c r="L4279" s="15" t="n">
        <v>281.38</v>
      </c>
      <c r="M4279" s="15" t="n">
        <f aca="false">F4279*G4279</f>
        <v>305.85</v>
      </c>
      <c r="N4279" s="15" t="n">
        <f aca="false">M4279-L4279</f>
        <v>24.47</v>
      </c>
      <c r="O4279" s="1" t="n">
        <f aca="false">YEAR(B4279)</f>
        <v>2033</v>
      </c>
      <c r="P4279" s="1" t="n">
        <f aca="false">MONTH(B4279)</f>
        <v>9</v>
      </c>
      <c r="Q4279" s="1" t="str">
        <f aca="false">TEXT(B4279,"mmm")</f>
        <v>Sep</v>
      </c>
      <c r="R4279" s="1" t="str">
        <f aca="false">"Q"&amp;ROUNDUP(MONTH(B4279)/3,0)</f>
        <v>Q3</v>
      </c>
    </row>
    <row r="4280" customFormat="false" ht="15" hidden="false" customHeight="true" outlineLevel="0" collapsed="false">
      <c r="A4280" s="1" t="n">
        <v>14279</v>
      </c>
      <c r="B4280" s="14" t="n">
        <v>48840</v>
      </c>
      <c r="C4280" s="1" t="n">
        <v>1611</v>
      </c>
      <c r="D4280" s="1" t="s">
        <v>30</v>
      </c>
      <c r="E4280" s="1" t="s">
        <v>28</v>
      </c>
      <c r="F4280" s="1" t="n">
        <v>2</v>
      </c>
      <c r="G4280" s="15" t="n">
        <v>251.92</v>
      </c>
      <c r="H4280" s="16" t="n">
        <v>0.23</v>
      </c>
      <c r="I4280" s="1" t="s">
        <v>31</v>
      </c>
      <c r="J4280" s="1" t="n">
        <v>1</v>
      </c>
      <c r="K4280" s="1" t="n">
        <v>3.1</v>
      </c>
      <c r="L4280" s="15" t="n">
        <v>387.96</v>
      </c>
      <c r="M4280" s="15" t="n">
        <f aca="false">F4280*G4280</f>
        <v>503.84</v>
      </c>
      <c r="N4280" s="15" t="n">
        <f aca="false">M4280-L4280</f>
        <v>115.88</v>
      </c>
      <c r="O4280" s="1" t="n">
        <f aca="false">YEAR(B4280)</f>
        <v>2033</v>
      </c>
      <c r="P4280" s="1" t="n">
        <f aca="false">MONTH(B4280)</f>
        <v>9</v>
      </c>
      <c r="Q4280" s="1" t="str">
        <f aca="false">TEXT(B4280,"mmm")</f>
        <v>Sep</v>
      </c>
      <c r="R4280" s="1" t="str">
        <f aca="false">"Q"&amp;ROUNDUP(MONTH(B4280)/3,0)</f>
        <v>Q3</v>
      </c>
    </row>
    <row r="4281" customFormat="false" ht="15" hidden="false" customHeight="true" outlineLevel="0" collapsed="false">
      <c r="A4281" s="1" t="n">
        <v>14280</v>
      </c>
      <c r="B4281" s="14" t="n">
        <v>48841</v>
      </c>
      <c r="C4281" s="1" t="n">
        <v>1500</v>
      </c>
      <c r="D4281" s="1" t="s">
        <v>30</v>
      </c>
      <c r="E4281" s="1" t="s">
        <v>35</v>
      </c>
      <c r="F4281" s="1" t="n">
        <v>3</v>
      </c>
      <c r="G4281" s="15" t="n">
        <v>75.37</v>
      </c>
      <c r="H4281" s="16" t="n">
        <v>0.04</v>
      </c>
      <c r="I4281" s="1" t="s">
        <v>33</v>
      </c>
      <c r="J4281" s="1" t="n">
        <v>5</v>
      </c>
      <c r="K4281" s="1" t="n">
        <v>1.4</v>
      </c>
      <c r="L4281" s="15" t="n">
        <v>217.07</v>
      </c>
      <c r="M4281" s="15" t="n">
        <f aca="false">F4281*G4281</f>
        <v>226.11</v>
      </c>
      <c r="N4281" s="15" t="n">
        <f aca="false">M4281-L4281</f>
        <v>9.04000000000002</v>
      </c>
      <c r="O4281" s="1" t="n">
        <f aca="false">YEAR(B4281)</f>
        <v>2033</v>
      </c>
      <c r="P4281" s="1" t="n">
        <f aca="false">MONTH(B4281)</f>
        <v>9</v>
      </c>
      <c r="Q4281" s="1" t="str">
        <f aca="false">TEXT(B4281,"mmm")</f>
        <v>Sep</v>
      </c>
      <c r="R4281" s="1" t="str">
        <f aca="false">"Q"&amp;ROUNDUP(MONTH(B4281)/3,0)</f>
        <v>Q3</v>
      </c>
    </row>
    <row r="4282" customFormat="false" ht="15" hidden="false" customHeight="true" outlineLevel="0" collapsed="false">
      <c r="A4282" s="1" t="n">
        <v>14281</v>
      </c>
      <c r="B4282" s="14" t="n">
        <v>48842</v>
      </c>
      <c r="C4282" s="1" t="n">
        <v>1839</v>
      </c>
      <c r="D4282" s="1" t="s">
        <v>34</v>
      </c>
      <c r="E4282" s="1" t="s">
        <v>36</v>
      </c>
      <c r="F4282" s="1" t="n">
        <v>6</v>
      </c>
      <c r="G4282" s="15" t="n">
        <v>326.83</v>
      </c>
      <c r="H4282" s="16" t="n">
        <v>0.14</v>
      </c>
      <c r="I4282" s="1" t="s">
        <v>31</v>
      </c>
      <c r="J4282" s="1" t="n">
        <v>4</v>
      </c>
      <c r="K4282" s="1" t="n">
        <v>3.3</v>
      </c>
      <c r="L4282" s="15" t="n">
        <v>1686.44</v>
      </c>
      <c r="M4282" s="15" t="n">
        <f aca="false">F4282*G4282</f>
        <v>1960.98</v>
      </c>
      <c r="N4282" s="15" t="n">
        <f aca="false">M4282-L4282</f>
        <v>274.54</v>
      </c>
      <c r="O4282" s="1" t="n">
        <f aca="false">YEAR(B4282)</f>
        <v>2033</v>
      </c>
      <c r="P4282" s="1" t="n">
        <f aca="false">MONTH(B4282)</f>
        <v>9</v>
      </c>
      <c r="Q4282" s="1" t="str">
        <f aca="false">TEXT(B4282,"mmm")</f>
        <v>Sep</v>
      </c>
      <c r="R4282" s="1" t="str">
        <f aca="false">"Q"&amp;ROUNDUP(MONTH(B4282)/3,0)</f>
        <v>Q3</v>
      </c>
    </row>
    <row r="4283" customFormat="false" ht="15" hidden="false" customHeight="true" outlineLevel="0" collapsed="false">
      <c r="A4283" s="1" t="n">
        <v>14282</v>
      </c>
      <c r="B4283" s="14" t="n">
        <v>48843</v>
      </c>
      <c r="C4283" s="1" t="n">
        <v>1701</v>
      </c>
      <c r="D4283" s="1" t="s">
        <v>34</v>
      </c>
      <c r="E4283" s="1" t="s">
        <v>28</v>
      </c>
      <c r="F4283" s="1" t="n">
        <v>5</v>
      </c>
      <c r="G4283" s="15" t="n">
        <v>72.29</v>
      </c>
      <c r="H4283" s="16" t="n">
        <v>0.22</v>
      </c>
      <c r="I4283" s="1" t="s">
        <v>31</v>
      </c>
      <c r="J4283" s="1" t="n">
        <v>8</v>
      </c>
      <c r="K4283" s="1" t="n">
        <v>2.6</v>
      </c>
      <c r="L4283" s="15" t="n">
        <v>281.93</v>
      </c>
      <c r="M4283" s="15" t="n">
        <f aca="false">F4283*G4283</f>
        <v>361.45</v>
      </c>
      <c r="N4283" s="15" t="n">
        <f aca="false">M4283-L4283</f>
        <v>79.52</v>
      </c>
      <c r="O4283" s="1" t="n">
        <f aca="false">YEAR(B4283)</f>
        <v>2033</v>
      </c>
      <c r="P4283" s="1" t="n">
        <f aca="false">MONTH(B4283)</f>
        <v>9</v>
      </c>
      <c r="Q4283" s="1" t="str">
        <f aca="false">TEXT(B4283,"mmm")</f>
        <v>Sep</v>
      </c>
      <c r="R4283" s="1" t="str">
        <f aca="false">"Q"&amp;ROUNDUP(MONTH(B4283)/3,0)</f>
        <v>Q3</v>
      </c>
    </row>
    <row r="4284" customFormat="false" ht="15" hidden="false" customHeight="true" outlineLevel="0" collapsed="false">
      <c r="A4284" s="1" t="n">
        <v>14283</v>
      </c>
      <c r="B4284" s="14" t="n">
        <v>48844</v>
      </c>
      <c r="C4284" s="1" t="n">
        <v>1546</v>
      </c>
      <c r="D4284" s="1" t="s">
        <v>27</v>
      </c>
      <c r="E4284" s="1" t="s">
        <v>28</v>
      </c>
      <c r="F4284" s="1" t="n">
        <v>1</v>
      </c>
      <c r="G4284" s="15" t="n">
        <v>477.45</v>
      </c>
      <c r="H4284" s="16" t="n">
        <v>0.1</v>
      </c>
      <c r="I4284" s="1" t="s">
        <v>33</v>
      </c>
      <c r="J4284" s="1" t="n">
        <v>6</v>
      </c>
      <c r="K4284" s="1" t="n">
        <v>1.1</v>
      </c>
      <c r="L4284" s="15" t="n">
        <v>429.7</v>
      </c>
      <c r="M4284" s="15" t="n">
        <f aca="false">F4284*G4284</f>
        <v>477.45</v>
      </c>
      <c r="N4284" s="15" t="n">
        <f aca="false">M4284-L4284</f>
        <v>47.75</v>
      </c>
      <c r="O4284" s="1" t="n">
        <f aca="false">YEAR(B4284)</f>
        <v>2033</v>
      </c>
      <c r="P4284" s="1" t="n">
        <f aca="false">MONTH(B4284)</f>
        <v>9</v>
      </c>
      <c r="Q4284" s="1" t="str">
        <f aca="false">TEXT(B4284,"mmm")</f>
        <v>Sep</v>
      </c>
      <c r="R4284" s="1" t="str">
        <f aca="false">"Q"&amp;ROUNDUP(MONTH(B4284)/3,0)</f>
        <v>Q3</v>
      </c>
    </row>
    <row r="4285" customFormat="false" ht="15" hidden="false" customHeight="true" outlineLevel="0" collapsed="false">
      <c r="A4285" s="1" t="n">
        <v>14284</v>
      </c>
      <c r="B4285" s="14" t="n">
        <v>48845</v>
      </c>
      <c r="C4285" s="1" t="n">
        <v>1658</v>
      </c>
      <c r="D4285" s="1" t="s">
        <v>27</v>
      </c>
      <c r="E4285" s="1" t="s">
        <v>28</v>
      </c>
      <c r="F4285" s="1" t="n">
        <v>3</v>
      </c>
      <c r="G4285" s="15" t="n">
        <v>346.46</v>
      </c>
      <c r="H4285" s="16" t="n">
        <v>0.02</v>
      </c>
      <c r="I4285" s="1" t="s">
        <v>31</v>
      </c>
      <c r="J4285" s="1" t="n">
        <v>10</v>
      </c>
      <c r="K4285" s="1" t="n">
        <v>2.7</v>
      </c>
      <c r="L4285" s="15" t="n">
        <v>1018.59</v>
      </c>
      <c r="M4285" s="15" t="n">
        <f aca="false">F4285*G4285</f>
        <v>1039.38</v>
      </c>
      <c r="N4285" s="15" t="n">
        <f aca="false">M4285-L4285</f>
        <v>20.7899999999999</v>
      </c>
      <c r="O4285" s="1" t="n">
        <f aca="false">YEAR(B4285)</f>
        <v>2033</v>
      </c>
      <c r="P4285" s="1" t="n">
        <f aca="false">MONTH(B4285)</f>
        <v>9</v>
      </c>
      <c r="Q4285" s="1" t="str">
        <f aca="false">TEXT(B4285,"mmm")</f>
        <v>Sep</v>
      </c>
      <c r="R4285" s="1" t="str">
        <f aca="false">"Q"&amp;ROUNDUP(MONTH(B4285)/3,0)</f>
        <v>Q3</v>
      </c>
    </row>
    <row r="4286" customFormat="false" ht="15" hidden="false" customHeight="true" outlineLevel="0" collapsed="false">
      <c r="A4286" s="1" t="n">
        <v>14285</v>
      </c>
      <c r="B4286" s="14" t="n">
        <v>48846</v>
      </c>
      <c r="C4286" s="1" t="n">
        <v>1541</v>
      </c>
      <c r="D4286" s="1" t="s">
        <v>37</v>
      </c>
      <c r="E4286" s="1" t="s">
        <v>36</v>
      </c>
      <c r="F4286" s="1" t="n">
        <v>5</v>
      </c>
      <c r="G4286" s="15" t="n">
        <v>438.52</v>
      </c>
      <c r="H4286" s="16" t="n">
        <v>0.03</v>
      </c>
      <c r="I4286" s="1" t="s">
        <v>31</v>
      </c>
      <c r="J4286" s="1" t="n">
        <v>5</v>
      </c>
      <c r="K4286" s="1" t="n">
        <v>2.1</v>
      </c>
      <c r="L4286" s="15" t="n">
        <v>2126.82</v>
      </c>
      <c r="M4286" s="15" t="n">
        <f aca="false">F4286*G4286</f>
        <v>2192.6</v>
      </c>
      <c r="N4286" s="15" t="n">
        <f aca="false">M4286-L4286</f>
        <v>65.7799999999998</v>
      </c>
      <c r="O4286" s="1" t="n">
        <f aca="false">YEAR(B4286)</f>
        <v>2033</v>
      </c>
      <c r="P4286" s="1" t="n">
        <f aca="false">MONTH(B4286)</f>
        <v>9</v>
      </c>
      <c r="Q4286" s="1" t="str">
        <f aca="false">TEXT(B4286,"mmm")</f>
        <v>Sep</v>
      </c>
      <c r="R4286" s="1" t="str">
        <f aca="false">"Q"&amp;ROUNDUP(MONTH(B4286)/3,0)</f>
        <v>Q3</v>
      </c>
    </row>
    <row r="4287" customFormat="false" ht="15" hidden="false" customHeight="true" outlineLevel="0" collapsed="false">
      <c r="A4287" s="1" t="n">
        <v>14286</v>
      </c>
      <c r="B4287" s="14" t="n">
        <v>48847</v>
      </c>
      <c r="C4287" s="1" t="n">
        <v>1845</v>
      </c>
      <c r="D4287" s="1" t="s">
        <v>34</v>
      </c>
      <c r="E4287" s="1" t="s">
        <v>36</v>
      </c>
      <c r="F4287" s="1" t="n">
        <v>7</v>
      </c>
      <c r="G4287" s="15" t="n">
        <v>259.83</v>
      </c>
      <c r="H4287" s="16" t="n">
        <v>0.04</v>
      </c>
      <c r="I4287" s="1" t="s">
        <v>33</v>
      </c>
      <c r="J4287" s="1" t="n">
        <v>9</v>
      </c>
      <c r="K4287" s="1" t="n">
        <v>1.3</v>
      </c>
      <c r="L4287" s="15" t="n">
        <v>1746.06</v>
      </c>
      <c r="M4287" s="15" t="n">
        <f aca="false">F4287*G4287</f>
        <v>1818.81</v>
      </c>
      <c r="N4287" s="15" t="n">
        <f aca="false">M4287-L4287</f>
        <v>72.75</v>
      </c>
      <c r="O4287" s="1" t="n">
        <f aca="false">YEAR(B4287)</f>
        <v>2033</v>
      </c>
      <c r="P4287" s="1" t="n">
        <f aca="false">MONTH(B4287)</f>
        <v>9</v>
      </c>
      <c r="Q4287" s="1" t="str">
        <f aca="false">TEXT(B4287,"mmm")</f>
        <v>Sep</v>
      </c>
      <c r="R4287" s="1" t="str">
        <f aca="false">"Q"&amp;ROUNDUP(MONTH(B4287)/3,0)</f>
        <v>Q3</v>
      </c>
    </row>
    <row r="4288" customFormat="false" ht="15" hidden="false" customHeight="true" outlineLevel="0" collapsed="false">
      <c r="A4288" s="1" t="n">
        <v>14287</v>
      </c>
      <c r="B4288" s="14" t="n">
        <v>48848</v>
      </c>
      <c r="C4288" s="1" t="n">
        <v>1506</v>
      </c>
      <c r="D4288" s="1" t="s">
        <v>34</v>
      </c>
      <c r="E4288" s="1" t="s">
        <v>28</v>
      </c>
      <c r="F4288" s="1" t="n">
        <v>7</v>
      </c>
      <c r="G4288" s="15" t="n">
        <v>238.17</v>
      </c>
      <c r="H4288" s="16" t="n">
        <v>0.29</v>
      </c>
      <c r="I4288" s="1" t="s">
        <v>33</v>
      </c>
      <c r="J4288" s="1" t="n">
        <v>6</v>
      </c>
      <c r="K4288" s="1" t="n">
        <v>2.2</v>
      </c>
      <c r="L4288" s="15" t="n">
        <v>1183.7</v>
      </c>
      <c r="M4288" s="15" t="n">
        <f aca="false">F4288*G4288</f>
        <v>1667.19</v>
      </c>
      <c r="N4288" s="15" t="n">
        <f aca="false">M4288-L4288</f>
        <v>483.49</v>
      </c>
      <c r="O4288" s="1" t="n">
        <f aca="false">YEAR(B4288)</f>
        <v>2033</v>
      </c>
      <c r="P4288" s="1" t="n">
        <f aca="false">MONTH(B4288)</f>
        <v>9</v>
      </c>
      <c r="Q4288" s="1" t="str">
        <f aca="false">TEXT(B4288,"mmm")</f>
        <v>Sep</v>
      </c>
      <c r="R4288" s="1" t="str">
        <f aca="false">"Q"&amp;ROUNDUP(MONTH(B4288)/3,0)</f>
        <v>Q3</v>
      </c>
    </row>
    <row r="4289" customFormat="false" ht="15" hidden="false" customHeight="true" outlineLevel="0" collapsed="false">
      <c r="A4289" s="1" t="n">
        <v>14288</v>
      </c>
      <c r="B4289" s="14" t="n">
        <v>48849</v>
      </c>
      <c r="C4289" s="1" t="n">
        <v>1595</v>
      </c>
      <c r="D4289" s="1" t="s">
        <v>30</v>
      </c>
      <c r="E4289" s="1" t="s">
        <v>35</v>
      </c>
      <c r="F4289" s="1" t="n">
        <v>3</v>
      </c>
      <c r="G4289" s="15" t="n">
        <v>72.45</v>
      </c>
      <c r="H4289" s="16" t="n">
        <v>0.23</v>
      </c>
      <c r="I4289" s="1" t="s">
        <v>31</v>
      </c>
      <c r="J4289" s="1" t="n">
        <v>11</v>
      </c>
      <c r="K4289" s="1" t="n">
        <v>2.2</v>
      </c>
      <c r="L4289" s="15" t="n">
        <v>167.36</v>
      </c>
      <c r="M4289" s="15" t="n">
        <f aca="false">F4289*G4289</f>
        <v>217.35</v>
      </c>
      <c r="N4289" s="15" t="n">
        <f aca="false">M4289-L4289</f>
        <v>49.99</v>
      </c>
      <c r="O4289" s="1" t="n">
        <f aca="false">YEAR(B4289)</f>
        <v>2033</v>
      </c>
      <c r="P4289" s="1" t="n">
        <f aca="false">MONTH(B4289)</f>
        <v>9</v>
      </c>
      <c r="Q4289" s="1" t="str">
        <f aca="false">TEXT(B4289,"mmm")</f>
        <v>Sep</v>
      </c>
      <c r="R4289" s="1" t="str">
        <f aca="false">"Q"&amp;ROUNDUP(MONTH(B4289)/3,0)</f>
        <v>Q3</v>
      </c>
    </row>
    <row r="4290" customFormat="false" ht="15" hidden="false" customHeight="true" outlineLevel="0" collapsed="false">
      <c r="A4290" s="1" t="n">
        <v>14289</v>
      </c>
      <c r="B4290" s="14" t="n">
        <v>48850</v>
      </c>
      <c r="C4290" s="1" t="n">
        <v>1880</v>
      </c>
      <c r="D4290" s="1" t="s">
        <v>34</v>
      </c>
      <c r="E4290" s="1" t="s">
        <v>35</v>
      </c>
      <c r="F4290" s="1" t="n">
        <v>6</v>
      </c>
      <c r="G4290" s="15" t="n">
        <v>321.46</v>
      </c>
      <c r="H4290" s="16" t="n">
        <v>0.02</v>
      </c>
      <c r="I4290" s="1" t="s">
        <v>33</v>
      </c>
      <c r="J4290" s="1" t="n">
        <v>11</v>
      </c>
      <c r="K4290" s="1" t="n">
        <v>2.4</v>
      </c>
      <c r="L4290" s="15" t="n">
        <v>1890.18</v>
      </c>
      <c r="M4290" s="15" t="n">
        <f aca="false">F4290*G4290</f>
        <v>1928.76</v>
      </c>
      <c r="N4290" s="15" t="n">
        <f aca="false">M4290-L4290</f>
        <v>38.5799999999997</v>
      </c>
      <c r="O4290" s="1" t="n">
        <f aca="false">YEAR(B4290)</f>
        <v>2033</v>
      </c>
      <c r="P4290" s="1" t="n">
        <f aca="false">MONTH(B4290)</f>
        <v>9</v>
      </c>
      <c r="Q4290" s="1" t="str">
        <f aca="false">TEXT(B4290,"mmm")</f>
        <v>Sep</v>
      </c>
      <c r="R4290" s="1" t="str">
        <f aca="false">"Q"&amp;ROUNDUP(MONTH(B4290)/3,0)</f>
        <v>Q3</v>
      </c>
    </row>
    <row r="4291" customFormat="false" ht="15" hidden="false" customHeight="true" outlineLevel="0" collapsed="false">
      <c r="A4291" s="1" t="n">
        <v>14290</v>
      </c>
      <c r="B4291" s="14" t="n">
        <v>48851</v>
      </c>
      <c r="C4291" s="1" t="n">
        <v>1280</v>
      </c>
      <c r="D4291" s="1" t="s">
        <v>27</v>
      </c>
      <c r="E4291" s="1" t="s">
        <v>28</v>
      </c>
      <c r="F4291" s="1" t="n">
        <v>7</v>
      </c>
      <c r="G4291" s="15" t="n">
        <v>315.98</v>
      </c>
      <c r="H4291" s="16" t="n">
        <v>0.14</v>
      </c>
      <c r="I4291" s="1" t="s">
        <v>29</v>
      </c>
      <c r="J4291" s="1" t="n">
        <v>11</v>
      </c>
      <c r="K4291" s="1" t="n">
        <v>2.5</v>
      </c>
      <c r="L4291" s="15" t="n">
        <v>1902.2</v>
      </c>
      <c r="M4291" s="15" t="n">
        <f aca="false">F4291*G4291</f>
        <v>2211.86</v>
      </c>
      <c r="N4291" s="15" t="n">
        <f aca="false">M4291-L4291</f>
        <v>309.66</v>
      </c>
      <c r="O4291" s="1" t="n">
        <f aca="false">YEAR(B4291)</f>
        <v>2033</v>
      </c>
      <c r="P4291" s="1" t="n">
        <f aca="false">MONTH(B4291)</f>
        <v>9</v>
      </c>
      <c r="Q4291" s="1" t="str">
        <f aca="false">TEXT(B4291,"mmm")</f>
        <v>Sep</v>
      </c>
      <c r="R4291" s="1" t="str">
        <f aca="false">"Q"&amp;ROUNDUP(MONTH(B4291)/3,0)</f>
        <v>Q3</v>
      </c>
    </row>
    <row r="4292" customFormat="false" ht="15" hidden="false" customHeight="true" outlineLevel="0" collapsed="false">
      <c r="A4292" s="1" t="n">
        <v>14291</v>
      </c>
      <c r="B4292" s="14" t="n">
        <v>48852</v>
      </c>
      <c r="C4292" s="1" t="n">
        <v>1423</v>
      </c>
      <c r="D4292" s="1" t="s">
        <v>30</v>
      </c>
      <c r="E4292" s="1" t="s">
        <v>36</v>
      </c>
      <c r="F4292" s="1" t="n">
        <v>5</v>
      </c>
      <c r="G4292" s="15" t="n">
        <v>288.84</v>
      </c>
      <c r="H4292" s="16" t="n">
        <v>0.1</v>
      </c>
      <c r="I4292" s="1" t="s">
        <v>31</v>
      </c>
      <c r="J4292" s="1" t="n">
        <v>11</v>
      </c>
      <c r="K4292" s="1" t="n">
        <v>2.7</v>
      </c>
      <c r="L4292" s="15" t="n">
        <v>1299.78</v>
      </c>
      <c r="M4292" s="15" t="n">
        <f aca="false">F4292*G4292</f>
        <v>1444.2</v>
      </c>
      <c r="N4292" s="15" t="n">
        <f aca="false">M4292-L4292</f>
        <v>144.42</v>
      </c>
      <c r="O4292" s="1" t="n">
        <f aca="false">YEAR(B4292)</f>
        <v>2033</v>
      </c>
      <c r="P4292" s="1" t="n">
        <f aca="false">MONTH(B4292)</f>
        <v>9</v>
      </c>
      <c r="Q4292" s="1" t="str">
        <f aca="false">TEXT(B4292,"mmm")</f>
        <v>Sep</v>
      </c>
      <c r="R4292" s="1" t="str">
        <f aca="false">"Q"&amp;ROUNDUP(MONTH(B4292)/3,0)</f>
        <v>Q3</v>
      </c>
    </row>
    <row r="4293" customFormat="false" ht="15" hidden="false" customHeight="true" outlineLevel="0" collapsed="false">
      <c r="A4293" s="1" t="n">
        <v>14292</v>
      </c>
      <c r="B4293" s="14" t="n">
        <v>48853</v>
      </c>
      <c r="C4293" s="1" t="n">
        <v>1855</v>
      </c>
      <c r="D4293" s="1" t="s">
        <v>34</v>
      </c>
      <c r="E4293" s="1" t="s">
        <v>28</v>
      </c>
      <c r="F4293" s="1" t="n">
        <v>2</v>
      </c>
      <c r="G4293" s="15" t="n">
        <v>448.2</v>
      </c>
      <c r="H4293" s="16" t="n">
        <v>0.2</v>
      </c>
      <c r="I4293" s="1" t="s">
        <v>33</v>
      </c>
      <c r="J4293" s="1" t="n">
        <v>3</v>
      </c>
      <c r="K4293" s="1" t="n">
        <v>1.4</v>
      </c>
      <c r="L4293" s="15" t="n">
        <v>717.12</v>
      </c>
      <c r="M4293" s="15" t="n">
        <f aca="false">F4293*G4293</f>
        <v>896.4</v>
      </c>
      <c r="N4293" s="15" t="n">
        <f aca="false">M4293-L4293</f>
        <v>179.28</v>
      </c>
      <c r="O4293" s="1" t="n">
        <f aca="false">YEAR(B4293)</f>
        <v>2033</v>
      </c>
      <c r="P4293" s="1" t="n">
        <f aca="false">MONTH(B4293)</f>
        <v>10</v>
      </c>
      <c r="Q4293" s="1" t="str">
        <f aca="false">TEXT(B4293,"mmm")</f>
        <v>Oct</v>
      </c>
      <c r="R4293" s="1" t="str">
        <f aca="false">"Q"&amp;ROUNDUP(MONTH(B4293)/3,0)</f>
        <v>Q4</v>
      </c>
    </row>
    <row r="4294" customFormat="false" ht="15" hidden="false" customHeight="true" outlineLevel="0" collapsed="false">
      <c r="A4294" s="1" t="n">
        <v>14293</v>
      </c>
      <c r="B4294" s="14" t="n">
        <v>48854</v>
      </c>
      <c r="C4294" s="1" t="n">
        <v>1269</v>
      </c>
      <c r="D4294" s="1" t="s">
        <v>27</v>
      </c>
      <c r="E4294" s="1" t="s">
        <v>36</v>
      </c>
      <c r="F4294" s="1" t="n">
        <v>5</v>
      </c>
      <c r="G4294" s="15" t="n">
        <v>502.02</v>
      </c>
      <c r="H4294" s="16" t="n">
        <v>0.18</v>
      </c>
      <c r="I4294" s="1" t="s">
        <v>33</v>
      </c>
      <c r="J4294" s="1" t="n">
        <v>6</v>
      </c>
      <c r="K4294" s="1" t="n">
        <v>1</v>
      </c>
      <c r="L4294" s="15" t="n">
        <v>2058.28</v>
      </c>
      <c r="M4294" s="15" t="n">
        <f aca="false">F4294*G4294</f>
        <v>2510.1</v>
      </c>
      <c r="N4294" s="15" t="n">
        <f aca="false">M4294-L4294</f>
        <v>451.82</v>
      </c>
      <c r="O4294" s="1" t="n">
        <f aca="false">YEAR(B4294)</f>
        <v>2033</v>
      </c>
      <c r="P4294" s="1" t="n">
        <f aca="false">MONTH(B4294)</f>
        <v>10</v>
      </c>
      <c r="Q4294" s="1" t="str">
        <f aca="false">TEXT(B4294,"mmm")</f>
        <v>Oct</v>
      </c>
      <c r="R4294" s="1" t="str">
        <f aca="false">"Q"&amp;ROUNDUP(MONTH(B4294)/3,0)</f>
        <v>Q4</v>
      </c>
    </row>
    <row r="4295" customFormat="false" ht="15" hidden="false" customHeight="true" outlineLevel="0" collapsed="false">
      <c r="A4295" s="1" t="n">
        <v>14294</v>
      </c>
      <c r="B4295" s="14" t="n">
        <v>48855</v>
      </c>
      <c r="C4295" s="1" t="n">
        <v>1153</v>
      </c>
      <c r="D4295" s="1" t="s">
        <v>27</v>
      </c>
      <c r="E4295" s="1" t="s">
        <v>28</v>
      </c>
      <c r="F4295" s="1" t="n">
        <v>7</v>
      </c>
      <c r="G4295" s="15" t="n">
        <v>454.21</v>
      </c>
      <c r="H4295" s="16" t="n">
        <v>0.17</v>
      </c>
      <c r="I4295" s="1" t="s">
        <v>31</v>
      </c>
      <c r="J4295" s="1" t="n">
        <v>11</v>
      </c>
      <c r="K4295" s="1" t="n">
        <v>3.9</v>
      </c>
      <c r="L4295" s="15" t="n">
        <v>2638.96</v>
      </c>
      <c r="M4295" s="15" t="n">
        <f aca="false">F4295*G4295</f>
        <v>3179.47</v>
      </c>
      <c r="N4295" s="15" t="n">
        <f aca="false">M4295-L4295</f>
        <v>540.51</v>
      </c>
      <c r="O4295" s="1" t="n">
        <f aca="false">YEAR(B4295)</f>
        <v>2033</v>
      </c>
      <c r="P4295" s="1" t="n">
        <f aca="false">MONTH(B4295)</f>
        <v>10</v>
      </c>
      <c r="Q4295" s="1" t="str">
        <f aca="false">TEXT(B4295,"mmm")</f>
        <v>Oct</v>
      </c>
      <c r="R4295" s="1" t="str">
        <f aca="false">"Q"&amp;ROUNDUP(MONTH(B4295)/3,0)</f>
        <v>Q4</v>
      </c>
    </row>
    <row r="4296" customFormat="false" ht="15" hidden="false" customHeight="true" outlineLevel="0" collapsed="false">
      <c r="A4296" s="1" t="n">
        <v>14295</v>
      </c>
      <c r="B4296" s="14" t="n">
        <v>48856</v>
      </c>
      <c r="C4296" s="1" t="n">
        <v>1613</v>
      </c>
      <c r="D4296" s="1" t="s">
        <v>34</v>
      </c>
      <c r="E4296" s="1" t="s">
        <v>36</v>
      </c>
      <c r="F4296" s="1" t="n">
        <v>7</v>
      </c>
      <c r="G4296" s="15" t="n">
        <v>99.16</v>
      </c>
      <c r="H4296" s="16" t="n">
        <v>0.11</v>
      </c>
      <c r="I4296" s="1" t="s">
        <v>31</v>
      </c>
      <c r="J4296" s="1" t="n">
        <v>4</v>
      </c>
      <c r="K4296" s="1" t="n">
        <v>2.3</v>
      </c>
      <c r="L4296" s="15" t="n">
        <v>617.77</v>
      </c>
      <c r="M4296" s="15" t="n">
        <f aca="false">F4296*G4296</f>
        <v>694.12</v>
      </c>
      <c r="N4296" s="15" t="n">
        <f aca="false">M4296-L4296</f>
        <v>76.35</v>
      </c>
      <c r="O4296" s="1" t="n">
        <f aca="false">YEAR(B4296)</f>
        <v>2033</v>
      </c>
      <c r="P4296" s="1" t="n">
        <f aca="false">MONTH(B4296)</f>
        <v>10</v>
      </c>
      <c r="Q4296" s="1" t="str">
        <f aca="false">TEXT(B4296,"mmm")</f>
        <v>Oct</v>
      </c>
      <c r="R4296" s="1" t="str">
        <f aca="false">"Q"&amp;ROUNDUP(MONTH(B4296)/3,0)</f>
        <v>Q4</v>
      </c>
    </row>
    <row r="4297" customFormat="false" ht="15" hidden="false" customHeight="true" outlineLevel="0" collapsed="false">
      <c r="A4297" s="1" t="n">
        <v>14296</v>
      </c>
      <c r="B4297" s="14" t="n">
        <v>48857</v>
      </c>
      <c r="C4297" s="1" t="n">
        <v>1726</v>
      </c>
      <c r="D4297" s="1" t="s">
        <v>30</v>
      </c>
      <c r="E4297" s="1" t="s">
        <v>32</v>
      </c>
      <c r="F4297" s="1" t="n">
        <v>4</v>
      </c>
      <c r="G4297" s="15" t="n">
        <v>378.9</v>
      </c>
      <c r="H4297" s="16" t="n">
        <v>0.05</v>
      </c>
      <c r="I4297" s="1" t="s">
        <v>33</v>
      </c>
      <c r="J4297" s="1" t="n">
        <v>5</v>
      </c>
      <c r="K4297" s="1" t="n">
        <v>3.5</v>
      </c>
      <c r="L4297" s="15" t="n">
        <v>1439.82</v>
      </c>
      <c r="M4297" s="15" t="n">
        <f aca="false">F4297*G4297</f>
        <v>1515.6</v>
      </c>
      <c r="N4297" s="15" t="n">
        <f aca="false">M4297-L4297</f>
        <v>75.78</v>
      </c>
      <c r="O4297" s="1" t="n">
        <f aca="false">YEAR(B4297)</f>
        <v>2033</v>
      </c>
      <c r="P4297" s="1" t="n">
        <f aca="false">MONTH(B4297)</f>
        <v>10</v>
      </c>
      <c r="Q4297" s="1" t="str">
        <f aca="false">TEXT(B4297,"mmm")</f>
        <v>Oct</v>
      </c>
      <c r="R4297" s="1" t="str">
        <f aca="false">"Q"&amp;ROUNDUP(MONTH(B4297)/3,0)</f>
        <v>Q4</v>
      </c>
    </row>
    <row r="4298" customFormat="false" ht="15" hidden="false" customHeight="true" outlineLevel="0" collapsed="false">
      <c r="A4298" s="1" t="n">
        <v>14297</v>
      </c>
      <c r="B4298" s="14" t="n">
        <v>48858</v>
      </c>
      <c r="C4298" s="1" t="n">
        <v>1661</v>
      </c>
      <c r="D4298" s="1" t="s">
        <v>34</v>
      </c>
      <c r="E4298" s="1" t="s">
        <v>35</v>
      </c>
      <c r="F4298" s="1" t="n">
        <v>1</v>
      </c>
      <c r="G4298" s="15" t="n">
        <v>61.99</v>
      </c>
      <c r="H4298" s="16" t="n">
        <v>0.26</v>
      </c>
      <c r="I4298" s="1" t="s">
        <v>33</v>
      </c>
      <c r="J4298" s="1" t="n">
        <v>6</v>
      </c>
      <c r="K4298" s="1" t="n">
        <v>2.2</v>
      </c>
      <c r="L4298" s="15" t="n">
        <v>45.87</v>
      </c>
      <c r="M4298" s="15" t="n">
        <f aca="false">F4298*G4298</f>
        <v>61.99</v>
      </c>
      <c r="N4298" s="15" t="n">
        <f aca="false">M4298-L4298</f>
        <v>16.12</v>
      </c>
      <c r="O4298" s="1" t="n">
        <f aca="false">YEAR(B4298)</f>
        <v>2033</v>
      </c>
      <c r="P4298" s="1" t="n">
        <f aca="false">MONTH(B4298)</f>
        <v>10</v>
      </c>
      <c r="Q4298" s="1" t="str">
        <f aca="false">TEXT(B4298,"mmm")</f>
        <v>Oct</v>
      </c>
      <c r="R4298" s="1" t="str">
        <f aca="false">"Q"&amp;ROUNDUP(MONTH(B4298)/3,0)</f>
        <v>Q4</v>
      </c>
    </row>
    <row r="4299" customFormat="false" ht="15" hidden="false" customHeight="true" outlineLevel="0" collapsed="false">
      <c r="A4299" s="1" t="n">
        <v>14298</v>
      </c>
      <c r="B4299" s="14" t="n">
        <v>48859</v>
      </c>
      <c r="C4299" s="1" t="n">
        <v>1943</v>
      </c>
      <c r="D4299" s="1" t="s">
        <v>30</v>
      </c>
      <c r="E4299" s="1" t="s">
        <v>32</v>
      </c>
      <c r="F4299" s="1" t="n">
        <v>6</v>
      </c>
      <c r="G4299" s="15" t="n">
        <v>421.35</v>
      </c>
      <c r="H4299" s="16" t="n">
        <v>0.31</v>
      </c>
      <c r="I4299" s="1" t="s">
        <v>31</v>
      </c>
      <c r="J4299" s="1" t="n">
        <v>9</v>
      </c>
      <c r="K4299" s="1" t="n">
        <v>4.9</v>
      </c>
      <c r="L4299" s="15" t="n">
        <v>1744.39</v>
      </c>
      <c r="M4299" s="15" t="n">
        <f aca="false">F4299*G4299</f>
        <v>2528.1</v>
      </c>
      <c r="N4299" s="15" t="n">
        <f aca="false">M4299-L4299</f>
        <v>783.71</v>
      </c>
      <c r="O4299" s="1" t="n">
        <f aca="false">YEAR(B4299)</f>
        <v>2033</v>
      </c>
      <c r="P4299" s="1" t="n">
        <f aca="false">MONTH(B4299)</f>
        <v>10</v>
      </c>
      <c r="Q4299" s="1" t="str">
        <f aca="false">TEXT(B4299,"mmm")</f>
        <v>Oct</v>
      </c>
      <c r="R4299" s="1" t="str">
        <f aca="false">"Q"&amp;ROUNDUP(MONTH(B4299)/3,0)</f>
        <v>Q4</v>
      </c>
    </row>
    <row r="4300" customFormat="false" ht="15" hidden="false" customHeight="true" outlineLevel="0" collapsed="false">
      <c r="A4300" s="1" t="n">
        <v>14299</v>
      </c>
      <c r="B4300" s="14" t="n">
        <v>48860</v>
      </c>
      <c r="C4300" s="1" t="n">
        <v>1082</v>
      </c>
      <c r="D4300" s="1" t="s">
        <v>34</v>
      </c>
      <c r="E4300" s="1" t="s">
        <v>35</v>
      </c>
      <c r="F4300" s="1" t="n">
        <v>5</v>
      </c>
      <c r="G4300" s="15" t="n">
        <v>238.38</v>
      </c>
      <c r="H4300" s="16" t="n">
        <v>0.33</v>
      </c>
      <c r="I4300" s="1" t="s">
        <v>29</v>
      </c>
      <c r="J4300" s="1" t="n">
        <v>3</v>
      </c>
      <c r="K4300" s="1" t="n">
        <v>2.3</v>
      </c>
      <c r="L4300" s="15" t="n">
        <v>798.57</v>
      </c>
      <c r="M4300" s="15" t="n">
        <f aca="false">F4300*G4300</f>
        <v>1191.9</v>
      </c>
      <c r="N4300" s="15" t="n">
        <f aca="false">M4300-L4300</f>
        <v>393.33</v>
      </c>
      <c r="O4300" s="1" t="n">
        <f aca="false">YEAR(B4300)</f>
        <v>2033</v>
      </c>
      <c r="P4300" s="1" t="n">
        <f aca="false">MONTH(B4300)</f>
        <v>10</v>
      </c>
      <c r="Q4300" s="1" t="str">
        <f aca="false">TEXT(B4300,"mmm")</f>
        <v>Oct</v>
      </c>
      <c r="R4300" s="1" t="str">
        <f aca="false">"Q"&amp;ROUNDUP(MONTH(B4300)/3,0)</f>
        <v>Q4</v>
      </c>
    </row>
    <row r="4301" customFormat="false" ht="15" hidden="false" customHeight="true" outlineLevel="0" collapsed="false">
      <c r="A4301" s="1" t="n">
        <v>14300</v>
      </c>
      <c r="B4301" s="14" t="n">
        <v>48861</v>
      </c>
      <c r="C4301" s="1" t="n">
        <v>1621</v>
      </c>
      <c r="D4301" s="1" t="s">
        <v>30</v>
      </c>
      <c r="E4301" s="1" t="s">
        <v>36</v>
      </c>
      <c r="F4301" s="1" t="n">
        <v>7</v>
      </c>
      <c r="G4301" s="15" t="n">
        <v>92.51</v>
      </c>
      <c r="H4301" s="16" t="n">
        <v>0.02</v>
      </c>
      <c r="I4301" s="1" t="s">
        <v>33</v>
      </c>
      <c r="J4301" s="1" t="n">
        <v>1</v>
      </c>
      <c r="K4301" s="1" t="n">
        <v>3.4</v>
      </c>
      <c r="L4301" s="15" t="n">
        <v>634.62</v>
      </c>
      <c r="M4301" s="15" t="n">
        <f aca="false">F4301*G4301</f>
        <v>647.57</v>
      </c>
      <c r="N4301" s="15" t="n">
        <f aca="false">M4301-L4301</f>
        <v>12.95</v>
      </c>
      <c r="O4301" s="1" t="n">
        <f aca="false">YEAR(B4301)</f>
        <v>2033</v>
      </c>
      <c r="P4301" s="1" t="n">
        <f aca="false">MONTH(B4301)</f>
        <v>10</v>
      </c>
      <c r="Q4301" s="1" t="str">
        <f aca="false">TEXT(B4301,"mmm")</f>
        <v>Oct</v>
      </c>
      <c r="R4301" s="1" t="str">
        <f aca="false">"Q"&amp;ROUNDUP(MONTH(B4301)/3,0)</f>
        <v>Q4</v>
      </c>
    </row>
    <row r="4302" customFormat="false" ht="15" hidden="false" customHeight="true" outlineLevel="0" collapsed="false">
      <c r="A4302" s="1" t="n">
        <v>14301</v>
      </c>
      <c r="B4302" s="14" t="n">
        <v>48862</v>
      </c>
      <c r="C4302" s="1" t="n">
        <v>1946</v>
      </c>
      <c r="D4302" s="1" t="s">
        <v>27</v>
      </c>
      <c r="E4302" s="1" t="s">
        <v>32</v>
      </c>
      <c r="F4302" s="1" t="n">
        <v>6</v>
      </c>
      <c r="G4302" s="15" t="n">
        <v>519.3</v>
      </c>
      <c r="H4302" s="16" t="n">
        <v>0.26</v>
      </c>
      <c r="I4302" s="1" t="s">
        <v>31</v>
      </c>
      <c r="J4302" s="1" t="n">
        <v>2</v>
      </c>
      <c r="K4302" s="1" t="n">
        <v>1.9</v>
      </c>
      <c r="L4302" s="15" t="n">
        <v>2305.69</v>
      </c>
      <c r="M4302" s="15" t="n">
        <f aca="false">F4302*G4302</f>
        <v>3115.8</v>
      </c>
      <c r="N4302" s="15" t="n">
        <f aca="false">M4302-L4302</f>
        <v>810.11</v>
      </c>
      <c r="O4302" s="1" t="n">
        <f aca="false">YEAR(B4302)</f>
        <v>2033</v>
      </c>
      <c r="P4302" s="1" t="n">
        <f aca="false">MONTH(B4302)</f>
        <v>10</v>
      </c>
      <c r="Q4302" s="1" t="str">
        <f aca="false">TEXT(B4302,"mmm")</f>
        <v>Oct</v>
      </c>
      <c r="R4302" s="1" t="str">
        <f aca="false">"Q"&amp;ROUNDUP(MONTH(B4302)/3,0)</f>
        <v>Q4</v>
      </c>
    </row>
    <row r="4303" customFormat="false" ht="15" hidden="false" customHeight="true" outlineLevel="0" collapsed="false">
      <c r="A4303" s="1" t="n">
        <v>14302</v>
      </c>
      <c r="B4303" s="14" t="n">
        <v>48863</v>
      </c>
      <c r="C4303" s="1" t="n">
        <v>1898</v>
      </c>
      <c r="D4303" s="1" t="s">
        <v>30</v>
      </c>
      <c r="E4303" s="1" t="s">
        <v>35</v>
      </c>
      <c r="F4303" s="1" t="n">
        <v>3</v>
      </c>
      <c r="G4303" s="15" t="n">
        <v>374.19</v>
      </c>
      <c r="H4303" s="16" t="n">
        <v>0.25</v>
      </c>
      <c r="I4303" s="1" t="s">
        <v>33</v>
      </c>
      <c r="J4303" s="1" t="n">
        <v>8</v>
      </c>
      <c r="K4303" s="1" t="n">
        <v>3.1</v>
      </c>
      <c r="L4303" s="15" t="n">
        <v>841.93</v>
      </c>
      <c r="M4303" s="15" t="n">
        <f aca="false">F4303*G4303</f>
        <v>1122.57</v>
      </c>
      <c r="N4303" s="15" t="n">
        <f aca="false">M4303-L4303</f>
        <v>280.64</v>
      </c>
      <c r="O4303" s="1" t="n">
        <f aca="false">YEAR(B4303)</f>
        <v>2033</v>
      </c>
      <c r="P4303" s="1" t="n">
        <f aca="false">MONTH(B4303)</f>
        <v>10</v>
      </c>
      <c r="Q4303" s="1" t="str">
        <f aca="false">TEXT(B4303,"mmm")</f>
        <v>Oct</v>
      </c>
      <c r="R4303" s="1" t="str">
        <f aca="false">"Q"&amp;ROUNDUP(MONTH(B4303)/3,0)</f>
        <v>Q4</v>
      </c>
    </row>
    <row r="4304" customFormat="false" ht="15" hidden="false" customHeight="true" outlineLevel="0" collapsed="false">
      <c r="A4304" s="1" t="n">
        <v>14303</v>
      </c>
      <c r="B4304" s="14" t="n">
        <v>48864</v>
      </c>
      <c r="C4304" s="1" t="n">
        <v>1425</v>
      </c>
      <c r="D4304" s="1" t="s">
        <v>34</v>
      </c>
      <c r="E4304" s="1" t="s">
        <v>28</v>
      </c>
      <c r="F4304" s="1" t="n">
        <v>3</v>
      </c>
      <c r="G4304" s="15" t="n">
        <v>222.51</v>
      </c>
      <c r="H4304" s="16" t="n">
        <v>0.33</v>
      </c>
      <c r="I4304" s="1" t="s">
        <v>29</v>
      </c>
      <c r="J4304" s="1" t="n">
        <v>4</v>
      </c>
      <c r="K4304" s="1" t="n">
        <v>3.3</v>
      </c>
      <c r="L4304" s="15" t="n">
        <v>447.25</v>
      </c>
      <c r="M4304" s="15" t="n">
        <f aca="false">F4304*G4304</f>
        <v>667.53</v>
      </c>
      <c r="N4304" s="15" t="n">
        <f aca="false">M4304-L4304</f>
        <v>220.28</v>
      </c>
      <c r="O4304" s="1" t="n">
        <f aca="false">YEAR(B4304)</f>
        <v>2033</v>
      </c>
      <c r="P4304" s="1" t="n">
        <f aca="false">MONTH(B4304)</f>
        <v>10</v>
      </c>
      <c r="Q4304" s="1" t="str">
        <f aca="false">TEXT(B4304,"mmm")</f>
        <v>Oct</v>
      </c>
      <c r="R4304" s="1" t="str">
        <f aca="false">"Q"&amp;ROUNDUP(MONTH(B4304)/3,0)</f>
        <v>Q4</v>
      </c>
    </row>
    <row r="4305" customFormat="false" ht="15" hidden="false" customHeight="true" outlineLevel="0" collapsed="false">
      <c r="A4305" s="1" t="n">
        <v>14304</v>
      </c>
      <c r="B4305" s="14" t="n">
        <v>48865</v>
      </c>
      <c r="C4305" s="1" t="n">
        <v>1274</v>
      </c>
      <c r="D4305" s="1" t="s">
        <v>30</v>
      </c>
      <c r="E4305" s="1" t="s">
        <v>36</v>
      </c>
      <c r="F4305" s="1" t="n">
        <v>5</v>
      </c>
      <c r="G4305" s="15" t="n">
        <v>32.98</v>
      </c>
      <c r="H4305" s="16" t="n">
        <v>0.09</v>
      </c>
      <c r="I4305" s="1" t="s">
        <v>31</v>
      </c>
      <c r="J4305" s="1" t="n">
        <v>7</v>
      </c>
      <c r="K4305" s="1" t="n">
        <v>1.7</v>
      </c>
      <c r="L4305" s="15" t="n">
        <v>150.06</v>
      </c>
      <c r="M4305" s="15" t="n">
        <f aca="false">F4305*G4305</f>
        <v>164.9</v>
      </c>
      <c r="N4305" s="15" t="n">
        <f aca="false">M4305-L4305</f>
        <v>14.84</v>
      </c>
      <c r="O4305" s="1" t="n">
        <f aca="false">YEAR(B4305)</f>
        <v>2033</v>
      </c>
      <c r="P4305" s="1" t="n">
        <f aca="false">MONTH(B4305)</f>
        <v>10</v>
      </c>
      <c r="Q4305" s="1" t="str">
        <f aca="false">TEXT(B4305,"mmm")</f>
        <v>Oct</v>
      </c>
      <c r="R4305" s="1" t="str">
        <f aca="false">"Q"&amp;ROUNDUP(MONTH(B4305)/3,0)</f>
        <v>Q4</v>
      </c>
    </row>
    <row r="4306" customFormat="false" ht="15" hidden="false" customHeight="true" outlineLevel="0" collapsed="false">
      <c r="A4306" s="1" t="n">
        <v>14305</v>
      </c>
      <c r="B4306" s="14" t="n">
        <v>48866</v>
      </c>
      <c r="C4306" s="1" t="n">
        <v>1712</v>
      </c>
      <c r="D4306" s="1" t="s">
        <v>34</v>
      </c>
      <c r="E4306" s="1" t="s">
        <v>36</v>
      </c>
      <c r="F4306" s="1" t="n">
        <v>4</v>
      </c>
      <c r="G4306" s="15" t="n">
        <v>329.33</v>
      </c>
      <c r="H4306" s="16" t="n">
        <v>0.26</v>
      </c>
      <c r="I4306" s="1" t="s">
        <v>33</v>
      </c>
      <c r="J4306" s="1" t="n">
        <v>2</v>
      </c>
      <c r="K4306" s="1" t="n">
        <v>1.5</v>
      </c>
      <c r="L4306" s="15" t="n">
        <v>974.82</v>
      </c>
      <c r="M4306" s="15" t="n">
        <f aca="false">F4306*G4306</f>
        <v>1317.32</v>
      </c>
      <c r="N4306" s="15" t="n">
        <f aca="false">M4306-L4306</f>
        <v>342.5</v>
      </c>
      <c r="O4306" s="1" t="n">
        <f aca="false">YEAR(B4306)</f>
        <v>2033</v>
      </c>
      <c r="P4306" s="1" t="n">
        <f aca="false">MONTH(B4306)</f>
        <v>10</v>
      </c>
      <c r="Q4306" s="1" t="str">
        <f aca="false">TEXT(B4306,"mmm")</f>
        <v>Oct</v>
      </c>
      <c r="R4306" s="1" t="str">
        <f aca="false">"Q"&amp;ROUNDUP(MONTH(B4306)/3,0)</f>
        <v>Q4</v>
      </c>
    </row>
    <row r="4307" customFormat="false" ht="15" hidden="false" customHeight="true" outlineLevel="0" collapsed="false">
      <c r="A4307" s="1" t="n">
        <v>14306</v>
      </c>
      <c r="B4307" s="14" t="n">
        <v>48867</v>
      </c>
      <c r="C4307" s="1" t="n">
        <v>1283</v>
      </c>
      <c r="D4307" s="1" t="s">
        <v>27</v>
      </c>
      <c r="E4307" s="1" t="s">
        <v>28</v>
      </c>
      <c r="F4307" s="1" t="n">
        <v>7</v>
      </c>
      <c r="G4307" s="15" t="n">
        <v>555.09</v>
      </c>
      <c r="H4307" s="16" t="n">
        <v>0.02</v>
      </c>
      <c r="I4307" s="1" t="s">
        <v>33</v>
      </c>
      <c r="J4307" s="1" t="n">
        <v>11</v>
      </c>
      <c r="K4307" s="1" t="n">
        <v>4.9</v>
      </c>
      <c r="L4307" s="15" t="n">
        <v>3807.92</v>
      </c>
      <c r="M4307" s="15" t="n">
        <f aca="false">F4307*G4307</f>
        <v>3885.63</v>
      </c>
      <c r="N4307" s="15" t="n">
        <f aca="false">M4307-L4307</f>
        <v>77.71</v>
      </c>
      <c r="O4307" s="1" t="n">
        <f aca="false">YEAR(B4307)</f>
        <v>2033</v>
      </c>
      <c r="P4307" s="1" t="n">
        <f aca="false">MONTH(B4307)</f>
        <v>10</v>
      </c>
      <c r="Q4307" s="1" t="str">
        <f aca="false">TEXT(B4307,"mmm")</f>
        <v>Oct</v>
      </c>
      <c r="R4307" s="1" t="str">
        <f aca="false">"Q"&amp;ROUNDUP(MONTH(B4307)/3,0)</f>
        <v>Q4</v>
      </c>
    </row>
    <row r="4308" customFormat="false" ht="15" hidden="false" customHeight="true" outlineLevel="0" collapsed="false">
      <c r="A4308" s="1" t="n">
        <v>14307</v>
      </c>
      <c r="B4308" s="14" t="n">
        <v>48868</v>
      </c>
      <c r="C4308" s="1" t="n">
        <v>1979</v>
      </c>
      <c r="D4308" s="1" t="s">
        <v>30</v>
      </c>
      <c r="E4308" s="1" t="s">
        <v>28</v>
      </c>
      <c r="F4308" s="1" t="n">
        <v>5</v>
      </c>
      <c r="G4308" s="15" t="n">
        <v>363.88</v>
      </c>
      <c r="H4308" s="16" t="n">
        <v>0.22</v>
      </c>
      <c r="I4308" s="1" t="s">
        <v>31</v>
      </c>
      <c r="J4308" s="1" t="n">
        <v>10</v>
      </c>
      <c r="K4308" s="1" t="n">
        <v>4.6</v>
      </c>
      <c r="L4308" s="15" t="n">
        <v>1419.13</v>
      </c>
      <c r="M4308" s="15" t="n">
        <f aca="false">F4308*G4308</f>
        <v>1819.4</v>
      </c>
      <c r="N4308" s="15" t="n">
        <f aca="false">M4308-L4308</f>
        <v>400.27</v>
      </c>
      <c r="O4308" s="1" t="n">
        <f aca="false">YEAR(B4308)</f>
        <v>2033</v>
      </c>
      <c r="P4308" s="1" t="n">
        <f aca="false">MONTH(B4308)</f>
        <v>10</v>
      </c>
      <c r="Q4308" s="1" t="str">
        <f aca="false">TEXT(B4308,"mmm")</f>
        <v>Oct</v>
      </c>
      <c r="R4308" s="1" t="str">
        <f aca="false">"Q"&amp;ROUNDUP(MONTH(B4308)/3,0)</f>
        <v>Q4</v>
      </c>
    </row>
    <row r="4309" customFormat="false" ht="15" hidden="false" customHeight="true" outlineLevel="0" collapsed="false">
      <c r="A4309" s="1" t="n">
        <v>14308</v>
      </c>
      <c r="B4309" s="14" t="n">
        <v>48869</v>
      </c>
      <c r="C4309" s="1" t="n">
        <v>1172</v>
      </c>
      <c r="D4309" s="1" t="s">
        <v>34</v>
      </c>
      <c r="E4309" s="1" t="s">
        <v>35</v>
      </c>
      <c r="F4309" s="1" t="n">
        <v>2</v>
      </c>
      <c r="G4309" s="15" t="n">
        <v>583.42</v>
      </c>
      <c r="H4309" s="16" t="n">
        <v>0.12</v>
      </c>
      <c r="I4309" s="1" t="s">
        <v>31</v>
      </c>
      <c r="J4309" s="1" t="n">
        <v>8</v>
      </c>
      <c r="K4309" s="1" t="n">
        <v>3.6</v>
      </c>
      <c r="L4309" s="15" t="n">
        <v>1026.82</v>
      </c>
      <c r="M4309" s="15" t="n">
        <f aca="false">F4309*G4309</f>
        <v>1166.84</v>
      </c>
      <c r="N4309" s="15" t="n">
        <f aca="false">M4309-L4309</f>
        <v>140.02</v>
      </c>
      <c r="O4309" s="1" t="n">
        <f aca="false">YEAR(B4309)</f>
        <v>2033</v>
      </c>
      <c r="P4309" s="1" t="n">
        <f aca="false">MONTH(B4309)</f>
        <v>10</v>
      </c>
      <c r="Q4309" s="1" t="str">
        <f aca="false">TEXT(B4309,"mmm")</f>
        <v>Oct</v>
      </c>
      <c r="R4309" s="1" t="str">
        <f aca="false">"Q"&amp;ROUNDUP(MONTH(B4309)/3,0)</f>
        <v>Q4</v>
      </c>
    </row>
    <row r="4310" customFormat="false" ht="15" hidden="false" customHeight="true" outlineLevel="0" collapsed="false">
      <c r="A4310" s="1" t="n">
        <v>14309</v>
      </c>
      <c r="B4310" s="14" t="n">
        <v>48870</v>
      </c>
      <c r="C4310" s="1" t="n">
        <v>1326</v>
      </c>
      <c r="D4310" s="1" t="s">
        <v>34</v>
      </c>
      <c r="E4310" s="1" t="s">
        <v>36</v>
      </c>
      <c r="F4310" s="1" t="n">
        <v>4</v>
      </c>
      <c r="G4310" s="15" t="n">
        <v>94.82</v>
      </c>
      <c r="H4310" s="16" t="n">
        <v>0.27</v>
      </c>
      <c r="I4310" s="1" t="s">
        <v>31</v>
      </c>
      <c r="J4310" s="1" t="n">
        <v>10</v>
      </c>
      <c r="K4310" s="1" t="n">
        <v>4.4</v>
      </c>
      <c r="L4310" s="15" t="n">
        <v>276.87</v>
      </c>
      <c r="M4310" s="15" t="n">
        <f aca="false">F4310*G4310</f>
        <v>379.28</v>
      </c>
      <c r="N4310" s="15" t="n">
        <f aca="false">M4310-L4310</f>
        <v>102.41</v>
      </c>
      <c r="O4310" s="1" t="n">
        <f aca="false">YEAR(B4310)</f>
        <v>2033</v>
      </c>
      <c r="P4310" s="1" t="n">
        <f aca="false">MONTH(B4310)</f>
        <v>10</v>
      </c>
      <c r="Q4310" s="1" t="str">
        <f aca="false">TEXT(B4310,"mmm")</f>
        <v>Oct</v>
      </c>
      <c r="R4310" s="1" t="str">
        <f aca="false">"Q"&amp;ROUNDUP(MONTH(B4310)/3,0)</f>
        <v>Q4</v>
      </c>
    </row>
    <row r="4311" customFormat="false" ht="15" hidden="false" customHeight="true" outlineLevel="0" collapsed="false">
      <c r="A4311" s="1" t="n">
        <v>14310</v>
      </c>
      <c r="B4311" s="14" t="n">
        <v>48871</v>
      </c>
      <c r="C4311" s="1" t="n">
        <v>1717</v>
      </c>
      <c r="D4311" s="1" t="s">
        <v>37</v>
      </c>
      <c r="E4311" s="1" t="s">
        <v>35</v>
      </c>
      <c r="F4311" s="1" t="n">
        <v>7</v>
      </c>
      <c r="G4311" s="15" t="n">
        <v>347.46</v>
      </c>
      <c r="H4311" s="16" t="n">
        <v>0.3</v>
      </c>
      <c r="I4311" s="1" t="s">
        <v>31</v>
      </c>
      <c r="J4311" s="1" t="n">
        <v>9</v>
      </c>
      <c r="K4311" s="1" t="n">
        <v>1.4</v>
      </c>
      <c r="L4311" s="15" t="n">
        <v>1702.55</v>
      </c>
      <c r="M4311" s="15" t="n">
        <f aca="false">F4311*G4311</f>
        <v>2432.22</v>
      </c>
      <c r="N4311" s="15" t="n">
        <f aca="false">M4311-L4311</f>
        <v>729.67</v>
      </c>
      <c r="O4311" s="1" t="n">
        <f aca="false">YEAR(B4311)</f>
        <v>2033</v>
      </c>
      <c r="P4311" s="1" t="n">
        <f aca="false">MONTH(B4311)</f>
        <v>10</v>
      </c>
      <c r="Q4311" s="1" t="str">
        <f aca="false">TEXT(B4311,"mmm")</f>
        <v>Oct</v>
      </c>
      <c r="R4311" s="1" t="str">
        <f aca="false">"Q"&amp;ROUNDUP(MONTH(B4311)/3,0)</f>
        <v>Q4</v>
      </c>
    </row>
    <row r="4312" customFormat="false" ht="15" hidden="false" customHeight="true" outlineLevel="0" collapsed="false">
      <c r="A4312" s="1" t="n">
        <v>14311</v>
      </c>
      <c r="B4312" s="14" t="n">
        <v>48872</v>
      </c>
      <c r="C4312" s="1" t="n">
        <v>1062</v>
      </c>
      <c r="D4312" s="1" t="s">
        <v>34</v>
      </c>
      <c r="E4312" s="1" t="s">
        <v>28</v>
      </c>
      <c r="F4312" s="1" t="n">
        <v>7</v>
      </c>
      <c r="G4312" s="15" t="n">
        <v>481.9</v>
      </c>
      <c r="H4312" s="16" t="n">
        <v>0.13</v>
      </c>
      <c r="I4312" s="1" t="s">
        <v>31</v>
      </c>
      <c r="J4312" s="1" t="n">
        <v>7</v>
      </c>
      <c r="K4312" s="1" t="n">
        <v>3.9</v>
      </c>
      <c r="L4312" s="15" t="n">
        <v>2934.77</v>
      </c>
      <c r="M4312" s="15" t="n">
        <f aca="false">F4312*G4312</f>
        <v>3373.3</v>
      </c>
      <c r="N4312" s="15" t="n">
        <f aca="false">M4312-L4312</f>
        <v>438.53</v>
      </c>
      <c r="O4312" s="1" t="n">
        <f aca="false">YEAR(B4312)</f>
        <v>2033</v>
      </c>
      <c r="P4312" s="1" t="n">
        <f aca="false">MONTH(B4312)</f>
        <v>10</v>
      </c>
      <c r="Q4312" s="1" t="str">
        <f aca="false">TEXT(B4312,"mmm")</f>
        <v>Oct</v>
      </c>
      <c r="R4312" s="1" t="str">
        <f aca="false">"Q"&amp;ROUNDUP(MONTH(B4312)/3,0)</f>
        <v>Q4</v>
      </c>
    </row>
    <row r="4313" customFormat="false" ht="15" hidden="false" customHeight="true" outlineLevel="0" collapsed="false">
      <c r="A4313" s="1" t="n">
        <v>14312</v>
      </c>
      <c r="B4313" s="14" t="n">
        <v>48873</v>
      </c>
      <c r="C4313" s="1" t="n">
        <v>1072</v>
      </c>
      <c r="D4313" s="1" t="s">
        <v>37</v>
      </c>
      <c r="E4313" s="1" t="s">
        <v>36</v>
      </c>
      <c r="F4313" s="1" t="n">
        <v>6</v>
      </c>
      <c r="G4313" s="15" t="n">
        <v>322.44</v>
      </c>
      <c r="H4313" s="16" t="n">
        <v>0.18</v>
      </c>
      <c r="I4313" s="1" t="s">
        <v>29</v>
      </c>
      <c r="J4313" s="1" t="n">
        <v>10</v>
      </c>
      <c r="K4313" s="1" t="n">
        <v>2.1</v>
      </c>
      <c r="L4313" s="15" t="n">
        <v>1586.4</v>
      </c>
      <c r="M4313" s="15" t="n">
        <f aca="false">F4313*G4313</f>
        <v>1934.64</v>
      </c>
      <c r="N4313" s="15" t="n">
        <f aca="false">M4313-L4313</f>
        <v>348.24</v>
      </c>
      <c r="O4313" s="1" t="n">
        <f aca="false">YEAR(B4313)</f>
        <v>2033</v>
      </c>
      <c r="P4313" s="1" t="n">
        <f aca="false">MONTH(B4313)</f>
        <v>10</v>
      </c>
      <c r="Q4313" s="1" t="str">
        <f aca="false">TEXT(B4313,"mmm")</f>
        <v>Oct</v>
      </c>
      <c r="R4313" s="1" t="str">
        <f aca="false">"Q"&amp;ROUNDUP(MONTH(B4313)/3,0)</f>
        <v>Q4</v>
      </c>
    </row>
    <row r="4314" customFormat="false" ht="15" hidden="false" customHeight="true" outlineLevel="0" collapsed="false">
      <c r="A4314" s="1" t="n">
        <v>14313</v>
      </c>
      <c r="B4314" s="14" t="n">
        <v>48874</v>
      </c>
      <c r="C4314" s="1" t="n">
        <v>1762</v>
      </c>
      <c r="D4314" s="1" t="s">
        <v>34</v>
      </c>
      <c r="E4314" s="1" t="s">
        <v>28</v>
      </c>
      <c r="F4314" s="1" t="n">
        <v>5</v>
      </c>
      <c r="G4314" s="15" t="n">
        <v>68.27</v>
      </c>
      <c r="H4314" s="16" t="n">
        <v>0.04</v>
      </c>
      <c r="I4314" s="1" t="s">
        <v>29</v>
      </c>
      <c r="J4314" s="1" t="n">
        <v>11</v>
      </c>
      <c r="K4314" s="1" t="n">
        <v>3.2</v>
      </c>
      <c r="L4314" s="15" t="n">
        <v>327.7</v>
      </c>
      <c r="M4314" s="15" t="n">
        <f aca="false">F4314*G4314</f>
        <v>341.35</v>
      </c>
      <c r="N4314" s="15" t="n">
        <f aca="false">M4314-L4314</f>
        <v>13.65</v>
      </c>
      <c r="O4314" s="1" t="n">
        <f aca="false">YEAR(B4314)</f>
        <v>2033</v>
      </c>
      <c r="P4314" s="1" t="n">
        <f aca="false">MONTH(B4314)</f>
        <v>10</v>
      </c>
      <c r="Q4314" s="1" t="str">
        <f aca="false">TEXT(B4314,"mmm")</f>
        <v>Oct</v>
      </c>
      <c r="R4314" s="1" t="str">
        <f aca="false">"Q"&amp;ROUNDUP(MONTH(B4314)/3,0)</f>
        <v>Q4</v>
      </c>
    </row>
    <row r="4315" customFormat="false" ht="15" hidden="false" customHeight="true" outlineLevel="0" collapsed="false">
      <c r="A4315" s="1" t="n">
        <v>14314</v>
      </c>
      <c r="B4315" s="14" t="n">
        <v>48875</v>
      </c>
      <c r="C4315" s="1" t="n">
        <v>1635</v>
      </c>
      <c r="D4315" s="1" t="s">
        <v>34</v>
      </c>
      <c r="E4315" s="1" t="s">
        <v>35</v>
      </c>
      <c r="F4315" s="1" t="n">
        <v>7</v>
      </c>
      <c r="G4315" s="15" t="n">
        <v>355.99</v>
      </c>
      <c r="H4315" s="16" t="n">
        <v>0.15</v>
      </c>
      <c r="I4315" s="1" t="s">
        <v>31</v>
      </c>
      <c r="J4315" s="1" t="n">
        <v>1</v>
      </c>
      <c r="K4315" s="1" t="n">
        <v>4.1</v>
      </c>
      <c r="L4315" s="15" t="n">
        <v>2118.14</v>
      </c>
      <c r="M4315" s="15" t="n">
        <f aca="false">F4315*G4315</f>
        <v>2491.93</v>
      </c>
      <c r="N4315" s="15" t="n">
        <f aca="false">M4315-L4315</f>
        <v>373.79</v>
      </c>
      <c r="O4315" s="1" t="n">
        <f aca="false">YEAR(B4315)</f>
        <v>2033</v>
      </c>
      <c r="P4315" s="1" t="n">
        <f aca="false">MONTH(B4315)</f>
        <v>10</v>
      </c>
      <c r="Q4315" s="1" t="str">
        <f aca="false">TEXT(B4315,"mmm")</f>
        <v>Oct</v>
      </c>
      <c r="R4315" s="1" t="str">
        <f aca="false">"Q"&amp;ROUNDUP(MONTH(B4315)/3,0)</f>
        <v>Q4</v>
      </c>
    </row>
    <row r="4316" customFormat="false" ht="15" hidden="false" customHeight="true" outlineLevel="0" collapsed="false">
      <c r="A4316" s="1" t="n">
        <v>14315</v>
      </c>
      <c r="B4316" s="14" t="n">
        <v>48876</v>
      </c>
      <c r="C4316" s="1" t="n">
        <v>1374</v>
      </c>
      <c r="D4316" s="1" t="s">
        <v>30</v>
      </c>
      <c r="E4316" s="1" t="s">
        <v>35</v>
      </c>
      <c r="F4316" s="1" t="n">
        <v>6</v>
      </c>
      <c r="G4316" s="15" t="n">
        <v>372.87</v>
      </c>
      <c r="H4316" s="16" t="n">
        <v>0.13</v>
      </c>
      <c r="I4316" s="1" t="s">
        <v>31</v>
      </c>
      <c r="J4316" s="1" t="n">
        <v>2</v>
      </c>
      <c r="K4316" s="1" t="n">
        <v>1.1</v>
      </c>
      <c r="L4316" s="15" t="n">
        <v>1946.38</v>
      </c>
      <c r="M4316" s="15" t="n">
        <f aca="false">F4316*G4316</f>
        <v>2237.22</v>
      </c>
      <c r="N4316" s="15" t="n">
        <f aca="false">M4316-L4316</f>
        <v>290.84</v>
      </c>
      <c r="O4316" s="1" t="n">
        <f aca="false">YEAR(B4316)</f>
        <v>2033</v>
      </c>
      <c r="P4316" s="1" t="n">
        <f aca="false">MONTH(B4316)</f>
        <v>10</v>
      </c>
      <c r="Q4316" s="1" t="str">
        <f aca="false">TEXT(B4316,"mmm")</f>
        <v>Oct</v>
      </c>
      <c r="R4316" s="1" t="str">
        <f aca="false">"Q"&amp;ROUNDUP(MONTH(B4316)/3,0)</f>
        <v>Q4</v>
      </c>
    </row>
    <row r="4317" customFormat="false" ht="15" hidden="false" customHeight="true" outlineLevel="0" collapsed="false">
      <c r="A4317" s="1" t="n">
        <v>14316</v>
      </c>
      <c r="B4317" s="14" t="n">
        <v>48877</v>
      </c>
      <c r="C4317" s="1" t="n">
        <v>1632</v>
      </c>
      <c r="D4317" s="1" t="s">
        <v>27</v>
      </c>
      <c r="E4317" s="1" t="s">
        <v>35</v>
      </c>
      <c r="F4317" s="1" t="n">
        <v>7</v>
      </c>
      <c r="G4317" s="15" t="n">
        <v>441.29</v>
      </c>
      <c r="H4317" s="16" t="n">
        <v>0.06</v>
      </c>
      <c r="I4317" s="1" t="s">
        <v>31</v>
      </c>
      <c r="J4317" s="1" t="n">
        <v>9</v>
      </c>
      <c r="K4317" s="1" t="n">
        <v>3.8</v>
      </c>
      <c r="L4317" s="15" t="n">
        <v>2903.69</v>
      </c>
      <c r="M4317" s="15" t="n">
        <f aca="false">F4317*G4317</f>
        <v>3089.03</v>
      </c>
      <c r="N4317" s="15" t="n">
        <f aca="false">M4317-L4317</f>
        <v>185.34</v>
      </c>
      <c r="O4317" s="1" t="n">
        <f aca="false">YEAR(B4317)</f>
        <v>2033</v>
      </c>
      <c r="P4317" s="1" t="n">
        <f aca="false">MONTH(B4317)</f>
        <v>10</v>
      </c>
      <c r="Q4317" s="1" t="str">
        <f aca="false">TEXT(B4317,"mmm")</f>
        <v>Oct</v>
      </c>
      <c r="R4317" s="1" t="str">
        <f aca="false">"Q"&amp;ROUNDUP(MONTH(B4317)/3,0)</f>
        <v>Q4</v>
      </c>
    </row>
    <row r="4318" customFormat="false" ht="15" hidden="false" customHeight="true" outlineLevel="0" collapsed="false">
      <c r="A4318" s="1" t="n">
        <v>14317</v>
      </c>
      <c r="B4318" s="14" t="n">
        <v>48878</v>
      </c>
      <c r="C4318" s="1" t="n">
        <v>1507</v>
      </c>
      <c r="D4318" s="1" t="s">
        <v>27</v>
      </c>
      <c r="E4318" s="1" t="s">
        <v>36</v>
      </c>
      <c r="F4318" s="1" t="n">
        <v>1</v>
      </c>
      <c r="G4318" s="15" t="n">
        <v>460.31</v>
      </c>
      <c r="H4318" s="16" t="n">
        <v>0.31</v>
      </c>
      <c r="I4318" s="1" t="s">
        <v>31</v>
      </c>
      <c r="J4318" s="1" t="n">
        <v>10</v>
      </c>
      <c r="K4318" s="1" t="n">
        <v>2.7</v>
      </c>
      <c r="L4318" s="15" t="n">
        <v>317.61</v>
      </c>
      <c r="M4318" s="15" t="n">
        <f aca="false">F4318*G4318</f>
        <v>460.31</v>
      </c>
      <c r="N4318" s="15" t="n">
        <f aca="false">M4318-L4318</f>
        <v>142.7</v>
      </c>
      <c r="O4318" s="1" t="n">
        <f aca="false">YEAR(B4318)</f>
        <v>2033</v>
      </c>
      <c r="P4318" s="1" t="n">
        <f aca="false">MONTH(B4318)</f>
        <v>10</v>
      </c>
      <c r="Q4318" s="1" t="str">
        <f aca="false">TEXT(B4318,"mmm")</f>
        <v>Oct</v>
      </c>
      <c r="R4318" s="1" t="str">
        <f aca="false">"Q"&amp;ROUNDUP(MONTH(B4318)/3,0)</f>
        <v>Q4</v>
      </c>
    </row>
    <row r="4319" customFormat="false" ht="15" hidden="false" customHeight="true" outlineLevel="0" collapsed="false">
      <c r="A4319" s="1" t="n">
        <v>14318</v>
      </c>
      <c r="B4319" s="14" t="n">
        <v>48879</v>
      </c>
      <c r="C4319" s="1" t="n">
        <v>1786</v>
      </c>
      <c r="D4319" s="1" t="s">
        <v>34</v>
      </c>
      <c r="E4319" s="1" t="s">
        <v>28</v>
      </c>
      <c r="F4319" s="1" t="n">
        <v>4</v>
      </c>
      <c r="G4319" s="15" t="n">
        <v>465.9</v>
      </c>
      <c r="H4319" s="16" t="n">
        <v>0.05</v>
      </c>
      <c r="I4319" s="1" t="s">
        <v>31</v>
      </c>
      <c r="J4319" s="1" t="n">
        <v>7</v>
      </c>
      <c r="K4319" s="1" t="n">
        <v>2.8</v>
      </c>
      <c r="L4319" s="15" t="n">
        <v>1770.42</v>
      </c>
      <c r="M4319" s="15" t="n">
        <f aca="false">F4319*G4319</f>
        <v>1863.6</v>
      </c>
      <c r="N4319" s="15" t="n">
        <f aca="false">M4319-L4319</f>
        <v>93.1799999999998</v>
      </c>
      <c r="O4319" s="1" t="n">
        <f aca="false">YEAR(B4319)</f>
        <v>2033</v>
      </c>
      <c r="P4319" s="1" t="n">
        <f aca="false">MONTH(B4319)</f>
        <v>10</v>
      </c>
      <c r="Q4319" s="1" t="str">
        <f aca="false">TEXT(B4319,"mmm")</f>
        <v>Oct</v>
      </c>
      <c r="R4319" s="1" t="str">
        <f aca="false">"Q"&amp;ROUNDUP(MONTH(B4319)/3,0)</f>
        <v>Q4</v>
      </c>
    </row>
    <row r="4320" customFormat="false" ht="15" hidden="false" customHeight="true" outlineLevel="0" collapsed="false">
      <c r="A4320" s="1" t="n">
        <v>14319</v>
      </c>
      <c r="B4320" s="14" t="n">
        <v>48880</v>
      </c>
      <c r="C4320" s="1" t="n">
        <v>1942</v>
      </c>
      <c r="D4320" s="1" t="s">
        <v>30</v>
      </c>
      <c r="E4320" s="1" t="s">
        <v>28</v>
      </c>
      <c r="F4320" s="1" t="n">
        <v>5</v>
      </c>
      <c r="G4320" s="15" t="n">
        <v>403.11</v>
      </c>
      <c r="H4320" s="16" t="n">
        <v>0.22</v>
      </c>
      <c r="I4320" s="1" t="s">
        <v>31</v>
      </c>
      <c r="J4320" s="1" t="n">
        <v>11</v>
      </c>
      <c r="K4320" s="1" t="n">
        <v>4.6</v>
      </c>
      <c r="L4320" s="15" t="n">
        <v>1572.13</v>
      </c>
      <c r="M4320" s="15" t="n">
        <f aca="false">F4320*G4320</f>
        <v>2015.55</v>
      </c>
      <c r="N4320" s="15" t="n">
        <f aca="false">M4320-L4320</f>
        <v>443.42</v>
      </c>
      <c r="O4320" s="1" t="n">
        <f aca="false">YEAR(B4320)</f>
        <v>2033</v>
      </c>
      <c r="P4320" s="1" t="n">
        <f aca="false">MONTH(B4320)</f>
        <v>10</v>
      </c>
      <c r="Q4320" s="1" t="str">
        <f aca="false">TEXT(B4320,"mmm")</f>
        <v>Oct</v>
      </c>
      <c r="R4320" s="1" t="str">
        <f aca="false">"Q"&amp;ROUNDUP(MONTH(B4320)/3,0)</f>
        <v>Q4</v>
      </c>
    </row>
    <row r="4321" customFormat="false" ht="15" hidden="false" customHeight="true" outlineLevel="0" collapsed="false">
      <c r="A4321" s="1" t="n">
        <v>14320</v>
      </c>
      <c r="B4321" s="14" t="n">
        <v>48881</v>
      </c>
      <c r="C4321" s="1" t="n">
        <v>1397</v>
      </c>
      <c r="D4321" s="1" t="s">
        <v>34</v>
      </c>
      <c r="E4321" s="1" t="s">
        <v>35</v>
      </c>
      <c r="F4321" s="1" t="n">
        <v>1</v>
      </c>
      <c r="G4321" s="15" t="n">
        <v>141.25</v>
      </c>
      <c r="H4321" s="16" t="n">
        <v>0.31</v>
      </c>
      <c r="I4321" s="1" t="s">
        <v>29</v>
      </c>
      <c r="J4321" s="1" t="n">
        <v>3</v>
      </c>
      <c r="K4321" s="1" t="n">
        <v>4.4</v>
      </c>
      <c r="L4321" s="15" t="n">
        <v>97.46</v>
      </c>
      <c r="M4321" s="15" t="n">
        <f aca="false">F4321*G4321</f>
        <v>141.25</v>
      </c>
      <c r="N4321" s="15" t="n">
        <f aca="false">M4321-L4321</f>
        <v>43.79</v>
      </c>
      <c r="O4321" s="1" t="n">
        <f aca="false">YEAR(B4321)</f>
        <v>2033</v>
      </c>
      <c r="P4321" s="1" t="n">
        <f aca="false">MONTH(B4321)</f>
        <v>10</v>
      </c>
      <c r="Q4321" s="1" t="str">
        <f aca="false">TEXT(B4321,"mmm")</f>
        <v>Oct</v>
      </c>
      <c r="R4321" s="1" t="str">
        <f aca="false">"Q"&amp;ROUNDUP(MONTH(B4321)/3,0)</f>
        <v>Q4</v>
      </c>
    </row>
    <row r="4322" customFormat="false" ht="15" hidden="false" customHeight="true" outlineLevel="0" collapsed="false">
      <c r="A4322" s="1" t="n">
        <v>14321</v>
      </c>
      <c r="B4322" s="14" t="n">
        <v>48882</v>
      </c>
      <c r="C4322" s="1" t="n">
        <v>1119</v>
      </c>
      <c r="D4322" s="1" t="s">
        <v>30</v>
      </c>
      <c r="E4322" s="1" t="s">
        <v>35</v>
      </c>
      <c r="F4322" s="1" t="n">
        <v>5</v>
      </c>
      <c r="G4322" s="15" t="n">
        <v>251.48</v>
      </c>
      <c r="H4322" s="16" t="n">
        <v>0.32</v>
      </c>
      <c r="I4322" s="1" t="s">
        <v>31</v>
      </c>
      <c r="J4322" s="1" t="n">
        <v>5</v>
      </c>
      <c r="K4322" s="1" t="n">
        <v>1.2</v>
      </c>
      <c r="L4322" s="15" t="n">
        <v>855.03</v>
      </c>
      <c r="M4322" s="15" t="n">
        <f aca="false">F4322*G4322</f>
        <v>1257.4</v>
      </c>
      <c r="N4322" s="15" t="n">
        <f aca="false">M4322-L4322</f>
        <v>402.37</v>
      </c>
      <c r="O4322" s="1" t="n">
        <f aca="false">YEAR(B4322)</f>
        <v>2033</v>
      </c>
      <c r="P4322" s="1" t="n">
        <f aca="false">MONTH(B4322)</f>
        <v>10</v>
      </c>
      <c r="Q4322" s="1" t="str">
        <f aca="false">TEXT(B4322,"mmm")</f>
        <v>Oct</v>
      </c>
      <c r="R4322" s="1" t="str">
        <f aca="false">"Q"&amp;ROUNDUP(MONTH(B4322)/3,0)</f>
        <v>Q4</v>
      </c>
    </row>
    <row r="4323" customFormat="false" ht="15" hidden="false" customHeight="true" outlineLevel="0" collapsed="false">
      <c r="A4323" s="1" t="n">
        <v>14322</v>
      </c>
      <c r="B4323" s="14" t="n">
        <v>48883</v>
      </c>
      <c r="C4323" s="1" t="n">
        <v>1933</v>
      </c>
      <c r="D4323" s="1" t="s">
        <v>30</v>
      </c>
      <c r="E4323" s="1" t="s">
        <v>35</v>
      </c>
      <c r="F4323" s="1" t="n">
        <v>2</v>
      </c>
      <c r="G4323" s="15" t="n">
        <v>469.04</v>
      </c>
      <c r="H4323" s="16" t="n">
        <v>0.28</v>
      </c>
      <c r="I4323" s="1" t="s">
        <v>33</v>
      </c>
      <c r="J4323" s="1" t="n">
        <v>1</v>
      </c>
      <c r="K4323" s="1" t="n">
        <v>3.5</v>
      </c>
      <c r="L4323" s="15" t="n">
        <v>675.42</v>
      </c>
      <c r="M4323" s="15" t="n">
        <f aca="false">F4323*G4323</f>
        <v>938.08</v>
      </c>
      <c r="N4323" s="15" t="n">
        <f aca="false">M4323-L4323</f>
        <v>262.66</v>
      </c>
      <c r="O4323" s="1" t="n">
        <f aca="false">YEAR(B4323)</f>
        <v>2033</v>
      </c>
      <c r="P4323" s="1" t="n">
        <f aca="false">MONTH(B4323)</f>
        <v>10</v>
      </c>
      <c r="Q4323" s="1" t="str">
        <f aca="false">TEXT(B4323,"mmm")</f>
        <v>Oct</v>
      </c>
      <c r="R4323" s="1" t="str">
        <f aca="false">"Q"&amp;ROUNDUP(MONTH(B4323)/3,0)</f>
        <v>Q4</v>
      </c>
    </row>
    <row r="4324" customFormat="false" ht="15" hidden="false" customHeight="true" outlineLevel="0" collapsed="false">
      <c r="A4324" s="1" t="n">
        <v>14323</v>
      </c>
      <c r="B4324" s="14" t="n">
        <v>48884</v>
      </c>
      <c r="C4324" s="1" t="n">
        <v>1436</v>
      </c>
      <c r="D4324" s="1" t="s">
        <v>27</v>
      </c>
      <c r="E4324" s="1" t="s">
        <v>35</v>
      </c>
      <c r="F4324" s="1" t="n">
        <v>3</v>
      </c>
      <c r="G4324" s="15" t="n">
        <v>572.75</v>
      </c>
      <c r="H4324" s="16" t="n">
        <v>0.06</v>
      </c>
      <c r="I4324" s="1" t="s">
        <v>31</v>
      </c>
      <c r="J4324" s="1" t="n">
        <v>10</v>
      </c>
      <c r="K4324" s="1" t="n">
        <v>2.7</v>
      </c>
      <c r="L4324" s="15" t="n">
        <v>1615.16</v>
      </c>
      <c r="M4324" s="15" t="n">
        <f aca="false">F4324*G4324</f>
        <v>1718.25</v>
      </c>
      <c r="N4324" s="15" t="n">
        <f aca="false">M4324-L4324</f>
        <v>103.09</v>
      </c>
      <c r="O4324" s="1" t="n">
        <f aca="false">YEAR(B4324)</f>
        <v>2033</v>
      </c>
      <c r="P4324" s="1" t="n">
        <f aca="false">MONTH(B4324)</f>
        <v>11</v>
      </c>
      <c r="Q4324" s="1" t="str">
        <f aca="false">TEXT(B4324,"mmm")</f>
        <v>Nov</v>
      </c>
      <c r="R4324" s="1" t="str">
        <f aca="false">"Q"&amp;ROUNDUP(MONTH(B4324)/3,0)</f>
        <v>Q4</v>
      </c>
    </row>
    <row r="4325" customFormat="false" ht="15" hidden="false" customHeight="true" outlineLevel="0" collapsed="false">
      <c r="A4325" s="1" t="n">
        <v>14324</v>
      </c>
      <c r="B4325" s="14" t="n">
        <v>48885</v>
      </c>
      <c r="C4325" s="1" t="n">
        <v>1828</v>
      </c>
      <c r="D4325" s="1" t="s">
        <v>27</v>
      </c>
      <c r="E4325" s="1" t="s">
        <v>32</v>
      </c>
      <c r="F4325" s="1" t="n">
        <v>6</v>
      </c>
      <c r="G4325" s="15" t="n">
        <v>61.18</v>
      </c>
      <c r="H4325" s="16" t="n">
        <v>0.29</v>
      </c>
      <c r="I4325" s="1" t="s">
        <v>31</v>
      </c>
      <c r="J4325" s="1" t="n">
        <v>3</v>
      </c>
      <c r="K4325" s="1" t="n">
        <v>1.5</v>
      </c>
      <c r="L4325" s="15" t="n">
        <v>260.63</v>
      </c>
      <c r="M4325" s="15" t="n">
        <f aca="false">F4325*G4325</f>
        <v>367.08</v>
      </c>
      <c r="N4325" s="15" t="n">
        <f aca="false">M4325-L4325</f>
        <v>106.45</v>
      </c>
      <c r="O4325" s="1" t="n">
        <f aca="false">YEAR(B4325)</f>
        <v>2033</v>
      </c>
      <c r="P4325" s="1" t="n">
        <f aca="false">MONTH(B4325)</f>
        <v>11</v>
      </c>
      <c r="Q4325" s="1" t="str">
        <f aca="false">TEXT(B4325,"mmm")</f>
        <v>Nov</v>
      </c>
      <c r="R4325" s="1" t="str">
        <f aca="false">"Q"&amp;ROUNDUP(MONTH(B4325)/3,0)</f>
        <v>Q4</v>
      </c>
    </row>
    <row r="4326" customFormat="false" ht="15" hidden="false" customHeight="true" outlineLevel="0" collapsed="false">
      <c r="A4326" s="1" t="n">
        <v>14325</v>
      </c>
      <c r="B4326" s="14" t="n">
        <v>48886</v>
      </c>
      <c r="C4326" s="1" t="n">
        <v>1675</v>
      </c>
      <c r="D4326" s="1" t="s">
        <v>30</v>
      </c>
      <c r="E4326" s="1" t="s">
        <v>32</v>
      </c>
      <c r="F4326" s="1" t="n">
        <v>5</v>
      </c>
      <c r="G4326" s="15" t="n">
        <v>328.29</v>
      </c>
      <c r="H4326" s="16" t="n">
        <v>0.1</v>
      </c>
      <c r="I4326" s="1" t="s">
        <v>29</v>
      </c>
      <c r="J4326" s="1" t="n">
        <v>11</v>
      </c>
      <c r="K4326" s="1" t="n">
        <v>4.4</v>
      </c>
      <c r="L4326" s="15" t="n">
        <v>1477.3</v>
      </c>
      <c r="M4326" s="15" t="n">
        <f aca="false">F4326*G4326</f>
        <v>1641.45</v>
      </c>
      <c r="N4326" s="15" t="n">
        <f aca="false">M4326-L4326</f>
        <v>164.15</v>
      </c>
      <c r="O4326" s="1" t="n">
        <f aca="false">YEAR(B4326)</f>
        <v>2033</v>
      </c>
      <c r="P4326" s="1" t="n">
        <f aca="false">MONTH(B4326)</f>
        <v>11</v>
      </c>
      <c r="Q4326" s="1" t="str">
        <f aca="false">TEXT(B4326,"mmm")</f>
        <v>Nov</v>
      </c>
      <c r="R4326" s="1" t="str">
        <f aca="false">"Q"&amp;ROUNDUP(MONTH(B4326)/3,0)</f>
        <v>Q4</v>
      </c>
    </row>
    <row r="4327" customFormat="false" ht="15" hidden="false" customHeight="true" outlineLevel="0" collapsed="false">
      <c r="A4327" s="1" t="n">
        <v>14326</v>
      </c>
      <c r="B4327" s="14" t="n">
        <v>48887</v>
      </c>
      <c r="C4327" s="1" t="n">
        <v>1935</v>
      </c>
      <c r="D4327" s="1" t="s">
        <v>30</v>
      </c>
      <c r="E4327" s="1" t="s">
        <v>32</v>
      </c>
      <c r="F4327" s="1" t="n">
        <v>4</v>
      </c>
      <c r="G4327" s="15" t="n">
        <v>197.83</v>
      </c>
      <c r="H4327" s="16" t="n">
        <v>0.32</v>
      </c>
      <c r="I4327" s="1" t="s">
        <v>31</v>
      </c>
      <c r="J4327" s="1" t="n">
        <v>4</v>
      </c>
      <c r="K4327" s="1" t="n">
        <v>1.3</v>
      </c>
      <c r="L4327" s="15" t="n">
        <v>538.1</v>
      </c>
      <c r="M4327" s="15" t="n">
        <f aca="false">F4327*G4327</f>
        <v>791.32</v>
      </c>
      <c r="N4327" s="15" t="n">
        <f aca="false">M4327-L4327</f>
        <v>253.22</v>
      </c>
      <c r="O4327" s="1" t="n">
        <f aca="false">YEAR(B4327)</f>
        <v>2033</v>
      </c>
      <c r="P4327" s="1" t="n">
        <f aca="false">MONTH(B4327)</f>
        <v>11</v>
      </c>
      <c r="Q4327" s="1" t="str">
        <f aca="false">TEXT(B4327,"mmm")</f>
        <v>Nov</v>
      </c>
      <c r="R4327" s="1" t="str">
        <f aca="false">"Q"&amp;ROUNDUP(MONTH(B4327)/3,0)</f>
        <v>Q4</v>
      </c>
    </row>
    <row r="4328" customFormat="false" ht="15" hidden="false" customHeight="true" outlineLevel="0" collapsed="false">
      <c r="A4328" s="1" t="n">
        <v>14327</v>
      </c>
      <c r="B4328" s="14" t="n">
        <v>48888</v>
      </c>
      <c r="C4328" s="1" t="n">
        <v>1464</v>
      </c>
      <c r="D4328" s="1" t="s">
        <v>27</v>
      </c>
      <c r="E4328" s="1" t="s">
        <v>35</v>
      </c>
      <c r="F4328" s="1" t="n">
        <v>5</v>
      </c>
      <c r="G4328" s="15" t="n">
        <v>146.86</v>
      </c>
      <c r="H4328" s="16" t="n">
        <v>0.25</v>
      </c>
      <c r="I4328" s="1" t="s">
        <v>29</v>
      </c>
      <c r="J4328" s="1" t="n">
        <v>4</v>
      </c>
      <c r="K4328" s="1" t="n">
        <v>1.1</v>
      </c>
      <c r="L4328" s="15" t="n">
        <v>550.72</v>
      </c>
      <c r="M4328" s="15" t="n">
        <f aca="false">F4328*G4328</f>
        <v>734.3</v>
      </c>
      <c r="N4328" s="15" t="n">
        <f aca="false">M4328-L4328</f>
        <v>183.58</v>
      </c>
      <c r="O4328" s="1" t="n">
        <f aca="false">YEAR(B4328)</f>
        <v>2033</v>
      </c>
      <c r="P4328" s="1" t="n">
        <f aca="false">MONTH(B4328)</f>
        <v>11</v>
      </c>
      <c r="Q4328" s="1" t="str">
        <f aca="false">TEXT(B4328,"mmm")</f>
        <v>Nov</v>
      </c>
      <c r="R4328" s="1" t="str">
        <f aca="false">"Q"&amp;ROUNDUP(MONTH(B4328)/3,0)</f>
        <v>Q4</v>
      </c>
    </row>
    <row r="4329" customFormat="false" ht="15" hidden="false" customHeight="true" outlineLevel="0" collapsed="false">
      <c r="A4329" s="1" t="n">
        <v>14328</v>
      </c>
      <c r="B4329" s="14" t="n">
        <v>48889</v>
      </c>
      <c r="C4329" s="1" t="n">
        <v>1285</v>
      </c>
      <c r="D4329" s="1" t="s">
        <v>37</v>
      </c>
      <c r="E4329" s="1" t="s">
        <v>35</v>
      </c>
      <c r="F4329" s="1" t="n">
        <v>5</v>
      </c>
      <c r="G4329" s="15" t="n">
        <v>310.9</v>
      </c>
      <c r="H4329" s="16" t="n">
        <v>0.27</v>
      </c>
      <c r="I4329" s="1" t="s">
        <v>31</v>
      </c>
      <c r="J4329" s="1" t="n">
        <v>7</v>
      </c>
      <c r="K4329" s="1" t="n">
        <v>1.8</v>
      </c>
      <c r="L4329" s="15" t="n">
        <v>1134.79</v>
      </c>
      <c r="M4329" s="15" t="n">
        <f aca="false">F4329*G4329</f>
        <v>1554.5</v>
      </c>
      <c r="N4329" s="15" t="n">
        <f aca="false">M4329-L4329</f>
        <v>419.71</v>
      </c>
      <c r="O4329" s="1" t="n">
        <f aca="false">YEAR(B4329)</f>
        <v>2033</v>
      </c>
      <c r="P4329" s="1" t="n">
        <f aca="false">MONTH(B4329)</f>
        <v>11</v>
      </c>
      <c r="Q4329" s="1" t="str">
        <f aca="false">TEXT(B4329,"mmm")</f>
        <v>Nov</v>
      </c>
      <c r="R4329" s="1" t="str">
        <f aca="false">"Q"&amp;ROUNDUP(MONTH(B4329)/3,0)</f>
        <v>Q4</v>
      </c>
    </row>
    <row r="4330" customFormat="false" ht="15" hidden="false" customHeight="true" outlineLevel="0" collapsed="false">
      <c r="A4330" s="1" t="n">
        <v>14329</v>
      </c>
      <c r="B4330" s="14" t="n">
        <v>48890</v>
      </c>
      <c r="C4330" s="1" t="n">
        <v>1264</v>
      </c>
      <c r="D4330" s="1" t="s">
        <v>34</v>
      </c>
      <c r="E4330" s="1" t="s">
        <v>28</v>
      </c>
      <c r="F4330" s="1" t="n">
        <v>5</v>
      </c>
      <c r="G4330" s="15" t="n">
        <v>369.56</v>
      </c>
      <c r="H4330" s="16" t="n">
        <v>0.03</v>
      </c>
      <c r="I4330" s="1" t="s">
        <v>33</v>
      </c>
      <c r="J4330" s="1" t="n">
        <v>5</v>
      </c>
      <c r="K4330" s="1" t="n">
        <v>2.2</v>
      </c>
      <c r="L4330" s="15" t="n">
        <v>1792.37</v>
      </c>
      <c r="M4330" s="15" t="n">
        <f aca="false">F4330*G4330</f>
        <v>1847.8</v>
      </c>
      <c r="N4330" s="15" t="n">
        <f aca="false">M4330-L4330</f>
        <v>55.4300000000001</v>
      </c>
      <c r="O4330" s="1" t="n">
        <f aca="false">YEAR(B4330)</f>
        <v>2033</v>
      </c>
      <c r="P4330" s="1" t="n">
        <f aca="false">MONTH(B4330)</f>
        <v>11</v>
      </c>
      <c r="Q4330" s="1" t="str">
        <f aca="false">TEXT(B4330,"mmm")</f>
        <v>Nov</v>
      </c>
      <c r="R4330" s="1" t="str">
        <f aca="false">"Q"&amp;ROUNDUP(MONTH(B4330)/3,0)</f>
        <v>Q4</v>
      </c>
    </row>
    <row r="4331" customFormat="false" ht="15" hidden="false" customHeight="true" outlineLevel="0" collapsed="false">
      <c r="A4331" s="1" t="n">
        <v>14330</v>
      </c>
      <c r="B4331" s="14" t="n">
        <v>48891</v>
      </c>
      <c r="C4331" s="1" t="n">
        <v>1319</v>
      </c>
      <c r="D4331" s="1" t="s">
        <v>34</v>
      </c>
      <c r="E4331" s="1" t="s">
        <v>36</v>
      </c>
      <c r="F4331" s="1" t="n">
        <v>7</v>
      </c>
      <c r="G4331" s="15" t="n">
        <v>20.72</v>
      </c>
      <c r="H4331" s="16" t="n">
        <v>0.2</v>
      </c>
      <c r="I4331" s="1" t="s">
        <v>29</v>
      </c>
      <c r="J4331" s="1" t="n">
        <v>9</v>
      </c>
      <c r="K4331" s="1" t="n">
        <v>1.2</v>
      </c>
      <c r="L4331" s="15" t="n">
        <v>116.03</v>
      </c>
      <c r="M4331" s="15" t="n">
        <f aca="false">F4331*G4331</f>
        <v>145.04</v>
      </c>
      <c r="N4331" s="15" t="n">
        <f aca="false">M4331-L4331</f>
        <v>29.01</v>
      </c>
      <c r="O4331" s="1" t="n">
        <f aca="false">YEAR(B4331)</f>
        <v>2033</v>
      </c>
      <c r="P4331" s="1" t="n">
        <f aca="false">MONTH(B4331)</f>
        <v>11</v>
      </c>
      <c r="Q4331" s="1" t="str">
        <f aca="false">TEXT(B4331,"mmm")</f>
        <v>Nov</v>
      </c>
      <c r="R4331" s="1" t="str">
        <f aca="false">"Q"&amp;ROUNDUP(MONTH(B4331)/3,0)</f>
        <v>Q4</v>
      </c>
    </row>
    <row r="4332" customFormat="false" ht="15" hidden="false" customHeight="true" outlineLevel="0" collapsed="false">
      <c r="A4332" s="1" t="n">
        <v>14331</v>
      </c>
      <c r="B4332" s="14" t="n">
        <v>48892</v>
      </c>
      <c r="C4332" s="1" t="n">
        <v>1672</v>
      </c>
      <c r="D4332" s="1" t="s">
        <v>30</v>
      </c>
      <c r="E4332" s="1" t="s">
        <v>28</v>
      </c>
      <c r="F4332" s="1" t="n">
        <v>5</v>
      </c>
      <c r="G4332" s="15" t="n">
        <v>471.42</v>
      </c>
      <c r="H4332" s="16" t="n">
        <v>0.29</v>
      </c>
      <c r="I4332" s="1" t="s">
        <v>31</v>
      </c>
      <c r="J4332" s="1" t="n">
        <v>7</v>
      </c>
      <c r="K4332" s="1" t="n">
        <v>3.6</v>
      </c>
      <c r="L4332" s="15" t="n">
        <v>1673.54</v>
      </c>
      <c r="M4332" s="15" t="n">
        <f aca="false">F4332*G4332</f>
        <v>2357.1</v>
      </c>
      <c r="N4332" s="15" t="n">
        <f aca="false">M4332-L4332</f>
        <v>683.56</v>
      </c>
      <c r="O4332" s="1" t="n">
        <f aca="false">YEAR(B4332)</f>
        <v>2033</v>
      </c>
      <c r="P4332" s="1" t="n">
        <f aca="false">MONTH(B4332)</f>
        <v>11</v>
      </c>
      <c r="Q4332" s="1" t="str">
        <f aca="false">TEXT(B4332,"mmm")</f>
        <v>Nov</v>
      </c>
      <c r="R4332" s="1" t="str">
        <f aca="false">"Q"&amp;ROUNDUP(MONTH(B4332)/3,0)</f>
        <v>Q4</v>
      </c>
    </row>
    <row r="4333" customFormat="false" ht="15" hidden="false" customHeight="true" outlineLevel="0" collapsed="false">
      <c r="A4333" s="1" t="n">
        <v>14332</v>
      </c>
      <c r="B4333" s="14" t="n">
        <v>48893</v>
      </c>
      <c r="C4333" s="1" t="n">
        <v>1375</v>
      </c>
      <c r="D4333" s="1" t="s">
        <v>34</v>
      </c>
      <c r="E4333" s="1" t="s">
        <v>32</v>
      </c>
      <c r="F4333" s="1" t="n">
        <v>7</v>
      </c>
      <c r="G4333" s="15" t="n">
        <v>494.63</v>
      </c>
      <c r="H4333" s="16" t="n">
        <v>0.3</v>
      </c>
      <c r="I4333" s="1" t="s">
        <v>31</v>
      </c>
      <c r="J4333" s="1" t="n">
        <v>2</v>
      </c>
      <c r="K4333" s="1" t="n">
        <v>2.7</v>
      </c>
      <c r="L4333" s="15" t="n">
        <v>2423.69</v>
      </c>
      <c r="M4333" s="15" t="n">
        <f aca="false">F4333*G4333</f>
        <v>3462.41</v>
      </c>
      <c r="N4333" s="15" t="n">
        <f aca="false">M4333-L4333</f>
        <v>1038.72</v>
      </c>
      <c r="O4333" s="1" t="n">
        <f aca="false">YEAR(B4333)</f>
        <v>2033</v>
      </c>
      <c r="P4333" s="1" t="n">
        <f aca="false">MONTH(B4333)</f>
        <v>11</v>
      </c>
      <c r="Q4333" s="1" t="str">
        <f aca="false">TEXT(B4333,"mmm")</f>
        <v>Nov</v>
      </c>
      <c r="R4333" s="1" t="str">
        <f aca="false">"Q"&amp;ROUNDUP(MONTH(B4333)/3,0)</f>
        <v>Q4</v>
      </c>
    </row>
    <row r="4334" customFormat="false" ht="15" hidden="false" customHeight="true" outlineLevel="0" collapsed="false">
      <c r="A4334" s="1" t="n">
        <v>14333</v>
      </c>
      <c r="B4334" s="14" t="n">
        <v>48894</v>
      </c>
      <c r="C4334" s="1" t="n">
        <v>1819</v>
      </c>
      <c r="D4334" s="1" t="s">
        <v>34</v>
      </c>
      <c r="E4334" s="1" t="s">
        <v>28</v>
      </c>
      <c r="F4334" s="1" t="n">
        <v>4</v>
      </c>
      <c r="G4334" s="15" t="n">
        <v>579.82</v>
      </c>
      <c r="H4334" s="16" t="n">
        <v>0.01</v>
      </c>
      <c r="I4334" s="1" t="s">
        <v>33</v>
      </c>
      <c r="J4334" s="1" t="n">
        <v>11</v>
      </c>
      <c r="K4334" s="1" t="n">
        <v>2.6</v>
      </c>
      <c r="L4334" s="15" t="n">
        <v>2296.09</v>
      </c>
      <c r="M4334" s="15" t="n">
        <f aca="false">F4334*G4334</f>
        <v>2319.28</v>
      </c>
      <c r="N4334" s="15" t="n">
        <f aca="false">M4334-L4334</f>
        <v>23.1900000000001</v>
      </c>
      <c r="O4334" s="1" t="n">
        <f aca="false">YEAR(B4334)</f>
        <v>2033</v>
      </c>
      <c r="P4334" s="1" t="n">
        <f aca="false">MONTH(B4334)</f>
        <v>11</v>
      </c>
      <c r="Q4334" s="1" t="str">
        <f aca="false">TEXT(B4334,"mmm")</f>
        <v>Nov</v>
      </c>
      <c r="R4334" s="1" t="str">
        <f aca="false">"Q"&amp;ROUNDUP(MONTH(B4334)/3,0)</f>
        <v>Q4</v>
      </c>
    </row>
    <row r="4335" customFormat="false" ht="15" hidden="false" customHeight="true" outlineLevel="0" collapsed="false">
      <c r="A4335" s="1" t="n">
        <v>14334</v>
      </c>
      <c r="B4335" s="14" t="n">
        <v>48895</v>
      </c>
      <c r="C4335" s="1" t="n">
        <v>1088</v>
      </c>
      <c r="D4335" s="1" t="s">
        <v>34</v>
      </c>
      <c r="E4335" s="1" t="s">
        <v>35</v>
      </c>
      <c r="F4335" s="1" t="n">
        <v>4</v>
      </c>
      <c r="G4335" s="15" t="n">
        <v>120.68</v>
      </c>
      <c r="H4335" s="16" t="n">
        <v>0.33</v>
      </c>
      <c r="I4335" s="1" t="s">
        <v>31</v>
      </c>
      <c r="J4335" s="1" t="n">
        <v>11</v>
      </c>
      <c r="K4335" s="1" t="n">
        <v>1.6</v>
      </c>
      <c r="L4335" s="15" t="n">
        <v>323.42</v>
      </c>
      <c r="M4335" s="15" t="n">
        <f aca="false">F4335*G4335</f>
        <v>482.72</v>
      </c>
      <c r="N4335" s="15" t="n">
        <f aca="false">M4335-L4335</f>
        <v>159.3</v>
      </c>
      <c r="O4335" s="1" t="n">
        <f aca="false">YEAR(B4335)</f>
        <v>2033</v>
      </c>
      <c r="P4335" s="1" t="n">
        <f aca="false">MONTH(B4335)</f>
        <v>11</v>
      </c>
      <c r="Q4335" s="1" t="str">
        <f aca="false">TEXT(B4335,"mmm")</f>
        <v>Nov</v>
      </c>
      <c r="R4335" s="1" t="str">
        <f aca="false">"Q"&amp;ROUNDUP(MONTH(B4335)/3,0)</f>
        <v>Q4</v>
      </c>
    </row>
    <row r="4336" customFormat="false" ht="15" hidden="false" customHeight="true" outlineLevel="0" collapsed="false">
      <c r="A4336" s="1" t="n">
        <v>14335</v>
      </c>
      <c r="B4336" s="14" t="n">
        <v>48896</v>
      </c>
      <c r="C4336" s="1" t="n">
        <v>1653</v>
      </c>
      <c r="D4336" s="1" t="s">
        <v>30</v>
      </c>
      <c r="E4336" s="1" t="s">
        <v>32</v>
      </c>
      <c r="F4336" s="1" t="n">
        <v>5</v>
      </c>
      <c r="G4336" s="15" t="n">
        <v>362.81</v>
      </c>
      <c r="H4336" s="16" t="n">
        <v>0.02</v>
      </c>
      <c r="I4336" s="1" t="s">
        <v>33</v>
      </c>
      <c r="J4336" s="1" t="n">
        <v>8</v>
      </c>
      <c r="K4336" s="1" t="n">
        <v>2.8</v>
      </c>
      <c r="L4336" s="15" t="n">
        <v>1777.77</v>
      </c>
      <c r="M4336" s="15" t="n">
        <f aca="false">F4336*G4336</f>
        <v>1814.05</v>
      </c>
      <c r="N4336" s="15" t="n">
        <f aca="false">M4336-L4336</f>
        <v>36.28</v>
      </c>
      <c r="O4336" s="1" t="n">
        <f aca="false">YEAR(B4336)</f>
        <v>2033</v>
      </c>
      <c r="P4336" s="1" t="n">
        <f aca="false">MONTH(B4336)</f>
        <v>11</v>
      </c>
      <c r="Q4336" s="1" t="str">
        <f aca="false">TEXT(B4336,"mmm")</f>
        <v>Nov</v>
      </c>
      <c r="R4336" s="1" t="str">
        <f aca="false">"Q"&amp;ROUNDUP(MONTH(B4336)/3,0)</f>
        <v>Q4</v>
      </c>
    </row>
    <row r="4337" customFormat="false" ht="15" hidden="false" customHeight="true" outlineLevel="0" collapsed="false">
      <c r="A4337" s="1" t="n">
        <v>14336</v>
      </c>
      <c r="B4337" s="14" t="n">
        <v>48897</v>
      </c>
      <c r="C4337" s="1" t="n">
        <v>1202</v>
      </c>
      <c r="D4337" s="1" t="s">
        <v>34</v>
      </c>
      <c r="E4337" s="1" t="s">
        <v>32</v>
      </c>
      <c r="F4337" s="1" t="n">
        <v>7</v>
      </c>
      <c r="G4337" s="15" t="n">
        <v>264.58</v>
      </c>
      <c r="H4337" s="16" t="n">
        <v>0.22</v>
      </c>
      <c r="I4337" s="1" t="s">
        <v>31</v>
      </c>
      <c r="J4337" s="1" t="n">
        <v>11</v>
      </c>
      <c r="K4337" s="1" t="n">
        <v>2.6</v>
      </c>
      <c r="L4337" s="15" t="n">
        <v>1444.61</v>
      </c>
      <c r="M4337" s="15" t="n">
        <f aca="false">F4337*G4337</f>
        <v>1852.06</v>
      </c>
      <c r="N4337" s="15" t="n">
        <f aca="false">M4337-L4337</f>
        <v>407.45</v>
      </c>
      <c r="O4337" s="1" t="n">
        <f aca="false">YEAR(B4337)</f>
        <v>2033</v>
      </c>
      <c r="P4337" s="1" t="n">
        <f aca="false">MONTH(B4337)</f>
        <v>11</v>
      </c>
      <c r="Q4337" s="1" t="str">
        <f aca="false">TEXT(B4337,"mmm")</f>
        <v>Nov</v>
      </c>
      <c r="R4337" s="1" t="str">
        <f aca="false">"Q"&amp;ROUNDUP(MONTH(B4337)/3,0)</f>
        <v>Q4</v>
      </c>
    </row>
    <row r="4338" customFormat="false" ht="15" hidden="false" customHeight="true" outlineLevel="0" collapsed="false">
      <c r="A4338" s="1" t="n">
        <v>14337</v>
      </c>
      <c r="B4338" s="14" t="n">
        <v>48898</v>
      </c>
      <c r="C4338" s="1" t="n">
        <v>1820</v>
      </c>
      <c r="D4338" s="1" t="s">
        <v>34</v>
      </c>
      <c r="E4338" s="1" t="s">
        <v>36</v>
      </c>
      <c r="F4338" s="1" t="n">
        <v>3</v>
      </c>
      <c r="G4338" s="15" t="n">
        <v>210.87</v>
      </c>
      <c r="H4338" s="16" t="n">
        <v>0.24</v>
      </c>
      <c r="I4338" s="1" t="s">
        <v>31</v>
      </c>
      <c r="J4338" s="1" t="n">
        <v>2</v>
      </c>
      <c r="K4338" s="1" t="n">
        <v>2.5</v>
      </c>
      <c r="L4338" s="15" t="n">
        <v>480.78</v>
      </c>
      <c r="M4338" s="15" t="n">
        <f aca="false">F4338*G4338</f>
        <v>632.61</v>
      </c>
      <c r="N4338" s="15" t="n">
        <f aca="false">M4338-L4338</f>
        <v>151.83</v>
      </c>
      <c r="O4338" s="1" t="n">
        <f aca="false">YEAR(B4338)</f>
        <v>2033</v>
      </c>
      <c r="P4338" s="1" t="n">
        <f aca="false">MONTH(B4338)</f>
        <v>11</v>
      </c>
      <c r="Q4338" s="1" t="str">
        <f aca="false">TEXT(B4338,"mmm")</f>
        <v>Nov</v>
      </c>
      <c r="R4338" s="1" t="str">
        <f aca="false">"Q"&amp;ROUNDUP(MONTH(B4338)/3,0)</f>
        <v>Q4</v>
      </c>
    </row>
    <row r="4339" customFormat="false" ht="15" hidden="false" customHeight="true" outlineLevel="0" collapsed="false">
      <c r="A4339" s="1" t="n">
        <v>14338</v>
      </c>
      <c r="B4339" s="14" t="n">
        <v>48899</v>
      </c>
      <c r="C4339" s="1" t="n">
        <v>1738</v>
      </c>
      <c r="D4339" s="1" t="s">
        <v>34</v>
      </c>
      <c r="E4339" s="1" t="s">
        <v>36</v>
      </c>
      <c r="F4339" s="1" t="n">
        <v>5</v>
      </c>
      <c r="G4339" s="15" t="n">
        <v>345.9</v>
      </c>
      <c r="H4339" s="16" t="n">
        <v>0.04</v>
      </c>
      <c r="I4339" s="1" t="s">
        <v>31</v>
      </c>
      <c r="J4339" s="1" t="n">
        <v>7</v>
      </c>
      <c r="K4339" s="1" t="n">
        <v>1.9</v>
      </c>
      <c r="L4339" s="15" t="n">
        <v>1660.32</v>
      </c>
      <c r="M4339" s="15" t="n">
        <f aca="false">F4339*G4339</f>
        <v>1729.5</v>
      </c>
      <c r="N4339" s="15" t="n">
        <f aca="false">M4339-L4339</f>
        <v>69.1800000000001</v>
      </c>
      <c r="O4339" s="1" t="n">
        <f aca="false">YEAR(B4339)</f>
        <v>2033</v>
      </c>
      <c r="P4339" s="1" t="n">
        <f aca="false">MONTH(B4339)</f>
        <v>11</v>
      </c>
      <c r="Q4339" s="1" t="str">
        <f aca="false">TEXT(B4339,"mmm")</f>
        <v>Nov</v>
      </c>
      <c r="R4339" s="1" t="str">
        <f aca="false">"Q"&amp;ROUNDUP(MONTH(B4339)/3,0)</f>
        <v>Q4</v>
      </c>
    </row>
    <row r="4340" customFormat="false" ht="15" hidden="false" customHeight="true" outlineLevel="0" collapsed="false">
      <c r="A4340" s="1" t="n">
        <v>14339</v>
      </c>
      <c r="B4340" s="14" t="n">
        <v>48900</v>
      </c>
      <c r="C4340" s="1" t="n">
        <v>1954</v>
      </c>
      <c r="D4340" s="1" t="s">
        <v>37</v>
      </c>
      <c r="E4340" s="1" t="s">
        <v>32</v>
      </c>
      <c r="F4340" s="1" t="n">
        <v>6</v>
      </c>
      <c r="G4340" s="15" t="n">
        <v>472.69</v>
      </c>
      <c r="H4340" s="16" t="n">
        <v>0.02</v>
      </c>
      <c r="I4340" s="1" t="s">
        <v>29</v>
      </c>
      <c r="J4340" s="1" t="n">
        <v>5</v>
      </c>
      <c r="K4340" s="1" t="n">
        <v>1.4</v>
      </c>
      <c r="L4340" s="15" t="n">
        <v>2779.42</v>
      </c>
      <c r="M4340" s="15" t="n">
        <f aca="false">F4340*G4340</f>
        <v>2836.14</v>
      </c>
      <c r="N4340" s="15" t="n">
        <f aca="false">M4340-L4340</f>
        <v>56.7199999999998</v>
      </c>
      <c r="O4340" s="1" t="n">
        <f aca="false">YEAR(B4340)</f>
        <v>2033</v>
      </c>
      <c r="P4340" s="1" t="n">
        <f aca="false">MONTH(B4340)</f>
        <v>11</v>
      </c>
      <c r="Q4340" s="1" t="str">
        <f aca="false">TEXT(B4340,"mmm")</f>
        <v>Nov</v>
      </c>
      <c r="R4340" s="1" t="str">
        <f aca="false">"Q"&amp;ROUNDUP(MONTH(B4340)/3,0)</f>
        <v>Q4</v>
      </c>
    </row>
    <row r="4341" customFormat="false" ht="15" hidden="false" customHeight="true" outlineLevel="0" collapsed="false">
      <c r="A4341" s="1" t="n">
        <v>14340</v>
      </c>
      <c r="B4341" s="14" t="n">
        <v>48901</v>
      </c>
      <c r="C4341" s="1" t="n">
        <v>1333</v>
      </c>
      <c r="D4341" s="1" t="s">
        <v>27</v>
      </c>
      <c r="E4341" s="1" t="s">
        <v>32</v>
      </c>
      <c r="F4341" s="1" t="n">
        <v>6</v>
      </c>
      <c r="G4341" s="15" t="n">
        <v>28.49</v>
      </c>
      <c r="H4341" s="16" t="n">
        <v>0.27</v>
      </c>
      <c r="I4341" s="1" t="s">
        <v>31</v>
      </c>
      <c r="J4341" s="1" t="n">
        <v>10</v>
      </c>
      <c r="K4341" s="1" t="n">
        <v>2</v>
      </c>
      <c r="L4341" s="15" t="n">
        <v>124.79</v>
      </c>
      <c r="M4341" s="15" t="n">
        <f aca="false">F4341*G4341</f>
        <v>170.94</v>
      </c>
      <c r="N4341" s="15" t="n">
        <f aca="false">M4341-L4341</f>
        <v>46.15</v>
      </c>
      <c r="O4341" s="1" t="n">
        <f aca="false">YEAR(B4341)</f>
        <v>2033</v>
      </c>
      <c r="P4341" s="1" t="n">
        <f aca="false">MONTH(B4341)</f>
        <v>11</v>
      </c>
      <c r="Q4341" s="1" t="str">
        <f aca="false">TEXT(B4341,"mmm")</f>
        <v>Nov</v>
      </c>
      <c r="R4341" s="1" t="str">
        <f aca="false">"Q"&amp;ROUNDUP(MONTH(B4341)/3,0)</f>
        <v>Q4</v>
      </c>
    </row>
    <row r="4342" customFormat="false" ht="15" hidden="false" customHeight="true" outlineLevel="0" collapsed="false">
      <c r="A4342" s="1" t="n">
        <v>14341</v>
      </c>
      <c r="B4342" s="14" t="n">
        <v>48902</v>
      </c>
      <c r="C4342" s="1" t="n">
        <v>1221</v>
      </c>
      <c r="D4342" s="1" t="s">
        <v>30</v>
      </c>
      <c r="E4342" s="1" t="s">
        <v>28</v>
      </c>
      <c r="F4342" s="1" t="n">
        <v>4</v>
      </c>
      <c r="G4342" s="15" t="n">
        <v>582.1</v>
      </c>
      <c r="H4342" s="16" t="n">
        <v>0.13</v>
      </c>
      <c r="I4342" s="1" t="s">
        <v>31</v>
      </c>
      <c r="J4342" s="1" t="n">
        <v>6</v>
      </c>
      <c r="K4342" s="1" t="n">
        <v>3.7</v>
      </c>
      <c r="L4342" s="15" t="n">
        <v>2025.71</v>
      </c>
      <c r="M4342" s="15" t="n">
        <f aca="false">F4342*G4342</f>
        <v>2328.4</v>
      </c>
      <c r="N4342" s="15" t="n">
        <f aca="false">M4342-L4342</f>
        <v>302.69</v>
      </c>
      <c r="O4342" s="1" t="n">
        <f aca="false">YEAR(B4342)</f>
        <v>2033</v>
      </c>
      <c r="P4342" s="1" t="n">
        <f aca="false">MONTH(B4342)</f>
        <v>11</v>
      </c>
      <c r="Q4342" s="1" t="str">
        <f aca="false">TEXT(B4342,"mmm")</f>
        <v>Nov</v>
      </c>
      <c r="R4342" s="1" t="str">
        <f aca="false">"Q"&amp;ROUNDUP(MONTH(B4342)/3,0)</f>
        <v>Q4</v>
      </c>
    </row>
    <row r="4343" customFormat="false" ht="15" hidden="false" customHeight="true" outlineLevel="0" collapsed="false">
      <c r="A4343" s="1" t="n">
        <v>14342</v>
      </c>
      <c r="B4343" s="14" t="n">
        <v>48903</v>
      </c>
      <c r="C4343" s="1" t="n">
        <v>1040</v>
      </c>
      <c r="D4343" s="1" t="s">
        <v>30</v>
      </c>
      <c r="E4343" s="1" t="s">
        <v>32</v>
      </c>
      <c r="F4343" s="1" t="n">
        <v>6</v>
      </c>
      <c r="G4343" s="15" t="n">
        <v>488.78</v>
      </c>
      <c r="H4343" s="16" t="n">
        <v>0.04</v>
      </c>
      <c r="I4343" s="1" t="s">
        <v>33</v>
      </c>
      <c r="J4343" s="1" t="n">
        <v>11</v>
      </c>
      <c r="K4343" s="1" t="n">
        <v>1.3</v>
      </c>
      <c r="L4343" s="15" t="n">
        <v>2815.37</v>
      </c>
      <c r="M4343" s="15" t="n">
        <f aca="false">F4343*G4343</f>
        <v>2932.68</v>
      </c>
      <c r="N4343" s="15" t="n">
        <f aca="false">M4343-L4343</f>
        <v>117.31</v>
      </c>
      <c r="O4343" s="1" t="n">
        <f aca="false">YEAR(B4343)</f>
        <v>2033</v>
      </c>
      <c r="P4343" s="1" t="n">
        <f aca="false">MONTH(B4343)</f>
        <v>11</v>
      </c>
      <c r="Q4343" s="1" t="str">
        <f aca="false">TEXT(B4343,"mmm")</f>
        <v>Nov</v>
      </c>
      <c r="R4343" s="1" t="str">
        <f aca="false">"Q"&amp;ROUNDUP(MONTH(B4343)/3,0)</f>
        <v>Q4</v>
      </c>
    </row>
    <row r="4344" customFormat="false" ht="15" hidden="false" customHeight="true" outlineLevel="0" collapsed="false">
      <c r="A4344" s="1" t="n">
        <v>14343</v>
      </c>
      <c r="B4344" s="14" t="n">
        <v>48904</v>
      </c>
      <c r="C4344" s="1" t="n">
        <v>1707</v>
      </c>
      <c r="D4344" s="1" t="s">
        <v>27</v>
      </c>
      <c r="E4344" s="1" t="s">
        <v>35</v>
      </c>
      <c r="F4344" s="1" t="n">
        <v>6</v>
      </c>
      <c r="G4344" s="15" t="n">
        <v>454.42</v>
      </c>
      <c r="H4344" s="16" t="n">
        <v>0.27</v>
      </c>
      <c r="I4344" s="1" t="s">
        <v>31</v>
      </c>
      <c r="J4344" s="1" t="n">
        <v>4</v>
      </c>
      <c r="K4344" s="1" t="n">
        <v>2.5</v>
      </c>
      <c r="L4344" s="15" t="n">
        <v>1990.36</v>
      </c>
      <c r="M4344" s="15" t="n">
        <f aca="false">F4344*G4344</f>
        <v>2726.52</v>
      </c>
      <c r="N4344" s="15" t="n">
        <f aca="false">M4344-L4344</f>
        <v>736.16</v>
      </c>
      <c r="O4344" s="1" t="n">
        <f aca="false">YEAR(B4344)</f>
        <v>2033</v>
      </c>
      <c r="P4344" s="1" t="n">
        <f aca="false">MONTH(B4344)</f>
        <v>11</v>
      </c>
      <c r="Q4344" s="1" t="str">
        <f aca="false">TEXT(B4344,"mmm")</f>
        <v>Nov</v>
      </c>
      <c r="R4344" s="1" t="str">
        <f aca="false">"Q"&amp;ROUNDUP(MONTH(B4344)/3,0)</f>
        <v>Q4</v>
      </c>
    </row>
    <row r="4345" customFormat="false" ht="15" hidden="false" customHeight="true" outlineLevel="0" collapsed="false">
      <c r="A4345" s="1" t="n">
        <v>14344</v>
      </c>
      <c r="B4345" s="14" t="n">
        <v>48905</v>
      </c>
      <c r="C4345" s="1" t="n">
        <v>1067</v>
      </c>
      <c r="D4345" s="1" t="s">
        <v>34</v>
      </c>
      <c r="E4345" s="1" t="s">
        <v>28</v>
      </c>
      <c r="F4345" s="1" t="n">
        <v>2</v>
      </c>
      <c r="G4345" s="15" t="n">
        <v>459.83</v>
      </c>
      <c r="H4345" s="16" t="n">
        <v>0.3</v>
      </c>
      <c r="I4345" s="1" t="s">
        <v>31</v>
      </c>
      <c r="J4345" s="1" t="n">
        <v>5</v>
      </c>
      <c r="K4345" s="1" t="n">
        <v>3.1</v>
      </c>
      <c r="L4345" s="15" t="n">
        <v>643.76</v>
      </c>
      <c r="M4345" s="15" t="n">
        <f aca="false">F4345*G4345</f>
        <v>919.66</v>
      </c>
      <c r="N4345" s="15" t="n">
        <f aca="false">M4345-L4345</f>
        <v>275.9</v>
      </c>
      <c r="O4345" s="1" t="n">
        <f aca="false">YEAR(B4345)</f>
        <v>2033</v>
      </c>
      <c r="P4345" s="1" t="n">
        <f aca="false">MONTH(B4345)</f>
        <v>11</v>
      </c>
      <c r="Q4345" s="1" t="str">
        <f aca="false">TEXT(B4345,"mmm")</f>
        <v>Nov</v>
      </c>
      <c r="R4345" s="1" t="str">
        <f aca="false">"Q"&amp;ROUNDUP(MONTH(B4345)/3,0)</f>
        <v>Q4</v>
      </c>
    </row>
    <row r="4346" customFormat="false" ht="15" hidden="false" customHeight="true" outlineLevel="0" collapsed="false">
      <c r="A4346" s="1" t="n">
        <v>14345</v>
      </c>
      <c r="B4346" s="14" t="n">
        <v>48906</v>
      </c>
      <c r="C4346" s="1" t="n">
        <v>1987</v>
      </c>
      <c r="D4346" s="1" t="s">
        <v>34</v>
      </c>
      <c r="E4346" s="1" t="s">
        <v>35</v>
      </c>
      <c r="F4346" s="1" t="n">
        <v>5</v>
      </c>
      <c r="G4346" s="15" t="n">
        <v>242.6</v>
      </c>
      <c r="H4346" s="16" t="n">
        <v>0.21</v>
      </c>
      <c r="I4346" s="1" t="s">
        <v>31</v>
      </c>
      <c r="J4346" s="1" t="n">
        <v>5</v>
      </c>
      <c r="K4346" s="1" t="n">
        <v>4.9</v>
      </c>
      <c r="L4346" s="15" t="n">
        <v>958.27</v>
      </c>
      <c r="M4346" s="15" t="n">
        <f aca="false">F4346*G4346</f>
        <v>1213</v>
      </c>
      <c r="N4346" s="15" t="n">
        <f aca="false">M4346-L4346</f>
        <v>254.73</v>
      </c>
      <c r="O4346" s="1" t="n">
        <f aca="false">YEAR(B4346)</f>
        <v>2033</v>
      </c>
      <c r="P4346" s="1" t="n">
        <f aca="false">MONTH(B4346)</f>
        <v>11</v>
      </c>
      <c r="Q4346" s="1" t="str">
        <f aca="false">TEXT(B4346,"mmm")</f>
        <v>Nov</v>
      </c>
      <c r="R4346" s="1" t="str">
        <f aca="false">"Q"&amp;ROUNDUP(MONTH(B4346)/3,0)</f>
        <v>Q4</v>
      </c>
    </row>
    <row r="4347" customFormat="false" ht="15" hidden="false" customHeight="true" outlineLevel="0" collapsed="false">
      <c r="A4347" s="1" t="n">
        <v>14346</v>
      </c>
      <c r="B4347" s="14" t="n">
        <v>48907</v>
      </c>
      <c r="C4347" s="1" t="n">
        <v>1775</v>
      </c>
      <c r="D4347" s="1" t="s">
        <v>34</v>
      </c>
      <c r="E4347" s="1" t="s">
        <v>35</v>
      </c>
      <c r="F4347" s="1" t="n">
        <v>5</v>
      </c>
      <c r="G4347" s="15" t="n">
        <v>454.7</v>
      </c>
      <c r="H4347" s="16" t="n">
        <v>0.06</v>
      </c>
      <c r="I4347" s="1" t="s">
        <v>33</v>
      </c>
      <c r="J4347" s="1" t="n">
        <v>7</v>
      </c>
      <c r="K4347" s="1" t="n">
        <v>4.4</v>
      </c>
      <c r="L4347" s="15" t="n">
        <v>2137.09</v>
      </c>
      <c r="M4347" s="15" t="n">
        <f aca="false">F4347*G4347</f>
        <v>2273.5</v>
      </c>
      <c r="N4347" s="15" t="n">
        <f aca="false">M4347-L4347</f>
        <v>136.41</v>
      </c>
      <c r="O4347" s="1" t="n">
        <f aca="false">YEAR(B4347)</f>
        <v>2033</v>
      </c>
      <c r="P4347" s="1" t="n">
        <f aca="false">MONTH(B4347)</f>
        <v>11</v>
      </c>
      <c r="Q4347" s="1" t="str">
        <f aca="false">TEXT(B4347,"mmm")</f>
        <v>Nov</v>
      </c>
      <c r="R4347" s="1" t="str">
        <f aca="false">"Q"&amp;ROUNDUP(MONTH(B4347)/3,0)</f>
        <v>Q4</v>
      </c>
    </row>
    <row r="4348" customFormat="false" ht="15" hidden="false" customHeight="true" outlineLevel="0" collapsed="false">
      <c r="A4348" s="1" t="n">
        <v>14347</v>
      </c>
      <c r="B4348" s="14" t="n">
        <v>48908</v>
      </c>
      <c r="C4348" s="1" t="n">
        <v>1513</v>
      </c>
      <c r="D4348" s="1" t="s">
        <v>34</v>
      </c>
      <c r="E4348" s="1" t="s">
        <v>35</v>
      </c>
      <c r="F4348" s="1" t="n">
        <v>5</v>
      </c>
      <c r="G4348" s="15" t="n">
        <v>241.26</v>
      </c>
      <c r="H4348" s="16" t="n">
        <v>0.01</v>
      </c>
      <c r="I4348" s="1" t="s">
        <v>33</v>
      </c>
      <c r="J4348" s="1" t="n">
        <v>11</v>
      </c>
      <c r="K4348" s="1" t="n">
        <v>4.7</v>
      </c>
      <c r="L4348" s="15" t="n">
        <v>1194.24</v>
      </c>
      <c r="M4348" s="15" t="n">
        <f aca="false">F4348*G4348</f>
        <v>1206.3</v>
      </c>
      <c r="N4348" s="15" t="n">
        <f aca="false">M4348-L4348</f>
        <v>12.0599999999999</v>
      </c>
      <c r="O4348" s="1" t="n">
        <f aca="false">YEAR(B4348)</f>
        <v>2033</v>
      </c>
      <c r="P4348" s="1" t="n">
        <f aca="false">MONTH(B4348)</f>
        <v>11</v>
      </c>
      <c r="Q4348" s="1" t="str">
        <f aca="false">TEXT(B4348,"mmm")</f>
        <v>Nov</v>
      </c>
      <c r="R4348" s="1" t="str">
        <f aca="false">"Q"&amp;ROUNDUP(MONTH(B4348)/3,0)</f>
        <v>Q4</v>
      </c>
    </row>
    <row r="4349" customFormat="false" ht="15" hidden="false" customHeight="true" outlineLevel="0" collapsed="false">
      <c r="A4349" s="1" t="n">
        <v>14348</v>
      </c>
      <c r="B4349" s="14" t="n">
        <v>48909</v>
      </c>
      <c r="C4349" s="1" t="n">
        <v>1872</v>
      </c>
      <c r="D4349" s="1" t="s">
        <v>30</v>
      </c>
      <c r="E4349" s="1" t="s">
        <v>32</v>
      </c>
      <c r="F4349" s="1" t="n">
        <v>5</v>
      </c>
      <c r="G4349" s="15" t="n">
        <v>540.74</v>
      </c>
      <c r="H4349" s="16" t="n">
        <v>0.25</v>
      </c>
      <c r="I4349" s="1" t="s">
        <v>31</v>
      </c>
      <c r="J4349" s="1" t="n">
        <v>4</v>
      </c>
      <c r="K4349" s="1" t="n">
        <v>4.3</v>
      </c>
      <c r="L4349" s="15" t="n">
        <v>2027.78</v>
      </c>
      <c r="M4349" s="15" t="n">
        <f aca="false">F4349*G4349</f>
        <v>2703.7</v>
      </c>
      <c r="N4349" s="15" t="n">
        <f aca="false">M4349-L4349</f>
        <v>675.92</v>
      </c>
      <c r="O4349" s="1" t="n">
        <f aca="false">YEAR(B4349)</f>
        <v>2033</v>
      </c>
      <c r="P4349" s="1" t="n">
        <f aca="false">MONTH(B4349)</f>
        <v>11</v>
      </c>
      <c r="Q4349" s="1" t="str">
        <f aca="false">TEXT(B4349,"mmm")</f>
        <v>Nov</v>
      </c>
      <c r="R4349" s="1" t="str">
        <f aca="false">"Q"&amp;ROUNDUP(MONTH(B4349)/3,0)</f>
        <v>Q4</v>
      </c>
    </row>
    <row r="4350" customFormat="false" ht="15" hidden="false" customHeight="true" outlineLevel="0" collapsed="false">
      <c r="A4350" s="1" t="n">
        <v>14349</v>
      </c>
      <c r="B4350" s="14" t="n">
        <v>48910</v>
      </c>
      <c r="C4350" s="1" t="n">
        <v>1636</v>
      </c>
      <c r="D4350" s="1" t="s">
        <v>27</v>
      </c>
      <c r="E4350" s="1" t="s">
        <v>36</v>
      </c>
      <c r="F4350" s="1" t="n">
        <v>1</v>
      </c>
      <c r="G4350" s="15" t="n">
        <v>118.68</v>
      </c>
      <c r="H4350" s="16" t="n">
        <v>0.19</v>
      </c>
      <c r="I4350" s="1" t="s">
        <v>31</v>
      </c>
      <c r="J4350" s="1" t="n">
        <v>5</v>
      </c>
      <c r="K4350" s="1" t="n">
        <v>3.4</v>
      </c>
      <c r="L4350" s="15" t="n">
        <v>96.13</v>
      </c>
      <c r="M4350" s="15" t="n">
        <f aca="false">F4350*G4350</f>
        <v>118.68</v>
      </c>
      <c r="N4350" s="15" t="n">
        <f aca="false">M4350-L4350</f>
        <v>22.55</v>
      </c>
      <c r="O4350" s="1" t="n">
        <f aca="false">YEAR(B4350)</f>
        <v>2033</v>
      </c>
      <c r="P4350" s="1" t="n">
        <f aca="false">MONTH(B4350)</f>
        <v>11</v>
      </c>
      <c r="Q4350" s="1" t="str">
        <f aca="false">TEXT(B4350,"mmm")</f>
        <v>Nov</v>
      </c>
      <c r="R4350" s="1" t="str">
        <f aca="false">"Q"&amp;ROUNDUP(MONTH(B4350)/3,0)</f>
        <v>Q4</v>
      </c>
    </row>
    <row r="4351" customFormat="false" ht="15" hidden="false" customHeight="true" outlineLevel="0" collapsed="false">
      <c r="A4351" s="1" t="n">
        <v>14350</v>
      </c>
      <c r="B4351" s="14" t="n">
        <v>48911</v>
      </c>
      <c r="C4351" s="1" t="n">
        <v>1621</v>
      </c>
      <c r="D4351" s="1" t="s">
        <v>30</v>
      </c>
      <c r="E4351" s="1" t="s">
        <v>36</v>
      </c>
      <c r="F4351" s="1" t="n">
        <v>5</v>
      </c>
      <c r="G4351" s="15" t="n">
        <v>186.02</v>
      </c>
      <c r="H4351" s="16" t="n">
        <v>0.23</v>
      </c>
      <c r="I4351" s="1" t="s">
        <v>33</v>
      </c>
      <c r="J4351" s="1" t="n">
        <v>4</v>
      </c>
      <c r="K4351" s="1" t="n">
        <v>4.4</v>
      </c>
      <c r="L4351" s="15" t="n">
        <v>716.18</v>
      </c>
      <c r="M4351" s="15" t="n">
        <f aca="false">F4351*G4351</f>
        <v>930.1</v>
      </c>
      <c r="N4351" s="15" t="n">
        <f aca="false">M4351-L4351</f>
        <v>213.92</v>
      </c>
      <c r="O4351" s="1" t="n">
        <f aca="false">YEAR(B4351)</f>
        <v>2033</v>
      </c>
      <c r="P4351" s="1" t="n">
        <f aca="false">MONTH(B4351)</f>
        <v>11</v>
      </c>
      <c r="Q4351" s="1" t="str">
        <f aca="false">TEXT(B4351,"mmm")</f>
        <v>Nov</v>
      </c>
      <c r="R4351" s="1" t="str">
        <f aca="false">"Q"&amp;ROUNDUP(MONTH(B4351)/3,0)</f>
        <v>Q4</v>
      </c>
    </row>
    <row r="4352" customFormat="false" ht="15" hidden="false" customHeight="true" outlineLevel="0" collapsed="false">
      <c r="A4352" s="1" t="n">
        <v>14351</v>
      </c>
      <c r="B4352" s="14" t="n">
        <v>48912</v>
      </c>
      <c r="C4352" s="1" t="n">
        <v>1597</v>
      </c>
      <c r="D4352" s="1" t="s">
        <v>30</v>
      </c>
      <c r="E4352" s="1" t="s">
        <v>35</v>
      </c>
      <c r="F4352" s="1" t="n">
        <v>7</v>
      </c>
      <c r="G4352" s="15" t="n">
        <v>337.53</v>
      </c>
      <c r="H4352" s="16" t="n">
        <v>0.28</v>
      </c>
      <c r="I4352" s="1" t="s">
        <v>33</v>
      </c>
      <c r="J4352" s="1" t="n">
        <v>4</v>
      </c>
      <c r="K4352" s="1" t="n">
        <v>3.3</v>
      </c>
      <c r="L4352" s="15" t="n">
        <v>1701.15</v>
      </c>
      <c r="M4352" s="15" t="n">
        <f aca="false">F4352*G4352</f>
        <v>2362.71</v>
      </c>
      <c r="N4352" s="15" t="n">
        <f aca="false">M4352-L4352</f>
        <v>661.56</v>
      </c>
      <c r="O4352" s="1" t="n">
        <f aca="false">YEAR(B4352)</f>
        <v>2033</v>
      </c>
      <c r="P4352" s="1" t="n">
        <f aca="false">MONTH(B4352)</f>
        <v>11</v>
      </c>
      <c r="Q4352" s="1" t="str">
        <f aca="false">TEXT(B4352,"mmm")</f>
        <v>Nov</v>
      </c>
      <c r="R4352" s="1" t="str">
        <f aca="false">"Q"&amp;ROUNDUP(MONTH(B4352)/3,0)</f>
        <v>Q4</v>
      </c>
    </row>
    <row r="4353" customFormat="false" ht="15" hidden="false" customHeight="true" outlineLevel="0" collapsed="false">
      <c r="A4353" s="1" t="n">
        <v>14352</v>
      </c>
      <c r="B4353" s="14" t="n">
        <v>48913</v>
      </c>
      <c r="C4353" s="1" t="n">
        <v>1936</v>
      </c>
      <c r="D4353" s="1" t="s">
        <v>27</v>
      </c>
      <c r="E4353" s="1" t="s">
        <v>32</v>
      </c>
      <c r="F4353" s="1" t="n">
        <v>4</v>
      </c>
      <c r="G4353" s="15" t="n">
        <v>201.74</v>
      </c>
      <c r="H4353" s="16" t="n">
        <v>0.15</v>
      </c>
      <c r="I4353" s="1" t="s">
        <v>31</v>
      </c>
      <c r="J4353" s="1" t="n">
        <v>8</v>
      </c>
      <c r="K4353" s="1" t="n">
        <v>2.4</v>
      </c>
      <c r="L4353" s="15" t="n">
        <v>685.92</v>
      </c>
      <c r="M4353" s="15" t="n">
        <f aca="false">F4353*G4353</f>
        <v>806.96</v>
      </c>
      <c r="N4353" s="15" t="n">
        <f aca="false">M4353-L4353</f>
        <v>121.04</v>
      </c>
      <c r="O4353" s="1" t="n">
        <f aca="false">YEAR(B4353)</f>
        <v>2033</v>
      </c>
      <c r="P4353" s="1" t="n">
        <f aca="false">MONTH(B4353)</f>
        <v>11</v>
      </c>
      <c r="Q4353" s="1" t="str">
        <f aca="false">TEXT(B4353,"mmm")</f>
        <v>Nov</v>
      </c>
      <c r="R4353" s="1" t="str">
        <f aca="false">"Q"&amp;ROUNDUP(MONTH(B4353)/3,0)</f>
        <v>Q4</v>
      </c>
    </row>
    <row r="4354" customFormat="false" ht="15" hidden="false" customHeight="true" outlineLevel="0" collapsed="false">
      <c r="A4354" s="1" t="n">
        <v>14353</v>
      </c>
      <c r="B4354" s="14" t="n">
        <v>48914</v>
      </c>
      <c r="C4354" s="1" t="n">
        <v>1631</v>
      </c>
      <c r="D4354" s="1" t="s">
        <v>34</v>
      </c>
      <c r="E4354" s="1" t="s">
        <v>28</v>
      </c>
      <c r="F4354" s="1" t="n">
        <v>7</v>
      </c>
      <c r="G4354" s="15" t="n">
        <v>263.18</v>
      </c>
      <c r="H4354" s="16" t="n">
        <v>0.04</v>
      </c>
      <c r="I4354" s="1" t="s">
        <v>31</v>
      </c>
      <c r="J4354" s="1" t="n">
        <v>11</v>
      </c>
      <c r="K4354" s="1" t="n">
        <v>2.5</v>
      </c>
      <c r="L4354" s="15" t="n">
        <v>1768.57</v>
      </c>
      <c r="M4354" s="15" t="n">
        <f aca="false">F4354*G4354</f>
        <v>1842.26</v>
      </c>
      <c r="N4354" s="15" t="n">
        <f aca="false">M4354-L4354</f>
        <v>73.6900000000001</v>
      </c>
      <c r="O4354" s="1" t="n">
        <f aca="false">YEAR(B4354)</f>
        <v>2033</v>
      </c>
      <c r="P4354" s="1" t="n">
        <f aca="false">MONTH(B4354)</f>
        <v>12</v>
      </c>
      <c r="Q4354" s="1" t="str">
        <f aca="false">TEXT(B4354,"mmm")</f>
        <v>Dec</v>
      </c>
      <c r="R4354" s="1" t="str">
        <f aca="false">"Q"&amp;ROUNDUP(MONTH(B4354)/3,0)</f>
        <v>Q4</v>
      </c>
    </row>
    <row r="4355" customFormat="false" ht="15" hidden="false" customHeight="true" outlineLevel="0" collapsed="false">
      <c r="A4355" s="1" t="n">
        <v>14354</v>
      </c>
      <c r="B4355" s="14" t="n">
        <v>48915</v>
      </c>
      <c r="C4355" s="1" t="n">
        <v>1126</v>
      </c>
      <c r="D4355" s="1" t="s">
        <v>34</v>
      </c>
      <c r="E4355" s="1" t="s">
        <v>35</v>
      </c>
      <c r="F4355" s="1" t="n">
        <v>4</v>
      </c>
      <c r="G4355" s="15" t="n">
        <v>303.07</v>
      </c>
      <c r="H4355" s="16" t="n">
        <v>0.33</v>
      </c>
      <c r="I4355" s="1" t="s">
        <v>31</v>
      </c>
      <c r="J4355" s="1" t="n">
        <v>5</v>
      </c>
      <c r="K4355" s="1" t="n">
        <v>3.3</v>
      </c>
      <c r="L4355" s="15" t="n">
        <v>812.23</v>
      </c>
      <c r="M4355" s="15" t="n">
        <f aca="false">F4355*G4355</f>
        <v>1212.28</v>
      </c>
      <c r="N4355" s="15" t="n">
        <f aca="false">M4355-L4355</f>
        <v>400.05</v>
      </c>
      <c r="O4355" s="1" t="n">
        <f aca="false">YEAR(B4355)</f>
        <v>2033</v>
      </c>
      <c r="P4355" s="1" t="n">
        <f aca="false">MONTH(B4355)</f>
        <v>12</v>
      </c>
      <c r="Q4355" s="1" t="str">
        <f aca="false">TEXT(B4355,"mmm")</f>
        <v>Dec</v>
      </c>
      <c r="R4355" s="1" t="str">
        <f aca="false">"Q"&amp;ROUNDUP(MONTH(B4355)/3,0)</f>
        <v>Q4</v>
      </c>
    </row>
    <row r="4356" customFormat="false" ht="15" hidden="false" customHeight="true" outlineLevel="0" collapsed="false">
      <c r="A4356" s="1" t="n">
        <v>14355</v>
      </c>
      <c r="B4356" s="14" t="n">
        <v>48916</v>
      </c>
      <c r="C4356" s="1" t="n">
        <v>1254</v>
      </c>
      <c r="D4356" s="1" t="s">
        <v>30</v>
      </c>
      <c r="E4356" s="1" t="s">
        <v>28</v>
      </c>
      <c r="F4356" s="1" t="n">
        <v>1</v>
      </c>
      <c r="G4356" s="15" t="n">
        <v>515.97</v>
      </c>
      <c r="H4356" s="16" t="n">
        <v>0.19</v>
      </c>
      <c r="I4356" s="1" t="s">
        <v>33</v>
      </c>
      <c r="J4356" s="1" t="n">
        <v>9</v>
      </c>
      <c r="K4356" s="1" t="n">
        <v>4.2</v>
      </c>
      <c r="L4356" s="15" t="n">
        <v>417.94</v>
      </c>
      <c r="M4356" s="15" t="n">
        <f aca="false">F4356*G4356</f>
        <v>515.97</v>
      </c>
      <c r="N4356" s="15" t="n">
        <f aca="false">M4356-L4356</f>
        <v>98.03</v>
      </c>
      <c r="O4356" s="1" t="n">
        <f aca="false">YEAR(B4356)</f>
        <v>2033</v>
      </c>
      <c r="P4356" s="1" t="n">
        <f aca="false">MONTH(B4356)</f>
        <v>12</v>
      </c>
      <c r="Q4356" s="1" t="str">
        <f aca="false">TEXT(B4356,"mmm")</f>
        <v>Dec</v>
      </c>
      <c r="R4356" s="1" t="str">
        <f aca="false">"Q"&amp;ROUNDUP(MONTH(B4356)/3,0)</f>
        <v>Q4</v>
      </c>
    </row>
    <row r="4357" customFormat="false" ht="15" hidden="false" customHeight="true" outlineLevel="0" collapsed="false">
      <c r="A4357" s="1" t="n">
        <v>14356</v>
      </c>
      <c r="B4357" s="14" t="n">
        <v>48917</v>
      </c>
      <c r="C4357" s="1" t="n">
        <v>1694</v>
      </c>
      <c r="D4357" s="1" t="s">
        <v>30</v>
      </c>
      <c r="E4357" s="1" t="s">
        <v>28</v>
      </c>
      <c r="F4357" s="1" t="n">
        <v>5</v>
      </c>
      <c r="G4357" s="15" t="n">
        <v>321.07</v>
      </c>
      <c r="H4357" s="16" t="n">
        <v>0.22</v>
      </c>
      <c r="I4357" s="1" t="s">
        <v>29</v>
      </c>
      <c r="J4357" s="1" t="n">
        <v>5</v>
      </c>
      <c r="K4357" s="1" t="n">
        <v>1.5</v>
      </c>
      <c r="L4357" s="15" t="n">
        <v>1252.17</v>
      </c>
      <c r="M4357" s="15" t="n">
        <f aca="false">F4357*G4357</f>
        <v>1605.35</v>
      </c>
      <c r="N4357" s="15" t="n">
        <f aca="false">M4357-L4357</f>
        <v>353.18</v>
      </c>
      <c r="O4357" s="1" t="n">
        <f aca="false">YEAR(B4357)</f>
        <v>2033</v>
      </c>
      <c r="P4357" s="1" t="n">
        <f aca="false">MONTH(B4357)</f>
        <v>12</v>
      </c>
      <c r="Q4357" s="1" t="str">
        <f aca="false">TEXT(B4357,"mmm")</f>
        <v>Dec</v>
      </c>
      <c r="R4357" s="1" t="str">
        <f aca="false">"Q"&amp;ROUNDUP(MONTH(B4357)/3,0)</f>
        <v>Q4</v>
      </c>
    </row>
    <row r="4358" customFormat="false" ht="15" hidden="false" customHeight="true" outlineLevel="0" collapsed="false">
      <c r="A4358" s="1" t="n">
        <v>14357</v>
      </c>
      <c r="B4358" s="14" t="n">
        <v>48918</v>
      </c>
      <c r="C4358" s="1" t="n">
        <v>1015</v>
      </c>
      <c r="D4358" s="1" t="s">
        <v>34</v>
      </c>
      <c r="E4358" s="1" t="s">
        <v>32</v>
      </c>
      <c r="F4358" s="1" t="n">
        <v>3</v>
      </c>
      <c r="G4358" s="15" t="n">
        <v>227.04</v>
      </c>
      <c r="H4358" s="16" t="n">
        <v>0.33</v>
      </c>
      <c r="I4358" s="1" t="s">
        <v>31</v>
      </c>
      <c r="J4358" s="1" t="n">
        <v>8</v>
      </c>
      <c r="K4358" s="1" t="n">
        <v>1.2</v>
      </c>
      <c r="L4358" s="15" t="n">
        <v>456.35</v>
      </c>
      <c r="M4358" s="15" t="n">
        <f aca="false">F4358*G4358</f>
        <v>681.12</v>
      </c>
      <c r="N4358" s="15" t="n">
        <f aca="false">M4358-L4358</f>
        <v>224.77</v>
      </c>
      <c r="O4358" s="1" t="n">
        <f aca="false">YEAR(B4358)</f>
        <v>2033</v>
      </c>
      <c r="P4358" s="1" t="n">
        <f aca="false">MONTH(B4358)</f>
        <v>12</v>
      </c>
      <c r="Q4358" s="1" t="str">
        <f aca="false">TEXT(B4358,"mmm")</f>
        <v>Dec</v>
      </c>
      <c r="R4358" s="1" t="str">
        <f aca="false">"Q"&amp;ROUNDUP(MONTH(B4358)/3,0)</f>
        <v>Q4</v>
      </c>
    </row>
    <row r="4359" customFormat="false" ht="15" hidden="false" customHeight="true" outlineLevel="0" collapsed="false">
      <c r="A4359" s="1" t="n">
        <v>14358</v>
      </c>
      <c r="B4359" s="14" t="n">
        <v>48919</v>
      </c>
      <c r="C4359" s="1" t="n">
        <v>1476</v>
      </c>
      <c r="D4359" s="1" t="s">
        <v>30</v>
      </c>
      <c r="E4359" s="1" t="s">
        <v>32</v>
      </c>
      <c r="F4359" s="1" t="n">
        <v>7</v>
      </c>
      <c r="G4359" s="15" t="n">
        <v>159.93</v>
      </c>
      <c r="H4359" s="16" t="n">
        <v>0.33</v>
      </c>
      <c r="I4359" s="1" t="s">
        <v>31</v>
      </c>
      <c r="J4359" s="1" t="n">
        <v>3</v>
      </c>
      <c r="K4359" s="1" t="n">
        <v>4.2</v>
      </c>
      <c r="L4359" s="15" t="n">
        <v>750.07</v>
      </c>
      <c r="M4359" s="15" t="n">
        <f aca="false">F4359*G4359</f>
        <v>1119.51</v>
      </c>
      <c r="N4359" s="15" t="n">
        <f aca="false">M4359-L4359</f>
        <v>369.44</v>
      </c>
      <c r="O4359" s="1" t="n">
        <f aca="false">YEAR(B4359)</f>
        <v>2033</v>
      </c>
      <c r="P4359" s="1" t="n">
        <f aca="false">MONTH(B4359)</f>
        <v>12</v>
      </c>
      <c r="Q4359" s="1" t="str">
        <f aca="false">TEXT(B4359,"mmm")</f>
        <v>Dec</v>
      </c>
      <c r="R4359" s="1" t="str">
        <f aca="false">"Q"&amp;ROUNDUP(MONTH(B4359)/3,0)</f>
        <v>Q4</v>
      </c>
    </row>
    <row r="4360" customFormat="false" ht="15" hidden="false" customHeight="true" outlineLevel="0" collapsed="false">
      <c r="A4360" s="1" t="n">
        <v>14359</v>
      </c>
      <c r="B4360" s="14" t="n">
        <v>48920</v>
      </c>
      <c r="C4360" s="1" t="n">
        <v>1061</v>
      </c>
      <c r="D4360" s="1" t="s">
        <v>30</v>
      </c>
      <c r="E4360" s="1" t="s">
        <v>36</v>
      </c>
      <c r="F4360" s="1" t="n">
        <v>5</v>
      </c>
      <c r="G4360" s="15" t="n">
        <v>254.08</v>
      </c>
      <c r="H4360" s="16" t="n">
        <v>0.2</v>
      </c>
      <c r="I4360" s="1" t="s">
        <v>31</v>
      </c>
      <c r="J4360" s="1" t="n">
        <v>7</v>
      </c>
      <c r="K4360" s="1" t="n">
        <v>3.6</v>
      </c>
      <c r="L4360" s="15" t="n">
        <v>1016.32</v>
      </c>
      <c r="M4360" s="15" t="n">
        <f aca="false">F4360*G4360</f>
        <v>1270.4</v>
      </c>
      <c r="N4360" s="15" t="n">
        <f aca="false">M4360-L4360</f>
        <v>254.08</v>
      </c>
      <c r="O4360" s="1" t="n">
        <f aca="false">YEAR(B4360)</f>
        <v>2033</v>
      </c>
      <c r="P4360" s="1" t="n">
        <f aca="false">MONTH(B4360)</f>
        <v>12</v>
      </c>
      <c r="Q4360" s="1" t="str">
        <f aca="false">TEXT(B4360,"mmm")</f>
        <v>Dec</v>
      </c>
      <c r="R4360" s="1" t="str">
        <f aca="false">"Q"&amp;ROUNDUP(MONTH(B4360)/3,0)</f>
        <v>Q4</v>
      </c>
    </row>
    <row r="4361" customFormat="false" ht="15" hidden="false" customHeight="true" outlineLevel="0" collapsed="false">
      <c r="A4361" s="1" t="n">
        <v>14360</v>
      </c>
      <c r="B4361" s="14" t="n">
        <v>48921</v>
      </c>
      <c r="C4361" s="1" t="n">
        <v>1880</v>
      </c>
      <c r="D4361" s="1" t="s">
        <v>37</v>
      </c>
      <c r="E4361" s="1" t="s">
        <v>36</v>
      </c>
      <c r="F4361" s="1" t="n">
        <v>4</v>
      </c>
      <c r="G4361" s="15" t="n">
        <v>316.71</v>
      </c>
      <c r="H4361" s="16" t="n">
        <v>0.1</v>
      </c>
      <c r="I4361" s="1" t="s">
        <v>31</v>
      </c>
      <c r="J4361" s="1" t="n">
        <v>1</v>
      </c>
      <c r="K4361" s="1" t="n">
        <v>4.3</v>
      </c>
      <c r="L4361" s="15" t="n">
        <v>1140.16</v>
      </c>
      <c r="M4361" s="15" t="n">
        <f aca="false">F4361*G4361</f>
        <v>1266.84</v>
      </c>
      <c r="N4361" s="15" t="n">
        <f aca="false">M4361-L4361</f>
        <v>126.68</v>
      </c>
      <c r="O4361" s="1" t="n">
        <f aca="false">YEAR(B4361)</f>
        <v>2033</v>
      </c>
      <c r="P4361" s="1" t="n">
        <f aca="false">MONTH(B4361)</f>
        <v>12</v>
      </c>
      <c r="Q4361" s="1" t="str">
        <f aca="false">TEXT(B4361,"mmm")</f>
        <v>Dec</v>
      </c>
      <c r="R4361" s="1" t="str">
        <f aca="false">"Q"&amp;ROUNDUP(MONTH(B4361)/3,0)</f>
        <v>Q4</v>
      </c>
    </row>
    <row r="4362" customFormat="false" ht="15" hidden="false" customHeight="true" outlineLevel="0" collapsed="false">
      <c r="A4362" s="1" t="n">
        <v>14361</v>
      </c>
      <c r="B4362" s="14" t="n">
        <v>48922</v>
      </c>
      <c r="C4362" s="1" t="n">
        <v>1431</v>
      </c>
      <c r="D4362" s="1" t="s">
        <v>30</v>
      </c>
      <c r="E4362" s="1" t="s">
        <v>32</v>
      </c>
      <c r="F4362" s="1" t="n">
        <v>7</v>
      </c>
      <c r="G4362" s="15" t="n">
        <v>451.48</v>
      </c>
      <c r="H4362" s="16" t="n">
        <v>0.35</v>
      </c>
      <c r="I4362" s="1" t="s">
        <v>31</v>
      </c>
      <c r="J4362" s="1" t="n">
        <v>5</v>
      </c>
      <c r="K4362" s="1" t="n">
        <v>4.9</v>
      </c>
      <c r="L4362" s="15" t="n">
        <v>2054.23</v>
      </c>
      <c r="M4362" s="15" t="n">
        <f aca="false">F4362*G4362</f>
        <v>3160.36</v>
      </c>
      <c r="N4362" s="15" t="n">
        <f aca="false">M4362-L4362</f>
        <v>1106.13</v>
      </c>
      <c r="O4362" s="1" t="n">
        <f aca="false">YEAR(B4362)</f>
        <v>2033</v>
      </c>
      <c r="P4362" s="1" t="n">
        <f aca="false">MONTH(B4362)</f>
        <v>12</v>
      </c>
      <c r="Q4362" s="1" t="str">
        <f aca="false">TEXT(B4362,"mmm")</f>
        <v>Dec</v>
      </c>
      <c r="R4362" s="1" t="str">
        <f aca="false">"Q"&amp;ROUNDUP(MONTH(B4362)/3,0)</f>
        <v>Q4</v>
      </c>
    </row>
    <row r="4363" customFormat="false" ht="15" hidden="false" customHeight="true" outlineLevel="0" collapsed="false">
      <c r="A4363" s="1" t="n">
        <v>14362</v>
      </c>
      <c r="B4363" s="14" t="n">
        <v>48923</v>
      </c>
      <c r="C4363" s="1" t="n">
        <v>1669</v>
      </c>
      <c r="D4363" s="1" t="s">
        <v>34</v>
      </c>
      <c r="E4363" s="1" t="s">
        <v>35</v>
      </c>
      <c r="F4363" s="1" t="n">
        <v>2</v>
      </c>
      <c r="G4363" s="15" t="n">
        <v>85.81</v>
      </c>
      <c r="H4363" s="16" t="n">
        <v>0.24</v>
      </c>
      <c r="I4363" s="1" t="s">
        <v>29</v>
      </c>
      <c r="J4363" s="1" t="n">
        <v>2</v>
      </c>
      <c r="K4363" s="1" t="n">
        <v>2</v>
      </c>
      <c r="L4363" s="15" t="n">
        <v>130.43</v>
      </c>
      <c r="M4363" s="15" t="n">
        <f aca="false">F4363*G4363</f>
        <v>171.62</v>
      </c>
      <c r="N4363" s="15" t="n">
        <f aca="false">M4363-L4363</f>
        <v>41.19</v>
      </c>
      <c r="O4363" s="1" t="n">
        <f aca="false">YEAR(B4363)</f>
        <v>2033</v>
      </c>
      <c r="P4363" s="1" t="n">
        <f aca="false">MONTH(B4363)</f>
        <v>12</v>
      </c>
      <c r="Q4363" s="1" t="str">
        <f aca="false">TEXT(B4363,"mmm")</f>
        <v>Dec</v>
      </c>
      <c r="R4363" s="1" t="str">
        <f aca="false">"Q"&amp;ROUNDUP(MONTH(B4363)/3,0)</f>
        <v>Q4</v>
      </c>
    </row>
    <row r="4364" customFormat="false" ht="15" hidden="false" customHeight="true" outlineLevel="0" collapsed="false">
      <c r="A4364" s="1" t="n">
        <v>14363</v>
      </c>
      <c r="B4364" s="14" t="n">
        <v>48924</v>
      </c>
      <c r="C4364" s="1" t="n">
        <v>1267</v>
      </c>
      <c r="D4364" s="1" t="s">
        <v>34</v>
      </c>
      <c r="E4364" s="1" t="s">
        <v>36</v>
      </c>
      <c r="F4364" s="1" t="n">
        <v>6</v>
      </c>
      <c r="G4364" s="15" t="n">
        <v>144.64</v>
      </c>
      <c r="H4364" s="16" t="n">
        <v>0.14</v>
      </c>
      <c r="I4364" s="1" t="s">
        <v>31</v>
      </c>
      <c r="J4364" s="1" t="n">
        <v>8</v>
      </c>
      <c r="K4364" s="1" t="n">
        <v>1.8</v>
      </c>
      <c r="L4364" s="15" t="n">
        <v>746.34</v>
      </c>
      <c r="M4364" s="15" t="n">
        <f aca="false">F4364*G4364</f>
        <v>867.84</v>
      </c>
      <c r="N4364" s="15" t="n">
        <f aca="false">M4364-L4364</f>
        <v>121.5</v>
      </c>
      <c r="O4364" s="1" t="n">
        <f aca="false">YEAR(B4364)</f>
        <v>2033</v>
      </c>
      <c r="P4364" s="1" t="n">
        <f aca="false">MONTH(B4364)</f>
        <v>12</v>
      </c>
      <c r="Q4364" s="1" t="str">
        <f aca="false">TEXT(B4364,"mmm")</f>
        <v>Dec</v>
      </c>
      <c r="R4364" s="1" t="str">
        <f aca="false">"Q"&amp;ROUNDUP(MONTH(B4364)/3,0)</f>
        <v>Q4</v>
      </c>
    </row>
    <row r="4365" customFormat="false" ht="15" hidden="false" customHeight="true" outlineLevel="0" collapsed="false">
      <c r="A4365" s="1" t="n">
        <v>14364</v>
      </c>
      <c r="B4365" s="14" t="n">
        <v>48925</v>
      </c>
      <c r="C4365" s="1" t="n">
        <v>1034</v>
      </c>
      <c r="D4365" s="1" t="s">
        <v>30</v>
      </c>
      <c r="E4365" s="1" t="s">
        <v>28</v>
      </c>
      <c r="F4365" s="1" t="n">
        <v>2</v>
      </c>
      <c r="G4365" s="15" t="n">
        <v>237.1</v>
      </c>
      <c r="H4365" s="16" t="n">
        <v>0.2</v>
      </c>
      <c r="I4365" s="1" t="s">
        <v>33</v>
      </c>
      <c r="J4365" s="1" t="n">
        <v>6</v>
      </c>
      <c r="K4365" s="1" t="n">
        <v>2.4</v>
      </c>
      <c r="L4365" s="15" t="n">
        <v>379.36</v>
      </c>
      <c r="M4365" s="15" t="n">
        <f aca="false">F4365*G4365</f>
        <v>474.2</v>
      </c>
      <c r="N4365" s="15" t="n">
        <f aca="false">M4365-L4365</f>
        <v>94.84</v>
      </c>
      <c r="O4365" s="1" t="n">
        <f aca="false">YEAR(B4365)</f>
        <v>2033</v>
      </c>
      <c r="P4365" s="1" t="n">
        <f aca="false">MONTH(B4365)</f>
        <v>12</v>
      </c>
      <c r="Q4365" s="1" t="str">
        <f aca="false">TEXT(B4365,"mmm")</f>
        <v>Dec</v>
      </c>
      <c r="R4365" s="1" t="str">
        <f aca="false">"Q"&amp;ROUNDUP(MONTH(B4365)/3,0)</f>
        <v>Q4</v>
      </c>
    </row>
    <row r="4366" customFormat="false" ht="15" hidden="false" customHeight="true" outlineLevel="0" collapsed="false">
      <c r="A4366" s="1" t="n">
        <v>14365</v>
      </c>
      <c r="B4366" s="14" t="n">
        <v>48926</v>
      </c>
      <c r="C4366" s="1" t="n">
        <v>1778</v>
      </c>
      <c r="D4366" s="1" t="s">
        <v>34</v>
      </c>
      <c r="E4366" s="1" t="s">
        <v>35</v>
      </c>
      <c r="F4366" s="1" t="n">
        <v>3</v>
      </c>
      <c r="G4366" s="15" t="n">
        <v>225.83</v>
      </c>
      <c r="H4366" s="16" t="n">
        <v>0.15</v>
      </c>
      <c r="I4366" s="1" t="s">
        <v>31</v>
      </c>
      <c r="J4366" s="1" t="n">
        <v>5</v>
      </c>
      <c r="K4366" s="1" t="n">
        <v>4.5</v>
      </c>
      <c r="L4366" s="15" t="n">
        <v>575.87</v>
      </c>
      <c r="M4366" s="15" t="n">
        <f aca="false">F4366*G4366</f>
        <v>677.49</v>
      </c>
      <c r="N4366" s="15" t="n">
        <f aca="false">M4366-L4366</f>
        <v>101.62</v>
      </c>
      <c r="O4366" s="1" t="n">
        <f aca="false">YEAR(B4366)</f>
        <v>2033</v>
      </c>
      <c r="P4366" s="1" t="n">
        <f aca="false">MONTH(B4366)</f>
        <v>12</v>
      </c>
      <c r="Q4366" s="1" t="str">
        <f aca="false">TEXT(B4366,"mmm")</f>
        <v>Dec</v>
      </c>
      <c r="R4366" s="1" t="str">
        <f aca="false">"Q"&amp;ROUNDUP(MONTH(B4366)/3,0)</f>
        <v>Q4</v>
      </c>
    </row>
    <row r="4367" customFormat="false" ht="15" hidden="false" customHeight="true" outlineLevel="0" collapsed="false">
      <c r="A4367" s="1" t="n">
        <v>14366</v>
      </c>
      <c r="B4367" s="14" t="n">
        <v>48927</v>
      </c>
      <c r="C4367" s="1" t="n">
        <v>1575</v>
      </c>
      <c r="D4367" s="1" t="s">
        <v>27</v>
      </c>
      <c r="E4367" s="1" t="s">
        <v>28</v>
      </c>
      <c r="F4367" s="1" t="n">
        <v>5</v>
      </c>
      <c r="G4367" s="15" t="n">
        <v>244.17</v>
      </c>
      <c r="H4367" s="16" t="n">
        <v>0.31</v>
      </c>
      <c r="I4367" s="1" t="s">
        <v>29</v>
      </c>
      <c r="J4367" s="1" t="n">
        <v>3</v>
      </c>
      <c r="K4367" s="1" t="n">
        <v>1.1</v>
      </c>
      <c r="L4367" s="15" t="n">
        <v>842.39</v>
      </c>
      <c r="M4367" s="15" t="n">
        <f aca="false">F4367*G4367</f>
        <v>1220.85</v>
      </c>
      <c r="N4367" s="15" t="n">
        <f aca="false">M4367-L4367</f>
        <v>378.46</v>
      </c>
      <c r="O4367" s="1" t="n">
        <f aca="false">YEAR(B4367)</f>
        <v>2033</v>
      </c>
      <c r="P4367" s="1" t="n">
        <f aca="false">MONTH(B4367)</f>
        <v>12</v>
      </c>
      <c r="Q4367" s="1" t="str">
        <f aca="false">TEXT(B4367,"mmm")</f>
        <v>Dec</v>
      </c>
      <c r="R4367" s="1" t="str">
        <f aca="false">"Q"&amp;ROUNDUP(MONTH(B4367)/3,0)</f>
        <v>Q4</v>
      </c>
    </row>
    <row r="4368" customFormat="false" ht="15" hidden="false" customHeight="true" outlineLevel="0" collapsed="false">
      <c r="A4368" s="1" t="n">
        <v>14367</v>
      </c>
      <c r="B4368" s="14" t="n">
        <v>48928</v>
      </c>
      <c r="C4368" s="1" t="n">
        <v>1493</v>
      </c>
      <c r="D4368" s="1" t="s">
        <v>30</v>
      </c>
      <c r="E4368" s="1" t="s">
        <v>32</v>
      </c>
      <c r="F4368" s="1" t="n">
        <v>1</v>
      </c>
      <c r="G4368" s="15" t="n">
        <v>479.21</v>
      </c>
      <c r="H4368" s="16" t="n">
        <v>0.17</v>
      </c>
      <c r="I4368" s="1" t="s">
        <v>33</v>
      </c>
      <c r="J4368" s="1" t="n">
        <v>1</v>
      </c>
      <c r="K4368" s="1" t="n">
        <v>1</v>
      </c>
      <c r="L4368" s="15" t="n">
        <v>397.74</v>
      </c>
      <c r="M4368" s="15" t="n">
        <f aca="false">F4368*G4368</f>
        <v>479.21</v>
      </c>
      <c r="N4368" s="15" t="n">
        <f aca="false">M4368-L4368</f>
        <v>81.47</v>
      </c>
      <c r="O4368" s="1" t="n">
        <f aca="false">YEAR(B4368)</f>
        <v>2033</v>
      </c>
      <c r="P4368" s="1" t="n">
        <f aca="false">MONTH(B4368)</f>
        <v>12</v>
      </c>
      <c r="Q4368" s="1" t="str">
        <f aca="false">TEXT(B4368,"mmm")</f>
        <v>Dec</v>
      </c>
      <c r="R4368" s="1" t="str">
        <f aca="false">"Q"&amp;ROUNDUP(MONTH(B4368)/3,0)</f>
        <v>Q4</v>
      </c>
    </row>
    <row r="4369" customFormat="false" ht="15" hidden="false" customHeight="true" outlineLevel="0" collapsed="false">
      <c r="A4369" s="1" t="n">
        <v>14368</v>
      </c>
      <c r="B4369" s="14" t="n">
        <v>48929</v>
      </c>
      <c r="C4369" s="1" t="n">
        <v>1561</v>
      </c>
      <c r="D4369" s="1" t="s">
        <v>34</v>
      </c>
      <c r="E4369" s="1" t="s">
        <v>28</v>
      </c>
      <c r="F4369" s="1" t="n">
        <v>5</v>
      </c>
      <c r="G4369" s="15" t="n">
        <v>204.63</v>
      </c>
      <c r="H4369" s="16" t="n">
        <v>0.29</v>
      </c>
      <c r="I4369" s="1" t="s">
        <v>31</v>
      </c>
      <c r="J4369" s="1" t="n">
        <v>10</v>
      </c>
      <c r="K4369" s="1" t="n">
        <v>1.9</v>
      </c>
      <c r="L4369" s="15" t="n">
        <v>726.44</v>
      </c>
      <c r="M4369" s="15" t="n">
        <f aca="false">F4369*G4369</f>
        <v>1023.15</v>
      </c>
      <c r="N4369" s="15" t="n">
        <f aca="false">M4369-L4369</f>
        <v>296.71</v>
      </c>
      <c r="O4369" s="1" t="n">
        <f aca="false">YEAR(B4369)</f>
        <v>2033</v>
      </c>
      <c r="P4369" s="1" t="n">
        <f aca="false">MONTH(B4369)</f>
        <v>12</v>
      </c>
      <c r="Q4369" s="1" t="str">
        <f aca="false">TEXT(B4369,"mmm")</f>
        <v>Dec</v>
      </c>
      <c r="R4369" s="1" t="str">
        <f aca="false">"Q"&amp;ROUNDUP(MONTH(B4369)/3,0)</f>
        <v>Q4</v>
      </c>
    </row>
    <row r="4370" customFormat="false" ht="15" hidden="false" customHeight="true" outlineLevel="0" collapsed="false">
      <c r="A4370" s="1" t="n">
        <v>14369</v>
      </c>
      <c r="B4370" s="14" t="n">
        <v>48930</v>
      </c>
      <c r="C4370" s="1" t="n">
        <v>1468</v>
      </c>
      <c r="D4370" s="1" t="s">
        <v>37</v>
      </c>
      <c r="E4370" s="1" t="s">
        <v>35</v>
      </c>
      <c r="F4370" s="1" t="n">
        <v>3</v>
      </c>
      <c r="G4370" s="15" t="n">
        <v>308.61</v>
      </c>
      <c r="H4370" s="16" t="n">
        <v>0.29</v>
      </c>
      <c r="I4370" s="1" t="s">
        <v>29</v>
      </c>
      <c r="J4370" s="1" t="n">
        <v>10</v>
      </c>
      <c r="K4370" s="1" t="n">
        <v>2.5</v>
      </c>
      <c r="L4370" s="15" t="n">
        <v>657.34</v>
      </c>
      <c r="M4370" s="15" t="n">
        <f aca="false">F4370*G4370</f>
        <v>925.83</v>
      </c>
      <c r="N4370" s="15" t="n">
        <f aca="false">M4370-L4370</f>
        <v>268.49</v>
      </c>
      <c r="O4370" s="1" t="n">
        <f aca="false">YEAR(B4370)</f>
        <v>2033</v>
      </c>
      <c r="P4370" s="1" t="n">
        <f aca="false">MONTH(B4370)</f>
        <v>12</v>
      </c>
      <c r="Q4370" s="1" t="str">
        <f aca="false">TEXT(B4370,"mmm")</f>
        <v>Dec</v>
      </c>
      <c r="R4370" s="1" t="str">
        <f aca="false">"Q"&amp;ROUNDUP(MONTH(B4370)/3,0)</f>
        <v>Q4</v>
      </c>
    </row>
    <row r="4371" customFormat="false" ht="15" hidden="false" customHeight="true" outlineLevel="0" collapsed="false">
      <c r="A4371" s="1" t="n">
        <v>14370</v>
      </c>
      <c r="B4371" s="14" t="n">
        <v>48931</v>
      </c>
      <c r="C4371" s="1" t="n">
        <v>1766</v>
      </c>
      <c r="D4371" s="1" t="s">
        <v>30</v>
      </c>
      <c r="E4371" s="1" t="s">
        <v>32</v>
      </c>
      <c r="F4371" s="1" t="n">
        <v>3</v>
      </c>
      <c r="G4371" s="15" t="n">
        <v>379.99</v>
      </c>
      <c r="H4371" s="16" t="n">
        <v>0.29</v>
      </c>
      <c r="I4371" s="1" t="s">
        <v>31</v>
      </c>
      <c r="J4371" s="1" t="n">
        <v>10</v>
      </c>
      <c r="K4371" s="1" t="n">
        <v>2.2</v>
      </c>
      <c r="L4371" s="15" t="n">
        <v>809.38</v>
      </c>
      <c r="M4371" s="15" t="n">
        <f aca="false">F4371*G4371</f>
        <v>1139.97</v>
      </c>
      <c r="N4371" s="15" t="n">
        <f aca="false">M4371-L4371</f>
        <v>330.59</v>
      </c>
      <c r="O4371" s="1" t="n">
        <f aca="false">YEAR(B4371)</f>
        <v>2033</v>
      </c>
      <c r="P4371" s="1" t="n">
        <f aca="false">MONTH(B4371)</f>
        <v>12</v>
      </c>
      <c r="Q4371" s="1" t="str">
        <f aca="false">TEXT(B4371,"mmm")</f>
        <v>Dec</v>
      </c>
      <c r="R4371" s="1" t="str">
        <f aca="false">"Q"&amp;ROUNDUP(MONTH(B4371)/3,0)</f>
        <v>Q4</v>
      </c>
    </row>
    <row r="4372" customFormat="false" ht="15" hidden="false" customHeight="true" outlineLevel="0" collapsed="false">
      <c r="A4372" s="1" t="n">
        <v>14371</v>
      </c>
      <c r="B4372" s="14" t="n">
        <v>48932</v>
      </c>
      <c r="C4372" s="1" t="n">
        <v>1660</v>
      </c>
      <c r="D4372" s="1" t="s">
        <v>34</v>
      </c>
      <c r="E4372" s="1" t="s">
        <v>35</v>
      </c>
      <c r="F4372" s="1" t="n">
        <v>6</v>
      </c>
      <c r="G4372" s="15" t="n">
        <v>150.82</v>
      </c>
      <c r="H4372" s="16" t="n">
        <v>0.25</v>
      </c>
      <c r="I4372" s="1" t="s">
        <v>33</v>
      </c>
      <c r="J4372" s="1" t="n">
        <v>11</v>
      </c>
      <c r="K4372" s="1" t="n">
        <v>4.3</v>
      </c>
      <c r="L4372" s="15" t="n">
        <v>678.69</v>
      </c>
      <c r="M4372" s="15" t="n">
        <f aca="false">F4372*G4372</f>
        <v>904.92</v>
      </c>
      <c r="N4372" s="15" t="n">
        <f aca="false">M4372-L4372</f>
        <v>226.23</v>
      </c>
      <c r="O4372" s="1" t="n">
        <f aca="false">YEAR(B4372)</f>
        <v>2033</v>
      </c>
      <c r="P4372" s="1" t="n">
        <f aca="false">MONTH(B4372)</f>
        <v>12</v>
      </c>
      <c r="Q4372" s="1" t="str">
        <f aca="false">TEXT(B4372,"mmm")</f>
        <v>Dec</v>
      </c>
      <c r="R4372" s="1" t="str">
        <f aca="false">"Q"&amp;ROUNDUP(MONTH(B4372)/3,0)</f>
        <v>Q4</v>
      </c>
    </row>
    <row r="4373" customFormat="false" ht="15" hidden="false" customHeight="true" outlineLevel="0" collapsed="false">
      <c r="A4373" s="1" t="n">
        <v>14372</v>
      </c>
      <c r="B4373" s="14" t="n">
        <v>48933</v>
      </c>
      <c r="C4373" s="1" t="n">
        <v>1324</v>
      </c>
      <c r="D4373" s="1" t="s">
        <v>37</v>
      </c>
      <c r="E4373" s="1" t="s">
        <v>28</v>
      </c>
      <c r="F4373" s="1" t="n">
        <v>3</v>
      </c>
      <c r="G4373" s="15" t="n">
        <v>435.44</v>
      </c>
      <c r="H4373" s="16" t="n">
        <v>0.3</v>
      </c>
      <c r="I4373" s="1" t="s">
        <v>29</v>
      </c>
      <c r="J4373" s="1" t="n">
        <v>10</v>
      </c>
      <c r="K4373" s="1" t="n">
        <v>3.8</v>
      </c>
      <c r="L4373" s="15" t="n">
        <v>914.42</v>
      </c>
      <c r="M4373" s="15" t="n">
        <f aca="false">F4373*G4373</f>
        <v>1306.32</v>
      </c>
      <c r="N4373" s="15" t="n">
        <f aca="false">M4373-L4373</f>
        <v>391.9</v>
      </c>
      <c r="O4373" s="1" t="n">
        <f aca="false">YEAR(B4373)</f>
        <v>2033</v>
      </c>
      <c r="P4373" s="1" t="n">
        <f aca="false">MONTH(B4373)</f>
        <v>12</v>
      </c>
      <c r="Q4373" s="1" t="str">
        <f aca="false">TEXT(B4373,"mmm")</f>
        <v>Dec</v>
      </c>
      <c r="R4373" s="1" t="str">
        <f aca="false">"Q"&amp;ROUNDUP(MONTH(B4373)/3,0)</f>
        <v>Q4</v>
      </c>
    </row>
    <row r="4374" customFormat="false" ht="15" hidden="false" customHeight="true" outlineLevel="0" collapsed="false">
      <c r="A4374" s="1" t="n">
        <v>14373</v>
      </c>
      <c r="B4374" s="14" t="n">
        <v>48934</v>
      </c>
      <c r="C4374" s="1" t="n">
        <v>1303</v>
      </c>
      <c r="D4374" s="1" t="s">
        <v>27</v>
      </c>
      <c r="E4374" s="1" t="s">
        <v>35</v>
      </c>
      <c r="F4374" s="1" t="n">
        <v>2</v>
      </c>
      <c r="G4374" s="15" t="n">
        <v>335.06</v>
      </c>
      <c r="H4374" s="16" t="n">
        <v>0.14</v>
      </c>
      <c r="I4374" s="1" t="s">
        <v>31</v>
      </c>
      <c r="J4374" s="1" t="n">
        <v>8</v>
      </c>
      <c r="K4374" s="1" t="n">
        <v>4.4</v>
      </c>
      <c r="L4374" s="15" t="n">
        <v>576.3</v>
      </c>
      <c r="M4374" s="15" t="n">
        <f aca="false">F4374*G4374</f>
        <v>670.12</v>
      </c>
      <c r="N4374" s="15" t="n">
        <f aca="false">M4374-L4374</f>
        <v>93.8200000000001</v>
      </c>
      <c r="O4374" s="1" t="n">
        <f aca="false">YEAR(B4374)</f>
        <v>2033</v>
      </c>
      <c r="P4374" s="1" t="n">
        <f aca="false">MONTH(B4374)</f>
        <v>12</v>
      </c>
      <c r="Q4374" s="1" t="str">
        <f aca="false">TEXT(B4374,"mmm")</f>
        <v>Dec</v>
      </c>
      <c r="R4374" s="1" t="str">
        <f aca="false">"Q"&amp;ROUNDUP(MONTH(B4374)/3,0)</f>
        <v>Q4</v>
      </c>
    </row>
    <row r="4375" customFormat="false" ht="15" hidden="false" customHeight="true" outlineLevel="0" collapsed="false">
      <c r="A4375" s="1" t="n">
        <v>14374</v>
      </c>
      <c r="B4375" s="14" t="n">
        <v>48935</v>
      </c>
      <c r="C4375" s="1" t="n">
        <v>1275</v>
      </c>
      <c r="D4375" s="1" t="s">
        <v>37</v>
      </c>
      <c r="E4375" s="1" t="s">
        <v>32</v>
      </c>
      <c r="F4375" s="1" t="n">
        <v>6</v>
      </c>
      <c r="G4375" s="15" t="n">
        <v>276.37</v>
      </c>
      <c r="H4375" s="16" t="n">
        <v>0.04</v>
      </c>
      <c r="I4375" s="1" t="s">
        <v>33</v>
      </c>
      <c r="J4375" s="1" t="n">
        <v>11</v>
      </c>
      <c r="K4375" s="1" t="n">
        <v>2.5</v>
      </c>
      <c r="L4375" s="15" t="n">
        <v>1591.89</v>
      </c>
      <c r="M4375" s="15" t="n">
        <f aca="false">F4375*G4375</f>
        <v>1658.22</v>
      </c>
      <c r="N4375" s="15" t="n">
        <f aca="false">M4375-L4375</f>
        <v>66.3299999999999</v>
      </c>
      <c r="O4375" s="1" t="n">
        <f aca="false">YEAR(B4375)</f>
        <v>2033</v>
      </c>
      <c r="P4375" s="1" t="n">
        <f aca="false">MONTH(B4375)</f>
        <v>12</v>
      </c>
      <c r="Q4375" s="1" t="str">
        <f aca="false">TEXT(B4375,"mmm")</f>
        <v>Dec</v>
      </c>
      <c r="R4375" s="1" t="str">
        <f aca="false">"Q"&amp;ROUNDUP(MONTH(B4375)/3,0)</f>
        <v>Q4</v>
      </c>
    </row>
    <row r="4376" customFormat="false" ht="15" hidden="false" customHeight="true" outlineLevel="0" collapsed="false">
      <c r="A4376" s="1" t="n">
        <v>14375</v>
      </c>
      <c r="B4376" s="14" t="n">
        <v>48936</v>
      </c>
      <c r="C4376" s="1" t="n">
        <v>1868</v>
      </c>
      <c r="D4376" s="1" t="s">
        <v>34</v>
      </c>
      <c r="E4376" s="1" t="s">
        <v>28</v>
      </c>
      <c r="F4376" s="1" t="n">
        <v>5</v>
      </c>
      <c r="G4376" s="15" t="n">
        <v>488.72</v>
      </c>
      <c r="H4376" s="16" t="n">
        <v>0.29</v>
      </c>
      <c r="I4376" s="1" t="s">
        <v>29</v>
      </c>
      <c r="J4376" s="1" t="n">
        <v>5</v>
      </c>
      <c r="K4376" s="1" t="n">
        <v>3.4</v>
      </c>
      <c r="L4376" s="15" t="n">
        <v>1734.96</v>
      </c>
      <c r="M4376" s="15" t="n">
        <f aca="false">F4376*G4376</f>
        <v>2443.6</v>
      </c>
      <c r="N4376" s="15" t="n">
        <f aca="false">M4376-L4376</f>
        <v>708.64</v>
      </c>
      <c r="O4376" s="1" t="n">
        <f aca="false">YEAR(B4376)</f>
        <v>2033</v>
      </c>
      <c r="P4376" s="1" t="n">
        <f aca="false">MONTH(B4376)</f>
        <v>12</v>
      </c>
      <c r="Q4376" s="1" t="str">
        <f aca="false">TEXT(B4376,"mmm")</f>
        <v>Dec</v>
      </c>
      <c r="R4376" s="1" t="str">
        <f aca="false">"Q"&amp;ROUNDUP(MONTH(B4376)/3,0)</f>
        <v>Q4</v>
      </c>
    </row>
    <row r="4377" customFormat="false" ht="15" hidden="false" customHeight="true" outlineLevel="0" collapsed="false">
      <c r="A4377" s="1" t="n">
        <v>14376</v>
      </c>
      <c r="B4377" s="14" t="n">
        <v>48937</v>
      </c>
      <c r="C4377" s="1" t="n">
        <v>1962</v>
      </c>
      <c r="D4377" s="1" t="s">
        <v>30</v>
      </c>
      <c r="E4377" s="1" t="s">
        <v>28</v>
      </c>
      <c r="F4377" s="1" t="n">
        <v>7</v>
      </c>
      <c r="G4377" s="15" t="n">
        <v>157.44</v>
      </c>
      <c r="H4377" s="16" t="n">
        <v>0.17</v>
      </c>
      <c r="I4377" s="1" t="s">
        <v>29</v>
      </c>
      <c r="J4377" s="1" t="n">
        <v>9</v>
      </c>
      <c r="K4377" s="1" t="n">
        <v>3.1</v>
      </c>
      <c r="L4377" s="15" t="n">
        <v>914.73</v>
      </c>
      <c r="M4377" s="15" t="n">
        <f aca="false">F4377*G4377</f>
        <v>1102.08</v>
      </c>
      <c r="N4377" s="15" t="n">
        <f aca="false">M4377-L4377</f>
        <v>187.35</v>
      </c>
      <c r="O4377" s="1" t="n">
        <f aca="false">YEAR(B4377)</f>
        <v>2033</v>
      </c>
      <c r="P4377" s="1" t="n">
        <f aca="false">MONTH(B4377)</f>
        <v>12</v>
      </c>
      <c r="Q4377" s="1" t="str">
        <f aca="false">TEXT(B4377,"mmm")</f>
        <v>Dec</v>
      </c>
      <c r="R4377" s="1" t="str">
        <f aca="false">"Q"&amp;ROUNDUP(MONTH(B4377)/3,0)</f>
        <v>Q4</v>
      </c>
    </row>
    <row r="4378" customFormat="false" ht="15" hidden="false" customHeight="true" outlineLevel="0" collapsed="false">
      <c r="A4378" s="1" t="n">
        <v>14377</v>
      </c>
      <c r="B4378" s="14" t="n">
        <v>48938</v>
      </c>
      <c r="C4378" s="1" t="n">
        <v>1683</v>
      </c>
      <c r="D4378" s="1" t="s">
        <v>37</v>
      </c>
      <c r="E4378" s="1" t="s">
        <v>36</v>
      </c>
      <c r="F4378" s="1" t="n">
        <v>5</v>
      </c>
      <c r="G4378" s="15" t="n">
        <v>531.66</v>
      </c>
      <c r="H4378" s="16" t="n">
        <v>0.04</v>
      </c>
      <c r="I4378" s="1" t="s">
        <v>33</v>
      </c>
      <c r="J4378" s="1" t="n">
        <v>11</v>
      </c>
      <c r="K4378" s="1" t="n">
        <v>2.9</v>
      </c>
      <c r="L4378" s="15" t="n">
        <v>2551.97</v>
      </c>
      <c r="M4378" s="15" t="n">
        <f aca="false">F4378*G4378</f>
        <v>2658.3</v>
      </c>
      <c r="N4378" s="15" t="n">
        <f aca="false">M4378-L4378</f>
        <v>106.33</v>
      </c>
      <c r="O4378" s="1" t="n">
        <f aca="false">YEAR(B4378)</f>
        <v>2033</v>
      </c>
      <c r="P4378" s="1" t="n">
        <f aca="false">MONTH(B4378)</f>
        <v>12</v>
      </c>
      <c r="Q4378" s="1" t="str">
        <f aca="false">TEXT(B4378,"mmm")</f>
        <v>Dec</v>
      </c>
      <c r="R4378" s="1" t="str">
        <f aca="false">"Q"&amp;ROUNDUP(MONTH(B4378)/3,0)</f>
        <v>Q4</v>
      </c>
    </row>
    <row r="4379" customFormat="false" ht="15" hidden="false" customHeight="true" outlineLevel="0" collapsed="false">
      <c r="A4379" s="1" t="n">
        <v>14378</v>
      </c>
      <c r="B4379" s="14" t="n">
        <v>48939</v>
      </c>
      <c r="C4379" s="1" t="n">
        <v>1928</v>
      </c>
      <c r="D4379" s="1" t="s">
        <v>34</v>
      </c>
      <c r="E4379" s="1" t="s">
        <v>36</v>
      </c>
      <c r="F4379" s="1" t="n">
        <v>1</v>
      </c>
      <c r="G4379" s="15" t="n">
        <v>343.21</v>
      </c>
      <c r="H4379" s="16" t="n">
        <v>0.04</v>
      </c>
      <c r="I4379" s="1" t="s">
        <v>31</v>
      </c>
      <c r="J4379" s="1" t="n">
        <v>7</v>
      </c>
      <c r="K4379" s="1" t="n">
        <v>2.2</v>
      </c>
      <c r="L4379" s="15" t="n">
        <v>329.48</v>
      </c>
      <c r="M4379" s="15" t="n">
        <f aca="false">F4379*G4379</f>
        <v>343.21</v>
      </c>
      <c r="N4379" s="15" t="n">
        <f aca="false">M4379-L4379</f>
        <v>13.73</v>
      </c>
      <c r="O4379" s="1" t="n">
        <f aca="false">YEAR(B4379)</f>
        <v>2033</v>
      </c>
      <c r="P4379" s="1" t="n">
        <f aca="false">MONTH(B4379)</f>
        <v>12</v>
      </c>
      <c r="Q4379" s="1" t="str">
        <f aca="false">TEXT(B4379,"mmm")</f>
        <v>Dec</v>
      </c>
      <c r="R4379" s="1" t="str">
        <f aca="false">"Q"&amp;ROUNDUP(MONTH(B4379)/3,0)</f>
        <v>Q4</v>
      </c>
    </row>
    <row r="4380" customFormat="false" ht="15" hidden="false" customHeight="true" outlineLevel="0" collapsed="false">
      <c r="A4380" s="1" t="n">
        <v>14379</v>
      </c>
      <c r="B4380" s="14" t="n">
        <v>48940</v>
      </c>
      <c r="C4380" s="1" t="n">
        <v>1200</v>
      </c>
      <c r="D4380" s="1" t="s">
        <v>34</v>
      </c>
      <c r="E4380" s="1" t="s">
        <v>35</v>
      </c>
      <c r="F4380" s="1" t="n">
        <v>3</v>
      </c>
      <c r="G4380" s="15" t="n">
        <v>371.37</v>
      </c>
      <c r="H4380" s="16" t="n">
        <v>0.06</v>
      </c>
      <c r="I4380" s="1" t="s">
        <v>33</v>
      </c>
      <c r="J4380" s="1" t="n">
        <v>1</v>
      </c>
      <c r="K4380" s="1" t="n">
        <v>3.8</v>
      </c>
      <c r="L4380" s="15" t="n">
        <v>1047.26</v>
      </c>
      <c r="M4380" s="15" t="n">
        <f aca="false">F4380*G4380</f>
        <v>1114.11</v>
      </c>
      <c r="N4380" s="15" t="n">
        <f aca="false">M4380-L4380</f>
        <v>66.8500000000001</v>
      </c>
      <c r="O4380" s="1" t="n">
        <f aca="false">YEAR(B4380)</f>
        <v>2033</v>
      </c>
      <c r="P4380" s="1" t="n">
        <f aca="false">MONTH(B4380)</f>
        <v>12</v>
      </c>
      <c r="Q4380" s="1" t="str">
        <f aca="false">TEXT(B4380,"mmm")</f>
        <v>Dec</v>
      </c>
      <c r="R4380" s="1" t="str">
        <f aca="false">"Q"&amp;ROUNDUP(MONTH(B4380)/3,0)</f>
        <v>Q4</v>
      </c>
    </row>
    <row r="4381" customFormat="false" ht="15" hidden="false" customHeight="true" outlineLevel="0" collapsed="false">
      <c r="A4381" s="1" t="n">
        <v>14380</v>
      </c>
      <c r="B4381" s="14" t="n">
        <v>48941</v>
      </c>
      <c r="C4381" s="1" t="n">
        <v>1444</v>
      </c>
      <c r="D4381" s="1" t="s">
        <v>27</v>
      </c>
      <c r="E4381" s="1" t="s">
        <v>36</v>
      </c>
      <c r="F4381" s="1" t="n">
        <v>3</v>
      </c>
      <c r="G4381" s="15" t="n">
        <v>526.91</v>
      </c>
      <c r="H4381" s="16" t="n">
        <v>0.26</v>
      </c>
      <c r="I4381" s="1" t="s">
        <v>33</v>
      </c>
      <c r="J4381" s="1" t="n">
        <v>11</v>
      </c>
      <c r="K4381" s="1" t="n">
        <v>3.1</v>
      </c>
      <c r="L4381" s="15" t="n">
        <v>1169.74</v>
      </c>
      <c r="M4381" s="15" t="n">
        <f aca="false">F4381*G4381</f>
        <v>1580.73</v>
      </c>
      <c r="N4381" s="15" t="n">
        <f aca="false">M4381-L4381</f>
        <v>410.99</v>
      </c>
      <c r="O4381" s="1" t="n">
        <f aca="false">YEAR(B4381)</f>
        <v>2033</v>
      </c>
      <c r="P4381" s="1" t="n">
        <f aca="false">MONTH(B4381)</f>
        <v>12</v>
      </c>
      <c r="Q4381" s="1" t="str">
        <f aca="false">TEXT(B4381,"mmm")</f>
        <v>Dec</v>
      </c>
      <c r="R4381" s="1" t="str">
        <f aca="false">"Q"&amp;ROUNDUP(MONTH(B4381)/3,0)</f>
        <v>Q4</v>
      </c>
    </row>
    <row r="4382" customFormat="false" ht="15" hidden="false" customHeight="true" outlineLevel="0" collapsed="false">
      <c r="A4382" s="1" t="n">
        <v>14381</v>
      </c>
      <c r="B4382" s="14" t="n">
        <v>48942</v>
      </c>
      <c r="C4382" s="1" t="n">
        <v>1904</v>
      </c>
      <c r="D4382" s="1" t="s">
        <v>34</v>
      </c>
      <c r="E4382" s="1" t="s">
        <v>36</v>
      </c>
      <c r="F4382" s="1" t="n">
        <v>4</v>
      </c>
      <c r="G4382" s="15" t="n">
        <v>493.29</v>
      </c>
      <c r="H4382" s="16" t="n">
        <v>0.25</v>
      </c>
      <c r="I4382" s="1" t="s">
        <v>33</v>
      </c>
      <c r="J4382" s="1" t="n">
        <v>1</v>
      </c>
      <c r="K4382" s="1" t="n">
        <v>1.3</v>
      </c>
      <c r="L4382" s="15" t="n">
        <v>1479.87</v>
      </c>
      <c r="M4382" s="15" t="n">
        <f aca="false">F4382*G4382</f>
        <v>1973.16</v>
      </c>
      <c r="N4382" s="15" t="n">
        <f aca="false">M4382-L4382</f>
        <v>493.29</v>
      </c>
      <c r="O4382" s="1" t="n">
        <f aca="false">YEAR(B4382)</f>
        <v>2033</v>
      </c>
      <c r="P4382" s="1" t="n">
        <f aca="false">MONTH(B4382)</f>
        <v>12</v>
      </c>
      <c r="Q4382" s="1" t="str">
        <f aca="false">TEXT(B4382,"mmm")</f>
        <v>Dec</v>
      </c>
      <c r="R4382" s="1" t="str">
        <f aca="false">"Q"&amp;ROUNDUP(MONTH(B4382)/3,0)</f>
        <v>Q4</v>
      </c>
    </row>
    <row r="4383" customFormat="false" ht="15" hidden="false" customHeight="true" outlineLevel="0" collapsed="false">
      <c r="A4383" s="1" t="n">
        <v>14382</v>
      </c>
      <c r="B4383" s="14" t="n">
        <v>48943</v>
      </c>
      <c r="C4383" s="1" t="n">
        <v>1323</v>
      </c>
      <c r="D4383" s="1" t="s">
        <v>37</v>
      </c>
      <c r="E4383" s="1" t="s">
        <v>36</v>
      </c>
      <c r="F4383" s="1" t="n">
        <v>6</v>
      </c>
      <c r="G4383" s="15" t="n">
        <v>366.91</v>
      </c>
      <c r="H4383" s="16" t="n">
        <v>0.07</v>
      </c>
      <c r="I4383" s="1" t="s">
        <v>29</v>
      </c>
      <c r="J4383" s="1" t="n">
        <v>7</v>
      </c>
      <c r="K4383" s="1" t="n">
        <v>1</v>
      </c>
      <c r="L4383" s="15" t="n">
        <v>2047.36</v>
      </c>
      <c r="M4383" s="15" t="n">
        <f aca="false">F4383*G4383</f>
        <v>2201.46</v>
      </c>
      <c r="N4383" s="15" t="n">
        <f aca="false">M4383-L4383</f>
        <v>154.1</v>
      </c>
      <c r="O4383" s="1" t="n">
        <f aca="false">YEAR(B4383)</f>
        <v>2033</v>
      </c>
      <c r="P4383" s="1" t="n">
        <f aca="false">MONTH(B4383)</f>
        <v>12</v>
      </c>
      <c r="Q4383" s="1" t="str">
        <f aca="false">TEXT(B4383,"mmm")</f>
        <v>Dec</v>
      </c>
      <c r="R4383" s="1" t="str">
        <f aca="false">"Q"&amp;ROUNDUP(MONTH(B4383)/3,0)</f>
        <v>Q4</v>
      </c>
    </row>
    <row r="4384" customFormat="false" ht="15" hidden="false" customHeight="true" outlineLevel="0" collapsed="false">
      <c r="A4384" s="1" t="n">
        <v>14383</v>
      </c>
      <c r="B4384" s="14" t="n">
        <v>48944</v>
      </c>
      <c r="C4384" s="1" t="n">
        <v>1034</v>
      </c>
      <c r="D4384" s="1" t="s">
        <v>30</v>
      </c>
      <c r="E4384" s="1" t="s">
        <v>36</v>
      </c>
      <c r="F4384" s="1" t="n">
        <v>4</v>
      </c>
      <c r="G4384" s="15" t="n">
        <v>455.61</v>
      </c>
      <c r="H4384" s="16" t="n">
        <v>0.3</v>
      </c>
      <c r="I4384" s="1" t="s">
        <v>31</v>
      </c>
      <c r="J4384" s="1" t="n">
        <v>11</v>
      </c>
      <c r="K4384" s="1" t="n">
        <v>1.1</v>
      </c>
      <c r="L4384" s="15" t="n">
        <v>1275.71</v>
      </c>
      <c r="M4384" s="15" t="n">
        <f aca="false">F4384*G4384</f>
        <v>1822.44</v>
      </c>
      <c r="N4384" s="15" t="n">
        <f aca="false">M4384-L4384</f>
        <v>546.73</v>
      </c>
      <c r="O4384" s="1" t="n">
        <f aca="false">YEAR(B4384)</f>
        <v>2033</v>
      </c>
      <c r="P4384" s="1" t="n">
        <f aca="false">MONTH(B4384)</f>
        <v>12</v>
      </c>
      <c r="Q4384" s="1" t="str">
        <f aca="false">TEXT(B4384,"mmm")</f>
        <v>Dec</v>
      </c>
      <c r="R4384" s="1" t="str">
        <f aca="false">"Q"&amp;ROUNDUP(MONTH(B4384)/3,0)</f>
        <v>Q4</v>
      </c>
    </row>
    <row r="4385" customFormat="false" ht="15" hidden="false" customHeight="true" outlineLevel="0" collapsed="false">
      <c r="A4385" s="1" t="n">
        <v>14384</v>
      </c>
      <c r="B4385" s="14" t="n">
        <v>48945</v>
      </c>
      <c r="C4385" s="1" t="n">
        <v>1976</v>
      </c>
      <c r="D4385" s="1" t="s">
        <v>30</v>
      </c>
      <c r="E4385" s="1" t="s">
        <v>32</v>
      </c>
      <c r="F4385" s="1" t="n">
        <v>6</v>
      </c>
      <c r="G4385" s="15" t="n">
        <v>268.49</v>
      </c>
      <c r="H4385" s="16" t="n">
        <v>0.1</v>
      </c>
      <c r="I4385" s="1" t="s">
        <v>31</v>
      </c>
      <c r="J4385" s="1" t="n">
        <v>7</v>
      </c>
      <c r="K4385" s="1" t="n">
        <v>1.3</v>
      </c>
      <c r="L4385" s="15" t="n">
        <v>1449.85</v>
      </c>
      <c r="M4385" s="15" t="n">
        <f aca="false">F4385*G4385</f>
        <v>1610.94</v>
      </c>
      <c r="N4385" s="15" t="n">
        <f aca="false">M4385-L4385</f>
        <v>161.09</v>
      </c>
      <c r="O4385" s="1" t="n">
        <f aca="false">YEAR(B4385)</f>
        <v>2034</v>
      </c>
      <c r="P4385" s="1" t="n">
        <f aca="false">MONTH(B4385)</f>
        <v>1</v>
      </c>
      <c r="Q4385" s="1" t="str">
        <f aca="false">TEXT(B4385,"mmm")</f>
        <v>Jan</v>
      </c>
      <c r="R4385" s="1" t="str">
        <f aca="false">"Q"&amp;ROUNDUP(MONTH(B4385)/3,0)</f>
        <v>Q1</v>
      </c>
    </row>
    <row r="4386" customFormat="false" ht="15" hidden="false" customHeight="true" outlineLevel="0" collapsed="false">
      <c r="A4386" s="1" t="n">
        <v>14385</v>
      </c>
      <c r="B4386" s="14" t="n">
        <v>48946</v>
      </c>
      <c r="C4386" s="1" t="n">
        <v>1481</v>
      </c>
      <c r="D4386" s="1" t="s">
        <v>34</v>
      </c>
      <c r="E4386" s="1" t="s">
        <v>32</v>
      </c>
      <c r="F4386" s="1" t="n">
        <v>2</v>
      </c>
      <c r="G4386" s="15" t="n">
        <v>335.22</v>
      </c>
      <c r="H4386" s="16" t="n">
        <v>0.28</v>
      </c>
      <c r="I4386" s="1" t="s">
        <v>33</v>
      </c>
      <c r="J4386" s="1" t="n">
        <v>9</v>
      </c>
      <c r="K4386" s="1" t="n">
        <v>2.5</v>
      </c>
      <c r="L4386" s="15" t="n">
        <v>482.72</v>
      </c>
      <c r="M4386" s="15" t="n">
        <f aca="false">F4386*G4386</f>
        <v>670.44</v>
      </c>
      <c r="N4386" s="15" t="n">
        <f aca="false">M4386-L4386</f>
        <v>187.72</v>
      </c>
      <c r="O4386" s="1" t="n">
        <f aca="false">YEAR(B4386)</f>
        <v>2034</v>
      </c>
      <c r="P4386" s="1" t="n">
        <f aca="false">MONTH(B4386)</f>
        <v>1</v>
      </c>
      <c r="Q4386" s="1" t="str">
        <f aca="false">TEXT(B4386,"mmm")</f>
        <v>Jan</v>
      </c>
      <c r="R4386" s="1" t="str">
        <f aca="false">"Q"&amp;ROUNDUP(MONTH(B4386)/3,0)</f>
        <v>Q1</v>
      </c>
    </row>
    <row r="4387" customFormat="false" ht="15" hidden="false" customHeight="true" outlineLevel="0" collapsed="false">
      <c r="A4387" s="1" t="n">
        <v>14386</v>
      </c>
      <c r="B4387" s="14" t="n">
        <v>48947</v>
      </c>
      <c r="C4387" s="1" t="n">
        <v>1727</v>
      </c>
      <c r="D4387" s="1" t="s">
        <v>37</v>
      </c>
      <c r="E4387" s="1" t="s">
        <v>36</v>
      </c>
      <c r="F4387" s="1" t="n">
        <v>6</v>
      </c>
      <c r="G4387" s="15" t="n">
        <v>51.31</v>
      </c>
      <c r="H4387" s="16" t="n">
        <v>0.17</v>
      </c>
      <c r="I4387" s="1" t="s">
        <v>29</v>
      </c>
      <c r="J4387" s="1" t="n">
        <v>2</v>
      </c>
      <c r="K4387" s="1" t="n">
        <v>2.2</v>
      </c>
      <c r="L4387" s="15" t="n">
        <v>255.52</v>
      </c>
      <c r="M4387" s="15" t="n">
        <f aca="false">F4387*G4387</f>
        <v>307.86</v>
      </c>
      <c r="N4387" s="15" t="n">
        <f aca="false">M4387-L4387</f>
        <v>52.34</v>
      </c>
      <c r="O4387" s="1" t="n">
        <f aca="false">YEAR(B4387)</f>
        <v>2034</v>
      </c>
      <c r="P4387" s="1" t="n">
        <f aca="false">MONTH(B4387)</f>
        <v>1</v>
      </c>
      <c r="Q4387" s="1" t="str">
        <f aca="false">TEXT(B4387,"mmm")</f>
        <v>Jan</v>
      </c>
      <c r="R4387" s="1" t="str">
        <f aca="false">"Q"&amp;ROUNDUP(MONTH(B4387)/3,0)</f>
        <v>Q1</v>
      </c>
    </row>
    <row r="4388" customFormat="false" ht="15" hidden="false" customHeight="true" outlineLevel="0" collapsed="false">
      <c r="A4388" s="1" t="n">
        <v>14387</v>
      </c>
      <c r="B4388" s="14" t="n">
        <v>48948</v>
      </c>
      <c r="C4388" s="1" t="n">
        <v>1479</v>
      </c>
      <c r="D4388" s="1" t="s">
        <v>30</v>
      </c>
      <c r="E4388" s="1" t="s">
        <v>35</v>
      </c>
      <c r="F4388" s="1" t="n">
        <v>5</v>
      </c>
      <c r="G4388" s="15" t="n">
        <v>67.57</v>
      </c>
      <c r="H4388" s="16" t="n">
        <v>0.26</v>
      </c>
      <c r="I4388" s="1" t="s">
        <v>33</v>
      </c>
      <c r="J4388" s="1" t="n">
        <v>7</v>
      </c>
      <c r="K4388" s="1" t="n">
        <v>1.6</v>
      </c>
      <c r="L4388" s="15" t="n">
        <v>250.01</v>
      </c>
      <c r="M4388" s="15" t="n">
        <f aca="false">F4388*G4388</f>
        <v>337.85</v>
      </c>
      <c r="N4388" s="15" t="n">
        <f aca="false">M4388-L4388</f>
        <v>87.84</v>
      </c>
      <c r="O4388" s="1" t="n">
        <f aca="false">YEAR(B4388)</f>
        <v>2034</v>
      </c>
      <c r="P4388" s="1" t="n">
        <f aca="false">MONTH(B4388)</f>
        <v>1</v>
      </c>
      <c r="Q4388" s="1" t="str">
        <f aca="false">TEXT(B4388,"mmm")</f>
        <v>Jan</v>
      </c>
      <c r="R4388" s="1" t="str">
        <f aca="false">"Q"&amp;ROUNDUP(MONTH(B4388)/3,0)</f>
        <v>Q1</v>
      </c>
    </row>
    <row r="4389" customFormat="false" ht="15" hidden="false" customHeight="true" outlineLevel="0" collapsed="false">
      <c r="A4389" s="1" t="n">
        <v>14388</v>
      </c>
      <c r="B4389" s="14" t="n">
        <v>48949</v>
      </c>
      <c r="C4389" s="1" t="n">
        <v>1064</v>
      </c>
      <c r="D4389" s="1" t="s">
        <v>30</v>
      </c>
      <c r="E4389" s="1" t="s">
        <v>32</v>
      </c>
      <c r="F4389" s="1" t="n">
        <v>1</v>
      </c>
      <c r="G4389" s="15" t="n">
        <v>500.21</v>
      </c>
      <c r="H4389" s="16" t="n">
        <v>0.13</v>
      </c>
      <c r="I4389" s="1" t="s">
        <v>29</v>
      </c>
      <c r="J4389" s="1" t="n">
        <v>2</v>
      </c>
      <c r="K4389" s="1" t="n">
        <v>3.1</v>
      </c>
      <c r="L4389" s="15" t="n">
        <v>435.18</v>
      </c>
      <c r="M4389" s="15" t="n">
        <f aca="false">F4389*G4389</f>
        <v>500.21</v>
      </c>
      <c r="N4389" s="15" t="n">
        <f aca="false">M4389-L4389</f>
        <v>65.03</v>
      </c>
      <c r="O4389" s="1" t="n">
        <f aca="false">YEAR(B4389)</f>
        <v>2034</v>
      </c>
      <c r="P4389" s="1" t="n">
        <f aca="false">MONTH(B4389)</f>
        <v>1</v>
      </c>
      <c r="Q4389" s="1" t="str">
        <f aca="false">TEXT(B4389,"mmm")</f>
        <v>Jan</v>
      </c>
      <c r="R4389" s="1" t="str">
        <f aca="false">"Q"&amp;ROUNDUP(MONTH(B4389)/3,0)</f>
        <v>Q1</v>
      </c>
    </row>
    <row r="4390" customFormat="false" ht="15" hidden="false" customHeight="true" outlineLevel="0" collapsed="false">
      <c r="A4390" s="1" t="n">
        <v>14389</v>
      </c>
      <c r="B4390" s="14" t="n">
        <v>48950</v>
      </c>
      <c r="C4390" s="1" t="n">
        <v>1007</v>
      </c>
      <c r="D4390" s="1" t="s">
        <v>37</v>
      </c>
      <c r="E4390" s="1" t="s">
        <v>36</v>
      </c>
      <c r="F4390" s="1" t="n">
        <v>7</v>
      </c>
      <c r="G4390" s="15" t="n">
        <v>49.91</v>
      </c>
      <c r="H4390" s="16" t="n">
        <v>0.12</v>
      </c>
      <c r="I4390" s="1" t="s">
        <v>29</v>
      </c>
      <c r="J4390" s="1" t="n">
        <v>10</v>
      </c>
      <c r="K4390" s="1" t="n">
        <v>4.9</v>
      </c>
      <c r="L4390" s="15" t="n">
        <v>307.45</v>
      </c>
      <c r="M4390" s="15" t="n">
        <f aca="false">F4390*G4390</f>
        <v>349.37</v>
      </c>
      <c r="N4390" s="15" t="n">
        <f aca="false">M4390-L4390</f>
        <v>41.92</v>
      </c>
      <c r="O4390" s="1" t="n">
        <f aca="false">YEAR(B4390)</f>
        <v>2034</v>
      </c>
      <c r="P4390" s="1" t="n">
        <f aca="false">MONTH(B4390)</f>
        <v>1</v>
      </c>
      <c r="Q4390" s="1" t="str">
        <f aca="false">TEXT(B4390,"mmm")</f>
        <v>Jan</v>
      </c>
      <c r="R4390" s="1" t="str">
        <f aca="false">"Q"&amp;ROUNDUP(MONTH(B4390)/3,0)</f>
        <v>Q1</v>
      </c>
    </row>
    <row r="4391" customFormat="false" ht="15" hidden="false" customHeight="true" outlineLevel="0" collapsed="false">
      <c r="A4391" s="1" t="n">
        <v>14390</v>
      </c>
      <c r="B4391" s="14" t="n">
        <v>48951</v>
      </c>
      <c r="C4391" s="1" t="n">
        <v>1300</v>
      </c>
      <c r="D4391" s="1" t="s">
        <v>37</v>
      </c>
      <c r="E4391" s="1" t="s">
        <v>32</v>
      </c>
      <c r="F4391" s="1" t="n">
        <v>6</v>
      </c>
      <c r="G4391" s="15" t="n">
        <v>114.1</v>
      </c>
      <c r="H4391" s="16" t="n">
        <v>0.29</v>
      </c>
      <c r="I4391" s="1" t="s">
        <v>29</v>
      </c>
      <c r="J4391" s="1" t="n">
        <v>10</v>
      </c>
      <c r="K4391" s="1" t="n">
        <v>1.6</v>
      </c>
      <c r="L4391" s="15" t="n">
        <v>486.07</v>
      </c>
      <c r="M4391" s="15" t="n">
        <f aca="false">F4391*G4391</f>
        <v>684.6</v>
      </c>
      <c r="N4391" s="15" t="n">
        <f aca="false">M4391-L4391</f>
        <v>198.53</v>
      </c>
      <c r="O4391" s="1" t="n">
        <f aca="false">YEAR(B4391)</f>
        <v>2034</v>
      </c>
      <c r="P4391" s="1" t="n">
        <f aca="false">MONTH(B4391)</f>
        <v>1</v>
      </c>
      <c r="Q4391" s="1" t="str">
        <f aca="false">TEXT(B4391,"mmm")</f>
        <v>Jan</v>
      </c>
      <c r="R4391" s="1" t="str">
        <f aca="false">"Q"&amp;ROUNDUP(MONTH(B4391)/3,0)</f>
        <v>Q1</v>
      </c>
    </row>
    <row r="4392" customFormat="false" ht="15" hidden="false" customHeight="true" outlineLevel="0" collapsed="false">
      <c r="A4392" s="1" t="n">
        <v>14391</v>
      </c>
      <c r="B4392" s="14" t="n">
        <v>48952</v>
      </c>
      <c r="C4392" s="1" t="n">
        <v>1342</v>
      </c>
      <c r="D4392" s="1" t="s">
        <v>27</v>
      </c>
      <c r="E4392" s="1" t="s">
        <v>28</v>
      </c>
      <c r="F4392" s="1" t="n">
        <v>6</v>
      </c>
      <c r="G4392" s="15" t="n">
        <v>480.56</v>
      </c>
      <c r="H4392" s="16" t="n">
        <v>0.01</v>
      </c>
      <c r="I4392" s="1" t="s">
        <v>29</v>
      </c>
      <c r="J4392" s="1" t="n">
        <v>2</v>
      </c>
      <c r="K4392" s="1" t="n">
        <v>2</v>
      </c>
      <c r="L4392" s="15" t="n">
        <v>2854.53</v>
      </c>
      <c r="M4392" s="15" t="n">
        <f aca="false">F4392*G4392</f>
        <v>2883.36</v>
      </c>
      <c r="N4392" s="15" t="n">
        <f aca="false">M4392-L4392</f>
        <v>28.8299999999999</v>
      </c>
      <c r="O4392" s="1" t="n">
        <f aca="false">YEAR(B4392)</f>
        <v>2034</v>
      </c>
      <c r="P4392" s="1" t="n">
        <f aca="false">MONTH(B4392)</f>
        <v>1</v>
      </c>
      <c r="Q4392" s="1" t="str">
        <f aca="false">TEXT(B4392,"mmm")</f>
        <v>Jan</v>
      </c>
      <c r="R4392" s="1" t="str">
        <f aca="false">"Q"&amp;ROUNDUP(MONTH(B4392)/3,0)</f>
        <v>Q1</v>
      </c>
    </row>
    <row r="4393" customFormat="false" ht="15" hidden="false" customHeight="true" outlineLevel="0" collapsed="false">
      <c r="A4393" s="1" t="n">
        <v>14392</v>
      </c>
      <c r="B4393" s="14" t="n">
        <v>48953</v>
      </c>
      <c r="C4393" s="1" t="n">
        <v>1430</v>
      </c>
      <c r="D4393" s="1" t="s">
        <v>30</v>
      </c>
      <c r="E4393" s="1" t="s">
        <v>32</v>
      </c>
      <c r="F4393" s="1" t="n">
        <v>6</v>
      </c>
      <c r="G4393" s="15" t="n">
        <v>15.67</v>
      </c>
      <c r="H4393" s="16" t="n">
        <v>0.34</v>
      </c>
      <c r="I4393" s="1" t="s">
        <v>29</v>
      </c>
      <c r="J4393" s="1" t="n">
        <v>5</v>
      </c>
      <c r="K4393" s="1" t="n">
        <v>2.8</v>
      </c>
      <c r="L4393" s="15" t="n">
        <v>62.05</v>
      </c>
      <c r="M4393" s="15" t="n">
        <f aca="false">F4393*G4393</f>
        <v>94.02</v>
      </c>
      <c r="N4393" s="15" t="n">
        <f aca="false">M4393-L4393</f>
        <v>31.97</v>
      </c>
      <c r="O4393" s="1" t="n">
        <f aca="false">YEAR(B4393)</f>
        <v>2034</v>
      </c>
      <c r="P4393" s="1" t="n">
        <f aca="false">MONTH(B4393)</f>
        <v>1</v>
      </c>
      <c r="Q4393" s="1" t="str">
        <f aca="false">TEXT(B4393,"mmm")</f>
        <v>Jan</v>
      </c>
      <c r="R4393" s="1" t="str">
        <f aca="false">"Q"&amp;ROUNDUP(MONTH(B4393)/3,0)</f>
        <v>Q1</v>
      </c>
    </row>
    <row r="4394" customFormat="false" ht="15" hidden="false" customHeight="true" outlineLevel="0" collapsed="false">
      <c r="A4394" s="1" t="n">
        <v>14393</v>
      </c>
      <c r="B4394" s="14" t="n">
        <v>48954</v>
      </c>
      <c r="C4394" s="1" t="n">
        <v>1423</v>
      </c>
      <c r="D4394" s="1" t="s">
        <v>30</v>
      </c>
      <c r="E4394" s="1" t="s">
        <v>32</v>
      </c>
      <c r="F4394" s="1" t="n">
        <v>1</v>
      </c>
      <c r="G4394" s="15" t="n">
        <v>180.21</v>
      </c>
      <c r="H4394" s="16" t="n">
        <v>0.23</v>
      </c>
      <c r="I4394" s="1" t="s">
        <v>29</v>
      </c>
      <c r="J4394" s="1" t="n">
        <v>9</v>
      </c>
      <c r="K4394" s="1" t="n">
        <v>3.6</v>
      </c>
      <c r="L4394" s="15" t="n">
        <v>138.76</v>
      </c>
      <c r="M4394" s="15" t="n">
        <f aca="false">F4394*G4394</f>
        <v>180.21</v>
      </c>
      <c r="N4394" s="15" t="n">
        <f aca="false">M4394-L4394</f>
        <v>41.45</v>
      </c>
      <c r="O4394" s="1" t="n">
        <f aca="false">YEAR(B4394)</f>
        <v>2034</v>
      </c>
      <c r="P4394" s="1" t="n">
        <f aca="false">MONTH(B4394)</f>
        <v>1</v>
      </c>
      <c r="Q4394" s="1" t="str">
        <f aca="false">TEXT(B4394,"mmm")</f>
        <v>Jan</v>
      </c>
      <c r="R4394" s="1" t="str">
        <f aca="false">"Q"&amp;ROUNDUP(MONTH(B4394)/3,0)</f>
        <v>Q1</v>
      </c>
    </row>
    <row r="4395" customFormat="false" ht="15" hidden="false" customHeight="true" outlineLevel="0" collapsed="false">
      <c r="A4395" s="1" t="n">
        <v>14394</v>
      </c>
      <c r="B4395" s="14" t="n">
        <v>48955</v>
      </c>
      <c r="C4395" s="1" t="n">
        <v>1331</v>
      </c>
      <c r="D4395" s="1" t="s">
        <v>27</v>
      </c>
      <c r="E4395" s="1" t="s">
        <v>35</v>
      </c>
      <c r="F4395" s="1" t="n">
        <v>3</v>
      </c>
      <c r="G4395" s="15" t="n">
        <v>356.66</v>
      </c>
      <c r="H4395" s="16" t="n">
        <v>0.15</v>
      </c>
      <c r="I4395" s="1" t="s">
        <v>33</v>
      </c>
      <c r="J4395" s="1" t="n">
        <v>9</v>
      </c>
      <c r="K4395" s="1" t="n">
        <v>3.4</v>
      </c>
      <c r="L4395" s="15" t="n">
        <v>909.48</v>
      </c>
      <c r="M4395" s="15" t="n">
        <f aca="false">F4395*G4395</f>
        <v>1069.98</v>
      </c>
      <c r="N4395" s="15" t="n">
        <f aca="false">M4395-L4395</f>
        <v>160.5</v>
      </c>
      <c r="O4395" s="1" t="n">
        <f aca="false">YEAR(B4395)</f>
        <v>2034</v>
      </c>
      <c r="P4395" s="1" t="n">
        <f aca="false">MONTH(B4395)</f>
        <v>1</v>
      </c>
      <c r="Q4395" s="1" t="str">
        <f aca="false">TEXT(B4395,"mmm")</f>
        <v>Jan</v>
      </c>
      <c r="R4395" s="1" t="str">
        <f aca="false">"Q"&amp;ROUNDUP(MONTH(B4395)/3,0)</f>
        <v>Q1</v>
      </c>
    </row>
    <row r="4396" customFormat="false" ht="15" hidden="false" customHeight="true" outlineLevel="0" collapsed="false">
      <c r="A4396" s="1" t="n">
        <v>14395</v>
      </c>
      <c r="B4396" s="14" t="n">
        <v>48956</v>
      </c>
      <c r="C4396" s="1" t="n">
        <v>1437</v>
      </c>
      <c r="D4396" s="1" t="s">
        <v>30</v>
      </c>
      <c r="E4396" s="1" t="s">
        <v>32</v>
      </c>
      <c r="F4396" s="1" t="n">
        <v>1</v>
      </c>
      <c r="G4396" s="15" t="n">
        <v>363.34</v>
      </c>
      <c r="H4396" s="16" t="n">
        <v>0.22</v>
      </c>
      <c r="I4396" s="1" t="s">
        <v>31</v>
      </c>
      <c r="J4396" s="1" t="n">
        <v>10</v>
      </c>
      <c r="K4396" s="1" t="n">
        <v>3.1</v>
      </c>
      <c r="L4396" s="15" t="n">
        <v>283.41</v>
      </c>
      <c r="M4396" s="15" t="n">
        <f aca="false">F4396*G4396</f>
        <v>363.34</v>
      </c>
      <c r="N4396" s="15" t="n">
        <f aca="false">M4396-L4396</f>
        <v>79.93</v>
      </c>
      <c r="O4396" s="1" t="n">
        <f aca="false">YEAR(B4396)</f>
        <v>2034</v>
      </c>
      <c r="P4396" s="1" t="n">
        <f aca="false">MONTH(B4396)</f>
        <v>1</v>
      </c>
      <c r="Q4396" s="1" t="str">
        <f aca="false">TEXT(B4396,"mmm")</f>
        <v>Jan</v>
      </c>
      <c r="R4396" s="1" t="str">
        <f aca="false">"Q"&amp;ROUNDUP(MONTH(B4396)/3,0)</f>
        <v>Q1</v>
      </c>
    </row>
    <row r="4397" customFormat="false" ht="15" hidden="false" customHeight="true" outlineLevel="0" collapsed="false">
      <c r="A4397" s="1" t="n">
        <v>14396</v>
      </c>
      <c r="B4397" s="14" t="n">
        <v>48957</v>
      </c>
      <c r="C4397" s="1" t="n">
        <v>1587</v>
      </c>
      <c r="D4397" s="1" t="s">
        <v>34</v>
      </c>
      <c r="E4397" s="1" t="s">
        <v>35</v>
      </c>
      <c r="F4397" s="1" t="n">
        <v>3</v>
      </c>
      <c r="G4397" s="15" t="n">
        <v>469.63</v>
      </c>
      <c r="H4397" s="16" t="n">
        <v>0.04</v>
      </c>
      <c r="I4397" s="1" t="s">
        <v>31</v>
      </c>
      <c r="J4397" s="1" t="n">
        <v>1</v>
      </c>
      <c r="K4397" s="1" t="n">
        <v>3.9</v>
      </c>
      <c r="L4397" s="15" t="n">
        <v>1352.53</v>
      </c>
      <c r="M4397" s="15" t="n">
        <f aca="false">F4397*G4397</f>
        <v>1408.89</v>
      </c>
      <c r="N4397" s="15" t="n">
        <f aca="false">M4397-L4397</f>
        <v>56.3599999999999</v>
      </c>
      <c r="O4397" s="1" t="n">
        <f aca="false">YEAR(B4397)</f>
        <v>2034</v>
      </c>
      <c r="P4397" s="1" t="n">
        <f aca="false">MONTH(B4397)</f>
        <v>1</v>
      </c>
      <c r="Q4397" s="1" t="str">
        <f aca="false">TEXT(B4397,"mmm")</f>
        <v>Jan</v>
      </c>
      <c r="R4397" s="1" t="str">
        <f aca="false">"Q"&amp;ROUNDUP(MONTH(B4397)/3,0)</f>
        <v>Q1</v>
      </c>
    </row>
    <row r="4398" customFormat="false" ht="15" hidden="false" customHeight="true" outlineLevel="0" collapsed="false">
      <c r="A4398" s="1" t="n">
        <v>14397</v>
      </c>
      <c r="B4398" s="14" t="n">
        <v>48958</v>
      </c>
      <c r="C4398" s="1" t="n">
        <v>1173</v>
      </c>
      <c r="D4398" s="1" t="s">
        <v>34</v>
      </c>
      <c r="E4398" s="1" t="s">
        <v>28</v>
      </c>
      <c r="F4398" s="1" t="n">
        <v>7</v>
      </c>
      <c r="G4398" s="15" t="n">
        <v>310.97</v>
      </c>
      <c r="H4398" s="16" t="n">
        <v>0.18</v>
      </c>
      <c r="I4398" s="1" t="s">
        <v>31</v>
      </c>
      <c r="J4398" s="1" t="n">
        <v>11</v>
      </c>
      <c r="K4398" s="1" t="n">
        <v>4.4</v>
      </c>
      <c r="L4398" s="15" t="n">
        <v>1784.97</v>
      </c>
      <c r="M4398" s="15" t="n">
        <f aca="false">F4398*G4398</f>
        <v>2176.79</v>
      </c>
      <c r="N4398" s="15" t="n">
        <f aca="false">M4398-L4398</f>
        <v>391.82</v>
      </c>
      <c r="O4398" s="1" t="n">
        <f aca="false">YEAR(B4398)</f>
        <v>2034</v>
      </c>
      <c r="P4398" s="1" t="n">
        <f aca="false">MONTH(B4398)</f>
        <v>1</v>
      </c>
      <c r="Q4398" s="1" t="str">
        <f aca="false">TEXT(B4398,"mmm")</f>
        <v>Jan</v>
      </c>
      <c r="R4398" s="1" t="str">
        <f aca="false">"Q"&amp;ROUNDUP(MONTH(B4398)/3,0)</f>
        <v>Q1</v>
      </c>
    </row>
    <row r="4399" customFormat="false" ht="15" hidden="false" customHeight="true" outlineLevel="0" collapsed="false">
      <c r="A4399" s="1" t="n">
        <v>14398</v>
      </c>
      <c r="B4399" s="14" t="n">
        <v>48959</v>
      </c>
      <c r="C4399" s="1" t="n">
        <v>1558</v>
      </c>
      <c r="D4399" s="1" t="s">
        <v>37</v>
      </c>
      <c r="E4399" s="1" t="s">
        <v>36</v>
      </c>
      <c r="F4399" s="1" t="n">
        <v>5</v>
      </c>
      <c r="G4399" s="15" t="n">
        <v>313</v>
      </c>
      <c r="H4399" s="16" t="n">
        <v>0.34</v>
      </c>
      <c r="I4399" s="1" t="s">
        <v>31</v>
      </c>
      <c r="J4399" s="1" t="n">
        <v>7</v>
      </c>
      <c r="K4399" s="1" t="n">
        <v>5</v>
      </c>
      <c r="L4399" s="15" t="n">
        <v>1032.9</v>
      </c>
      <c r="M4399" s="15" t="n">
        <f aca="false">F4399*G4399</f>
        <v>1565</v>
      </c>
      <c r="N4399" s="15" t="n">
        <f aca="false">M4399-L4399</f>
        <v>532.1</v>
      </c>
      <c r="O4399" s="1" t="n">
        <f aca="false">YEAR(B4399)</f>
        <v>2034</v>
      </c>
      <c r="P4399" s="1" t="n">
        <f aca="false">MONTH(B4399)</f>
        <v>1</v>
      </c>
      <c r="Q4399" s="1" t="str">
        <f aca="false">TEXT(B4399,"mmm")</f>
        <v>Jan</v>
      </c>
      <c r="R4399" s="1" t="str">
        <f aca="false">"Q"&amp;ROUNDUP(MONTH(B4399)/3,0)</f>
        <v>Q1</v>
      </c>
    </row>
    <row r="4400" customFormat="false" ht="15" hidden="false" customHeight="true" outlineLevel="0" collapsed="false">
      <c r="A4400" s="1" t="n">
        <v>14399</v>
      </c>
      <c r="B4400" s="14" t="n">
        <v>48960</v>
      </c>
      <c r="C4400" s="1" t="n">
        <v>1526</v>
      </c>
      <c r="D4400" s="1" t="s">
        <v>30</v>
      </c>
      <c r="E4400" s="1" t="s">
        <v>35</v>
      </c>
      <c r="F4400" s="1" t="n">
        <v>1</v>
      </c>
      <c r="G4400" s="15" t="n">
        <v>439.31</v>
      </c>
      <c r="H4400" s="16" t="n">
        <v>0.08</v>
      </c>
      <c r="I4400" s="1" t="s">
        <v>31</v>
      </c>
      <c r="J4400" s="1" t="n">
        <v>10</v>
      </c>
      <c r="K4400" s="1" t="n">
        <v>2.9</v>
      </c>
      <c r="L4400" s="15" t="n">
        <v>404.17</v>
      </c>
      <c r="M4400" s="15" t="n">
        <f aca="false">F4400*G4400</f>
        <v>439.31</v>
      </c>
      <c r="N4400" s="15" t="n">
        <f aca="false">M4400-L4400</f>
        <v>35.14</v>
      </c>
      <c r="O4400" s="1" t="n">
        <f aca="false">YEAR(B4400)</f>
        <v>2034</v>
      </c>
      <c r="P4400" s="1" t="n">
        <f aca="false">MONTH(B4400)</f>
        <v>1</v>
      </c>
      <c r="Q4400" s="1" t="str">
        <f aca="false">TEXT(B4400,"mmm")</f>
        <v>Jan</v>
      </c>
      <c r="R4400" s="1" t="str">
        <f aca="false">"Q"&amp;ROUNDUP(MONTH(B4400)/3,0)</f>
        <v>Q1</v>
      </c>
    </row>
    <row r="4401" customFormat="false" ht="15" hidden="false" customHeight="true" outlineLevel="0" collapsed="false">
      <c r="A4401" s="1" t="n">
        <v>14400</v>
      </c>
      <c r="B4401" s="14" t="n">
        <v>48961</v>
      </c>
      <c r="C4401" s="1" t="n">
        <v>1872</v>
      </c>
      <c r="D4401" s="1" t="s">
        <v>37</v>
      </c>
      <c r="E4401" s="1" t="s">
        <v>32</v>
      </c>
      <c r="F4401" s="1" t="n">
        <v>3</v>
      </c>
      <c r="G4401" s="15" t="n">
        <v>306.7</v>
      </c>
      <c r="H4401" s="16" t="n">
        <v>0.25</v>
      </c>
      <c r="I4401" s="1" t="s">
        <v>29</v>
      </c>
      <c r="J4401" s="1" t="n">
        <v>10</v>
      </c>
      <c r="K4401" s="1" t="n">
        <v>5</v>
      </c>
      <c r="L4401" s="15" t="n">
        <v>690.08</v>
      </c>
      <c r="M4401" s="15" t="n">
        <f aca="false">F4401*G4401</f>
        <v>920.1</v>
      </c>
      <c r="N4401" s="15" t="n">
        <f aca="false">M4401-L4401</f>
        <v>230.02</v>
      </c>
      <c r="O4401" s="1" t="n">
        <f aca="false">YEAR(B4401)</f>
        <v>2034</v>
      </c>
      <c r="P4401" s="1" t="n">
        <f aca="false">MONTH(B4401)</f>
        <v>1</v>
      </c>
      <c r="Q4401" s="1" t="str">
        <f aca="false">TEXT(B4401,"mmm")</f>
        <v>Jan</v>
      </c>
      <c r="R4401" s="1" t="str">
        <f aca="false">"Q"&amp;ROUNDUP(MONTH(B4401)/3,0)</f>
        <v>Q1</v>
      </c>
    </row>
    <row r="4402" customFormat="false" ht="15" hidden="false" customHeight="true" outlineLevel="0" collapsed="false">
      <c r="A4402" s="1" t="n">
        <v>14401</v>
      </c>
      <c r="B4402" s="14" t="n">
        <v>48962</v>
      </c>
      <c r="C4402" s="1" t="n">
        <v>1658</v>
      </c>
      <c r="D4402" s="1" t="s">
        <v>30</v>
      </c>
      <c r="E4402" s="1" t="s">
        <v>32</v>
      </c>
      <c r="F4402" s="1" t="n">
        <v>5</v>
      </c>
      <c r="G4402" s="15" t="n">
        <v>370.97</v>
      </c>
      <c r="H4402" s="16" t="n">
        <v>0.15</v>
      </c>
      <c r="I4402" s="1" t="s">
        <v>33</v>
      </c>
      <c r="J4402" s="1" t="n">
        <v>3</v>
      </c>
      <c r="K4402" s="1" t="n">
        <v>3.9</v>
      </c>
      <c r="L4402" s="15" t="n">
        <v>1576.62</v>
      </c>
      <c r="M4402" s="15" t="n">
        <f aca="false">F4402*G4402</f>
        <v>1854.85</v>
      </c>
      <c r="N4402" s="15" t="n">
        <f aca="false">M4402-L4402</f>
        <v>278.23</v>
      </c>
      <c r="O4402" s="1" t="n">
        <f aca="false">YEAR(B4402)</f>
        <v>2034</v>
      </c>
      <c r="P4402" s="1" t="n">
        <f aca="false">MONTH(B4402)</f>
        <v>1</v>
      </c>
      <c r="Q4402" s="1" t="str">
        <f aca="false">TEXT(B4402,"mmm")</f>
        <v>Jan</v>
      </c>
      <c r="R4402" s="1" t="str">
        <f aca="false">"Q"&amp;ROUNDUP(MONTH(B4402)/3,0)</f>
        <v>Q1</v>
      </c>
    </row>
    <row r="4403" customFormat="false" ht="15" hidden="false" customHeight="true" outlineLevel="0" collapsed="false">
      <c r="A4403" s="1" t="n">
        <v>14402</v>
      </c>
      <c r="B4403" s="14" t="n">
        <v>48963</v>
      </c>
      <c r="C4403" s="1" t="n">
        <v>1025</v>
      </c>
      <c r="D4403" s="1" t="s">
        <v>34</v>
      </c>
      <c r="E4403" s="1" t="s">
        <v>35</v>
      </c>
      <c r="F4403" s="1" t="n">
        <v>5</v>
      </c>
      <c r="G4403" s="15" t="n">
        <v>540.2</v>
      </c>
      <c r="H4403" s="16" t="n">
        <v>0.23</v>
      </c>
      <c r="I4403" s="1" t="s">
        <v>31</v>
      </c>
      <c r="J4403" s="1" t="n">
        <v>10</v>
      </c>
      <c r="K4403" s="1" t="n">
        <v>3.6</v>
      </c>
      <c r="L4403" s="15" t="n">
        <v>2079.77</v>
      </c>
      <c r="M4403" s="15" t="n">
        <f aca="false">F4403*G4403</f>
        <v>2701</v>
      </c>
      <c r="N4403" s="15" t="n">
        <f aca="false">M4403-L4403</f>
        <v>621.23</v>
      </c>
      <c r="O4403" s="1" t="n">
        <f aca="false">YEAR(B4403)</f>
        <v>2034</v>
      </c>
      <c r="P4403" s="1" t="n">
        <f aca="false">MONTH(B4403)</f>
        <v>1</v>
      </c>
      <c r="Q4403" s="1" t="str">
        <f aca="false">TEXT(B4403,"mmm")</f>
        <v>Jan</v>
      </c>
      <c r="R4403" s="1" t="str">
        <f aca="false">"Q"&amp;ROUNDUP(MONTH(B4403)/3,0)</f>
        <v>Q1</v>
      </c>
    </row>
    <row r="4404" customFormat="false" ht="15" hidden="false" customHeight="true" outlineLevel="0" collapsed="false">
      <c r="A4404" s="1" t="n">
        <v>14403</v>
      </c>
      <c r="B4404" s="14" t="n">
        <v>48964</v>
      </c>
      <c r="C4404" s="1" t="n">
        <v>1819</v>
      </c>
      <c r="D4404" s="1" t="s">
        <v>30</v>
      </c>
      <c r="E4404" s="1" t="s">
        <v>28</v>
      </c>
      <c r="F4404" s="1" t="n">
        <v>3</v>
      </c>
      <c r="G4404" s="15" t="n">
        <v>249.85</v>
      </c>
      <c r="H4404" s="16" t="n">
        <v>0.07</v>
      </c>
      <c r="I4404" s="1" t="s">
        <v>33</v>
      </c>
      <c r="J4404" s="1" t="n">
        <v>10</v>
      </c>
      <c r="K4404" s="1" t="n">
        <v>3.6</v>
      </c>
      <c r="L4404" s="15" t="n">
        <v>697.08</v>
      </c>
      <c r="M4404" s="15" t="n">
        <f aca="false">F4404*G4404</f>
        <v>749.55</v>
      </c>
      <c r="N4404" s="15" t="n">
        <f aca="false">M4404-L4404</f>
        <v>52.4699999999999</v>
      </c>
      <c r="O4404" s="1" t="n">
        <f aca="false">YEAR(B4404)</f>
        <v>2034</v>
      </c>
      <c r="P4404" s="1" t="n">
        <f aca="false">MONTH(B4404)</f>
        <v>1</v>
      </c>
      <c r="Q4404" s="1" t="str">
        <f aca="false">TEXT(B4404,"mmm")</f>
        <v>Jan</v>
      </c>
      <c r="R4404" s="1" t="str">
        <f aca="false">"Q"&amp;ROUNDUP(MONTH(B4404)/3,0)</f>
        <v>Q1</v>
      </c>
    </row>
    <row r="4405" customFormat="false" ht="15" hidden="false" customHeight="true" outlineLevel="0" collapsed="false">
      <c r="A4405" s="1" t="n">
        <v>14404</v>
      </c>
      <c r="B4405" s="14" t="n">
        <v>48965</v>
      </c>
      <c r="C4405" s="1" t="n">
        <v>1604</v>
      </c>
      <c r="D4405" s="1" t="s">
        <v>34</v>
      </c>
      <c r="E4405" s="1" t="s">
        <v>36</v>
      </c>
      <c r="F4405" s="1" t="n">
        <v>3</v>
      </c>
      <c r="G4405" s="15" t="n">
        <v>240.3</v>
      </c>
      <c r="H4405" s="16" t="n">
        <v>0.16</v>
      </c>
      <c r="I4405" s="1" t="s">
        <v>33</v>
      </c>
      <c r="J4405" s="1" t="n">
        <v>1</v>
      </c>
      <c r="K4405" s="1" t="n">
        <v>4.6</v>
      </c>
      <c r="L4405" s="15" t="n">
        <v>605.56</v>
      </c>
      <c r="M4405" s="15" t="n">
        <f aca="false">F4405*G4405</f>
        <v>720.9</v>
      </c>
      <c r="N4405" s="15" t="n">
        <f aca="false">M4405-L4405</f>
        <v>115.34</v>
      </c>
      <c r="O4405" s="1" t="n">
        <f aca="false">YEAR(B4405)</f>
        <v>2034</v>
      </c>
      <c r="P4405" s="1" t="n">
        <f aca="false">MONTH(B4405)</f>
        <v>1</v>
      </c>
      <c r="Q4405" s="1" t="str">
        <f aca="false">TEXT(B4405,"mmm")</f>
        <v>Jan</v>
      </c>
      <c r="R4405" s="1" t="str">
        <f aca="false">"Q"&amp;ROUNDUP(MONTH(B4405)/3,0)</f>
        <v>Q1</v>
      </c>
    </row>
    <row r="4406" customFormat="false" ht="15" hidden="false" customHeight="true" outlineLevel="0" collapsed="false">
      <c r="A4406" s="1" t="n">
        <v>14405</v>
      </c>
      <c r="B4406" s="14" t="n">
        <v>48966</v>
      </c>
      <c r="C4406" s="1" t="n">
        <v>1405</v>
      </c>
      <c r="D4406" s="1" t="s">
        <v>30</v>
      </c>
      <c r="E4406" s="1" t="s">
        <v>32</v>
      </c>
      <c r="F4406" s="1" t="n">
        <v>2</v>
      </c>
      <c r="G4406" s="15" t="n">
        <v>17.08</v>
      </c>
      <c r="H4406" s="16" t="n">
        <v>0.34</v>
      </c>
      <c r="I4406" s="1" t="s">
        <v>31</v>
      </c>
      <c r="J4406" s="1" t="n">
        <v>2</v>
      </c>
      <c r="K4406" s="1" t="n">
        <v>4.8</v>
      </c>
      <c r="L4406" s="15" t="n">
        <v>22.55</v>
      </c>
      <c r="M4406" s="15" t="n">
        <f aca="false">F4406*G4406</f>
        <v>34.16</v>
      </c>
      <c r="N4406" s="15" t="n">
        <f aca="false">M4406-L4406</f>
        <v>11.61</v>
      </c>
      <c r="O4406" s="1" t="n">
        <f aca="false">YEAR(B4406)</f>
        <v>2034</v>
      </c>
      <c r="P4406" s="1" t="n">
        <f aca="false">MONTH(B4406)</f>
        <v>1</v>
      </c>
      <c r="Q4406" s="1" t="str">
        <f aca="false">TEXT(B4406,"mmm")</f>
        <v>Jan</v>
      </c>
      <c r="R4406" s="1" t="str">
        <f aca="false">"Q"&amp;ROUNDUP(MONTH(B4406)/3,0)</f>
        <v>Q1</v>
      </c>
    </row>
    <row r="4407" customFormat="false" ht="15" hidden="false" customHeight="true" outlineLevel="0" collapsed="false">
      <c r="A4407" s="1" t="n">
        <v>14406</v>
      </c>
      <c r="B4407" s="14" t="n">
        <v>48967</v>
      </c>
      <c r="C4407" s="1" t="n">
        <v>1231</v>
      </c>
      <c r="D4407" s="1" t="s">
        <v>30</v>
      </c>
      <c r="E4407" s="1" t="s">
        <v>28</v>
      </c>
      <c r="F4407" s="1" t="n">
        <v>5</v>
      </c>
      <c r="G4407" s="15" t="n">
        <v>373.85</v>
      </c>
      <c r="H4407" s="16" t="n">
        <v>0.07</v>
      </c>
      <c r="I4407" s="1" t="s">
        <v>29</v>
      </c>
      <c r="J4407" s="1" t="n">
        <v>6</v>
      </c>
      <c r="K4407" s="1" t="n">
        <v>1.7</v>
      </c>
      <c r="L4407" s="15" t="n">
        <v>1738.4</v>
      </c>
      <c r="M4407" s="15" t="n">
        <f aca="false">F4407*G4407</f>
        <v>1869.25</v>
      </c>
      <c r="N4407" s="15" t="n">
        <f aca="false">M4407-L4407</f>
        <v>130.85</v>
      </c>
      <c r="O4407" s="1" t="n">
        <f aca="false">YEAR(B4407)</f>
        <v>2034</v>
      </c>
      <c r="P4407" s="1" t="n">
        <f aca="false">MONTH(B4407)</f>
        <v>1</v>
      </c>
      <c r="Q4407" s="1" t="str">
        <f aca="false">TEXT(B4407,"mmm")</f>
        <v>Jan</v>
      </c>
      <c r="R4407" s="1" t="str">
        <f aca="false">"Q"&amp;ROUNDUP(MONTH(B4407)/3,0)</f>
        <v>Q1</v>
      </c>
    </row>
    <row r="4408" customFormat="false" ht="15" hidden="false" customHeight="true" outlineLevel="0" collapsed="false">
      <c r="A4408" s="1" t="n">
        <v>14407</v>
      </c>
      <c r="B4408" s="14" t="n">
        <v>48968</v>
      </c>
      <c r="C4408" s="1" t="n">
        <v>1532</v>
      </c>
      <c r="D4408" s="1" t="s">
        <v>30</v>
      </c>
      <c r="E4408" s="1" t="s">
        <v>36</v>
      </c>
      <c r="F4408" s="1" t="n">
        <v>3</v>
      </c>
      <c r="G4408" s="15" t="n">
        <v>32.42</v>
      </c>
      <c r="H4408" s="16" t="n">
        <v>0.22</v>
      </c>
      <c r="I4408" s="1" t="s">
        <v>31</v>
      </c>
      <c r="J4408" s="1" t="n">
        <v>10</v>
      </c>
      <c r="K4408" s="1" t="n">
        <v>3</v>
      </c>
      <c r="L4408" s="15" t="n">
        <v>75.86</v>
      </c>
      <c r="M4408" s="15" t="n">
        <f aca="false">F4408*G4408</f>
        <v>97.26</v>
      </c>
      <c r="N4408" s="15" t="n">
        <f aca="false">M4408-L4408</f>
        <v>21.4</v>
      </c>
      <c r="O4408" s="1" t="n">
        <f aca="false">YEAR(B4408)</f>
        <v>2034</v>
      </c>
      <c r="P4408" s="1" t="n">
        <f aca="false">MONTH(B4408)</f>
        <v>1</v>
      </c>
      <c r="Q4408" s="1" t="str">
        <f aca="false">TEXT(B4408,"mmm")</f>
        <v>Jan</v>
      </c>
      <c r="R4408" s="1" t="str">
        <f aca="false">"Q"&amp;ROUNDUP(MONTH(B4408)/3,0)</f>
        <v>Q1</v>
      </c>
    </row>
    <row r="4409" customFormat="false" ht="15" hidden="false" customHeight="true" outlineLevel="0" collapsed="false">
      <c r="A4409" s="1" t="n">
        <v>14408</v>
      </c>
      <c r="B4409" s="14" t="n">
        <v>48969</v>
      </c>
      <c r="C4409" s="1" t="n">
        <v>1818</v>
      </c>
      <c r="D4409" s="1" t="s">
        <v>37</v>
      </c>
      <c r="E4409" s="1" t="s">
        <v>36</v>
      </c>
      <c r="F4409" s="1" t="n">
        <v>5</v>
      </c>
      <c r="G4409" s="15" t="n">
        <v>309.93</v>
      </c>
      <c r="H4409" s="16" t="n">
        <v>0.2</v>
      </c>
      <c r="I4409" s="1" t="s">
        <v>33</v>
      </c>
      <c r="J4409" s="1" t="n">
        <v>2</v>
      </c>
      <c r="K4409" s="1" t="n">
        <v>4.8</v>
      </c>
      <c r="L4409" s="15" t="n">
        <v>1239.72</v>
      </c>
      <c r="M4409" s="15" t="n">
        <f aca="false">F4409*G4409</f>
        <v>1549.65</v>
      </c>
      <c r="N4409" s="15" t="n">
        <f aca="false">M4409-L4409</f>
        <v>309.93</v>
      </c>
      <c r="O4409" s="1" t="n">
        <f aca="false">YEAR(B4409)</f>
        <v>2034</v>
      </c>
      <c r="P4409" s="1" t="n">
        <f aca="false">MONTH(B4409)</f>
        <v>1</v>
      </c>
      <c r="Q4409" s="1" t="str">
        <f aca="false">TEXT(B4409,"mmm")</f>
        <v>Jan</v>
      </c>
      <c r="R4409" s="1" t="str">
        <f aca="false">"Q"&amp;ROUNDUP(MONTH(B4409)/3,0)</f>
        <v>Q1</v>
      </c>
    </row>
    <row r="4410" customFormat="false" ht="15" hidden="false" customHeight="true" outlineLevel="0" collapsed="false">
      <c r="A4410" s="1" t="n">
        <v>14409</v>
      </c>
      <c r="B4410" s="14" t="n">
        <v>48970</v>
      </c>
      <c r="C4410" s="1" t="n">
        <v>1549</v>
      </c>
      <c r="D4410" s="1" t="s">
        <v>37</v>
      </c>
      <c r="E4410" s="1" t="s">
        <v>32</v>
      </c>
      <c r="F4410" s="1" t="n">
        <v>1</v>
      </c>
      <c r="G4410" s="15" t="n">
        <v>485.48</v>
      </c>
      <c r="H4410" s="16" t="n">
        <v>0.2</v>
      </c>
      <c r="I4410" s="1" t="s">
        <v>31</v>
      </c>
      <c r="J4410" s="1" t="n">
        <v>2</v>
      </c>
      <c r="K4410" s="1" t="n">
        <v>2.5</v>
      </c>
      <c r="L4410" s="15" t="n">
        <v>388.38</v>
      </c>
      <c r="M4410" s="15" t="n">
        <f aca="false">F4410*G4410</f>
        <v>485.48</v>
      </c>
      <c r="N4410" s="15" t="n">
        <f aca="false">M4410-L4410</f>
        <v>97.1</v>
      </c>
      <c r="O4410" s="1" t="n">
        <f aca="false">YEAR(B4410)</f>
        <v>2034</v>
      </c>
      <c r="P4410" s="1" t="n">
        <f aca="false">MONTH(B4410)</f>
        <v>1</v>
      </c>
      <c r="Q4410" s="1" t="str">
        <f aca="false">TEXT(B4410,"mmm")</f>
        <v>Jan</v>
      </c>
      <c r="R4410" s="1" t="str">
        <f aca="false">"Q"&amp;ROUNDUP(MONTH(B4410)/3,0)</f>
        <v>Q1</v>
      </c>
    </row>
    <row r="4411" customFormat="false" ht="15" hidden="false" customHeight="true" outlineLevel="0" collapsed="false">
      <c r="A4411" s="1" t="n">
        <v>14410</v>
      </c>
      <c r="B4411" s="14" t="n">
        <v>48971</v>
      </c>
      <c r="C4411" s="1" t="n">
        <v>1787</v>
      </c>
      <c r="D4411" s="1" t="s">
        <v>37</v>
      </c>
      <c r="E4411" s="1" t="s">
        <v>35</v>
      </c>
      <c r="F4411" s="1" t="n">
        <v>7</v>
      </c>
      <c r="G4411" s="15" t="n">
        <v>336.7</v>
      </c>
      <c r="H4411" s="16" t="n">
        <v>0.22</v>
      </c>
      <c r="I4411" s="1" t="s">
        <v>33</v>
      </c>
      <c r="J4411" s="1" t="n">
        <v>4</v>
      </c>
      <c r="K4411" s="1" t="n">
        <v>1.9</v>
      </c>
      <c r="L4411" s="15" t="n">
        <v>1838.38</v>
      </c>
      <c r="M4411" s="15" t="n">
        <f aca="false">F4411*G4411</f>
        <v>2356.9</v>
      </c>
      <c r="N4411" s="15" t="n">
        <f aca="false">M4411-L4411</f>
        <v>518.52</v>
      </c>
      <c r="O4411" s="1" t="n">
        <f aca="false">YEAR(B4411)</f>
        <v>2034</v>
      </c>
      <c r="P4411" s="1" t="n">
        <f aca="false">MONTH(B4411)</f>
        <v>1</v>
      </c>
      <c r="Q4411" s="1" t="str">
        <f aca="false">TEXT(B4411,"mmm")</f>
        <v>Jan</v>
      </c>
      <c r="R4411" s="1" t="str">
        <f aca="false">"Q"&amp;ROUNDUP(MONTH(B4411)/3,0)</f>
        <v>Q1</v>
      </c>
    </row>
    <row r="4412" customFormat="false" ht="15" hidden="false" customHeight="true" outlineLevel="0" collapsed="false">
      <c r="A4412" s="1" t="n">
        <v>14411</v>
      </c>
      <c r="B4412" s="14" t="n">
        <v>48972</v>
      </c>
      <c r="C4412" s="1" t="n">
        <v>1504</v>
      </c>
      <c r="D4412" s="1" t="s">
        <v>34</v>
      </c>
      <c r="E4412" s="1" t="s">
        <v>32</v>
      </c>
      <c r="F4412" s="1" t="n">
        <v>4</v>
      </c>
      <c r="G4412" s="15" t="n">
        <v>172.74</v>
      </c>
      <c r="H4412" s="16" t="n">
        <v>0.18</v>
      </c>
      <c r="I4412" s="1" t="s">
        <v>29</v>
      </c>
      <c r="J4412" s="1" t="n">
        <v>3</v>
      </c>
      <c r="K4412" s="1" t="n">
        <v>1.4</v>
      </c>
      <c r="L4412" s="15" t="n">
        <v>566.59</v>
      </c>
      <c r="M4412" s="15" t="n">
        <f aca="false">F4412*G4412</f>
        <v>690.96</v>
      </c>
      <c r="N4412" s="15" t="n">
        <f aca="false">M4412-L4412</f>
        <v>124.37</v>
      </c>
      <c r="O4412" s="1" t="n">
        <f aca="false">YEAR(B4412)</f>
        <v>2034</v>
      </c>
      <c r="P4412" s="1" t="n">
        <f aca="false">MONTH(B4412)</f>
        <v>1</v>
      </c>
      <c r="Q4412" s="1" t="str">
        <f aca="false">TEXT(B4412,"mmm")</f>
        <v>Jan</v>
      </c>
      <c r="R4412" s="1" t="str">
        <f aca="false">"Q"&amp;ROUNDUP(MONTH(B4412)/3,0)</f>
        <v>Q1</v>
      </c>
    </row>
    <row r="4413" customFormat="false" ht="15" hidden="false" customHeight="true" outlineLevel="0" collapsed="false">
      <c r="A4413" s="1" t="n">
        <v>14412</v>
      </c>
      <c r="B4413" s="14" t="n">
        <v>48973</v>
      </c>
      <c r="C4413" s="1" t="n">
        <v>1668</v>
      </c>
      <c r="D4413" s="1" t="s">
        <v>34</v>
      </c>
      <c r="E4413" s="1" t="s">
        <v>32</v>
      </c>
      <c r="F4413" s="1" t="n">
        <v>4</v>
      </c>
      <c r="G4413" s="15" t="n">
        <v>474.91</v>
      </c>
      <c r="H4413" s="16" t="n">
        <v>0.01</v>
      </c>
      <c r="I4413" s="1" t="s">
        <v>31</v>
      </c>
      <c r="J4413" s="1" t="n">
        <v>8</v>
      </c>
      <c r="K4413" s="1" t="n">
        <v>3.4</v>
      </c>
      <c r="L4413" s="15" t="n">
        <v>1880.64</v>
      </c>
      <c r="M4413" s="15" t="n">
        <f aca="false">F4413*G4413</f>
        <v>1899.64</v>
      </c>
      <c r="N4413" s="15" t="n">
        <f aca="false">M4413-L4413</f>
        <v>19</v>
      </c>
      <c r="O4413" s="1" t="n">
        <f aca="false">YEAR(B4413)</f>
        <v>2034</v>
      </c>
      <c r="P4413" s="1" t="n">
        <f aca="false">MONTH(B4413)</f>
        <v>1</v>
      </c>
      <c r="Q4413" s="1" t="str">
        <f aca="false">TEXT(B4413,"mmm")</f>
        <v>Jan</v>
      </c>
      <c r="R4413" s="1" t="str">
        <f aca="false">"Q"&amp;ROUNDUP(MONTH(B4413)/3,0)</f>
        <v>Q1</v>
      </c>
    </row>
    <row r="4414" customFormat="false" ht="15" hidden="false" customHeight="true" outlineLevel="0" collapsed="false">
      <c r="A4414" s="1" t="n">
        <v>14413</v>
      </c>
      <c r="B4414" s="14" t="n">
        <v>48974</v>
      </c>
      <c r="C4414" s="1" t="n">
        <v>1178</v>
      </c>
      <c r="D4414" s="1" t="s">
        <v>30</v>
      </c>
      <c r="E4414" s="1" t="s">
        <v>32</v>
      </c>
      <c r="F4414" s="1" t="n">
        <v>6</v>
      </c>
      <c r="G4414" s="15" t="n">
        <v>172.78</v>
      </c>
      <c r="H4414" s="16" t="n">
        <v>0.32</v>
      </c>
      <c r="I4414" s="1" t="s">
        <v>29</v>
      </c>
      <c r="J4414" s="1" t="n">
        <v>8</v>
      </c>
      <c r="K4414" s="1" t="n">
        <v>3.8</v>
      </c>
      <c r="L4414" s="15" t="n">
        <v>704.94</v>
      </c>
      <c r="M4414" s="15" t="n">
        <f aca="false">F4414*G4414</f>
        <v>1036.68</v>
      </c>
      <c r="N4414" s="15" t="n">
        <f aca="false">M4414-L4414</f>
        <v>331.74</v>
      </c>
      <c r="O4414" s="1" t="n">
        <f aca="false">YEAR(B4414)</f>
        <v>2034</v>
      </c>
      <c r="P4414" s="1" t="n">
        <f aca="false">MONTH(B4414)</f>
        <v>1</v>
      </c>
      <c r="Q4414" s="1" t="str">
        <f aca="false">TEXT(B4414,"mmm")</f>
        <v>Jan</v>
      </c>
      <c r="R4414" s="1" t="str">
        <f aca="false">"Q"&amp;ROUNDUP(MONTH(B4414)/3,0)</f>
        <v>Q1</v>
      </c>
    </row>
    <row r="4415" customFormat="false" ht="15" hidden="false" customHeight="true" outlineLevel="0" collapsed="false">
      <c r="A4415" s="1" t="n">
        <v>14414</v>
      </c>
      <c r="B4415" s="14" t="n">
        <v>48975</v>
      </c>
      <c r="C4415" s="1" t="n">
        <v>1131</v>
      </c>
      <c r="D4415" s="1" t="s">
        <v>27</v>
      </c>
      <c r="E4415" s="1" t="s">
        <v>28</v>
      </c>
      <c r="F4415" s="1" t="n">
        <v>3</v>
      </c>
      <c r="G4415" s="15" t="n">
        <v>443.82</v>
      </c>
      <c r="H4415" s="16" t="n">
        <v>0.29</v>
      </c>
      <c r="I4415" s="1" t="s">
        <v>31</v>
      </c>
      <c r="J4415" s="1" t="n">
        <v>6</v>
      </c>
      <c r="K4415" s="1" t="n">
        <v>1.8</v>
      </c>
      <c r="L4415" s="15" t="n">
        <v>945.34</v>
      </c>
      <c r="M4415" s="15" t="n">
        <f aca="false">F4415*G4415</f>
        <v>1331.46</v>
      </c>
      <c r="N4415" s="15" t="n">
        <f aca="false">M4415-L4415</f>
        <v>386.12</v>
      </c>
      <c r="O4415" s="1" t="n">
        <f aca="false">YEAR(B4415)</f>
        <v>2034</v>
      </c>
      <c r="P4415" s="1" t="n">
        <f aca="false">MONTH(B4415)</f>
        <v>1</v>
      </c>
      <c r="Q4415" s="1" t="str">
        <f aca="false">TEXT(B4415,"mmm")</f>
        <v>Jan</v>
      </c>
      <c r="R4415" s="1" t="str">
        <f aca="false">"Q"&amp;ROUNDUP(MONTH(B4415)/3,0)</f>
        <v>Q1</v>
      </c>
    </row>
    <row r="4416" customFormat="false" ht="15" hidden="false" customHeight="true" outlineLevel="0" collapsed="false">
      <c r="A4416" s="1" t="n">
        <v>14415</v>
      </c>
      <c r="B4416" s="14" t="n">
        <v>48976</v>
      </c>
      <c r="C4416" s="1" t="n">
        <v>1822</v>
      </c>
      <c r="D4416" s="1" t="s">
        <v>37</v>
      </c>
      <c r="E4416" s="1" t="s">
        <v>35</v>
      </c>
      <c r="F4416" s="1" t="n">
        <v>3</v>
      </c>
      <c r="G4416" s="15" t="n">
        <v>372</v>
      </c>
      <c r="H4416" s="16" t="n">
        <v>0.06</v>
      </c>
      <c r="I4416" s="1" t="s">
        <v>33</v>
      </c>
      <c r="J4416" s="1" t="n">
        <v>4</v>
      </c>
      <c r="K4416" s="1" t="n">
        <v>3.7</v>
      </c>
      <c r="L4416" s="15" t="n">
        <v>1049.04</v>
      </c>
      <c r="M4416" s="15" t="n">
        <f aca="false">F4416*G4416</f>
        <v>1116</v>
      </c>
      <c r="N4416" s="15" t="n">
        <f aca="false">M4416-L4416</f>
        <v>66.96</v>
      </c>
      <c r="O4416" s="1" t="n">
        <f aca="false">YEAR(B4416)</f>
        <v>2034</v>
      </c>
      <c r="P4416" s="1" t="n">
        <f aca="false">MONTH(B4416)</f>
        <v>2</v>
      </c>
      <c r="Q4416" s="1" t="str">
        <f aca="false">TEXT(B4416,"mmm")</f>
        <v>Feb</v>
      </c>
      <c r="R4416" s="1" t="str">
        <f aca="false">"Q"&amp;ROUNDUP(MONTH(B4416)/3,0)</f>
        <v>Q1</v>
      </c>
    </row>
    <row r="4417" customFormat="false" ht="15" hidden="false" customHeight="true" outlineLevel="0" collapsed="false">
      <c r="A4417" s="1" t="n">
        <v>14416</v>
      </c>
      <c r="B4417" s="14" t="n">
        <v>48977</v>
      </c>
      <c r="C4417" s="1" t="n">
        <v>1454</v>
      </c>
      <c r="D4417" s="1" t="s">
        <v>37</v>
      </c>
      <c r="E4417" s="1" t="s">
        <v>28</v>
      </c>
      <c r="F4417" s="1" t="n">
        <v>5</v>
      </c>
      <c r="G4417" s="15" t="n">
        <v>114.45</v>
      </c>
      <c r="H4417" s="16" t="n">
        <v>0.14</v>
      </c>
      <c r="I4417" s="1" t="s">
        <v>29</v>
      </c>
      <c r="J4417" s="1" t="n">
        <v>7</v>
      </c>
      <c r="K4417" s="1" t="n">
        <v>4.6</v>
      </c>
      <c r="L4417" s="15" t="n">
        <v>492.14</v>
      </c>
      <c r="M4417" s="15" t="n">
        <f aca="false">F4417*G4417</f>
        <v>572.25</v>
      </c>
      <c r="N4417" s="15" t="n">
        <f aca="false">M4417-L4417</f>
        <v>80.11</v>
      </c>
      <c r="O4417" s="1" t="n">
        <f aca="false">YEAR(B4417)</f>
        <v>2034</v>
      </c>
      <c r="P4417" s="1" t="n">
        <f aca="false">MONTH(B4417)</f>
        <v>2</v>
      </c>
      <c r="Q4417" s="1" t="str">
        <f aca="false">TEXT(B4417,"mmm")</f>
        <v>Feb</v>
      </c>
      <c r="R4417" s="1" t="str">
        <f aca="false">"Q"&amp;ROUNDUP(MONTH(B4417)/3,0)</f>
        <v>Q1</v>
      </c>
    </row>
    <row r="4418" customFormat="false" ht="15" hidden="false" customHeight="true" outlineLevel="0" collapsed="false">
      <c r="A4418" s="1" t="n">
        <v>14417</v>
      </c>
      <c r="B4418" s="14" t="n">
        <v>48978</v>
      </c>
      <c r="C4418" s="1" t="n">
        <v>1347</v>
      </c>
      <c r="D4418" s="1" t="s">
        <v>34</v>
      </c>
      <c r="E4418" s="1" t="s">
        <v>32</v>
      </c>
      <c r="F4418" s="1" t="n">
        <v>6</v>
      </c>
      <c r="G4418" s="15" t="n">
        <v>544.5</v>
      </c>
      <c r="H4418" s="16" t="n">
        <v>0.27</v>
      </c>
      <c r="I4418" s="1" t="s">
        <v>29</v>
      </c>
      <c r="J4418" s="1" t="n">
        <v>9</v>
      </c>
      <c r="K4418" s="1" t="n">
        <v>2</v>
      </c>
      <c r="L4418" s="15" t="n">
        <v>2384.91</v>
      </c>
      <c r="M4418" s="15" t="n">
        <f aca="false">F4418*G4418</f>
        <v>3267</v>
      </c>
      <c r="N4418" s="15" t="n">
        <f aca="false">M4418-L4418</f>
        <v>882.09</v>
      </c>
      <c r="O4418" s="1" t="n">
        <f aca="false">YEAR(B4418)</f>
        <v>2034</v>
      </c>
      <c r="P4418" s="1" t="n">
        <f aca="false">MONTH(B4418)</f>
        <v>2</v>
      </c>
      <c r="Q4418" s="1" t="str">
        <f aca="false">TEXT(B4418,"mmm")</f>
        <v>Feb</v>
      </c>
      <c r="R4418" s="1" t="str">
        <f aca="false">"Q"&amp;ROUNDUP(MONTH(B4418)/3,0)</f>
        <v>Q1</v>
      </c>
    </row>
    <row r="4419" customFormat="false" ht="15" hidden="false" customHeight="true" outlineLevel="0" collapsed="false">
      <c r="A4419" s="1" t="n">
        <v>14418</v>
      </c>
      <c r="B4419" s="14" t="n">
        <v>48979</v>
      </c>
      <c r="C4419" s="1" t="n">
        <v>1539</v>
      </c>
      <c r="D4419" s="1" t="s">
        <v>30</v>
      </c>
      <c r="E4419" s="1" t="s">
        <v>35</v>
      </c>
      <c r="F4419" s="1" t="n">
        <v>3</v>
      </c>
      <c r="G4419" s="15" t="n">
        <v>132.38</v>
      </c>
      <c r="H4419" s="16" t="n">
        <v>0.34</v>
      </c>
      <c r="I4419" s="1" t="s">
        <v>31</v>
      </c>
      <c r="J4419" s="1" t="n">
        <v>2</v>
      </c>
      <c r="K4419" s="1" t="n">
        <v>1.5</v>
      </c>
      <c r="L4419" s="15" t="n">
        <v>262.11</v>
      </c>
      <c r="M4419" s="15" t="n">
        <f aca="false">F4419*G4419</f>
        <v>397.14</v>
      </c>
      <c r="N4419" s="15" t="n">
        <f aca="false">M4419-L4419</f>
        <v>135.03</v>
      </c>
      <c r="O4419" s="1" t="n">
        <f aca="false">YEAR(B4419)</f>
        <v>2034</v>
      </c>
      <c r="P4419" s="1" t="n">
        <f aca="false">MONTH(B4419)</f>
        <v>2</v>
      </c>
      <c r="Q4419" s="1" t="str">
        <f aca="false">TEXT(B4419,"mmm")</f>
        <v>Feb</v>
      </c>
      <c r="R4419" s="1" t="str">
        <f aca="false">"Q"&amp;ROUNDUP(MONTH(B4419)/3,0)</f>
        <v>Q1</v>
      </c>
    </row>
    <row r="4420" customFormat="false" ht="15" hidden="false" customHeight="true" outlineLevel="0" collapsed="false">
      <c r="A4420" s="1" t="n">
        <v>14419</v>
      </c>
      <c r="B4420" s="14" t="n">
        <v>48980</v>
      </c>
      <c r="C4420" s="1" t="n">
        <v>1771</v>
      </c>
      <c r="D4420" s="1" t="s">
        <v>30</v>
      </c>
      <c r="E4420" s="1" t="s">
        <v>36</v>
      </c>
      <c r="F4420" s="1" t="n">
        <v>5</v>
      </c>
      <c r="G4420" s="15" t="n">
        <v>593.91</v>
      </c>
      <c r="H4420" s="16" t="n">
        <v>0.33</v>
      </c>
      <c r="I4420" s="1" t="s">
        <v>31</v>
      </c>
      <c r="J4420" s="1" t="n">
        <v>6</v>
      </c>
      <c r="K4420" s="1" t="n">
        <v>4.3</v>
      </c>
      <c r="L4420" s="15" t="n">
        <v>1989.6</v>
      </c>
      <c r="M4420" s="15" t="n">
        <f aca="false">F4420*G4420</f>
        <v>2969.55</v>
      </c>
      <c r="N4420" s="15" t="n">
        <f aca="false">M4420-L4420</f>
        <v>979.95</v>
      </c>
      <c r="O4420" s="1" t="n">
        <f aca="false">YEAR(B4420)</f>
        <v>2034</v>
      </c>
      <c r="P4420" s="1" t="n">
        <f aca="false">MONTH(B4420)</f>
        <v>2</v>
      </c>
      <c r="Q4420" s="1" t="str">
        <f aca="false">TEXT(B4420,"mmm")</f>
        <v>Feb</v>
      </c>
      <c r="R4420" s="1" t="str">
        <f aca="false">"Q"&amp;ROUNDUP(MONTH(B4420)/3,0)</f>
        <v>Q1</v>
      </c>
    </row>
    <row r="4421" customFormat="false" ht="15" hidden="false" customHeight="true" outlineLevel="0" collapsed="false">
      <c r="A4421" s="1" t="n">
        <v>14420</v>
      </c>
      <c r="B4421" s="14" t="n">
        <v>48981</v>
      </c>
      <c r="C4421" s="1" t="n">
        <v>1405</v>
      </c>
      <c r="D4421" s="1" t="s">
        <v>34</v>
      </c>
      <c r="E4421" s="1" t="s">
        <v>35</v>
      </c>
      <c r="F4421" s="1" t="n">
        <v>3</v>
      </c>
      <c r="G4421" s="15" t="n">
        <v>19.28</v>
      </c>
      <c r="H4421" s="16" t="n">
        <v>0.31</v>
      </c>
      <c r="I4421" s="1" t="s">
        <v>33</v>
      </c>
      <c r="J4421" s="1" t="n">
        <v>7</v>
      </c>
      <c r="K4421" s="1" t="n">
        <v>4.7</v>
      </c>
      <c r="L4421" s="15" t="n">
        <v>39.91</v>
      </c>
      <c r="M4421" s="15" t="n">
        <f aca="false">F4421*G4421</f>
        <v>57.84</v>
      </c>
      <c r="N4421" s="15" t="n">
        <f aca="false">M4421-L4421</f>
        <v>17.93</v>
      </c>
      <c r="O4421" s="1" t="n">
        <f aca="false">YEAR(B4421)</f>
        <v>2034</v>
      </c>
      <c r="P4421" s="1" t="n">
        <f aca="false">MONTH(B4421)</f>
        <v>2</v>
      </c>
      <c r="Q4421" s="1" t="str">
        <f aca="false">TEXT(B4421,"mmm")</f>
        <v>Feb</v>
      </c>
      <c r="R4421" s="1" t="str">
        <f aca="false">"Q"&amp;ROUNDUP(MONTH(B4421)/3,0)</f>
        <v>Q1</v>
      </c>
    </row>
    <row r="4422" customFormat="false" ht="15" hidden="false" customHeight="true" outlineLevel="0" collapsed="false">
      <c r="A4422" s="1" t="n">
        <v>14421</v>
      </c>
      <c r="B4422" s="14" t="n">
        <v>48982</v>
      </c>
      <c r="C4422" s="1" t="n">
        <v>1075</v>
      </c>
      <c r="D4422" s="1" t="s">
        <v>34</v>
      </c>
      <c r="E4422" s="1" t="s">
        <v>32</v>
      </c>
      <c r="F4422" s="1" t="n">
        <v>5</v>
      </c>
      <c r="G4422" s="15" t="n">
        <v>169.14</v>
      </c>
      <c r="H4422" s="16" t="n">
        <v>0.06</v>
      </c>
      <c r="I4422" s="1" t="s">
        <v>31</v>
      </c>
      <c r="J4422" s="1" t="n">
        <v>1</v>
      </c>
      <c r="K4422" s="1" t="n">
        <v>1.9</v>
      </c>
      <c r="L4422" s="15" t="n">
        <v>794.96</v>
      </c>
      <c r="M4422" s="15" t="n">
        <f aca="false">F4422*G4422</f>
        <v>845.7</v>
      </c>
      <c r="N4422" s="15" t="n">
        <f aca="false">M4422-L4422</f>
        <v>50.7399999999999</v>
      </c>
      <c r="O4422" s="1" t="n">
        <f aca="false">YEAR(B4422)</f>
        <v>2034</v>
      </c>
      <c r="P4422" s="1" t="n">
        <f aca="false">MONTH(B4422)</f>
        <v>2</v>
      </c>
      <c r="Q4422" s="1" t="str">
        <f aca="false">TEXT(B4422,"mmm")</f>
        <v>Feb</v>
      </c>
      <c r="R4422" s="1" t="str">
        <f aca="false">"Q"&amp;ROUNDUP(MONTH(B4422)/3,0)</f>
        <v>Q1</v>
      </c>
    </row>
    <row r="4423" customFormat="false" ht="15" hidden="false" customHeight="true" outlineLevel="0" collapsed="false">
      <c r="A4423" s="1" t="n">
        <v>14422</v>
      </c>
      <c r="B4423" s="14" t="n">
        <v>48983</v>
      </c>
      <c r="C4423" s="1" t="n">
        <v>1940</v>
      </c>
      <c r="D4423" s="1" t="s">
        <v>27</v>
      </c>
      <c r="E4423" s="1" t="s">
        <v>35</v>
      </c>
      <c r="F4423" s="1" t="n">
        <v>3</v>
      </c>
      <c r="G4423" s="15" t="n">
        <v>131.92</v>
      </c>
      <c r="H4423" s="16" t="n">
        <v>0.32</v>
      </c>
      <c r="I4423" s="1" t="s">
        <v>33</v>
      </c>
      <c r="J4423" s="1" t="n">
        <v>6</v>
      </c>
      <c r="K4423" s="1" t="n">
        <v>3.9</v>
      </c>
      <c r="L4423" s="15" t="n">
        <v>269.12</v>
      </c>
      <c r="M4423" s="15" t="n">
        <f aca="false">F4423*G4423</f>
        <v>395.76</v>
      </c>
      <c r="N4423" s="15" t="n">
        <f aca="false">M4423-L4423</f>
        <v>126.64</v>
      </c>
      <c r="O4423" s="1" t="n">
        <f aca="false">YEAR(B4423)</f>
        <v>2034</v>
      </c>
      <c r="P4423" s="1" t="n">
        <f aca="false">MONTH(B4423)</f>
        <v>2</v>
      </c>
      <c r="Q4423" s="1" t="str">
        <f aca="false">TEXT(B4423,"mmm")</f>
        <v>Feb</v>
      </c>
      <c r="R4423" s="1" t="str">
        <f aca="false">"Q"&amp;ROUNDUP(MONTH(B4423)/3,0)</f>
        <v>Q1</v>
      </c>
    </row>
    <row r="4424" customFormat="false" ht="15" hidden="false" customHeight="true" outlineLevel="0" collapsed="false">
      <c r="A4424" s="1" t="n">
        <v>14423</v>
      </c>
      <c r="B4424" s="14" t="n">
        <v>48984</v>
      </c>
      <c r="C4424" s="1" t="n">
        <v>1578</v>
      </c>
      <c r="D4424" s="1" t="s">
        <v>34</v>
      </c>
      <c r="E4424" s="1" t="s">
        <v>36</v>
      </c>
      <c r="F4424" s="1" t="n">
        <v>2</v>
      </c>
      <c r="G4424" s="15" t="n">
        <v>23.19</v>
      </c>
      <c r="H4424" s="16" t="n">
        <v>0.31</v>
      </c>
      <c r="I4424" s="1" t="s">
        <v>33</v>
      </c>
      <c r="J4424" s="1" t="n">
        <v>8</v>
      </c>
      <c r="K4424" s="1" t="n">
        <v>3.4</v>
      </c>
      <c r="L4424" s="15" t="n">
        <v>32</v>
      </c>
      <c r="M4424" s="15" t="n">
        <f aca="false">F4424*G4424</f>
        <v>46.38</v>
      </c>
      <c r="N4424" s="15" t="n">
        <f aca="false">M4424-L4424</f>
        <v>14.38</v>
      </c>
      <c r="O4424" s="1" t="n">
        <f aca="false">YEAR(B4424)</f>
        <v>2034</v>
      </c>
      <c r="P4424" s="1" t="n">
        <f aca="false">MONTH(B4424)</f>
        <v>2</v>
      </c>
      <c r="Q4424" s="1" t="str">
        <f aca="false">TEXT(B4424,"mmm")</f>
        <v>Feb</v>
      </c>
      <c r="R4424" s="1" t="str">
        <f aca="false">"Q"&amp;ROUNDUP(MONTH(B4424)/3,0)</f>
        <v>Q1</v>
      </c>
    </row>
    <row r="4425" customFormat="false" ht="15" hidden="false" customHeight="true" outlineLevel="0" collapsed="false">
      <c r="A4425" s="1" t="n">
        <v>14424</v>
      </c>
      <c r="B4425" s="14" t="n">
        <v>48985</v>
      </c>
      <c r="C4425" s="1" t="n">
        <v>1853</v>
      </c>
      <c r="D4425" s="1" t="s">
        <v>34</v>
      </c>
      <c r="E4425" s="1" t="s">
        <v>36</v>
      </c>
      <c r="F4425" s="1" t="n">
        <v>7</v>
      </c>
      <c r="G4425" s="15" t="n">
        <v>443.44</v>
      </c>
      <c r="H4425" s="16" t="n">
        <v>0.13</v>
      </c>
      <c r="I4425" s="1" t="s">
        <v>33</v>
      </c>
      <c r="J4425" s="1" t="n">
        <v>7</v>
      </c>
      <c r="K4425" s="1" t="n">
        <v>2</v>
      </c>
      <c r="L4425" s="15" t="n">
        <v>2700.55</v>
      </c>
      <c r="M4425" s="15" t="n">
        <f aca="false">F4425*G4425</f>
        <v>3104.08</v>
      </c>
      <c r="N4425" s="15" t="n">
        <f aca="false">M4425-L4425</f>
        <v>403.53</v>
      </c>
      <c r="O4425" s="1" t="n">
        <f aca="false">YEAR(B4425)</f>
        <v>2034</v>
      </c>
      <c r="P4425" s="1" t="n">
        <f aca="false">MONTH(B4425)</f>
        <v>2</v>
      </c>
      <c r="Q4425" s="1" t="str">
        <f aca="false">TEXT(B4425,"mmm")</f>
        <v>Feb</v>
      </c>
      <c r="R4425" s="1" t="str">
        <f aca="false">"Q"&amp;ROUNDUP(MONTH(B4425)/3,0)</f>
        <v>Q1</v>
      </c>
    </row>
    <row r="4426" customFormat="false" ht="15" hidden="false" customHeight="true" outlineLevel="0" collapsed="false">
      <c r="A4426" s="1" t="n">
        <v>14425</v>
      </c>
      <c r="B4426" s="14" t="n">
        <v>48986</v>
      </c>
      <c r="C4426" s="1" t="n">
        <v>1491</v>
      </c>
      <c r="D4426" s="1" t="s">
        <v>34</v>
      </c>
      <c r="E4426" s="1" t="s">
        <v>35</v>
      </c>
      <c r="F4426" s="1" t="n">
        <v>5</v>
      </c>
      <c r="G4426" s="15" t="n">
        <v>420.65</v>
      </c>
      <c r="H4426" s="16" t="n">
        <v>0.14</v>
      </c>
      <c r="I4426" s="1" t="s">
        <v>31</v>
      </c>
      <c r="J4426" s="1" t="n">
        <v>2</v>
      </c>
      <c r="K4426" s="1" t="n">
        <v>4.3</v>
      </c>
      <c r="L4426" s="15" t="n">
        <v>1808.8</v>
      </c>
      <c r="M4426" s="15" t="n">
        <f aca="false">F4426*G4426</f>
        <v>2103.25</v>
      </c>
      <c r="N4426" s="15" t="n">
        <f aca="false">M4426-L4426</f>
        <v>294.45</v>
      </c>
      <c r="O4426" s="1" t="n">
        <f aca="false">YEAR(B4426)</f>
        <v>2034</v>
      </c>
      <c r="P4426" s="1" t="n">
        <f aca="false">MONTH(B4426)</f>
        <v>2</v>
      </c>
      <c r="Q4426" s="1" t="str">
        <f aca="false">TEXT(B4426,"mmm")</f>
        <v>Feb</v>
      </c>
      <c r="R4426" s="1" t="str">
        <f aca="false">"Q"&amp;ROUNDUP(MONTH(B4426)/3,0)</f>
        <v>Q1</v>
      </c>
    </row>
    <row r="4427" customFormat="false" ht="15" hidden="false" customHeight="true" outlineLevel="0" collapsed="false">
      <c r="A4427" s="1" t="n">
        <v>14426</v>
      </c>
      <c r="B4427" s="14" t="n">
        <v>48987</v>
      </c>
      <c r="C4427" s="1" t="n">
        <v>1193</v>
      </c>
      <c r="D4427" s="1" t="s">
        <v>27</v>
      </c>
      <c r="E4427" s="1" t="s">
        <v>36</v>
      </c>
      <c r="F4427" s="1" t="n">
        <v>7</v>
      </c>
      <c r="G4427" s="15" t="n">
        <v>478.53</v>
      </c>
      <c r="H4427" s="16" t="n">
        <v>0.16</v>
      </c>
      <c r="I4427" s="1" t="s">
        <v>33</v>
      </c>
      <c r="J4427" s="1" t="n">
        <v>2</v>
      </c>
      <c r="K4427" s="1" t="n">
        <v>2.9</v>
      </c>
      <c r="L4427" s="15" t="n">
        <v>2813.76</v>
      </c>
      <c r="M4427" s="15" t="n">
        <f aca="false">F4427*G4427</f>
        <v>3349.71</v>
      </c>
      <c r="N4427" s="15" t="n">
        <f aca="false">M4427-L4427</f>
        <v>535.95</v>
      </c>
      <c r="O4427" s="1" t="n">
        <f aca="false">YEAR(B4427)</f>
        <v>2034</v>
      </c>
      <c r="P4427" s="1" t="n">
        <f aca="false">MONTH(B4427)</f>
        <v>2</v>
      </c>
      <c r="Q4427" s="1" t="str">
        <f aca="false">TEXT(B4427,"mmm")</f>
        <v>Feb</v>
      </c>
      <c r="R4427" s="1" t="str">
        <f aca="false">"Q"&amp;ROUNDUP(MONTH(B4427)/3,0)</f>
        <v>Q1</v>
      </c>
    </row>
    <row r="4428" customFormat="false" ht="15" hidden="false" customHeight="true" outlineLevel="0" collapsed="false">
      <c r="A4428" s="1" t="n">
        <v>14427</v>
      </c>
      <c r="B4428" s="14" t="n">
        <v>48988</v>
      </c>
      <c r="C4428" s="1" t="n">
        <v>1983</v>
      </c>
      <c r="D4428" s="1" t="s">
        <v>30</v>
      </c>
      <c r="E4428" s="1" t="s">
        <v>28</v>
      </c>
      <c r="F4428" s="1" t="n">
        <v>2</v>
      </c>
      <c r="G4428" s="15" t="n">
        <v>165.17</v>
      </c>
      <c r="H4428" s="16" t="n">
        <v>0.23</v>
      </c>
      <c r="I4428" s="1" t="s">
        <v>29</v>
      </c>
      <c r="J4428" s="1" t="n">
        <v>4</v>
      </c>
      <c r="K4428" s="1" t="n">
        <v>3.8</v>
      </c>
      <c r="L4428" s="15" t="n">
        <v>254.36</v>
      </c>
      <c r="M4428" s="15" t="n">
        <f aca="false">F4428*G4428</f>
        <v>330.34</v>
      </c>
      <c r="N4428" s="15" t="n">
        <f aca="false">M4428-L4428</f>
        <v>75.98</v>
      </c>
      <c r="O4428" s="1" t="n">
        <f aca="false">YEAR(B4428)</f>
        <v>2034</v>
      </c>
      <c r="P4428" s="1" t="n">
        <f aca="false">MONTH(B4428)</f>
        <v>2</v>
      </c>
      <c r="Q4428" s="1" t="str">
        <f aca="false">TEXT(B4428,"mmm")</f>
        <v>Feb</v>
      </c>
      <c r="R4428" s="1" t="str">
        <f aca="false">"Q"&amp;ROUNDUP(MONTH(B4428)/3,0)</f>
        <v>Q1</v>
      </c>
    </row>
    <row r="4429" customFormat="false" ht="15" hidden="false" customHeight="true" outlineLevel="0" collapsed="false">
      <c r="A4429" s="1" t="n">
        <v>14428</v>
      </c>
      <c r="B4429" s="14" t="n">
        <v>48989</v>
      </c>
      <c r="C4429" s="1" t="n">
        <v>1161</v>
      </c>
      <c r="D4429" s="1" t="s">
        <v>37</v>
      </c>
      <c r="E4429" s="1" t="s">
        <v>35</v>
      </c>
      <c r="F4429" s="1" t="n">
        <v>2</v>
      </c>
      <c r="G4429" s="15" t="n">
        <v>274.94</v>
      </c>
      <c r="H4429" s="16" t="n">
        <v>0.09</v>
      </c>
      <c r="I4429" s="1" t="s">
        <v>33</v>
      </c>
      <c r="J4429" s="1" t="n">
        <v>5</v>
      </c>
      <c r="K4429" s="1" t="n">
        <v>2.2</v>
      </c>
      <c r="L4429" s="15" t="n">
        <v>500.39</v>
      </c>
      <c r="M4429" s="15" t="n">
        <f aca="false">F4429*G4429</f>
        <v>549.88</v>
      </c>
      <c r="N4429" s="15" t="n">
        <f aca="false">M4429-L4429</f>
        <v>49.49</v>
      </c>
      <c r="O4429" s="1" t="n">
        <f aca="false">YEAR(B4429)</f>
        <v>2034</v>
      </c>
      <c r="P4429" s="1" t="n">
        <f aca="false">MONTH(B4429)</f>
        <v>2</v>
      </c>
      <c r="Q4429" s="1" t="str">
        <f aca="false">TEXT(B4429,"mmm")</f>
        <v>Feb</v>
      </c>
      <c r="R4429" s="1" t="str">
        <f aca="false">"Q"&amp;ROUNDUP(MONTH(B4429)/3,0)</f>
        <v>Q1</v>
      </c>
    </row>
    <row r="4430" customFormat="false" ht="15" hidden="false" customHeight="true" outlineLevel="0" collapsed="false">
      <c r="A4430" s="1" t="n">
        <v>14429</v>
      </c>
      <c r="B4430" s="14" t="n">
        <v>48990</v>
      </c>
      <c r="C4430" s="1" t="n">
        <v>1346</v>
      </c>
      <c r="D4430" s="1" t="s">
        <v>27</v>
      </c>
      <c r="E4430" s="1" t="s">
        <v>36</v>
      </c>
      <c r="F4430" s="1" t="n">
        <v>2</v>
      </c>
      <c r="G4430" s="15" t="n">
        <v>400.58</v>
      </c>
      <c r="H4430" s="16" t="n">
        <v>0.01</v>
      </c>
      <c r="I4430" s="1" t="s">
        <v>33</v>
      </c>
      <c r="J4430" s="1" t="n">
        <v>5</v>
      </c>
      <c r="K4430" s="1" t="n">
        <v>4.3</v>
      </c>
      <c r="L4430" s="15" t="n">
        <v>793.15</v>
      </c>
      <c r="M4430" s="15" t="n">
        <f aca="false">F4430*G4430</f>
        <v>801.16</v>
      </c>
      <c r="N4430" s="15" t="n">
        <f aca="false">M4430-L4430</f>
        <v>8.00999999999999</v>
      </c>
      <c r="O4430" s="1" t="n">
        <f aca="false">YEAR(B4430)</f>
        <v>2034</v>
      </c>
      <c r="P4430" s="1" t="n">
        <f aca="false">MONTH(B4430)</f>
        <v>2</v>
      </c>
      <c r="Q4430" s="1" t="str">
        <f aca="false">TEXT(B4430,"mmm")</f>
        <v>Feb</v>
      </c>
      <c r="R4430" s="1" t="str">
        <f aca="false">"Q"&amp;ROUNDUP(MONTH(B4430)/3,0)</f>
        <v>Q1</v>
      </c>
    </row>
    <row r="4431" customFormat="false" ht="15" hidden="false" customHeight="true" outlineLevel="0" collapsed="false">
      <c r="A4431" s="1" t="n">
        <v>14430</v>
      </c>
      <c r="B4431" s="14" t="n">
        <v>48991</v>
      </c>
      <c r="C4431" s="1" t="n">
        <v>1950</v>
      </c>
      <c r="D4431" s="1" t="s">
        <v>34</v>
      </c>
      <c r="E4431" s="1" t="s">
        <v>36</v>
      </c>
      <c r="F4431" s="1" t="n">
        <v>2</v>
      </c>
      <c r="G4431" s="15" t="n">
        <v>272.26</v>
      </c>
      <c r="H4431" s="16" t="n">
        <v>0.05</v>
      </c>
      <c r="I4431" s="1" t="s">
        <v>31</v>
      </c>
      <c r="J4431" s="1" t="n">
        <v>11</v>
      </c>
      <c r="K4431" s="1" t="n">
        <v>2.1</v>
      </c>
      <c r="L4431" s="15" t="n">
        <v>517.29</v>
      </c>
      <c r="M4431" s="15" t="n">
        <f aca="false">F4431*G4431</f>
        <v>544.52</v>
      </c>
      <c r="N4431" s="15" t="n">
        <f aca="false">M4431-L4431</f>
        <v>27.23</v>
      </c>
      <c r="O4431" s="1" t="n">
        <f aca="false">YEAR(B4431)</f>
        <v>2034</v>
      </c>
      <c r="P4431" s="1" t="n">
        <f aca="false">MONTH(B4431)</f>
        <v>2</v>
      </c>
      <c r="Q4431" s="1" t="str">
        <f aca="false">TEXT(B4431,"mmm")</f>
        <v>Feb</v>
      </c>
      <c r="R4431" s="1" t="str">
        <f aca="false">"Q"&amp;ROUNDUP(MONTH(B4431)/3,0)</f>
        <v>Q1</v>
      </c>
    </row>
    <row r="4432" customFormat="false" ht="15" hidden="false" customHeight="true" outlineLevel="0" collapsed="false">
      <c r="A4432" s="1" t="n">
        <v>14431</v>
      </c>
      <c r="B4432" s="14" t="n">
        <v>48992</v>
      </c>
      <c r="C4432" s="1" t="n">
        <v>1360</v>
      </c>
      <c r="D4432" s="1" t="s">
        <v>30</v>
      </c>
      <c r="E4432" s="1" t="s">
        <v>35</v>
      </c>
      <c r="F4432" s="1" t="n">
        <v>1</v>
      </c>
      <c r="G4432" s="15" t="n">
        <v>422.94</v>
      </c>
      <c r="H4432" s="16" t="n">
        <v>0.15</v>
      </c>
      <c r="I4432" s="1" t="s">
        <v>31</v>
      </c>
      <c r="J4432" s="1" t="n">
        <v>2</v>
      </c>
      <c r="K4432" s="1" t="n">
        <v>2.5</v>
      </c>
      <c r="L4432" s="15" t="n">
        <v>359.5</v>
      </c>
      <c r="M4432" s="15" t="n">
        <f aca="false">F4432*G4432</f>
        <v>422.94</v>
      </c>
      <c r="N4432" s="15" t="n">
        <f aca="false">M4432-L4432</f>
        <v>63.44</v>
      </c>
      <c r="O4432" s="1" t="n">
        <f aca="false">YEAR(B4432)</f>
        <v>2034</v>
      </c>
      <c r="P4432" s="1" t="n">
        <f aca="false">MONTH(B4432)</f>
        <v>2</v>
      </c>
      <c r="Q4432" s="1" t="str">
        <f aca="false">TEXT(B4432,"mmm")</f>
        <v>Feb</v>
      </c>
      <c r="R4432" s="1" t="str">
        <f aca="false">"Q"&amp;ROUNDUP(MONTH(B4432)/3,0)</f>
        <v>Q1</v>
      </c>
    </row>
    <row r="4433" customFormat="false" ht="15" hidden="false" customHeight="true" outlineLevel="0" collapsed="false">
      <c r="A4433" s="1" t="n">
        <v>14432</v>
      </c>
      <c r="B4433" s="14" t="n">
        <v>48993</v>
      </c>
      <c r="C4433" s="1" t="n">
        <v>1768</v>
      </c>
      <c r="D4433" s="1" t="s">
        <v>34</v>
      </c>
      <c r="E4433" s="1" t="s">
        <v>28</v>
      </c>
      <c r="F4433" s="1" t="n">
        <v>7</v>
      </c>
      <c r="G4433" s="15" t="n">
        <v>385.87</v>
      </c>
      <c r="H4433" s="16" t="n">
        <v>0.1</v>
      </c>
      <c r="I4433" s="1" t="s">
        <v>31</v>
      </c>
      <c r="J4433" s="1" t="n">
        <v>7</v>
      </c>
      <c r="K4433" s="1" t="n">
        <v>2.6</v>
      </c>
      <c r="L4433" s="15" t="n">
        <v>2430.98</v>
      </c>
      <c r="M4433" s="15" t="n">
        <f aca="false">F4433*G4433</f>
        <v>2701.09</v>
      </c>
      <c r="N4433" s="15" t="n">
        <f aca="false">M4433-L4433</f>
        <v>270.11</v>
      </c>
      <c r="O4433" s="1" t="n">
        <f aca="false">YEAR(B4433)</f>
        <v>2034</v>
      </c>
      <c r="P4433" s="1" t="n">
        <f aca="false">MONTH(B4433)</f>
        <v>2</v>
      </c>
      <c r="Q4433" s="1" t="str">
        <f aca="false">TEXT(B4433,"mmm")</f>
        <v>Feb</v>
      </c>
      <c r="R4433" s="1" t="str">
        <f aca="false">"Q"&amp;ROUNDUP(MONTH(B4433)/3,0)</f>
        <v>Q1</v>
      </c>
    </row>
    <row r="4434" customFormat="false" ht="15" hidden="false" customHeight="true" outlineLevel="0" collapsed="false">
      <c r="A4434" s="1" t="n">
        <v>14433</v>
      </c>
      <c r="B4434" s="14" t="n">
        <v>48994</v>
      </c>
      <c r="C4434" s="1" t="n">
        <v>1583</v>
      </c>
      <c r="D4434" s="1" t="s">
        <v>34</v>
      </c>
      <c r="E4434" s="1" t="s">
        <v>35</v>
      </c>
      <c r="F4434" s="1" t="n">
        <v>6</v>
      </c>
      <c r="G4434" s="15" t="n">
        <v>82.07</v>
      </c>
      <c r="H4434" s="16" t="n">
        <v>0.27</v>
      </c>
      <c r="I4434" s="1" t="s">
        <v>33</v>
      </c>
      <c r="J4434" s="1" t="n">
        <v>8</v>
      </c>
      <c r="K4434" s="1" t="n">
        <v>1.8</v>
      </c>
      <c r="L4434" s="15" t="n">
        <v>359.47</v>
      </c>
      <c r="M4434" s="15" t="n">
        <f aca="false">F4434*G4434</f>
        <v>492.42</v>
      </c>
      <c r="N4434" s="15" t="n">
        <f aca="false">M4434-L4434</f>
        <v>132.95</v>
      </c>
      <c r="O4434" s="1" t="n">
        <f aca="false">YEAR(B4434)</f>
        <v>2034</v>
      </c>
      <c r="P4434" s="1" t="n">
        <f aca="false">MONTH(B4434)</f>
        <v>2</v>
      </c>
      <c r="Q4434" s="1" t="str">
        <f aca="false">TEXT(B4434,"mmm")</f>
        <v>Feb</v>
      </c>
      <c r="R4434" s="1" t="str">
        <f aca="false">"Q"&amp;ROUNDUP(MONTH(B4434)/3,0)</f>
        <v>Q1</v>
      </c>
    </row>
    <row r="4435" customFormat="false" ht="15" hidden="false" customHeight="true" outlineLevel="0" collapsed="false">
      <c r="A4435" s="1" t="n">
        <v>14434</v>
      </c>
      <c r="B4435" s="14" t="n">
        <v>48995</v>
      </c>
      <c r="C4435" s="1" t="n">
        <v>1086</v>
      </c>
      <c r="D4435" s="1" t="s">
        <v>37</v>
      </c>
      <c r="E4435" s="1" t="s">
        <v>36</v>
      </c>
      <c r="F4435" s="1" t="n">
        <v>7</v>
      </c>
      <c r="G4435" s="15" t="n">
        <v>471.91</v>
      </c>
      <c r="H4435" s="16" t="n">
        <v>0.04</v>
      </c>
      <c r="I4435" s="1" t="s">
        <v>31</v>
      </c>
      <c r="J4435" s="1" t="n">
        <v>2</v>
      </c>
      <c r="K4435" s="1" t="n">
        <v>4.5</v>
      </c>
      <c r="L4435" s="15" t="n">
        <v>3171.24</v>
      </c>
      <c r="M4435" s="15" t="n">
        <f aca="false">F4435*G4435</f>
        <v>3303.37</v>
      </c>
      <c r="N4435" s="15" t="n">
        <f aca="false">M4435-L4435</f>
        <v>132.130000000001</v>
      </c>
      <c r="O4435" s="1" t="n">
        <f aca="false">YEAR(B4435)</f>
        <v>2034</v>
      </c>
      <c r="P4435" s="1" t="n">
        <f aca="false">MONTH(B4435)</f>
        <v>2</v>
      </c>
      <c r="Q4435" s="1" t="str">
        <f aca="false">TEXT(B4435,"mmm")</f>
        <v>Feb</v>
      </c>
      <c r="R4435" s="1" t="str">
        <f aca="false">"Q"&amp;ROUNDUP(MONTH(B4435)/3,0)</f>
        <v>Q1</v>
      </c>
    </row>
    <row r="4436" customFormat="false" ht="15" hidden="false" customHeight="true" outlineLevel="0" collapsed="false">
      <c r="A4436" s="1" t="n">
        <v>14435</v>
      </c>
      <c r="B4436" s="14" t="n">
        <v>48996</v>
      </c>
      <c r="C4436" s="1" t="n">
        <v>1933</v>
      </c>
      <c r="D4436" s="1" t="s">
        <v>37</v>
      </c>
      <c r="E4436" s="1" t="s">
        <v>35</v>
      </c>
      <c r="F4436" s="1" t="n">
        <v>4</v>
      </c>
      <c r="G4436" s="15" t="n">
        <v>436.6</v>
      </c>
      <c r="H4436" s="16" t="n">
        <v>0.32</v>
      </c>
      <c r="I4436" s="1" t="s">
        <v>33</v>
      </c>
      <c r="J4436" s="1" t="n">
        <v>4</v>
      </c>
      <c r="K4436" s="1" t="n">
        <v>1.5</v>
      </c>
      <c r="L4436" s="15" t="n">
        <v>1187.55</v>
      </c>
      <c r="M4436" s="15" t="n">
        <f aca="false">F4436*G4436</f>
        <v>1746.4</v>
      </c>
      <c r="N4436" s="15" t="n">
        <f aca="false">M4436-L4436</f>
        <v>558.85</v>
      </c>
      <c r="O4436" s="1" t="n">
        <f aca="false">YEAR(B4436)</f>
        <v>2034</v>
      </c>
      <c r="P4436" s="1" t="n">
        <f aca="false">MONTH(B4436)</f>
        <v>2</v>
      </c>
      <c r="Q4436" s="1" t="str">
        <f aca="false">TEXT(B4436,"mmm")</f>
        <v>Feb</v>
      </c>
      <c r="R4436" s="1" t="str">
        <f aca="false">"Q"&amp;ROUNDUP(MONTH(B4436)/3,0)</f>
        <v>Q1</v>
      </c>
    </row>
    <row r="4437" customFormat="false" ht="15" hidden="false" customHeight="true" outlineLevel="0" collapsed="false">
      <c r="A4437" s="1" t="n">
        <v>14436</v>
      </c>
      <c r="B4437" s="14" t="n">
        <v>48997</v>
      </c>
      <c r="C4437" s="1" t="n">
        <v>1261</v>
      </c>
      <c r="D4437" s="1" t="s">
        <v>30</v>
      </c>
      <c r="E4437" s="1" t="s">
        <v>36</v>
      </c>
      <c r="F4437" s="1" t="n">
        <v>1</v>
      </c>
      <c r="G4437" s="15" t="n">
        <v>398.66</v>
      </c>
      <c r="H4437" s="16" t="n">
        <v>0.31</v>
      </c>
      <c r="I4437" s="1" t="s">
        <v>33</v>
      </c>
      <c r="J4437" s="1" t="n">
        <v>11</v>
      </c>
      <c r="K4437" s="1" t="n">
        <v>3.3</v>
      </c>
      <c r="L4437" s="15" t="n">
        <v>275.08</v>
      </c>
      <c r="M4437" s="15" t="n">
        <f aca="false">F4437*G4437</f>
        <v>398.66</v>
      </c>
      <c r="N4437" s="15" t="n">
        <f aca="false">M4437-L4437</f>
        <v>123.58</v>
      </c>
      <c r="O4437" s="1" t="n">
        <f aca="false">YEAR(B4437)</f>
        <v>2034</v>
      </c>
      <c r="P4437" s="1" t="n">
        <f aca="false">MONTH(B4437)</f>
        <v>2</v>
      </c>
      <c r="Q4437" s="1" t="str">
        <f aca="false">TEXT(B4437,"mmm")</f>
        <v>Feb</v>
      </c>
      <c r="R4437" s="1" t="str">
        <f aca="false">"Q"&amp;ROUNDUP(MONTH(B4437)/3,0)</f>
        <v>Q1</v>
      </c>
    </row>
    <row r="4438" customFormat="false" ht="15" hidden="false" customHeight="true" outlineLevel="0" collapsed="false">
      <c r="A4438" s="1" t="n">
        <v>14437</v>
      </c>
      <c r="B4438" s="14" t="n">
        <v>48998</v>
      </c>
      <c r="C4438" s="1" t="n">
        <v>1213</v>
      </c>
      <c r="D4438" s="1" t="s">
        <v>30</v>
      </c>
      <c r="E4438" s="1" t="s">
        <v>32</v>
      </c>
      <c r="F4438" s="1" t="n">
        <v>3</v>
      </c>
      <c r="G4438" s="15" t="n">
        <v>105.73</v>
      </c>
      <c r="H4438" s="16" t="n">
        <v>0.32</v>
      </c>
      <c r="I4438" s="1" t="s">
        <v>33</v>
      </c>
      <c r="J4438" s="1" t="n">
        <v>11</v>
      </c>
      <c r="K4438" s="1" t="n">
        <v>4.3</v>
      </c>
      <c r="L4438" s="15" t="n">
        <v>215.69</v>
      </c>
      <c r="M4438" s="15" t="n">
        <f aca="false">F4438*G4438</f>
        <v>317.19</v>
      </c>
      <c r="N4438" s="15" t="n">
        <f aca="false">M4438-L4438</f>
        <v>101.5</v>
      </c>
      <c r="O4438" s="1" t="n">
        <f aca="false">YEAR(B4438)</f>
        <v>2034</v>
      </c>
      <c r="P4438" s="1" t="n">
        <f aca="false">MONTH(B4438)</f>
        <v>2</v>
      </c>
      <c r="Q4438" s="1" t="str">
        <f aca="false">TEXT(B4438,"mmm")</f>
        <v>Feb</v>
      </c>
      <c r="R4438" s="1" t="str">
        <f aca="false">"Q"&amp;ROUNDUP(MONTH(B4438)/3,0)</f>
        <v>Q1</v>
      </c>
    </row>
    <row r="4439" customFormat="false" ht="15" hidden="false" customHeight="true" outlineLevel="0" collapsed="false">
      <c r="A4439" s="1" t="n">
        <v>14438</v>
      </c>
      <c r="B4439" s="14" t="n">
        <v>48999</v>
      </c>
      <c r="C4439" s="1" t="n">
        <v>1664</v>
      </c>
      <c r="D4439" s="1" t="s">
        <v>30</v>
      </c>
      <c r="E4439" s="1" t="s">
        <v>35</v>
      </c>
      <c r="F4439" s="1" t="n">
        <v>3</v>
      </c>
      <c r="G4439" s="15" t="n">
        <v>171.78</v>
      </c>
      <c r="H4439" s="16" t="n">
        <v>0.26</v>
      </c>
      <c r="I4439" s="1" t="s">
        <v>31</v>
      </c>
      <c r="J4439" s="1" t="n">
        <v>3</v>
      </c>
      <c r="K4439" s="1" t="n">
        <v>3.3</v>
      </c>
      <c r="L4439" s="15" t="n">
        <v>381.35</v>
      </c>
      <c r="M4439" s="15" t="n">
        <f aca="false">F4439*G4439</f>
        <v>515.34</v>
      </c>
      <c r="N4439" s="15" t="n">
        <f aca="false">M4439-L4439</f>
        <v>133.99</v>
      </c>
      <c r="O4439" s="1" t="n">
        <f aca="false">YEAR(B4439)</f>
        <v>2034</v>
      </c>
      <c r="P4439" s="1" t="n">
        <f aca="false">MONTH(B4439)</f>
        <v>2</v>
      </c>
      <c r="Q4439" s="1" t="str">
        <f aca="false">TEXT(B4439,"mmm")</f>
        <v>Feb</v>
      </c>
      <c r="R4439" s="1" t="str">
        <f aca="false">"Q"&amp;ROUNDUP(MONTH(B4439)/3,0)</f>
        <v>Q1</v>
      </c>
    </row>
    <row r="4440" customFormat="false" ht="15" hidden="false" customHeight="true" outlineLevel="0" collapsed="false">
      <c r="A4440" s="1" t="n">
        <v>14439</v>
      </c>
      <c r="B4440" s="14" t="n">
        <v>49000</v>
      </c>
      <c r="C4440" s="1" t="n">
        <v>1721</v>
      </c>
      <c r="D4440" s="1" t="s">
        <v>34</v>
      </c>
      <c r="E4440" s="1" t="s">
        <v>35</v>
      </c>
      <c r="F4440" s="1" t="n">
        <v>6</v>
      </c>
      <c r="G4440" s="15" t="n">
        <v>245.01</v>
      </c>
      <c r="H4440" s="16" t="n">
        <v>0.04</v>
      </c>
      <c r="I4440" s="1" t="s">
        <v>33</v>
      </c>
      <c r="J4440" s="1" t="n">
        <v>4</v>
      </c>
      <c r="K4440" s="1" t="n">
        <v>2.3</v>
      </c>
      <c r="L4440" s="15" t="n">
        <v>1411.26</v>
      </c>
      <c r="M4440" s="15" t="n">
        <f aca="false">F4440*G4440</f>
        <v>1470.06</v>
      </c>
      <c r="N4440" s="15" t="n">
        <f aca="false">M4440-L4440</f>
        <v>58.8</v>
      </c>
      <c r="O4440" s="1" t="n">
        <f aca="false">YEAR(B4440)</f>
        <v>2034</v>
      </c>
      <c r="P4440" s="1" t="n">
        <f aca="false">MONTH(B4440)</f>
        <v>2</v>
      </c>
      <c r="Q4440" s="1" t="str">
        <f aca="false">TEXT(B4440,"mmm")</f>
        <v>Feb</v>
      </c>
      <c r="R4440" s="1" t="str">
        <f aca="false">"Q"&amp;ROUNDUP(MONTH(B4440)/3,0)</f>
        <v>Q1</v>
      </c>
    </row>
    <row r="4441" customFormat="false" ht="15" hidden="false" customHeight="true" outlineLevel="0" collapsed="false">
      <c r="A4441" s="1" t="n">
        <v>14440</v>
      </c>
      <c r="B4441" s="14" t="n">
        <v>49001</v>
      </c>
      <c r="C4441" s="1" t="n">
        <v>1912</v>
      </c>
      <c r="D4441" s="1" t="s">
        <v>34</v>
      </c>
      <c r="E4441" s="1" t="s">
        <v>36</v>
      </c>
      <c r="F4441" s="1" t="n">
        <v>4</v>
      </c>
      <c r="G4441" s="15" t="n">
        <v>178.76</v>
      </c>
      <c r="H4441" s="16" t="n">
        <v>0.15</v>
      </c>
      <c r="I4441" s="1" t="s">
        <v>33</v>
      </c>
      <c r="J4441" s="1" t="n">
        <v>5</v>
      </c>
      <c r="K4441" s="1" t="n">
        <v>4.1</v>
      </c>
      <c r="L4441" s="15" t="n">
        <v>607.78</v>
      </c>
      <c r="M4441" s="15" t="n">
        <f aca="false">F4441*G4441</f>
        <v>715.04</v>
      </c>
      <c r="N4441" s="15" t="n">
        <f aca="false">M4441-L4441</f>
        <v>107.26</v>
      </c>
      <c r="O4441" s="1" t="n">
        <f aca="false">YEAR(B4441)</f>
        <v>2034</v>
      </c>
      <c r="P4441" s="1" t="n">
        <f aca="false">MONTH(B4441)</f>
        <v>2</v>
      </c>
      <c r="Q4441" s="1" t="str">
        <f aca="false">TEXT(B4441,"mmm")</f>
        <v>Feb</v>
      </c>
      <c r="R4441" s="1" t="str">
        <f aca="false">"Q"&amp;ROUNDUP(MONTH(B4441)/3,0)</f>
        <v>Q1</v>
      </c>
    </row>
    <row r="4442" customFormat="false" ht="15" hidden="false" customHeight="true" outlineLevel="0" collapsed="false">
      <c r="A4442" s="1" t="n">
        <v>14441</v>
      </c>
      <c r="B4442" s="14" t="n">
        <v>49002</v>
      </c>
      <c r="C4442" s="1" t="n">
        <v>1572</v>
      </c>
      <c r="D4442" s="1" t="s">
        <v>34</v>
      </c>
      <c r="E4442" s="1" t="s">
        <v>36</v>
      </c>
      <c r="F4442" s="1" t="n">
        <v>4</v>
      </c>
      <c r="G4442" s="15" t="n">
        <v>148.27</v>
      </c>
      <c r="H4442" s="16" t="n">
        <v>0.05</v>
      </c>
      <c r="I4442" s="1" t="s">
        <v>31</v>
      </c>
      <c r="J4442" s="1" t="n">
        <v>6</v>
      </c>
      <c r="K4442" s="1" t="n">
        <v>3</v>
      </c>
      <c r="L4442" s="15" t="n">
        <v>563.43</v>
      </c>
      <c r="M4442" s="15" t="n">
        <f aca="false">F4442*G4442</f>
        <v>593.08</v>
      </c>
      <c r="N4442" s="15" t="n">
        <f aca="false">M4442-L4442</f>
        <v>29.6500000000001</v>
      </c>
      <c r="O4442" s="1" t="n">
        <f aca="false">YEAR(B4442)</f>
        <v>2034</v>
      </c>
      <c r="P4442" s="1" t="n">
        <f aca="false">MONTH(B4442)</f>
        <v>2</v>
      </c>
      <c r="Q4442" s="1" t="str">
        <f aca="false">TEXT(B4442,"mmm")</f>
        <v>Feb</v>
      </c>
      <c r="R4442" s="1" t="str">
        <f aca="false">"Q"&amp;ROUNDUP(MONTH(B4442)/3,0)</f>
        <v>Q1</v>
      </c>
    </row>
    <row r="4443" customFormat="false" ht="15" hidden="false" customHeight="true" outlineLevel="0" collapsed="false">
      <c r="A4443" s="1" t="n">
        <v>14442</v>
      </c>
      <c r="B4443" s="14" t="n">
        <v>49003</v>
      </c>
      <c r="C4443" s="1" t="n">
        <v>1779</v>
      </c>
      <c r="D4443" s="1" t="s">
        <v>34</v>
      </c>
      <c r="E4443" s="1" t="s">
        <v>36</v>
      </c>
      <c r="F4443" s="1" t="n">
        <v>4</v>
      </c>
      <c r="G4443" s="15" t="n">
        <v>486.13</v>
      </c>
      <c r="H4443" s="16" t="n">
        <v>0.35</v>
      </c>
      <c r="I4443" s="1" t="s">
        <v>31</v>
      </c>
      <c r="J4443" s="1" t="n">
        <v>2</v>
      </c>
      <c r="K4443" s="1" t="n">
        <v>1.7</v>
      </c>
      <c r="L4443" s="15" t="n">
        <v>1263.94</v>
      </c>
      <c r="M4443" s="15" t="n">
        <f aca="false">F4443*G4443</f>
        <v>1944.52</v>
      </c>
      <c r="N4443" s="15" t="n">
        <f aca="false">M4443-L4443</f>
        <v>680.58</v>
      </c>
      <c r="O4443" s="1" t="n">
        <f aca="false">YEAR(B4443)</f>
        <v>2034</v>
      </c>
      <c r="P4443" s="1" t="n">
        <f aca="false">MONTH(B4443)</f>
        <v>2</v>
      </c>
      <c r="Q4443" s="1" t="str">
        <f aca="false">TEXT(B4443,"mmm")</f>
        <v>Feb</v>
      </c>
      <c r="R4443" s="1" t="str">
        <f aca="false">"Q"&amp;ROUNDUP(MONTH(B4443)/3,0)</f>
        <v>Q1</v>
      </c>
    </row>
    <row r="4444" customFormat="false" ht="15" hidden="false" customHeight="true" outlineLevel="0" collapsed="false">
      <c r="A4444" s="1" t="n">
        <v>14443</v>
      </c>
      <c r="B4444" s="14" t="n">
        <v>49004</v>
      </c>
      <c r="C4444" s="1" t="n">
        <v>1261</v>
      </c>
      <c r="D4444" s="1" t="s">
        <v>37</v>
      </c>
      <c r="E4444" s="1" t="s">
        <v>36</v>
      </c>
      <c r="F4444" s="1" t="n">
        <v>2</v>
      </c>
      <c r="G4444" s="15" t="n">
        <v>388.37</v>
      </c>
      <c r="H4444" s="16" t="n">
        <v>0.12</v>
      </c>
      <c r="I4444" s="1" t="s">
        <v>33</v>
      </c>
      <c r="J4444" s="1" t="n">
        <v>10</v>
      </c>
      <c r="K4444" s="1" t="n">
        <v>2.3</v>
      </c>
      <c r="L4444" s="15" t="n">
        <v>683.53</v>
      </c>
      <c r="M4444" s="15" t="n">
        <f aca="false">F4444*G4444</f>
        <v>776.74</v>
      </c>
      <c r="N4444" s="15" t="n">
        <f aca="false">M4444-L4444</f>
        <v>93.21</v>
      </c>
      <c r="O4444" s="1" t="n">
        <f aca="false">YEAR(B4444)</f>
        <v>2034</v>
      </c>
      <c r="P4444" s="1" t="n">
        <f aca="false">MONTH(B4444)</f>
        <v>3</v>
      </c>
      <c r="Q4444" s="1" t="str">
        <f aca="false">TEXT(B4444,"mmm")</f>
        <v>Mar</v>
      </c>
      <c r="R4444" s="1" t="str">
        <f aca="false">"Q"&amp;ROUNDUP(MONTH(B4444)/3,0)</f>
        <v>Q1</v>
      </c>
    </row>
    <row r="4445" customFormat="false" ht="15" hidden="false" customHeight="true" outlineLevel="0" collapsed="false">
      <c r="A4445" s="1" t="n">
        <v>14444</v>
      </c>
      <c r="B4445" s="14" t="n">
        <v>49005</v>
      </c>
      <c r="C4445" s="1" t="n">
        <v>1729</v>
      </c>
      <c r="D4445" s="1" t="s">
        <v>34</v>
      </c>
      <c r="E4445" s="1" t="s">
        <v>35</v>
      </c>
      <c r="F4445" s="1" t="n">
        <v>1</v>
      </c>
      <c r="G4445" s="15" t="n">
        <v>345.8</v>
      </c>
      <c r="H4445" s="16" t="n">
        <v>0.2</v>
      </c>
      <c r="I4445" s="1" t="s">
        <v>31</v>
      </c>
      <c r="J4445" s="1" t="n">
        <v>6</v>
      </c>
      <c r="K4445" s="1" t="n">
        <v>3.4</v>
      </c>
      <c r="L4445" s="15" t="n">
        <v>276.64</v>
      </c>
      <c r="M4445" s="15" t="n">
        <f aca="false">F4445*G4445</f>
        <v>345.8</v>
      </c>
      <c r="N4445" s="15" t="n">
        <f aca="false">M4445-L4445</f>
        <v>69.16</v>
      </c>
      <c r="O4445" s="1" t="n">
        <f aca="false">YEAR(B4445)</f>
        <v>2034</v>
      </c>
      <c r="P4445" s="1" t="n">
        <f aca="false">MONTH(B4445)</f>
        <v>3</v>
      </c>
      <c r="Q4445" s="1" t="str">
        <f aca="false">TEXT(B4445,"mmm")</f>
        <v>Mar</v>
      </c>
      <c r="R4445" s="1" t="str">
        <f aca="false">"Q"&amp;ROUNDUP(MONTH(B4445)/3,0)</f>
        <v>Q1</v>
      </c>
    </row>
    <row r="4446" customFormat="false" ht="15" hidden="false" customHeight="true" outlineLevel="0" collapsed="false">
      <c r="A4446" s="1" t="n">
        <v>14445</v>
      </c>
      <c r="B4446" s="14" t="n">
        <v>49006</v>
      </c>
      <c r="C4446" s="1" t="n">
        <v>1282</v>
      </c>
      <c r="D4446" s="1" t="s">
        <v>34</v>
      </c>
      <c r="E4446" s="1" t="s">
        <v>36</v>
      </c>
      <c r="F4446" s="1" t="n">
        <v>3</v>
      </c>
      <c r="G4446" s="15" t="n">
        <v>147.18</v>
      </c>
      <c r="H4446" s="16" t="n">
        <v>0.27</v>
      </c>
      <c r="I4446" s="1" t="s">
        <v>31</v>
      </c>
      <c r="J4446" s="1" t="n">
        <v>9</v>
      </c>
      <c r="K4446" s="1" t="n">
        <v>3.6</v>
      </c>
      <c r="L4446" s="15" t="n">
        <v>322.32</v>
      </c>
      <c r="M4446" s="15" t="n">
        <f aca="false">F4446*G4446</f>
        <v>441.54</v>
      </c>
      <c r="N4446" s="15" t="n">
        <f aca="false">M4446-L4446</f>
        <v>119.22</v>
      </c>
      <c r="O4446" s="1" t="n">
        <f aca="false">YEAR(B4446)</f>
        <v>2034</v>
      </c>
      <c r="P4446" s="1" t="n">
        <f aca="false">MONTH(B4446)</f>
        <v>3</v>
      </c>
      <c r="Q4446" s="1" t="str">
        <f aca="false">TEXT(B4446,"mmm")</f>
        <v>Mar</v>
      </c>
      <c r="R4446" s="1" t="str">
        <f aca="false">"Q"&amp;ROUNDUP(MONTH(B4446)/3,0)</f>
        <v>Q1</v>
      </c>
    </row>
    <row r="4447" customFormat="false" ht="15" hidden="false" customHeight="true" outlineLevel="0" collapsed="false">
      <c r="A4447" s="1" t="n">
        <v>14446</v>
      </c>
      <c r="B4447" s="14" t="n">
        <v>49007</v>
      </c>
      <c r="C4447" s="1" t="n">
        <v>1647</v>
      </c>
      <c r="D4447" s="1" t="s">
        <v>30</v>
      </c>
      <c r="E4447" s="1" t="s">
        <v>35</v>
      </c>
      <c r="F4447" s="1" t="n">
        <v>1</v>
      </c>
      <c r="G4447" s="15" t="n">
        <v>552.07</v>
      </c>
      <c r="H4447" s="16" t="n">
        <v>0.32</v>
      </c>
      <c r="I4447" s="1" t="s">
        <v>31</v>
      </c>
      <c r="J4447" s="1" t="n">
        <v>11</v>
      </c>
      <c r="K4447" s="1" t="n">
        <v>3.2</v>
      </c>
      <c r="L4447" s="15" t="n">
        <v>375.41</v>
      </c>
      <c r="M4447" s="15" t="n">
        <f aca="false">F4447*G4447</f>
        <v>552.07</v>
      </c>
      <c r="N4447" s="15" t="n">
        <f aca="false">M4447-L4447</f>
        <v>176.66</v>
      </c>
      <c r="O4447" s="1" t="n">
        <f aca="false">YEAR(B4447)</f>
        <v>2034</v>
      </c>
      <c r="P4447" s="1" t="n">
        <f aca="false">MONTH(B4447)</f>
        <v>3</v>
      </c>
      <c r="Q4447" s="1" t="str">
        <f aca="false">TEXT(B4447,"mmm")</f>
        <v>Mar</v>
      </c>
      <c r="R4447" s="1" t="str">
        <f aca="false">"Q"&amp;ROUNDUP(MONTH(B4447)/3,0)</f>
        <v>Q1</v>
      </c>
    </row>
    <row r="4448" customFormat="false" ht="15" hidden="false" customHeight="true" outlineLevel="0" collapsed="false">
      <c r="A4448" s="1" t="n">
        <v>14447</v>
      </c>
      <c r="B4448" s="14" t="n">
        <v>49008</v>
      </c>
      <c r="C4448" s="1" t="n">
        <v>1466</v>
      </c>
      <c r="D4448" s="1" t="s">
        <v>27</v>
      </c>
      <c r="E4448" s="1" t="s">
        <v>28</v>
      </c>
      <c r="F4448" s="1" t="n">
        <v>1</v>
      </c>
      <c r="G4448" s="15" t="n">
        <v>126.84</v>
      </c>
      <c r="H4448" s="16" t="n">
        <v>0.26</v>
      </c>
      <c r="I4448" s="1" t="s">
        <v>31</v>
      </c>
      <c r="J4448" s="1" t="n">
        <v>8</v>
      </c>
      <c r="K4448" s="1" t="n">
        <v>2.1</v>
      </c>
      <c r="L4448" s="15" t="n">
        <v>93.86</v>
      </c>
      <c r="M4448" s="15" t="n">
        <f aca="false">F4448*G4448</f>
        <v>126.84</v>
      </c>
      <c r="N4448" s="15" t="n">
        <f aca="false">M4448-L4448</f>
        <v>32.98</v>
      </c>
      <c r="O4448" s="1" t="n">
        <f aca="false">YEAR(B4448)</f>
        <v>2034</v>
      </c>
      <c r="P4448" s="1" t="n">
        <f aca="false">MONTH(B4448)</f>
        <v>3</v>
      </c>
      <c r="Q4448" s="1" t="str">
        <f aca="false">TEXT(B4448,"mmm")</f>
        <v>Mar</v>
      </c>
      <c r="R4448" s="1" t="str">
        <f aca="false">"Q"&amp;ROUNDUP(MONTH(B4448)/3,0)</f>
        <v>Q1</v>
      </c>
    </row>
    <row r="4449" customFormat="false" ht="15" hidden="false" customHeight="true" outlineLevel="0" collapsed="false">
      <c r="A4449" s="1" t="n">
        <v>14448</v>
      </c>
      <c r="B4449" s="14" t="n">
        <v>49009</v>
      </c>
      <c r="C4449" s="1" t="n">
        <v>1379</v>
      </c>
      <c r="D4449" s="1" t="s">
        <v>34</v>
      </c>
      <c r="E4449" s="1" t="s">
        <v>35</v>
      </c>
      <c r="F4449" s="1" t="n">
        <v>1</v>
      </c>
      <c r="G4449" s="15" t="n">
        <v>480.05</v>
      </c>
      <c r="H4449" s="16" t="n">
        <v>0.24</v>
      </c>
      <c r="I4449" s="1" t="s">
        <v>29</v>
      </c>
      <c r="J4449" s="1" t="n">
        <v>1</v>
      </c>
      <c r="K4449" s="1" t="n">
        <v>3.4</v>
      </c>
      <c r="L4449" s="15" t="n">
        <v>364.84</v>
      </c>
      <c r="M4449" s="15" t="n">
        <f aca="false">F4449*G4449</f>
        <v>480.05</v>
      </c>
      <c r="N4449" s="15" t="n">
        <f aca="false">M4449-L4449</f>
        <v>115.21</v>
      </c>
      <c r="O4449" s="1" t="n">
        <f aca="false">YEAR(B4449)</f>
        <v>2034</v>
      </c>
      <c r="P4449" s="1" t="n">
        <f aca="false">MONTH(B4449)</f>
        <v>3</v>
      </c>
      <c r="Q4449" s="1" t="str">
        <f aca="false">TEXT(B4449,"mmm")</f>
        <v>Mar</v>
      </c>
      <c r="R4449" s="1" t="str">
        <f aca="false">"Q"&amp;ROUNDUP(MONTH(B4449)/3,0)</f>
        <v>Q1</v>
      </c>
    </row>
    <row r="4450" customFormat="false" ht="15" hidden="false" customHeight="true" outlineLevel="0" collapsed="false">
      <c r="A4450" s="1" t="n">
        <v>14449</v>
      </c>
      <c r="B4450" s="14" t="n">
        <v>49010</v>
      </c>
      <c r="C4450" s="1" t="n">
        <v>1361</v>
      </c>
      <c r="D4450" s="1" t="s">
        <v>34</v>
      </c>
      <c r="E4450" s="1" t="s">
        <v>36</v>
      </c>
      <c r="F4450" s="1" t="n">
        <v>4</v>
      </c>
      <c r="G4450" s="15" t="n">
        <v>580.5</v>
      </c>
      <c r="H4450" s="16" t="n">
        <v>0.16</v>
      </c>
      <c r="I4450" s="1" t="s">
        <v>33</v>
      </c>
      <c r="J4450" s="1" t="n">
        <v>9</v>
      </c>
      <c r="K4450" s="1" t="n">
        <v>2.3</v>
      </c>
      <c r="L4450" s="15" t="n">
        <v>1950.48</v>
      </c>
      <c r="M4450" s="15" t="n">
        <f aca="false">F4450*G4450</f>
        <v>2322</v>
      </c>
      <c r="N4450" s="15" t="n">
        <f aca="false">M4450-L4450</f>
        <v>371.52</v>
      </c>
      <c r="O4450" s="1" t="n">
        <f aca="false">YEAR(B4450)</f>
        <v>2034</v>
      </c>
      <c r="P4450" s="1" t="n">
        <f aca="false">MONTH(B4450)</f>
        <v>3</v>
      </c>
      <c r="Q4450" s="1" t="str">
        <f aca="false">TEXT(B4450,"mmm")</f>
        <v>Mar</v>
      </c>
      <c r="R4450" s="1" t="str">
        <f aca="false">"Q"&amp;ROUNDUP(MONTH(B4450)/3,0)</f>
        <v>Q1</v>
      </c>
    </row>
    <row r="4451" customFormat="false" ht="15" hidden="false" customHeight="true" outlineLevel="0" collapsed="false">
      <c r="A4451" s="1" t="n">
        <v>14450</v>
      </c>
      <c r="B4451" s="14" t="n">
        <v>49011</v>
      </c>
      <c r="C4451" s="1" t="n">
        <v>1448</v>
      </c>
      <c r="D4451" s="1" t="s">
        <v>30</v>
      </c>
      <c r="E4451" s="1" t="s">
        <v>36</v>
      </c>
      <c r="F4451" s="1" t="n">
        <v>6</v>
      </c>
      <c r="G4451" s="15" t="n">
        <v>440.35</v>
      </c>
      <c r="H4451" s="16" t="n">
        <v>0.21</v>
      </c>
      <c r="I4451" s="1" t="s">
        <v>33</v>
      </c>
      <c r="J4451" s="1" t="n">
        <v>11</v>
      </c>
      <c r="K4451" s="1" t="n">
        <v>1.9</v>
      </c>
      <c r="L4451" s="15" t="n">
        <v>2087.26</v>
      </c>
      <c r="M4451" s="15" t="n">
        <f aca="false">F4451*G4451</f>
        <v>2642.1</v>
      </c>
      <c r="N4451" s="15" t="n">
        <f aca="false">M4451-L4451</f>
        <v>554.84</v>
      </c>
      <c r="O4451" s="1" t="n">
        <f aca="false">YEAR(B4451)</f>
        <v>2034</v>
      </c>
      <c r="P4451" s="1" t="n">
        <f aca="false">MONTH(B4451)</f>
        <v>3</v>
      </c>
      <c r="Q4451" s="1" t="str">
        <f aca="false">TEXT(B4451,"mmm")</f>
        <v>Mar</v>
      </c>
      <c r="R4451" s="1" t="str">
        <f aca="false">"Q"&amp;ROUNDUP(MONTH(B4451)/3,0)</f>
        <v>Q1</v>
      </c>
    </row>
    <row r="4452" customFormat="false" ht="15" hidden="false" customHeight="true" outlineLevel="0" collapsed="false">
      <c r="A4452" s="1" t="n">
        <v>14451</v>
      </c>
      <c r="B4452" s="14" t="n">
        <v>49012</v>
      </c>
      <c r="C4452" s="1" t="n">
        <v>1440</v>
      </c>
      <c r="D4452" s="1" t="s">
        <v>37</v>
      </c>
      <c r="E4452" s="1" t="s">
        <v>28</v>
      </c>
      <c r="F4452" s="1" t="n">
        <v>6</v>
      </c>
      <c r="G4452" s="15" t="n">
        <v>595.82</v>
      </c>
      <c r="H4452" s="16" t="n">
        <v>0.03</v>
      </c>
      <c r="I4452" s="1" t="s">
        <v>29</v>
      </c>
      <c r="J4452" s="1" t="n">
        <v>10</v>
      </c>
      <c r="K4452" s="1" t="n">
        <v>4.8</v>
      </c>
      <c r="L4452" s="15" t="n">
        <v>3467.67</v>
      </c>
      <c r="M4452" s="15" t="n">
        <f aca="false">F4452*G4452</f>
        <v>3574.92</v>
      </c>
      <c r="N4452" s="15" t="n">
        <f aca="false">M4452-L4452</f>
        <v>107.25</v>
      </c>
      <c r="O4452" s="1" t="n">
        <f aca="false">YEAR(B4452)</f>
        <v>2034</v>
      </c>
      <c r="P4452" s="1" t="n">
        <f aca="false">MONTH(B4452)</f>
        <v>3</v>
      </c>
      <c r="Q4452" s="1" t="str">
        <f aca="false">TEXT(B4452,"mmm")</f>
        <v>Mar</v>
      </c>
      <c r="R4452" s="1" t="str">
        <f aca="false">"Q"&amp;ROUNDUP(MONTH(B4452)/3,0)</f>
        <v>Q1</v>
      </c>
    </row>
    <row r="4453" customFormat="false" ht="15" hidden="false" customHeight="true" outlineLevel="0" collapsed="false">
      <c r="A4453" s="1" t="n">
        <v>14452</v>
      </c>
      <c r="B4453" s="14" t="n">
        <v>49013</v>
      </c>
      <c r="C4453" s="1" t="n">
        <v>1092</v>
      </c>
      <c r="D4453" s="1" t="s">
        <v>30</v>
      </c>
      <c r="E4453" s="1" t="s">
        <v>35</v>
      </c>
      <c r="F4453" s="1" t="n">
        <v>4</v>
      </c>
      <c r="G4453" s="15" t="n">
        <v>395.86</v>
      </c>
      <c r="H4453" s="16" t="n">
        <v>0.31</v>
      </c>
      <c r="I4453" s="1" t="s">
        <v>33</v>
      </c>
      <c r="J4453" s="1" t="n">
        <v>11</v>
      </c>
      <c r="K4453" s="1" t="n">
        <v>2.3</v>
      </c>
      <c r="L4453" s="15" t="n">
        <v>1092.57</v>
      </c>
      <c r="M4453" s="15" t="n">
        <f aca="false">F4453*G4453</f>
        <v>1583.44</v>
      </c>
      <c r="N4453" s="15" t="n">
        <f aca="false">M4453-L4453</f>
        <v>490.87</v>
      </c>
      <c r="O4453" s="1" t="n">
        <f aca="false">YEAR(B4453)</f>
        <v>2034</v>
      </c>
      <c r="P4453" s="1" t="n">
        <f aca="false">MONTH(B4453)</f>
        <v>3</v>
      </c>
      <c r="Q4453" s="1" t="str">
        <f aca="false">TEXT(B4453,"mmm")</f>
        <v>Mar</v>
      </c>
      <c r="R4453" s="1" t="str">
        <f aca="false">"Q"&amp;ROUNDUP(MONTH(B4453)/3,0)</f>
        <v>Q1</v>
      </c>
    </row>
    <row r="4454" customFormat="false" ht="15" hidden="false" customHeight="true" outlineLevel="0" collapsed="false">
      <c r="A4454" s="1" t="n">
        <v>14453</v>
      </c>
      <c r="B4454" s="14" t="n">
        <v>49014</v>
      </c>
      <c r="C4454" s="1" t="n">
        <v>1620</v>
      </c>
      <c r="D4454" s="1" t="s">
        <v>37</v>
      </c>
      <c r="E4454" s="1" t="s">
        <v>28</v>
      </c>
      <c r="F4454" s="1" t="n">
        <v>3</v>
      </c>
      <c r="G4454" s="15" t="n">
        <v>142.21</v>
      </c>
      <c r="H4454" s="16" t="n">
        <v>0.19</v>
      </c>
      <c r="I4454" s="1" t="s">
        <v>33</v>
      </c>
      <c r="J4454" s="1" t="n">
        <v>2</v>
      </c>
      <c r="K4454" s="1" t="n">
        <v>2.3</v>
      </c>
      <c r="L4454" s="15" t="n">
        <v>345.57</v>
      </c>
      <c r="M4454" s="15" t="n">
        <f aca="false">F4454*G4454</f>
        <v>426.63</v>
      </c>
      <c r="N4454" s="15" t="n">
        <f aca="false">M4454-L4454</f>
        <v>81.06</v>
      </c>
      <c r="O4454" s="1" t="n">
        <f aca="false">YEAR(B4454)</f>
        <v>2034</v>
      </c>
      <c r="P4454" s="1" t="n">
        <f aca="false">MONTH(B4454)</f>
        <v>3</v>
      </c>
      <c r="Q4454" s="1" t="str">
        <f aca="false">TEXT(B4454,"mmm")</f>
        <v>Mar</v>
      </c>
      <c r="R4454" s="1" t="str">
        <f aca="false">"Q"&amp;ROUNDUP(MONTH(B4454)/3,0)</f>
        <v>Q1</v>
      </c>
    </row>
    <row r="4455" customFormat="false" ht="15" hidden="false" customHeight="true" outlineLevel="0" collapsed="false">
      <c r="A4455" s="1" t="n">
        <v>14454</v>
      </c>
      <c r="B4455" s="14" t="n">
        <v>49015</v>
      </c>
      <c r="C4455" s="1" t="n">
        <v>1752</v>
      </c>
      <c r="D4455" s="1" t="s">
        <v>27</v>
      </c>
      <c r="E4455" s="1" t="s">
        <v>35</v>
      </c>
      <c r="F4455" s="1" t="n">
        <v>3</v>
      </c>
      <c r="G4455" s="15" t="n">
        <v>134.23</v>
      </c>
      <c r="H4455" s="16" t="n">
        <v>0.01</v>
      </c>
      <c r="I4455" s="1" t="s">
        <v>31</v>
      </c>
      <c r="J4455" s="1" t="n">
        <v>11</v>
      </c>
      <c r="K4455" s="1" t="n">
        <v>4.6</v>
      </c>
      <c r="L4455" s="15" t="n">
        <v>398.66</v>
      </c>
      <c r="M4455" s="15" t="n">
        <f aca="false">F4455*G4455</f>
        <v>402.69</v>
      </c>
      <c r="N4455" s="15" t="n">
        <f aca="false">M4455-L4455</f>
        <v>4.02999999999992</v>
      </c>
      <c r="O4455" s="1" t="n">
        <f aca="false">YEAR(B4455)</f>
        <v>2034</v>
      </c>
      <c r="P4455" s="1" t="n">
        <f aca="false">MONTH(B4455)</f>
        <v>3</v>
      </c>
      <c r="Q4455" s="1" t="str">
        <f aca="false">TEXT(B4455,"mmm")</f>
        <v>Mar</v>
      </c>
      <c r="R4455" s="1" t="str">
        <f aca="false">"Q"&amp;ROUNDUP(MONTH(B4455)/3,0)</f>
        <v>Q1</v>
      </c>
    </row>
    <row r="4456" customFormat="false" ht="15" hidden="false" customHeight="true" outlineLevel="0" collapsed="false">
      <c r="A4456" s="1" t="n">
        <v>14455</v>
      </c>
      <c r="B4456" s="14" t="n">
        <v>49016</v>
      </c>
      <c r="C4456" s="1" t="n">
        <v>1866</v>
      </c>
      <c r="D4456" s="1" t="s">
        <v>37</v>
      </c>
      <c r="E4456" s="1" t="s">
        <v>36</v>
      </c>
      <c r="F4456" s="1" t="n">
        <v>3</v>
      </c>
      <c r="G4456" s="15" t="n">
        <v>204.87</v>
      </c>
      <c r="H4456" s="16" t="n">
        <v>0.32</v>
      </c>
      <c r="I4456" s="1" t="s">
        <v>33</v>
      </c>
      <c r="J4456" s="1" t="n">
        <v>1</v>
      </c>
      <c r="K4456" s="1" t="n">
        <v>1.6</v>
      </c>
      <c r="L4456" s="15" t="n">
        <v>417.93</v>
      </c>
      <c r="M4456" s="15" t="n">
        <f aca="false">F4456*G4456</f>
        <v>614.61</v>
      </c>
      <c r="N4456" s="15" t="n">
        <f aca="false">M4456-L4456</f>
        <v>196.68</v>
      </c>
      <c r="O4456" s="1" t="n">
        <f aca="false">YEAR(B4456)</f>
        <v>2034</v>
      </c>
      <c r="P4456" s="1" t="n">
        <f aca="false">MONTH(B4456)</f>
        <v>3</v>
      </c>
      <c r="Q4456" s="1" t="str">
        <f aca="false">TEXT(B4456,"mmm")</f>
        <v>Mar</v>
      </c>
      <c r="R4456" s="1" t="str">
        <f aca="false">"Q"&amp;ROUNDUP(MONTH(B4456)/3,0)</f>
        <v>Q1</v>
      </c>
    </row>
    <row r="4457" customFormat="false" ht="15" hidden="false" customHeight="true" outlineLevel="0" collapsed="false">
      <c r="A4457" s="1" t="n">
        <v>14456</v>
      </c>
      <c r="B4457" s="14" t="n">
        <v>49017</v>
      </c>
      <c r="C4457" s="1" t="n">
        <v>1423</v>
      </c>
      <c r="D4457" s="1" t="s">
        <v>30</v>
      </c>
      <c r="E4457" s="1" t="s">
        <v>35</v>
      </c>
      <c r="F4457" s="1" t="n">
        <v>6</v>
      </c>
      <c r="G4457" s="15" t="n">
        <v>19.17</v>
      </c>
      <c r="H4457" s="16" t="n">
        <v>0.17</v>
      </c>
      <c r="I4457" s="1" t="s">
        <v>31</v>
      </c>
      <c r="J4457" s="1" t="n">
        <v>6</v>
      </c>
      <c r="K4457" s="1" t="n">
        <v>3.3</v>
      </c>
      <c r="L4457" s="15" t="n">
        <v>95.47</v>
      </c>
      <c r="M4457" s="15" t="n">
        <f aca="false">F4457*G4457</f>
        <v>115.02</v>
      </c>
      <c r="N4457" s="15" t="n">
        <f aca="false">M4457-L4457</f>
        <v>19.55</v>
      </c>
      <c r="O4457" s="1" t="n">
        <f aca="false">YEAR(B4457)</f>
        <v>2034</v>
      </c>
      <c r="P4457" s="1" t="n">
        <f aca="false">MONTH(B4457)</f>
        <v>3</v>
      </c>
      <c r="Q4457" s="1" t="str">
        <f aca="false">TEXT(B4457,"mmm")</f>
        <v>Mar</v>
      </c>
      <c r="R4457" s="1" t="str">
        <f aca="false">"Q"&amp;ROUNDUP(MONTH(B4457)/3,0)</f>
        <v>Q1</v>
      </c>
    </row>
    <row r="4458" customFormat="false" ht="15" hidden="false" customHeight="true" outlineLevel="0" collapsed="false">
      <c r="A4458" s="1" t="n">
        <v>14457</v>
      </c>
      <c r="B4458" s="14" t="n">
        <v>49018</v>
      </c>
      <c r="C4458" s="1" t="n">
        <v>1141</v>
      </c>
      <c r="D4458" s="1" t="s">
        <v>30</v>
      </c>
      <c r="E4458" s="1" t="s">
        <v>36</v>
      </c>
      <c r="F4458" s="1" t="n">
        <v>6</v>
      </c>
      <c r="G4458" s="15" t="n">
        <v>413.79</v>
      </c>
      <c r="H4458" s="16" t="n">
        <v>0.3</v>
      </c>
      <c r="I4458" s="1" t="s">
        <v>31</v>
      </c>
      <c r="J4458" s="1" t="n">
        <v>1</v>
      </c>
      <c r="K4458" s="1" t="n">
        <v>4.1</v>
      </c>
      <c r="L4458" s="15" t="n">
        <v>1737.92</v>
      </c>
      <c r="M4458" s="15" t="n">
        <f aca="false">F4458*G4458</f>
        <v>2482.74</v>
      </c>
      <c r="N4458" s="15" t="n">
        <f aca="false">M4458-L4458</f>
        <v>744.82</v>
      </c>
      <c r="O4458" s="1" t="n">
        <f aca="false">YEAR(B4458)</f>
        <v>2034</v>
      </c>
      <c r="P4458" s="1" t="n">
        <f aca="false">MONTH(B4458)</f>
        <v>3</v>
      </c>
      <c r="Q4458" s="1" t="str">
        <f aca="false">TEXT(B4458,"mmm")</f>
        <v>Mar</v>
      </c>
      <c r="R4458" s="1" t="str">
        <f aca="false">"Q"&amp;ROUNDUP(MONTH(B4458)/3,0)</f>
        <v>Q1</v>
      </c>
    </row>
    <row r="4459" customFormat="false" ht="15" hidden="false" customHeight="true" outlineLevel="0" collapsed="false">
      <c r="A4459" s="1" t="n">
        <v>14458</v>
      </c>
      <c r="B4459" s="14" t="n">
        <v>49019</v>
      </c>
      <c r="C4459" s="1" t="n">
        <v>1290</v>
      </c>
      <c r="D4459" s="1" t="s">
        <v>34</v>
      </c>
      <c r="E4459" s="1" t="s">
        <v>36</v>
      </c>
      <c r="F4459" s="1" t="n">
        <v>1</v>
      </c>
      <c r="G4459" s="15" t="n">
        <v>172.17</v>
      </c>
      <c r="H4459" s="16" t="n">
        <v>0.3</v>
      </c>
      <c r="I4459" s="1" t="s">
        <v>31</v>
      </c>
      <c r="J4459" s="1" t="n">
        <v>6</v>
      </c>
      <c r="K4459" s="1" t="n">
        <v>2.1</v>
      </c>
      <c r="L4459" s="15" t="n">
        <v>120.52</v>
      </c>
      <c r="M4459" s="15" t="n">
        <f aca="false">F4459*G4459</f>
        <v>172.17</v>
      </c>
      <c r="N4459" s="15" t="n">
        <f aca="false">M4459-L4459</f>
        <v>51.65</v>
      </c>
      <c r="O4459" s="1" t="n">
        <f aca="false">YEAR(B4459)</f>
        <v>2034</v>
      </c>
      <c r="P4459" s="1" t="n">
        <f aca="false">MONTH(B4459)</f>
        <v>3</v>
      </c>
      <c r="Q4459" s="1" t="str">
        <f aca="false">TEXT(B4459,"mmm")</f>
        <v>Mar</v>
      </c>
      <c r="R4459" s="1" t="str">
        <f aca="false">"Q"&amp;ROUNDUP(MONTH(B4459)/3,0)</f>
        <v>Q1</v>
      </c>
    </row>
    <row r="4460" customFormat="false" ht="15" hidden="false" customHeight="true" outlineLevel="0" collapsed="false">
      <c r="A4460" s="1" t="n">
        <v>14459</v>
      </c>
      <c r="B4460" s="14" t="n">
        <v>49020</v>
      </c>
      <c r="C4460" s="1" t="n">
        <v>1431</v>
      </c>
      <c r="D4460" s="1" t="s">
        <v>27</v>
      </c>
      <c r="E4460" s="1" t="s">
        <v>32</v>
      </c>
      <c r="F4460" s="1" t="n">
        <v>4</v>
      </c>
      <c r="G4460" s="15" t="n">
        <v>491.88</v>
      </c>
      <c r="H4460" s="16" t="n">
        <v>0.29</v>
      </c>
      <c r="I4460" s="1" t="s">
        <v>31</v>
      </c>
      <c r="J4460" s="1" t="n">
        <v>2</v>
      </c>
      <c r="K4460" s="1" t="n">
        <v>4.4</v>
      </c>
      <c r="L4460" s="15" t="n">
        <v>1396.94</v>
      </c>
      <c r="M4460" s="15" t="n">
        <f aca="false">F4460*G4460</f>
        <v>1967.52</v>
      </c>
      <c r="N4460" s="15" t="n">
        <f aca="false">M4460-L4460</f>
        <v>570.58</v>
      </c>
      <c r="O4460" s="1" t="n">
        <f aca="false">YEAR(B4460)</f>
        <v>2034</v>
      </c>
      <c r="P4460" s="1" t="n">
        <f aca="false">MONTH(B4460)</f>
        <v>3</v>
      </c>
      <c r="Q4460" s="1" t="str">
        <f aca="false">TEXT(B4460,"mmm")</f>
        <v>Mar</v>
      </c>
      <c r="R4460" s="1" t="str">
        <f aca="false">"Q"&amp;ROUNDUP(MONTH(B4460)/3,0)</f>
        <v>Q1</v>
      </c>
    </row>
    <row r="4461" customFormat="false" ht="15" hidden="false" customHeight="true" outlineLevel="0" collapsed="false">
      <c r="A4461" s="1" t="n">
        <v>14460</v>
      </c>
      <c r="B4461" s="14" t="n">
        <v>49021</v>
      </c>
      <c r="C4461" s="1" t="n">
        <v>1748</v>
      </c>
      <c r="D4461" s="1" t="s">
        <v>30</v>
      </c>
      <c r="E4461" s="1" t="s">
        <v>32</v>
      </c>
      <c r="F4461" s="1" t="n">
        <v>2</v>
      </c>
      <c r="G4461" s="15" t="n">
        <v>225.12</v>
      </c>
      <c r="H4461" s="16" t="n">
        <v>0.02</v>
      </c>
      <c r="I4461" s="1" t="s">
        <v>31</v>
      </c>
      <c r="J4461" s="1" t="n">
        <v>11</v>
      </c>
      <c r="K4461" s="1" t="n">
        <v>4.1</v>
      </c>
      <c r="L4461" s="15" t="n">
        <v>441.24</v>
      </c>
      <c r="M4461" s="15" t="n">
        <f aca="false">F4461*G4461</f>
        <v>450.24</v>
      </c>
      <c r="N4461" s="15" t="n">
        <f aca="false">M4461-L4461</f>
        <v>9</v>
      </c>
      <c r="O4461" s="1" t="n">
        <f aca="false">YEAR(B4461)</f>
        <v>2034</v>
      </c>
      <c r="P4461" s="1" t="n">
        <f aca="false">MONTH(B4461)</f>
        <v>3</v>
      </c>
      <c r="Q4461" s="1" t="str">
        <f aca="false">TEXT(B4461,"mmm")</f>
        <v>Mar</v>
      </c>
      <c r="R4461" s="1" t="str">
        <f aca="false">"Q"&amp;ROUNDUP(MONTH(B4461)/3,0)</f>
        <v>Q1</v>
      </c>
    </row>
    <row r="4462" customFormat="false" ht="15" hidden="false" customHeight="true" outlineLevel="0" collapsed="false">
      <c r="A4462" s="1" t="n">
        <v>14461</v>
      </c>
      <c r="B4462" s="14" t="n">
        <v>49022</v>
      </c>
      <c r="C4462" s="1" t="n">
        <v>1851</v>
      </c>
      <c r="D4462" s="1" t="s">
        <v>34</v>
      </c>
      <c r="E4462" s="1" t="s">
        <v>35</v>
      </c>
      <c r="F4462" s="1" t="n">
        <v>1</v>
      </c>
      <c r="G4462" s="15" t="n">
        <v>295.77</v>
      </c>
      <c r="H4462" s="16" t="n">
        <v>0.09</v>
      </c>
      <c r="I4462" s="1" t="s">
        <v>31</v>
      </c>
      <c r="J4462" s="1" t="n">
        <v>7</v>
      </c>
      <c r="K4462" s="1" t="n">
        <v>2.9</v>
      </c>
      <c r="L4462" s="15" t="n">
        <v>269.15</v>
      </c>
      <c r="M4462" s="15" t="n">
        <f aca="false">F4462*G4462</f>
        <v>295.77</v>
      </c>
      <c r="N4462" s="15" t="n">
        <f aca="false">M4462-L4462</f>
        <v>26.62</v>
      </c>
      <c r="O4462" s="1" t="n">
        <f aca="false">YEAR(B4462)</f>
        <v>2034</v>
      </c>
      <c r="P4462" s="1" t="n">
        <f aca="false">MONTH(B4462)</f>
        <v>3</v>
      </c>
      <c r="Q4462" s="1" t="str">
        <f aca="false">TEXT(B4462,"mmm")</f>
        <v>Mar</v>
      </c>
      <c r="R4462" s="1" t="str">
        <f aca="false">"Q"&amp;ROUNDUP(MONTH(B4462)/3,0)</f>
        <v>Q1</v>
      </c>
    </row>
    <row r="4463" customFormat="false" ht="15" hidden="false" customHeight="true" outlineLevel="0" collapsed="false">
      <c r="A4463" s="1" t="n">
        <v>14462</v>
      </c>
      <c r="B4463" s="14" t="n">
        <v>49023</v>
      </c>
      <c r="C4463" s="1" t="n">
        <v>1823</v>
      </c>
      <c r="D4463" s="1" t="s">
        <v>37</v>
      </c>
      <c r="E4463" s="1" t="s">
        <v>36</v>
      </c>
      <c r="F4463" s="1" t="n">
        <v>5</v>
      </c>
      <c r="G4463" s="15" t="n">
        <v>579.93</v>
      </c>
      <c r="H4463" s="16" t="n">
        <v>0.31</v>
      </c>
      <c r="I4463" s="1" t="s">
        <v>29</v>
      </c>
      <c r="J4463" s="1" t="n">
        <v>7</v>
      </c>
      <c r="K4463" s="1" t="n">
        <v>1.5</v>
      </c>
      <c r="L4463" s="15" t="n">
        <v>2000.76</v>
      </c>
      <c r="M4463" s="15" t="n">
        <f aca="false">F4463*G4463</f>
        <v>2899.65</v>
      </c>
      <c r="N4463" s="15" t="n">
        <f aca="false">M4463-L4463</f>
        <v>898.89</v>
      </c>
      <c r="O4463" s="1" t="n">
        <f aca="false">YEAR(B4463)</f>
        <v>2034</v>
      </c>
      <c r="P4463" s="1" t="n">
        <f aca="false">MONTH(B4463)</f>
        <v>3</v>
      </c>
      <c r="Q4463" s="1" t="str">
        <f aca="false">TEXT(B4463,"mmm")</f>
        <v>Mar</v>
      </c>
      <c r="R4463" s="1" t="str">
        <f aca="false">"Q"&amp;ROUNDUP(MONTH(B4463)/3,0)</f>
        <v>Q1</v>
      </c>
    </row>
    <row r="4464" customFormat="false" ht="15" hidden="false" customHeight="true" outlineLevel="0" collapsed="false">
      <c r="A4464" s="1" t="n">
        <v>14463</v>
      </c>
      <c r="B4464" s="14" t="n">
        <v>49024</v>
      </c>
      <c r="C4464" s="1" t="n">
        <v>1688</v>
      </c>
      <c r="D4464" s="1" t="s">
        <v>34</v>
      </c>
      <c r="E4464" s="1" t="s">
        <v>28</v>
      </c>
      <c r="F4464" s="1" t="n">
        <v>6</v>
      </c>
      <c r="G4464" s="15" t="n">
        <v>156.67</v>
      </c>
      <c r="H4464" s="16" t="n">
        <v>0.31</v>
      </c>
      <c r="I4464" s="1" t="s">
        <v>31</v>
      </c>
      <c r="J4464" s="1" t="n">
        <v>4</v>
      </c>
      <c r="K4464" s="1" t="n">
        <v>4.9</v>
      </c>
      <c r="L4464" s="15" t="n">
        <v>648.61</v>
      </c>
      <c r="M4464" s="15" t="n">
        <f aca="false">F4464*G4464</f>
        <v>940.02</v>
      </c>
      <c r="N4464" s="15" t="n">
        <f aca="false">M4464-L4464</f>
        <v>291.41</v>
      </c>
      <c r="O4464" s="1" t="n">
        <f aca="false">YEAR(B4464)</f>
        <v>2034</v>
      </c>
      <c r="P4464" s="1" t="n">
        <f aca="false">MONTH(B4464)</f>
        <v>3</v>
      </c>
      <c r="Q4464" s="1" t="str">
        <f aca="false">TEXT(B4464,"mmm")</f>
        <v>Mar</v>
      </c>
      <c r="R4464" s="1" t="str">
        <f aca="false">"Q"&amp;ROUNDUP(MONTH(B4464)/3,0)</f>
        <v>Q1</v>
      </c>
    </row>
    <row r="4465" customFormat="false" ht="15" hidden="false" customHeight="true" outlineLevel="0" collapsed="false">
      <c r="A4465" s="1" t="n">
        <v>14464</v>
      </c>
      <c r="B4465" s="14" t="n">
        <v>49025</v>
      </c>
      <c r="C4465" s="1" t="n">
        <v>1652</v>
      </c>
      <c r="D4465" s="1" t="s">
        <v>30</v>
      </c>
      <c r="E4465" s="1" t="s">
        <v>36</v>
      </c>
      <c r="F4465" s="1" t="n">
        <v>1</v>
      </c>
      <c r="G4465" s="15" t="n">
        <v>436.93</v>
      </c>
      <c r="H4465" s="16" t="n">
        <v>0.16</v>
      </c>
      <c r="I4465" s="1" t="s">
        <v>29</v>
      </c>
      <c r="J4465" s="1" t="n">
        <v>2</v>
      </c>
      <c r="K4465" s="1" t="n">
        <v>3.5</v>
      </c>
      <c r="L4465" s="15" t="n">
        <v>367.02</v>
      </c>
      <c r="M4465" s="15" t="n">
        <f aca="false">F4465*G4465</f>
        <v>436.93</v>
      </c>
      <c r="N4465" s="15" t="n">
        <f aca="false">M4465-L4465</f>
        <v>69.91</v>
      </c>
      <c r="O4465" s="1" t="n">
        <f aca="false">YEAR(B4465)</f>
        <v>2034</v>
      </c>
      <c r="P4465" s="1" t="n">
        <f aca="false">MONTH(B4465)</f>
        <v>3</v>
      </c>
      <c r="Q4465" s="1" t="str">
        <f aca="false">TEXT(B4465,"mmm")</f>
        <v>Mar</v>
      </c>
      <c r="R4465" s="1" t="str">
        <f aca="false">"Q"&amp;ROUNDUP(MONTH(B4465)/3,0)</f>
        <v>Q1</v>
      </c>
    </row>
    <row r="4466" customFormat="false" ht="15" hidden="false" customHeight="true" outlineLevel="0" collapsed="false">
      <c r="A4466" s="1" t="n">
        <v>14465</v>
      </c>
      <c r="B4466" s="14" t="n">
        <v>49026</v>
      </c>
      <c r="C4466" s="1" t="n">
        <v>1700</v>
      </c>
      <c r="D4466" s="1" t="s">
        <v>30</v>
      </c>
      <c r="E4466" s="1" t="s">
        <v>28</v>
      </c>
      <c r="F4466" s="1" t="n">
        <v>4</v>
      </c>
      <c r="G4466" s="15" t="n">
        <v>456.74</v>
      </c>
      <c r="H4466" s="16" t="n">
        <v>0.15</v>
      </c>
      <c r="I4466" s="1" t="s">
        <v>33</v>
      </c>
      <c r="J4466" s="1" t="n">
        <v>11</v>
      </c>
      <c r="K4466" s="1" t="n">
        <v>3.1</v>
      </c>
      <c r="L4466" s="15" t="n">
        <v>1552.92</v>
      </c>
      <c r="M4466" s="15" t="n">
        <f aca="false">F4466*G4466</f>
        <v>1826.96</v>
      </c>
      <c r="N4466" s="15" t="n">
        <f aca="false">M4466-L4466</f>
        <v>274.04</v>
      </c>
      <c r="O4466" s="1" t="n">
        <f aca="false">YEAR(B4466)</f>
        <v>2034</v>
      </c>
      <c r="P4466" s="1" t="n">
        <f aca="false">MONTH(B4466)</f>
        <v>3</v>
      </c>
      <c r="Q4466" s="1" t="str">
        <f aca="false">TEXT(B4466,"mmm")</f>
        <v>Mar</v>
      </c>
      <c r="R4466" s="1" t="str">
        <f aca="false">"Q"&amp;ROUNDUP(MONTH(B4466)/3,0)</f>
        <v>Q1</v>
      </c>
    </row>
    <row r="4467" customFormat="false" ht="15" hidden="false" customHeight="true" outlineLevel="0" collapsed="false">
      <c r="A4467" s="1" t="n">
        <v>14466</v>
      </c>
      <c r="B4467" s="14" t="n">
        <v>49027</v>
      </c>
      <c r="C4467" s="1" t="n">
        <v>1997</v>
      </c>
      <c r="D4467" s="1" t="s">
        <v>30</v>
      </c>
      <c r="E4467" s="1" t="s">
        <v>35</v>
      </c>
      <c r="F4467" s="1" t="n">
        <v>5</v>
      </c>
      <c r="G4467" s="15" t="n">
        <v>144.28</v>
      </c>
      <c r="H4467" s="16" t="n">
        <v>0.06</v>
      </c>
      <c r="I4467" s="1" t="s">
        <v>33</v>
      </c>
      <c r="J4467" s="1" t="n">
        <v>7</v>
      </c>
      <c r="K4467" s="1" t="n">
        <v>4.5</v>
      </c>
      <c r="L4467" s="15" t="n">
        <v>678.12</v>
      </c>
      <c r="M4467" s="15" t="n">
        <f aca="false">F4467*G4467</f>
        <v>721.4</v>
      </c>
      <c r="N4467" s="15" t="n">
        <f aca="false">M4467-L4467</f>
        <v>43.28</v>
      </c>
      <c r="O4467" s="1" t="n">
        <f aca="false">YEAR(B4467)</f>
        <v>2034</v>
      </c>
      <c r="P4467" s="1" t="n">
        <f aca="false">MONTH(B4467)</f>
        <v>3</v>
      </c>
      <c r="Q4467" s="1" t="str">
        <f aca="false">TEXT(B4467,"mmm")</f>
        <v>Mar</v>
      </c>
      <c r="R4467" s="1" t="str">
        <f aca="false">"Q"&amp;ROUNDUP(MONTH(B4467)/3,0)</f>
        <v>Q1</v>
      </c>
    </row>
    <row r="4468" customFormat="false" ht="15" hidden="false" customHeight="true" outlineLevel="0" collapsed="false">
      <c r="A4468" s="1" t="n">
        <v>14467</v>
      </c>
      <c r="B4468" s="14" t="n">
        <v>49028</v>
      </c>
      <c r="C4468" s="1" t="n">
        <v>1048</v>
      </c>
      <c r="D4468" s="1" t="s">
        <v>37</v>
      </c>
      <c r="E4468" s="1" t="s">
        <v>35</v>
      </c>
      <c r="F4468" s="1" t="n">
        <v>7</v>
      </c>
      <c r="G4468" s="15" t="n">
        <v>308.08</v>
      </c>
      <c r="H4468" s="16" t="n">
        <v>0.34</v>
      </c>
      <c r="I4468" s="1" t="s">
        <v>31</v>
      </c>
      <c r="J4468" s="1" t="n">
        <v>1</v>
      </c>
      <c r="K4468" s="1" t="n">
        <v>2.7</v>
      </c>
      <c r="L4468" s="15" t="n">
        <v>1423.33</v>
      </c>
      <c r="M4468" s="15" t="n">
        <f aca="false">F4468*G4468</f>
        <v>2156.56</v>
      </c>
      <c r="N4468" s="15" t="n">
        <f aca="false">M4468-L4468</f>
        <v>733.23</v>
      </c>
      <c r="O4468" s="1" t="n">
        <f aca="false">YEAR(B4468)</f>
        <v>2034</v>
      </c>
      <c r="P4468" s="1" t="n">
        <f aca="false">MONTH(B4468)</f>
        <v>3</v>
      </c>
      <c r="Q4468" s="1" t="str">
        <f aca="false">TEXT(B4468,"mmm")</f>
        <v>Mar</v>
      </c>
      <c r="R4468" s="1" t="str">
        <f aca="false">"Q"&amp;ROUNDUP(MONTH(B4468)/3,0)</f>
        <v>Q1</v>
      </c>
    </row>
    <row r="4469" customFormat="false" ht="15" hidden="false" customHeight="true" outlineLevel="0" collapsed="false">
      <c r="A4469" s="1" t="n">
        <v>14468</v>
      </c>
      <c r="B4469" s="14" t="n">
        <v>49029</v>
      </c>
      <c r="C4469" s="1" t="n">
        <v>1301</v>
      </c>
      <c r="D4469" s="1" t="s">
        <v>34</v>
      </c>
      <c r="E4469" s="1" t="s">
        <v>28</v>
      </c>
      <c r="F4469" s="1" t="n">
        <v>1</v>
      </c>
      <c r="G4469" s="15" t="n">
        <v>219.87</v>
      </c>
      <c r="H4469" s="16" t="n">
        <v>0.07</v>
      </c>
      <c r="I4469" s="1" t="s">
        <v>29</v>
      </c>
      <c r="J4469" s="1" t="n">
        <v>11</v>
      </c>
      <c r="K4469" s="1" t="n">
        <v>3.3</v>
      </c>
      <c r="L4469" s="15" t="n">
        <v>204.48</v>
      </c>
      <c r="M4469" s="15" t="n">
        <f aca="false">F4469*G4469</f>
        <v>219.87</v>
      </c>
      <c r="N4469" s="15" t="n">
        <f aca="false">M4469-L4469</f>
        <v>15.39</v>
      </c>
      <c r="O4469" s="1" t="n">
        <f aca="false">YEAR(B4469)</f>
        <v>2034</v>
      </c>
      <c r="P4469" s="1" t="n">
        <f aca="false">MONTH(B4469)</f>
        <v>3</v>
      </c>
      <c r="Q4469" s="1" t="str">
        <f aca="false">TEXT(B4469,"mmm")</f>
        <v>Mar</v>
      </c>
      <c r="R4469" s="1" t="str">
        <f aca="false">"Q"&amp;ROUNDUP(MONTH(B4469)/3,0)</f>
        <v>Q1</v>
      </c>
    </row>
    <row r="4470" customFormat="false" ht="15" hidden="false" customHeight="true" outlineLevel="0" collapsed="false">
      <c r="A4470" s="1" t="n">
        <v>14469</v>
      </c>
      <c r="B4470" s="14" t="n">
        <v>49030</v>
      </c>
      <c r="C4470" s="1" t="n">
        <v>1880</v>
      </c>
      <c r="D4470" s="1" t="s">
        <v>30</v>
      </c>
      <c r="E4470" s="1" t="s">
        <v>28</v>
      </c>
      <c r="F4470" s="1" t="n">
        <v>4</v>
      </c>
      <c r="G4470" s="15" t="n">
        <v>466.57</v>
      </c>
      <c r="H4470" s="16" t="n">
        <v>0.07</v>
      </c>
      <c r="I4470" s="1" t="s">
        <v>31</v>
      </c>
      <c r="J4470" s="1" t="n">
        <v>11</v>
      </c>
      <c r="K4470" s="1" t="n">
        <v>4.4</v>
      </c>
      <c r="L4470" s="15" t="n">
        <v>1735.64</v>
      </c>
      <c r="M4470" s="15" t="n">
        <f aca="false">F4470*G4470</f>
        <v>1866.28</v>
      </c>
      <c r="N4470" s="15" t="n">
        <f aca="false">M4470-L4470</f>
        <v>130.64</v>
      </c>
      <c r="O4470" s="1" t="n">
        <f aca="false">YEAR(B4470)</f>
        <v>2034</v>
      </c>
      <c r="P4470" s="1" t="n">
        <f aca="false">MONTH(B4470)</f>
        <v>3</v>
      </c>
      <c r="Q4470" s="1" t="str">
        <f aca="false">TEXT(B4470,"mmm")</f>
        <v>Mar</v>
      </c>
      <c r="R4470" s="1" t="str">
        <f aca="false">"Q"&amp;ROUNDUP(MONTH(B4470)/3,0)</f>
        <v>Q1</v>
      </c>
    </row>
    <row r="4471" customFormat="false" ht="15" hidden="false" customHeight="true" outlineLevel="0" collapsed="false">
      <c r="A4471" s="1" t="n">
        <v>14470</v>
      </c>
      <c r="B4471" s="14" t="n">
        <v>49031</v>
      </c>
      <c r="C4471" s="1" t="n">
        <v>1189</v>
      </c>
      <c r="D4471" s="1" t="s">
        <v>30</v>
      </c>
      <c r="E4471" s="1" t="s">
        <v>36</v>
      </c>
      <c r="F4471" s="1" t="n">
        <v>4</v>
      </c>
      <c r="G4471" s="15" t="n">
        <v>379.15</v>
      </c>
      <c r="H4471" s="16" t="n">
        <v>0.23</v>
      </c>
      <c r="I4471" s="1" t="s">
        <v>33</v>
      </c>
      <c r="J4471" s="1" t="n">
        <v>2</v>
      </c>
      <c r="K4471" s="1" t="n">
        <v>2.6</v>
      </c>
      <c r="L4471" s="15" t="n">
        <v>1167.78</v>
      </c>
      <c r="M4471" s="15" t="n">
        <f aca="false">F4471*G4471</f>
        <v>1516.6</v>
      </c>
      <c r="N4471" s="15" t="n">
        <f aca="false">M4471-L4471</f>
        <v>348.82</v>
      </c>
      <c r="O4471" s="1" t="n">
        <f aca="false">YEAR(B4471)</f>
        <v>2034</v>
      </c>
      <c r="P4471" s="1" t="n">
        <f aca="false">MONTH(B4471)</f>
        <v>3</v>
      </c>
      <c r="Q4471" s="1" t="str">
        <f aca="false">TEXT(B4471,"mmm")</f>
        <v>Mar</v>
      </c>
      <c r="R4471" s="1" t="str">
        <f aca="false">"Q"&amp;ROUNDUP(MONTH(B4471)/3,0)</f>
        <v>Q1</v>
      </c>
    </row>
    <row r="4472" customFormat="false" ht="15" hidden="false" customHeight="true" outlineLevel="0" collapsed="false">
      <c r="A4472" s="1" t="n">
        <v>14471</v>
      </c>
      <c r="B4472" s="14" t="n">
        <v>49032</v>
      </c>
      <c r="C4472" s="1" t="n">
        <v>1135</v>
      </c>
      <c r="D4472" s="1" t="s">
        <v>37</v>
      </c>
      <c r="E4472" s="1" t="s">
        <v>35</v>
      </c>
      <c r="F4472" s="1" t="n">
        <v>6</v>
      </c>
      <c r="G4472" s="15" t="n">
        <v>293.45</v>
      </c>
      <c r="H4472" s="16" t="n">
        <v>0.08</v>
      </c>
      <c r="I4472" s="1" t="s">
        <v>33</v>
      </c>
      <c r="J4472" s="1" t="n">
        <v>2</v>
      </c>
      <c r="K4472" s="1" t="n">
        <v>4.1</v>
      </c>
      <c r="L4472" s="15" t="n">
        <v>1619.84</v>
      </c>
      <c r="M4472" s="15" t="n">
        <f aca="false">F4472*G4472</f>
        <v>1760.7</v>
      </c>
      <c r="N4472" s="15" t="n">
        <f aca="false">M4472-L4472</f>
        <v>140.86</v>
      </c>
      <c r="O4472" s="1" t="n">
        <f aca="false">YEAR(B4472)</f>
        <v>2034</v>
      </c>
      <c r="P4472" s="1" t="n">
        <f aca="false">MONTH(B4472)</f>
        <v>3</v>
      </c>
      <c r="Q4472" s="1" t="str">
        <f aca="false">TEXT(B4472,"mmm")</f>
        <v>Mar</v>
      </c>
      <c r="R4472" s="1" t="str">
        <f aca="false">"Q"&amp;ROUNDUP(MONTH(B4472)/3,0)</f>
        <v>Q1</v>
      </c>
    </row>
    <row r="4473" customFormat="false" ht="15" hidden="false" customHeight="true" outlineLevel="0" collapsed="false">
      <c r="A4473" s="1" t="n">
        <v>14472</v>
      </c>
      <c r="B4473" s="14" t="n">
        <v>49033</v>
      </c>
      <c r="C4473" s="1" t="n">
        <v>1554</v>
      </c>
      <c r="D4473" s="1" t="s">
        <v>37</v>
      </c>
      <c r="E4473" s="1" t="s">
        <v>36</v>
      </c>
      <c r="F4473" s="1" t="n">
        <v>2</v>
      </c>
      <c r="G4473" s="15" t="n">
        <v>470.93</v>
      </c>
      <c r="H4473" s="16" t="n">
        <v>0.33</v>
      </c>
      <c r="I4473" s="1" t="s">
        <v>31</v>
      </c>
      <c r="J4473" s="1" t="n">
        <v>1</v>
      </c>
      <c r="K4473" s="1" t="n">
        <v>2</v>
      </c>
      <c r="L4473" s="15" t="n">
        <v>631.05</v>
      </c>
      <c r="M4473" s="15" t="n">
        <f aca="false">F4473*G4473</f>
        <v>941.86</v>
      </c>
      <c r="N4473" s="15" t="n">
        <f aca="false">M4473-L4473</f>
        <v>310.81</v>
      </c>
      <c r="O4473" s="1" t="n">
        <f aca="false">YEAR(B4473)</f>
        <v>2034</v>
      </c>
      <c r="P4473" s="1" t="n">
        <f aca="false">MONTH(B4473)</f>
        <v>3</v>
      </c>
      <c r="Q4473" s="1" t="str">
        <f aca="false">TEXT(B4473,"mmm")</f>
        <v>Mar</v>
      </c>
      <c r="R4473" s="1" t="str">
        <f aca="false">"Q"&amp;ROUNDUP(MONTH(B4473)/3,0)</f>
        <v>Q1</v>
      </c>
    </row>
    <row r="4474" customFormat="false" ht="15" hidden="false" customHeight="true" outlineLevel="0" collapsed="false">
      <c r="A4474" s="1" t="n">
        <v>14473</v>
      </c>
      <c r="B4474" s="14" t="n">
        <v>49034</v>
      </c>
      <c r="C4474" s="1" t="n">
        <v>1403</v>
      </c>
      <c r="D4474" s="1" t="s">
        <v>30</v>
      </c>
      <c r="E4474" s="1" t="s">
        <v>28</v>
      </c>
      <c r="F4474" s="1" t="n">
        <v>1</v>
      </c>
      <c r="G4474" s="15" t="n">
        <v>152.57</v>
      </c>
      <c r="H4474" s="16" t="n">
        <v>0</v>
      </c>
      <c r="I4474" s="1" t="s">
        <v>31</v>
      </c>
      <c r="J4474" s="1" t="n">
        <v>9</v>
      </c>
      <c r="K4474" s="1" t="n">
        <v>3.8</v>
      </c>
      <c r="L4474" s="15" t="n">
        <v>152.57</v>
      </c>
      <c r="M4474" s="15" t="n">
        <f aca="false">F4474*G4474</f>
        <v>152.57</v>
      </c>
      <c r="N4474" s="15" t="n">
        <f aca="false">M4474-L4474</f>
        <v>0</v>
      </c>
      <c r="O4474" s="1" t="n">
        <f aca="false">YEAR(B4474)</f>
        <v>2034</v>
      </c>
      <c r="P4474" s="1" t="n">
        <f aca="false">MONTH(B4474)</f>
        <v>3</v>
      </c>
      <c r="Q4474" s="1" t="str">
        <f aca="false">TEXT(B4474,"mmm")</f>
        <v>Mar</v>
      </c>
      <c r="R4474" s="1" t="str">
        <f aca="false">"Q"&amp;ROUNDUP(MONTH(B4474)/3,0)</f>
        <v>Q1</v>
      </c>
    </row>
    <row r="4475" customFormat="false" ht="15" hidden="false" customHeight="true" outlineLevel="0" collapsed="false">
      <c r="A4475" s="1" t="n">
        <v>14474</v>
      </c>
      <c r="B4475" s="14" t="n">
        <v>49035</v>
      </c>
      <c r="C4475" s="1" t="n">
        <v>1891</v>
      </c>
      <c r="D4475" s="1" t="s">
        <v>30</v>
      </c>
      <c r="E4475" s="1" t="s">
        <v>32</v>
      </c>
      <c r="F4475" s="1" t="n">
        <v>4</v>
      </c>
      <c r="G4475" s="15" t="n">
        <v>455.87</v>
      </c>
      <c r="H4475" s="16" t="n">
        <v>0</v>
      </c>
      <c r="I4475" s="1" t="s">
        <v>31</v>
      </c>
      <c r="J4475" s="1" t="n">
        <v>6</v>
      </c>
      <c r="K4475" s="1" t="n">
        <v>3</v>
      </c>
      <c r="L4475" s="15" t="n">
        <v>1823.48</v>
      </c>
      <c r="M4475" s="15" t="n">
        <f aca="false">F4475*G4475</f>
        <v>1823.48</v>
      </c>
      <c r="N4475" s="15" t="n">
        <f aca="false">M4475-L4475</f>
        <v>0</v>
      </c>
      <c r="O4475" s="1" t="n">
        <f aca="false">YEAR(B4475)</f>
        <v>2034</v>
      </c>
      <c r="P4475" s="1" t="n">
        <f aca="false">MONTH(B4475)</f>
        <v>4</v>
      </c>
      <c r="Q4475" s="1" t="str">
        <f aca="false">TEXT(B4475,"mmm")</f>
        <v>Apr</v>
      </c>
      <c r="R4475" s="1" t="str">
        <f aca="false">"Q"&amp;ROUNDUP(MONTH(B4475)/3,0)</f>
        <v>Q2</v>
      </c>
    </row>
    <row r="4476" customFormat="false" ht="15" hidden="false" customHeight="true" outlineLevel="0" collapsed="false">
      <c r="A4476" s="1" t="n">
        <v>14475</v>
      </c>
      <c r="B4476" s="14" t="n">
        <v>49036</v>
      </c>
      <c r="C4476" s="1" t="n">
        <v>1864</v>
      </c>
      <c r="D4476" s="1" t="s">
        <v>34</v>
      </c>
      <c r="E4476" s="1" t="s">
        <v>32</v>
      </c>
      <c r="F4476" s="1" t="n">
        <v>3</v>
      </c>
      <c r="G4476" s="15" t="n">
        <v>521.24</v>
      </c>
      <c r="H4476" s="16" t="n">
        <v>0.18</v>
      </c>
      <c r="I4476" s="1" t="s">
        <v>29</v>
      </c>
      <c r="J4476" s="1" t="n">
        <v>3</v>
      </c>
      <c r="K4476" s="1" t="n">
        <v>1.7</v>
      </c>
      <c r="L4476" s="15" t="n">
        <v>1282.25</v>
      </c>
      <c r="M4476" s="15" t="n">
        <f aca="false">F4476*G4476</f>
        <v>1563.72</v>
      </c>
      <c r="N4476" s="15" t="n">
        <f aca="false">M4476-L4476</f>
        <v>281.47</v>
      </c>
      <c r="O4476" s="1" t="n">
        <f aca="false">YEAR(B4476)</f>
        <v>2034</v>
      </c>
      <c r="P4476" s="1" t="n">
        <f aca="false">MONTH(B4476)</f>
        <v>4</v>
      </c>
      <c r="Q4476" s="1" t="str">
        <f aca="false">TEXT(B4476,"mmm")</f>
        <v>Apr</v>
      </c>
      <c r="R4476" s="1" t="str">
        <f aca="false">"Q"&amp;ROUNDUP(MONTH(B4476)/3,0)</f>
        <v>Q2</v>
      </c>
    </row>
    <row r="4477" customFormat="false" ht="15" hidden="false" customHeight="true" outlineLevel="0" collapsed="false">
      <c r="A4477" s="1" t="n">
        <v>14476</v>
      </c>
      <c r="B4477" s="14" t="n">
        <v>49037</v>
      </c>
      <c r="C4477" s="1" t="n">
        <v>1601</v>
      </c>
      <c r="D4477" s="1" t="s">
        <v>27</v>
      </c>
      <c r="E4477" s="1" t="s">
        <v>32</v>
      </c>
      <c r="F4477" s="1" t="n">
        <v>4</v>
      </c>
      <c r="G4477" s="15" t="n">
        <v>528.99</v>
      </c>
      <c r="H4477" s="16" t="n">
        <v>0.17</v>
      </c>
      <c r="I4477" s="1" t="s">
        <v>29</v>
      </c>
      <c r="J4477" s="1" t="n">
        <v>6</v>
      </c>
      <c r="K4477" s="1" t="n">
        <v>1.5</v>
      </c>
      <c r="L4477" s="15" t="n">
        <v>1756.25</v>
      </c>
      <c r="M4477" s="15" t="n">
        <f aca="false">F4477*G4477</f>
        <v>2115.96</v>
      </c>
      <c r="N4477" s="15" t="n">
        <f aca="false">M4477-L4477</f>
        <v>359.71</v>
      </c>
      <c r="O4477" s="1" t="n">
        <f aca="false">YEAR(B4477)</f>
        <v>2034</v>
      </c>
      <c r="P4477" s="1" t="n">
        <f aca="false">MONTH(B4477)</f>
        <v>4</v>
      </c>
      <c r="Q4477" s="1" t="str">
        <f aca="false">TEXT(B4477,"mmm")</f>
        <v>Apr</v>
      </c>
      <c r="R4477" s="1" t="str">
        <f aca="false">"Q"&amp;ROUNDUP(MONTH(B4477)/3,0)</f>
        <v>Q2</v>
      </c>
    </row>
    <row r="4478" customFormat="false" ht="15" hidden="false" customHeight="true" outlineLevel="0" collapsed="false">
      <c r="A4478" s="1" t="n">
        <v>14477</v>
      </c>
      <c r="B4478" s="14" t="n">
        <v>49038</v>
      </c>
      <c r="C4478" s="1" t="n">
        <v>1806</v>
      </c>
      <c r="D4478" s="1" t="s">
        <v>30</v>
      </c>
      <c r="E4478" s="1" t="s">
        <v>28</v>
      </c>
      <c r="F4478" s="1" t="n">
        <v>2</v>
      </c>
      <c r="G4478" s="15" t="n">
        <v>473.45</v>
      </c>
      <c r="H4478" s="16" t="n">
        <v>0.06</v>
      </c>
      <c r="I4478" s="1" t="s">
        <v>29</v>
      </c>
      <c r="J4478" s="1" t="n">
        <v>7</v>
      </c>
      <c r="K4478" s="1" t="n">
        <v>2.8</v>
      </c>
      <c r="L4478" s="15" t="n">
        <v>890.09</v>
      </c>
      <c r="M4478" s="15" t="n">
        <f aca="false">F4478*G4478</f>
        <v>946.9</v>
      </c>
      <c r="N4478" s="15" t="n">
        <f aca="false">M4478-L4478</f>
        <v>56.8099999999999</v>
      </c>
      <c r="O4478" s="1" t="n">
        <f aca="false">YEAR(B4478)</f>
        <v>2034</v>
      </c>
      <c r="P4478" s="1" t="n">
        <f aca="false">MONTH(B4478)</f>
        <v>4</v>
      </c>
      <c r="Q4478" s="1" t="str">
        <f aca="false">TEXT(B4478,"mmm")</f>
        <v>Apr</v>
      </c>
      <c r="R4478" s="1" t="str">
        <f aca="false">"Q"&amp;ROUNDUP(MONTH(B4478)/3,0)</f>
        <v>Q2</v>
      </c>
    </row>
    <row r="4479" customFormat="false" ht="15" hidden="false" customHeight="true" outlineLevel="0" collapsed="false">
      <c r="A4479" s="1" t="n">
        <v>14478</v>
      </c>
      <c r="B4479" s="14" t="n">
        <v>49039</v>
      </c>
      <c r="C4479" s="1" t="n">
        <v>1340</v>
      </c>
      <c r="D4479" s="1" t="s">
        <v>37</v>
      </c>
      <c r="E4479" s="1" t="s">
        <v>36</v>
      </c>
      <c r="F4479" s="1" t="n">
        <v>4</v>
      </c>
      <c r="G4479" s="15" t="n">
        <v>253.69</v>
      </c>
      <c r="H4479" s="16" t="n">
        <v>0.17</v>
      </c>
      <c r="I4479" s="1" t="s">
        <v>31</v>
      </c>
      <c r="J4479" s="1" t="n">
        <v>3</v>
      </c>
      <c r="K4479" s="1" t="n">
        <v>3.8</v>
      </c>
      <c r="L4479" s="15" t="n">
        <v>842.25</v>
      </c>
      <c r="M4479" s="15" t="n">
        <f aca="false">F4479*G4479</f>
        <v>1014.76</v>
      </c>
      <c r="N4479" s="15" t="n">
        <f aca="false">M4479-L4479</f>
        <v>172.51</v>
      </c>
      <c r="O4479" s="1" t="n">
        <f aca="false">YEAR(B4479)</f>
        <v>2034</v>
      </c>
      <c r="P4479" s="1" t="n">
        <f aca="false">MONTH(B4479)</f>
        <v>4</v>
      </c>
      <c r="Q4479" s="1" t="str">
        <f aca="false">TEXT(B4479,"mmm")</f>
        <v>Apr</v>
      </c>
      <c r="R4479" s="1" t="str">
        <f aca="false">"Q"&amp;ROUNDUP(MONTH(B4479)/3,0)</f>
        <v>Q2</v>
      </c>
    </row>
    <row r="4480" customFormat="false" ht="15" hidden="false" customHeight="true" outlineLevel="0" collapsed="false">
      <c r="A4480" s="1" t="n">
        <v>14479</v>
      </c>
      <c r="B4480" s="14" t="n">
        <v>49040</v>
      </c>
      <c r="C4480" s="1" t="n">
        <v>1756</v>
      </c>
      <c r="D4480" s="1" t="s">
        <v>34</v>
      </c>
      <c r="E4480" s="1" t="s">
        <v>35</v>
      </c>
      <c r="F4480" s="1" t="n">
        <v>6</v>
      </c>
      <c r="G4480" s="15" t="n">
        <v>589.36</v>
      </c>
      <c r="H4480" s="16" t="n">
        <v>0.14</v>
      </c>
      <c r="I4480" s="1" t="s">
        <v>31</v>
      </c>
      <c r="J4480" s="1" t="n">
        <v>4</v>
      </c>
      <c r="K4480" s="1" t="n">
        <v>3.4</v>
      </c>
      <c r="L4480" s="15" t="n">
        <v>3041.1</v>
      </c>
      <c r="M4480" s="15" t="n">
        <f aca="false">F4480*G4480</f>
        <v>3536.16</v>
      </c>
      <c r="N4480" s="15" t="n">
        <f aca="false">M4480-L4480</f>
        <v>495.06</v>
      </c>
      <c r="O4480" s="1" t="n">
        <f aca="false">YEAR(B4480)</f>
        <v>2034</v>
      </c>
      <c r="P4480" s="1" t="n">
        <f aca="false">MONTH(B4480)</f>
        <v>4</v>
      </c>
      <c r="Q4480" s="1" t="str">
        <f aca="false">TEXT(B4480,"mmm")</f>
        <v>Apr</v>
      </c>
      <c r="R4480" s="1" t="str">
        <f aca="false">"Q"&amp;ROUNDUP(MONTH(B4480)/3,0)</f>
        <v>Q2</v>
      </c>
    </row>
    <row r="4481" customFormat="false" ht="15" hidden="false" customHeight="true" outlineLevel="0" collapsed="false">
      <c r="A4481" s="1" t="n">
        <v>14480</v>
      </c>
      <c r="B4481" s="14" t="n">
        <v>49041</v>
      </c>
      <c r="C4481" s="1" t="n">
        <v>1944</v>
      </c>
      <c r="D4481" s="1" t="s">
        <v>34</v>
      </c>
      <c r="E4481" s="1" t="s">
        <v>28</v>
      </c>
      <c r="F4481" s="1" t="n">
        <v>7</v>
      </c>
      <c r="G4481" s="15" t="n">
        <v>237.06</v>
      </c>
      <c r="H4481" s="16" t="n">
        <v>0.31</v>
      </c>
      <c r="I4481" s="1" t="s">
        <v>31</v>
      </c>
      <c r="J4481" s="1" t="n">
        <v>10</v>
      </c>
      <c r="K4481" s="1" t="n">
        <v>4.4</v>
      </c>
      <c r="L4481" s="15" t="n">
        <v>1145</v>
      </c>
      <c r="M4481" s="15" t="n">
        <f aca="false">F4481*G4481</f>
        <v>1659.42</v>
      </c>
      <c r="N4481" s="15" t="n">
        <f aca="false">M4481-L4481</f>
        <v>514.42</v>
      </c>
      <c r="O4481" s="1" t="n">
        <f aca="false">YEAR(B4481)</f>
        <v>2034</v>
      </c>
      <c r="P4481" s="1" t="n">
        <f aca="false">MONTH(B4481)</f>
        <v>4</v>
      </c>
      <c r="Q4481" s="1" t="str">
        <f aca="false">TEXT(B4481,"mmm")</f>
        <v>Apr</v>
      </c>
      <c r="R4481" s="1" t="str">
        <f aca="false">"Q"&amp;ROUNDUP(MONTH(B4481)/3,0)</f>
        <v>Q2</v>
      </c>
    </row>
    <row r="4482" customFormat="false" ht="15" hidden="false" customHeight="true" outlineLevel="0" collapsed="false">
      <c r="A4482" s="1" t="n">
        <v>14481</v>
      </c>
      <c r="B4482" s="14" t="n">
        <v>49042</v>
      </c>
      <c r="C4482" s="1" t="n">
        <v>1703</v>
      </c>
      <c r="D4482" s="1" t="s">
        <v>30</v>
      </c>
      <c r="E4482" s="1" t="s">
        <v>32</v>
      </c>
      <c r="F4482" s="1" t="n">
        <v>1</v>
      </c>
      <c r="G4482" s="15" t="n">
        <v>388.6</v>
      </c>
      <c r="H4482" s="16" t="n">
        <v>0</v>
      </c>
      <c r="I4482" s="1" t="s">
        <v>29</v>
      </c>
      <c r="J4482" s="1" t="n">
        <v>1</v>
      </c>
      <c r="K4482" s="1" t="n">
        <v>2.6</v>
      </c>
      <c r="L4482" s="15" t="n">
        <v>388.6</v>
      </c>
      <c r="M4482" s="15" t="n">
        <f aca="false">F4482*G4482</f>
        <v>388.6</v>
      </c>
      <c r="N4482" s="15" t="n">
        <f aca="false">M4482-L4482</f>
        <v>0</v>
      </c>
      <c r="O4482" s="1" t="n">
        <f aca="false">YEAR(B4482)</f>
        <v>2034</v>
      </c>
      <c r="P4482" s="1" t="n">
        <f aca="false">MONTH(B4482)</f>
        <v>4</v>
      </c>
      <c r="Q4482" s="1" t="str">
        <f aca="false">TEXT(B4482,"mmm")</f>
        <v>Apr</v>
      </c>
      <c r="R4482" s="1" t="str">
        <f aca="false">"Q"&amp;ROUNDUP(MONTH(B4482)/3,0)</f>
        <v>Q2</v>
      </c>
    </row>
    <row r="4483" customFormat="false" ht="15" hidden="false" customHeight="true" outlineLevel="0" collapsed="false">
      <c r="A4483" s="1" t="n">
        <v>14482</v>
      </c>
      <c r="B4483" s="14" t="n">
        <v>49043</v>
      </c>
      <c r="C4483" s="1" t="n">
        <v>1317</v>
      </c>
      <c r="D4483" s="1" t="s">
        <v>27</v>
      </c>
      <c r="E4483" s="1" t="s">
        <v>36</v>
      </c>
      <c r="F4483" s="1" t="n">
        <v>6</v>
      </c>
      <c r="G4483" s="15" t="n">
        <v>109.23</v>
      </c>
      <c r="H4483" s="16" t="n">
        <v>0.34</v>
      </c>
      <c r="I4483" s="1" t="s">
        <v>31</v>
      </c>
      <c r="J4483" s="1" t="n">
        <v>6</v>
      </c>
      <c r="K4483" s="1" t="n">
        <v>4.4</v>
      </c>
      <c r="L4483" s="15" t="n">
        <v>432.55</v>
      </c>
      <c r="M4483" s="15" t="n">
        <f aca="false">F4483*G4483</f>
        <v>655.38</v>
      </c>
      <c r="N4483" s="15" t="n">
        <f aca="false">M4483-L4483</f>
        <v>222.83</v>
      </c>
      <c r="O4483" s="1" t="n">
        <f aca="false">YEAR(B4483)</f>
        <v>2034</v>
      </c>
      <c r="P4483" s="1" t="n">
        <f aca="false">MONTH(B4483)</f>
        <v>4</v>
      </c>
      <c r="Q4483" s="1" t="str">
        <f aca="false">TEXT(B4483,"mmm")</f>
        <v>Apr</v>
      </c>
      <c r="R4483" s="1" t="str">
        <f aca="false">"Q"&amp;ROUNDUP(MONTH(B4483)/3,0)</f>
        <v>Q2</v>
      </c>
    </row>
    <row r="4484" customFormat="false" ht="15" hidden="false" customHeight="true" outlineLevel="0" collapsed="false">
      <c r="A4484" s="1" t="n">
        <v>14483</v>
      </c>
      <c r="B4484" s="14" t="n">
        <v>49044</v>
      </c>
      <c r="C4484" s="1" t="n">
        <v>1617</v>
      </c>
      <c r="D4484" s="1" t="s">
        <v>30</v>
      </c>
      <c r="E4484" s="1" t="s">
        <v>35</v>
      </c>
      <c r="F4484" s="1" t="n">
        <v>1</v>
      </c>
      <c r="G4484" s="15" t="n">
        <v>588.56</v>
      </c>
      <c r="H4484" s="16" t="n">
        <v>0.22</v>
      </c>
      <c r="I4484" s="1" t="s">
        <v>31</v>
      </c>
      <c r="J4484" s="1" t="n">
        <v>6</v>
      </c>
      <c r="K4484" s="1" t="n">
        <v>1.1</v>
      </c>
      <c r="L4484" s="15" t="n">
        <v>459.08</v>
      </c>
      <c r="M4484" s="15" t="n">
        <f aca="false">F4484*G4484</f>
        <v>588.56</v>
      </c>
      <c r="N4484" s="15" t="n">
        <f aca="false">M4484-L4484</f>
        <v>129.48</v>
      </c>
      <c r="O4484" s="1" t="n">
        <f aca="false">YEAR(B4484)</f>
        <v>2034</v>
      </c>
      <c r="P4484" s="1" t="n">
        <f aca="false">MONTH(B4484)</f>
        <v>4</v>
      </c>
      <c r="Q4484" s="1" t="str">
        <f aca="false">TEXT(B4484,"mmm")</f>
        <v>Apr</v>
      </c>
      <c r="R4484" s="1" t="str">
        <f aca="false">"Q"&amp;ROUNDUP(MONTH(B4484)/3,0)</f>
        <v>Q2</v>
      </c>
    </row>
    <row r="4485" customFormat="false" ht="15" hidden="false" customHeight="true" outlineLevel="0" collapsed="false">
      <c r="A4485" s="1" t="n">
        <v>14484</v>
      </c>
      <c r="B4485" s="14" t="n">
        <v>49045</v>
      </c>
      <c r="C4485" s="1" t="n">
        <v>1362</v>
      </c>
      <c r="D4485" s="1" t="s">
        <v>27</v>
      </c>
      <c r="E4485" s="1" t="s">
        <v>35</v>
      </c>
      <c r="F4485" s="1" t="n">
        <v>5</v>
      </c>
      <c r="G4485" s="15" t="n">
        <v>426.83</v>
      </c>
      <c r="H4485" s="16" t="n">
        <v>0.05</v>
      </c>
      <c r="I4485" s="1" t="s">
        <v>29</v>
      </c>
      <c r="J4485" s="1" t="n">
        <v>9</v>
      </c>
      <c r="K4485" s="1" t="n">
        <v>2.5</v>
      </c>
      <c r="L4485" s="15" t="n">
        <v>2027.44</v>
      </c>
      <c r="M4485" s="15" t="n">
        <f aca="false">F4485*G4485</f>
        <v>2134.15</v>
      </c>
      <c r="N4485" s="15" t="n">
        <f aca="false">M4485-L4485</f>
        <v>106.71</v>
      </c>
      <c r="O4485" s="1" t="n">
        <f aca="false">YEAR(B4485)</f>
        <v>2034</v>
      </c>
      <c r="P4485" s="1" t="n">
        <f aca="false">MONTH(B4485)</f>
        <v>4</v>
      </c>
      <c r="Q4485" s="1" t="str">
        <f aca="false">TEXT(B4485,"mmm")</f>
        <v>Apr</v>
      </c>
      <c r="R4485" s="1" t="str">
        <f aca="false">"Q"&amp;ROUNDUP(MONTH(B4485)/3,0)</f>
        <v>Q2</v>
      </c>
    </row>
    <row r="4486" customFormat="false" ht="15" hidden="false" customHeight="true" outlineLevel="0" collapsed="false">
      <c r="A4486" s="1" t="n">
        <v>14485</v>
      </c>
      <c r="B4486" s="14" t="n">
        <v>49046</v>
      </c>
      <c r="C4486" s="1" t="n">
        <v>1821</v>
      </c>
      <c r="D4486" s="1" t="s">
        <v>30</v>
      </c>
      <c r="E4486" s="1" t="s">
        <v>28</v>
      </c>
      <c r="F4486" s="1" t="n">
        <v>1</v>
      </c>
      <c r="G4486" s="15" t="n">
        <v>455.73</v>
      </c>
      <c r="H4486" s="16" t="n">
        <v>0.02</v>
      </c>
      <c r="I4486" s="1" t="s">
        <v>33</v>
      </c>
      <c r="J4486" s="1" t="n">
        <v>2</v>
      </c>
      <c r="K4486" s="1" t="n">
        <v>1.3</v>
      </c>
      <c r="L4486" s="15" t="n">
        <v>446.62</v>
      </c>
      <c r="M4486" s="15" t="n">
        <f aca="false">F4486*G4486</f>
        <v>455.73</v>
      </c>
      <c r="N4486" s="15" t="n">
        <f aca="false">M4486-L4486</f>
        <v>9.11000000000001</v>
      </c>
      <c r="O4486" s="1" t="n">
        <f aca="false">YEAR(B4486)</f>
        <v>2034</v>
      </c>
      <c r="P4486" s="1" t="n">
        <f aca="false">MONTH(B4486)</f>
        <v>4</v>
      </c>
      <c r="Q4486" s="1" t="str">
        <f aca="false">TEXT(B4486,"mmm")</f>
        <v>Apr</v>
      </c>
      <c r="R4486" s="1" t="str">
        <f aca="false">"Q"&amp;ROUNDUP(MONTH(B4486)/3,0)</f>
        <v>Q2</v>
      </c>
    </row>
    <row r="4487" customFormat="false" ht="15" hidden="false" customHeight="true" outlineLevel="0" collapsed="false">
      <c r="A4487" s="1" t="n">
        <v>14486</v>
      </c>
      <c r="B4487" s="14" t="n">
        <v>49047</v>
      </c>
      <c r="C4487" s="1" t="n">
        <v>1381</v>
      </c>
      <c r="D4487" s="1" t="s">
        <v>30</v>
      </c>
      <c r="E4487" s="1" t="s">
        <v>28</v>
      </c>
      <c r="F4487" s="1" t="n">
        <v>5</v>
      </c>
      <c r="G4487" s="15" t="n">
        <v>53.48</v>
      </c>
      <c r="H4487" s="16" t="n">
        <v>0.19</v>
      </c>
      <c r="I4487" s="1" t="s">
        <v>33</v>
      </c>
      <c r="J4487" s="1" t="n">
        <v>5</v>
      </c>
      <c r="K4487" s="1" t="n">
        <v>4.7</v>
      </c>
      <c r="L4487" s="15" t="n">
        <v>216.59</v>
      </c>
      <c r="M4487" s="15" t="n">
        <f aca="false">F4487*G4487</f>
        <v>267.4</v>
      </c>
      <c r="N4487" s="15" t="n">
        <f aca="false">M4487-L4487</f>
        <v>50.81</v>
      </c>
      <c r="O4487" s="1" t="n">
        <f aca="false">YEAR(B4487)</f>
        <v>2034</v>
      </c>
      <c r="P4487" s="1" t="n">
        <f aca="false">MONTH(B4487)</f>
        <v>4</v>
      </c>
      <c r="Q4487" s="1" t="str">
        <f aca="false">TEXT(B4487,"mmm")</f>
        <v>Apr</v>
      </c>
      <c r="R4487" s="1" t="str">
        <f aca="false">"Q"&amp;ROUNDUP(MONTH(B4487)/3,0)</f>
        <v>Q2</v>
      </c>
    </row>
    <row r="4488" customFormat="false" ht="15" hidden="false" customHeight="true" outlineLevel="0" collapsed="false">
      <c r="A4488" s="1" t="n">
        <v>14487</v>
      </c>
      <c r="B4488" s="14" t="n">
        <v>49048</v>
      </c>
      <c r="C4488" s="1" t="n">
        <v>1232</v>
      </c>
      <c r="D4488" s="1" t="s">
        <v>34</v>
      </c>
      <c r="E4488" s="1" t="s">
        <v>35</v>
      </c>
      <c r="F4488" s="1" t="n">
        <v>6</v>
      </c>
      <c r="G4488" s="15" t="n">
        <v>461.6</v>
      </c>
      <c r="H4488" s="16" t="n">
        <v>0.08</v>
      </c>
      <c r="I4488" s="1" t="s">
        <v>31</v>
      </c>
      <c r="J4488" s="1" t="n">
        <v>5</v>
      </c>
      <c r="K4488" s="1" t="n">
        <v>2.9</v>
      </c>
      <c r="L4488" s="15" t="n">
        <v>2548.03</v>
      </c>
      <c r="M4488" s="15" t="n">
        <f aca="false">F4488*G4488</f>
        <v>2769.6</v>
      </c>
      <c r="N4488" s="15" t="n">
        <f aca="false">M4488-L4488</f>
        <v>221.57</v>
      </c>
      <c r="O4488" s="1" t="n">
        <f aca="false">YEAR(B4488)</f>
        <v>2034</v>
      </c>
      <c r="P4488" s="1" t="n">
        <f aca="false">MONTH(B4488)</f>
        <v>4</v>
      </c>
      <c r="Q4488" s="1" t="str">
        <f aca="false">TEXT(B4488,"mmm")</f>
        <v>Apr</v>
      </c>
      <c r="R4488" s="1" t="str">
        <f aca="false">"Q"&amp;ROUNDUP(MONTH(B4488)/3,0)</f>
        <v>Q2</v>
      </c>
    </row>
    <row r="4489" customFormat="false" ht="15" hidden="false" customHeight="true" outlineLevel="0" collapsed="false">
      <c r="A4489" s="1" t="n">
        <v>14488</v>
      </c>
      <c r="B4489" s="14" t="n">
        <v>49049</v>
      </c>
      <c r="C4489" s="1" t="n">
        <v>1776</v>
      </c>
      <c r="D4489" s="1" t="s">
        <v>37</v>
      </c>
      <c r="E4489" s="1" t="s">
        <v>35</v>
      </c>
      <c r="F4489" s="1" t="n">
        <v>3</v>
      </c>
      <c r="G4489" s="15" t="n">
        <v>468.21</v>
      </c>
      <c r="H4489" s="16" t="n">
        <v>0.11</v>
      </c>
      <c r="I4489" s="1" t="s">
        <v>33</v>
      </c>
      <c r="J4489" s="1" t="n">
        <v>7</v>
      </c>
      <c r="K4489" s="1" t="n">
        <v>2.3</v>
      </c>
      <c r="L4489" s="15" t="n">
        <v>1250.12</v>
      </c>
      <c r="M4489" s="15" t="n">
        <f aca="false">F4489*G4489</f>
        <v>1404.63</v>
      </c>
      <c r="N4489" s="15" t="n">
        <f aca="false">M4489-L4489</f>
        <v>154.51</v>
      </c>
      <c r="O4489" s="1" t="n">
        <f aca="false">YEAR(B4489)</f>
        <v>2034</v>
      </c>
      <c r="P4489" s="1" t="n">
        <f aca="false">MONTH(B4489)</f>
        <v>4</v>
      </c>
      <c r="Q4489" s="1" t="str">
        <f aca="false">TEXT(B4489,"mmm")</f>
        <v>Apr</v>
      </c>
      <c r="R4489" s="1" t="str">
        <f aca="false">"Q"&amp;ROUNDUP(MONTH(B4489)/3,0)</f>
        <v>Q2</v>
      </c>
    </row>
    <row r="4490" customFormat="false" ht="15" hidden="false" customHeight="true" outlineLevel="0" collapsed="false">
      <c r="A4490" s="1" t="n">
        <v>14489</v>
      </c>
      <c r="B4490" s="14" t="n">
        <v>49050</v>
      </c>
      <c r="C4490" s="1" t="n">
        <v>1343</v>
      </c>
      <c r="D4490" s="1" t="s">
        <v>34</v>
      </c>
      <c r="E4490" s="1" t="s">
        <v>32</v>
      </c>
      <c r="F4490" s="1" t="n">
        <v>2</v>
      </c>
      <c r="G4490" s="15" t="n">
        <v>407.99</v>
      </c>
      <c r="H4490" s="16" t="n">
        <v>0.09</v>
      </c>
      <c r="I4490" s="1" t="s">
        <v>29</v>
      </c>
      <c r="J4490" s="1" t="n">
        <v>5</v>
      </c>
      <c r="K4490" s="1" t="n">
        <v>3</v>
      </c>
      <c r="L4490" s="15" t="n">
        <v>742.54</v>
      </c>
      <c r="M4490" s="15" t="n">
        <f aca="false">F4490*G4490</f>
        <v>815.98</v>
      </c>
      <c r="N4490" s="15" t="n">
        <f aca="false">M4490-L4490</f>
        <v>73.4400000000001</v>
      </c>
      <c r="O4490" s="1" t="n">
        <f aca="false">YEAR(B4490)</f>
        <v>2034</v>
      </c>
      <c r="P4490" s="1" t="n">
        <f aca="false">MONTH(B4490)</f>
        <v>4</v>
      </c>
      <c r="Q4490" s="1" t="str">
        <f aca="false">TEXT(B4490,"mmm")</f>
        <v>Apr</v>
      </c>
      <c r="R4490" s="1" t="str">
        <f aca="false">"Q"&amp;ROUNDUP(MONTH(B4490)/3,0)</f>
        <v>Q2</v>
      </c>
    </row>
    <row r="4491" customFormat="false" ht="15" hidden="false" customHeight="true" outlineLevel="0" collapsed="false">
      <c r="A4491" s="1" t="n">
        <v>14490</v>
      </c>
      <c r="B4491" s="14" t="n">
        <v>49051</v>
      </c>
      <c r="C4491" s="1" t="n">
        <v>1548</v>
      </c>
      <c r="D4491" s="1" t="s">
        <v>27</v>
      </c>
      <c r="E4491" s="1" t="s">
        <v>35</v>
      </c>
      <c r="F4491" s="1" t="n">
        <v>3</v>
      </c>
      <c r="G4491" s="15" t="n">
        <v>185.77</v>
      </c>
      <c r="H4491" s="16" t="n">
        <v>0.23</v>
      </c>
      <c r="I4491" s="1" t="s">
        <v>33</v>
      </c>
      <c r="J4491" s="1" t="n">
        <v>10</v>
      </c>
      <c r="K4491" s="1" t="n">
        <v>3.1</v>
      </c>
      <c r="L4491" s="15" t="n">
        <v>429.13</v>
      </c>
      <c r="M4491" s="15" t="n">
        <f aca="false">F4491*G4491</f>
        <v>557.31</v>
      </c>
      <c r="N4491" s="15" t="n">
        <f aca="false">M4491-L4491</f>
        <v>128.18</v>
      </c>
      <c r="O4491" s="1" t="n">
        <f aca="false">YEAR(B4491)</f>
        <v>2034</v>
      </c>
      <c r="P4491" s="1" t="n">
        <f aca="false">MONTH(B4491)</f>
        <v>4</v>
      </c>
      <c r="Q4491" s="1" t="str">
        <f aca="false">TEXT(B4491,"mmm")</f>
        <v>Apr</v>
      </c>
      <c r="R4491" s="1" t="str">
        <f aca="false">"Q"&amp;ROUNDUP(MONTH(B4491)/3,0)</f>
        <v>Q2</v>
      </c>
    </row>
    <row r="4492" customFormat="false" ht="15" hidden="false" customHeight="true" outlineLevel="0" collapsed="false">
      <c r="A4492" s="1" t="n">
        <v>14491</v>
      </c>
      <c r="B4492" s="14" t="n">
        <v>49052</v>
      </c>
      <c r="C4492" s="1" t="n">
        <v>1816</v>
      </c>
      <c r="D4492" s="1" t="s">
        <v>27</v>
      </c>
      <c r="E4492" s="1" t="s">
        <v>28</v>
      </c>
      <c r="F4492" s="1" t="n">
        <v>5</v>
      </c>
      <c r="G4492" s="15" t="n">
        <v>301.47</v>
      </c>
      <c r="H4492" s="16" t="n">
        <v>0.19</v>
      </c>
      <c r="I4492" s="1" t="s">
        <v>31</v>
      </c>
      <c r="J4492" s="1" t="n">
        <v>4</v>
      </c>
      <c r="K4492" s="1" t="n">
        <v>4.4</v>
      </c>
      <c r="L4492" s="15" t="n">
        <v>1220.95</v>
      </c>
      <c r="M4492" s="15" t="n">
        <f aca="false">F4492*G4492</f>
        <v>1507.35</v>
      </c>
      <c r="N4492" s="15" t="n">
        <f aca="false">M4492-L4492</f>
        <v>286.4</v>
      </c>
      <c r="O4492" s="1" t="n">
        <f aca="false">YEAR(B4492)</f>
        <v>2034</v>
      </c>
      <c r="P4492" s="1" t="n">
        <f aca="false">MONTH(B4492)</f>
        <v>4</v>
      </c>
      <c r="Q4492" s="1" t="str">
        <f aca="false">TEXT(B4492,"mmm")</f>
        <v>Apr</v>
      </c>
      <c r="R4492" s="1" t="str">
        <f aca="false">"Q"&amp;ROUNDUP(MONTH(B4492)/3,0)</f>
        <v>Q2</v>
      </c>
    </row>
    <row r="4493" customFormat="false" ht="15" hidden="false" customHeight="true" outlineLevel="0" collapsed="false">
      <c r="A4493" s="1" t="n">
        <v>14492</v>
      </c>
      <c r="B4493" s="14" t="n">
        <v>49053</v>
      </c>
      <c r="C4493" s="1" t="n">
        <v>1552</v>
      </c>
      <c r="D4493" s="1" t="s">
        <v>27</v>
      </c>
      <c r="E4493" s="1" t="s">
        <v>36</v>
      </c>
      <c r="F4493" s="1" t="n">
        <v>4</v>
      </c>
      <c r="G4493" s="15" t="n">
        <v>79.6</v>
      </c>
      <c r="H4493" s="16" t="n">
        <v>0.03</v>
      </c>
      <c r="I4493" s="1" t="s">
        <v>31</v>
      </c>
      <c r="J4493" s="1" t="n">
        <v>10</v>
      </c>
      <c r="K4493" s="1" t="n">
        <v>3.2</v>
      </c>
      <c r="L4493" s="15" t="n">
        <v>308.85</v>
      </c>
      <c r="M4493" s="15" t="n">
        <f aca="false">F4493*G4493</f>
        <v>318.4</v>
      </c>
      <c r="N4493" s="15" t="n">
        <f aca="false">M4493-L4493</f>
        <v>9.54999999999996</v>
      </c>
      <c r="O4493" s="1" t="n">
        <f aca="false">YEAR(B4493)</f>
        <v>2034</v>
      </c>
      <c r="P4493" s="1" t="n">
        <f aca="false">MONTH(B4493)</f>
        <v>4</v>
      </c>
      <c r="Q4493" s="1" t="str">
        <f aca="false">TEXT(B4493,"mmm")</f>
        <v>Apr</v>
      </c>
      <c r="R4493" s="1" t="str">
        <f aca="false">"Q"&amp;ROUNDUP(MONTH(B4493)/3,0)</f>
        <v>Q2</v>
      </c>
    </row>
    <row r="4494" customFormat="false" ht="15" hidden="false" customHeight="true" outlineLevel="0" collapsed="false">
      <c r="A4494" s="1" t="n">
        <v>14493</v>
      </c>
      <c r="B4494" s="14" t="n">
        <v>49054</v>
      </c>
      <c r="C4494" s="1" t="n">
        <v>1528</v>
      </c>
      <c r="D4494" s="1" t="s">
        <v>30</v>
      </c>
      <c r="E4494" s="1" t="s">
        <v>32</v>
      </c>
      <c r="F4494" s="1" t="n">
        <v>4</v>
      </c>
      <c r="G4494" s="15" t="n">
        <v>290.88</v>
      </c>
      <c r="H4494" s="16" t="n">
        <v>0.18</v>
      </c>
      <c r="I4494" s="1" t="s">
        <v>31</v>
      </c>
      <c r="J4494" s="1" t="n">
        <v>2</v>
      </c>
      <c r="K4494" s="1" t="n">
        <v>2.7</v>
      </c>
      <c r="L4494" s="15" t="n">
        <v>954.09</v>
      </c>
      <c r="M4494" s="15" t="n">
        <f aca="false">F4494*G4494</f>
        <v>1163.52</v>
      </c>
      <c r="N4494" s="15" t="n">
        <f aca="false">M4494-L4494</f>
        <v>209.43</v>
      </c>
      <c r="O4494" s="1" t="n">
        <f aca="false">YEAR(B4494)</f>
        <v>2034</v>
      </c>
      <c r="P4494" s="1" t="n">
        <f aca="false">MONTH(B4494)</f>
        <v>4</v>
      </c>
      <c r="Q4494" s="1" t="str">
        <f aca="false">TEXT(B4494,"mmm")</f>
        <v>Apr</v>
      </c>
      <c r="R4494" s="1" t="str">
        <f aca="false">"Q"&amp;ROUNDUP(MONTH(B4494)/3,0)</f>
        <v>Q2</v>
      </c>
    </row>
    <row r="4495" customFormat="false" ht="15" hidden="false" customHeight="true" outlineLevel="0" collapsed="false">
      <c r="A4495" s="1" t="n">
        <v>14494</v>
      </c>
      <c r="B4495" s="14" t="n">
        <v>49055</v>
      </c>
      <c r="C4495" s="1" t="n">
        <v>1855</v>
      </c>
      <c r="D4495" s="1" t="s">
        <v>37</v>
      </c>
      <c r="E4495" s="1" t="s">
        <v>32</v>
      </c>
      <c r="F4495" s="1" t="n">
        <v>3</v>
      </c>
      <c r="G4495" s="15" t="n">
        <v>157.64</v>
      </c>
      <c r="H4495" s="16" t="n">
        <v>0.28</v>
      </c>
      <c r="I4495" s="1" t="s">
        <v>33</v>
      </c>
      <c r="J4495" s="1" t="n">
        <v>8</v>
      </c>
      <c r="K4495" s="1" t="n">
        <v>4.8</v>
      </c>
      <c r="L4495" s="15" t="n">
        <v>340.5</v>
      </c>
      <c r="M4495" s="15" t="n">
        <f aca="false">F4495*G4495</f>
        <v>472.92</v>
      </c>
      <c r="N4495" s="15" t="n">
        <f aca="false">M4495-L4495</f>
        <v>132.42</v>
      </c>
      <c r="O4495" s="1" t="n">
        <f aca="false">YEAR(B4495)</f>
        <v>2034</v>
      </c>
      <c r="P4495" s="1" t="n">
        <f aca="false">MONTH(B4495)</f>
        <v>4</v>
      </c>
      <c r="Q4495" s="1" t="str">
        <f aca="false">TEXT(B4495,"mmm")</f>
        <v>Apr</v>
      </c>
      <c r="R4495" s="1" t="str">
        <f aca="false">"Q"&amp;ROUNDUP(MONTH(B4495)/3,0)</f>
        <v>Q2</v>
      </c>
    </row>
    <row r="4496" customFormat="false" ht="15" hidden="false" customHeight="true" outlineLevel="0" collapsed="false">
      <c r="A4496" s="1" t="n">
        <v>14495</v>
      </c>
      <c r="B4496" s="14" t="n">
        <v>49056</v>
      </c>
      <c r="C4496" s="1" t="n">
        <v>1788</v>
      </c>
      <c r="D4496" s="1" t="s">
        <v>37</v>
      </c>
      <c r="E4496" s="1" t="s">
        <v>35</v>
      </c>
      <c r="F4496" s="1" t="n">
        <v>4</v>
      </c>
      <c r="G4496" s="15" t="n">
        <v>219.22</v>
      </c>
      <c r="H4496" s="16" t="n">
        <v>0.03</v>
      </c>
      <c r="I4496" s="1" t="s">
        <v>31</v>
      </c>
      <c r="J4496" s="1" t="n">
        <v>5</v>
      </c>
      <c r="K4496" s="1" t="n">
        <v>4.9</v>
      </c>
      <c r="L4496" s="15" t="n">
        <v>850.57</v>
      </c>
      <c r="M4496" s="15" t="n">
        <f aca="false">F4496*G4496</f>
        <v>876.88</v>
      </c>
      <c r="N4496" s="15" t="n">
        <f aca="false">M4496-L4496</f>
        <v>26.3099999999999</v>
      </c>
      <c r="O4496" s="1" t="n">
        <f aca="false">YEAR(B4496)</f>
        <v>2034</v>
      </c>
      <c r="P4496" s="1" t="n">
        <f aca="false">MONTH(B4496)</f>
        <v>4</v>
      </c>
      <c r="Q4496" s="1" t="str">
        <f aca="false">TEXT(B4496,"mmm")</f>
        <v>Apr</v>
      </c>
      <c r="R4496" s="1" t="str">
        <f aca="false">"Q"&amp;ROUNDUP(MONTH(B4496)/3,0)</f>
        <v>Q2</v>
      </c>
    </row>
    <row r="4497" customFormat="false" ht="15" hidden="false" customHeight="true" outlineLevel="0" collapsed="false">
      <c r="A4497" s="1" t="n">
        <v>14496</v>
      </c>
      <c r="B4497" s="14" t="n">
        <v>49057</v>
      </c>
      <c r="C4497" s="1" t="n">
        <v>1818</v>
      </c>
      <c r="D4497" s="1" t="s">
        <v>34</v>
      </c>
      <c r="E4497" s="1" t="s">
        <v>36</v>
      </c>
      <c r="F4497" s="1" t="n">
        <v>5</v>
      </c>
      <c r="G4497" s="15" t="n">
        <v>110.12</v>
      </c>
      <c r="H4497" s="16" t="n">
        <v>0.31</v>
      </c>
      <c r="I4497" s="1" t="s">
        <v>33</v>
      </c>
      <c r="J4497" s="1" t="n">
        <v>4</v>
      </c>
      <c r="K4497" s="1" t="n">
        <v>1.2</v>
      </c>
      <c r="L4497" s="15" t="n">
        <v>379.91</v>
      </c>
      <c r="M4497" s="15" t="n">
        <f aca="false">F4497*G4497</f>
        <v>550.6</v>
      </c>
      <c r="N4497" s="15" t="n">
        <f aca="false">M4497-L4497</f>
        <v>170.69</v>
      </c>
      <c r="O4497" s="1" t="n">
        <f aca="false">YEAR(B4497)</f>
        <v>2034</v>
      </c>
      <c r="P4497" s="1" t="n">
        <f aca="false">MONTH(B4497)</f>
        <v>4</v>
      </c>
      <c r="Q4497" s="1" t="str">
        <f aca="false">TEXT(B4497,"mmm")</f>
        <v>Apr</v>
      </c>
      <c r="R4497" s="1" t="str">
        <f aca="false">"Q"&amp;ROUNDUP(MONTH(B4497)/3,0)</f>
        <v>Q2</v>
      </c>
    </row>
    <row r="4498" customFormat="false" ht="15" hidden="false" customHeight="true" outlineLevel="0" collapsed="false">
      <c r="A4498" s="1" t="n">
        <v>14497</v>
      </c>
      <c r="B4498" s="14" t="n">
        <v>49058</v>
      </c>
      <c r="C4498" s="1" t="n">
        <v>1570</v>
      </c>
      <c r="D4498" s="1" t="s">
        <v>30</v>
      </c>
      <c r="E4498" s="1" t="s">
        <v>32</v>
      </c>
      <c r="F4498" s="1" t="n">
        <v>6</v>
      </c>
      <c r="G4498" s="15" t="n">
        <v>149.58</v>
      </c>
      <c r="H4498" s="16" t="n">
        <v>0.2</v>
      </c>
      <c r="I4498" s="1" t="s">
        <v>33</v>
      </c>
      <c r="J4498" s="1" t="n">
        <v>9</v>
      </c>
      <c r="K4498" s="1" t="n">
        <v>3.8</v>
      </c>
      <c r="L4498" s="15" t="n">
        <v>717.98</v>
      </c>
      <c r="M4498" s="15" t="n">
        <f aca="false">F4498*G4498</f>
        <v>897.48</v>
      </c>
      <c r="N4498" s="15" t="n">
        <f aca="false">M4498-L4498</f>
        <v>179.5</v>
      </c>
      <c r="O4498" s="1" t="n">
        <f aca="false">YEAR(B4498)</f>
        <v>2034</v>
      </c>
      <c r="P4498" s="1" t="n">
        <f aca="false">MONTH(B4498)</f>
        <v>4</v>
      </c>
      <c r="Q4498" s="1" t="str">
        <f aca="false">TEXT(B4498,"mmm")</f>
        <v>Apr</v>
      </c>
      <c r="R4498" s="1" t="str">
        <f aca="false">"Q"&amp;ROUNDUP(MONTH(B4498)/3,0)</f>
        <v>Q2</v>
      </c>
    </row>
    <row r="4499" customFormat="false" ht="15" hidden="false" customHeight="true" outlineLevel="0" collapsed="false">
      <c r="A4499" s="1" t="n">
        <v>14498</v>
      </c>
      <c r="B4499" s="14" t="n">
        <v>49059</v>
      </c>
      <c r="C4499" s="1" t="n">
        <v>1934</v>
      </c>
      <c r="D4499" s="1" t="s">
        <v>34</v>
      </c>
      <c r="E4499" s="1" t="s">
        <v>28</v>
      </c>
      <c r="F4499" s="1" t="n">
        <v>2</v>
      </c>
      <c r="G4499" s="15" t="n">
        <v>59.79</v>
      </c>
      <c r="H4499" s="16" t="n">
        <v>0.33</v>
      </c>
      <c r="I4499" s="1" t="s">
        <v>33</v>
      </c>
      <c r="J4499" s="1" t="n">
        <v>2</v>
      </c>
      <c r="K4499" s="1" t="n">
        <v>2.5</v>
      </c>
      <c r="L4499" s="15" t="n">
        <v>80.12</v>
      </c>
      <c r="M4499" s="15" t="n">
        <f aca="false">F4499*G4499</f>
        <v>119.58</v>
      </c>
      <c r="N4499" s="15" t="n">
        <f aca="false">M4499-L4499</f>
        <v>39.46</v>
      </c>
      <c r="O4499" s="1" t="n">
        <f aca="false">YEAR(B4499)</f>
        <v>2034</v>
      </c>
      <c r="P4499" s="1" t="n">
        <f aca="false">MONTH(B4499)</f>
        <v>4</v>
      </c>
      <c r="Q4499" s="1" t="str">
        <f aca="false">TEXT(B4499,"mmm")</f>
        <v>Apr</v>
      </c>
      <c r="R4499" s="1" t="str">
        <f aca="false">"Q"&amp;ROUNDUP(MONTH(B4499)/3,0)</f>
        <v>Q2</v>
      </c>
    </row>
    <row r="4500" customFormat="false" ht="15" hidden="false" customHeight="true" outlineLevel="0" collapsed="false">
      <c r="A4500" s="1" t="n">
        <v>14499</v>
      </c>
      <c r="B4500" s="14" t="n">
        <v>49060</v>
      </c>
      <c r="C4500" s="1" t="n">
        <v>1182</v>
      </c>
      <c r="D4500" s="1" t="s">
        <v>30</v>
      </c>
      <c r="E4500" s="1" t="s">
        <v>35</v>
      </c>
      <c r="F4500" s="1" t="n">
        <v>7</v>
      </c>
      <c r="G4500" s="15" t="n">
        <v>553.14</v>
      </c>
      <c r="H4500" s="16" t="n">
        <v>0.05</v>
      </c>
      <c r="I4500" s="1" t="s">
        <v>31</v>
      </c>
      <c r="J4500" s="1" t="n">
        <v>3</v>
      </c>
      <c r="K4500" s="1" t="n">
        <v>3.7</v>
      </c>
      <c r="L4500" s="15" t="n">
        <v>3678.38</v>
      </c>
      <c r="M4500" s="15" t="n">
        <f aca="false">F4500*G4500</f>
        <v>3871.98</v>
      </c>
      <c r="N4500" s="15" t="n">
        <f aca="false">M4500-L4500</f>
        <v>193.6</v>
      </c>
      <c r="O4500" s="1" t="n">
        <f aca="false">YEAR(B4500)</f>
        <v>2034</v>
      </c>
      <c r="P4500" s="1" t="n">
        <f aca="false">MONTH(B4500)</f>
        <v>4</v>
      </c>
      <c r="Q4500" s="1" t="str">
        <f aca="false">TEXT(B4500,"mmm")</f>
        <v>Apr</v>
      </c>
      <c r="R4500" s="1" t="str">
        <f aca="false">"Q"&amp;ROUNDUP(MONTH(B4500)/3,0)</f>
        <v>Q2</v>
      </c>
    </row>
    <row r="4501" customFormat="false" ht="15" hidden="false" customHeight="true" outlineLevel="0" collapsed="false">
      <c r="A4501" s="1" t="n">
        <v>14500</v>
      </c>
      <c r="B4501" s="14" t="n">
        <v>49061</v>
      </c>
      <c r="C4501" s="1" t="n">
        <v>1040</v>
      </c>
      <c r="D4501" s="1" t="s">
        <v>34</v>
      </c>
      <c r="E4501" s="1" t="s">
        <v>28</v>
      </c>
      <c r="F4501" s="1" t="n">
        <v>1</v>
      </c>
      <c r="G4501" s="15" t="n">
        <v>325.29</v>
      </c>
      <c r="H4501" s="16" t="n">
        <v>0.35</v>
      </c>
      <c r="I4501" s="1" t="s">
        <v>33</v>
      </c>
      <c r="J4501" s="1" t="n">
        <v>8</v>
      </c>
      <c r="K4501" s="1" t="n">
        <v>3.5</v>
      </c>
      <c r="L4501" s="15" t="n">
        <v>211.44</v>
      </c>
      <c r="M4501" s="15" t="n">
        <f aca="false">F4501*G4501</f>
        <v>325.29</v>
      </c>
      <c r="N4501" s="15" t="n">
        <f aca="false">M4501-L4501</f>
        <v>113.85</v>
      </c>
      <c r="O4501" s="1" t="n">
        <f aca="false">YEAR(B4501)</f>
        <v>2034</v>
      </c>
      <c r="P4501" s="1" t="n">
        <f aca="false">MONTH(B4501)</f>
        <v>4</v>
      </c>
      <c r="Q4501" s="1" t="str">
        <f aca="false">TEXT(B4501,"mmm")</f>
        <v>Apr</v>
      </c>
      <c r="R4501" s="1" t="str">
        <f aca="false">"Q"&amp;ROUNDUP(MONTH(B4501)/3,0)</f>
        <v>Q2</v>
      </c>
    </row>
    <row r="4502" customFormat="false" ht="15" hidden="false" customHeight="true" outlineLevel="0" collapsed="false">
      <c r="A4502" s="1" t="n">
        <v>14501</v>
      </c>
      <c r="B4502" s="14" t="n">
        <v>49062</v>
      </c>
      <c r="C4502" s="1" t="n">
        <v>1550</v>
      </c>
      <c r="D4502" s="1" t="s">
        <v>34</v>
      </c>
      <c r="E4502" s="1" t="s">
        <v>35</v>
      </c>
      <c r="F4502" s="1" t="n">
        <v>5</v>
      </c>
      <c r="G4502" s="15" t="n">
        <v>247.09</v>
      </c>
      <c r="H4502" s="16" t="n">
        <v>0.23</v>
      </c>
      <c r="I4502" s="1" t="s">
        <v>33</v>
      </c>
      <c r="J4502" s="1" t="n">
        <v>11</v>
      </c>
      <c r="K4502" s="1" t="n">
        <v>2.3</v>
      </c>
      <c r="L4502" s="15" t="n">
        <v>951.3</v>
      </c>
      <c r="M4502" s="15" t="n">
        <f aca="false">F4502*G4502</f>
        <v>1235.45</v>
      </c>
      <c r="N4502" s="15" t="n">
        <f aca="false">M4502-L4502</f>
        <v>284.15</v>
      </c>
      <c r="O4502" s="1" t="n">
        <f aca="false">YEAR(B4502)</f>
        <v>2034</v>
      </c>
      <c r="P4502" s="1" t="n">
        <f aca="false">MONTH(B4502)</f>
        <v>4</v>
      </c>
      <c r="Q4502" s="1" t="str">
        <f aca="false">TEXT(B4502,"mmm")</f>
        <v>Apr</v>
      </c>
      <c r="R4502" s="1" t="str">
        <f aca="false">"Q"&amp;ROUNDUP(MONTH(B4502)/3,0)</f>
        <v>Q2</v>
      </c>
    </row>
    <row r="4503" customFormat="false" ht="15" hidden="false" customHeight="true" outlineLevel="0" collapsed="false">
      <c r="A4503" s="1" t="n">
        <v>14502</v>
      </c>
      <c r="B4503" s="14" t="n">
        <v>49063</v>
      </c>
      <c r="C4503" s="1" t="n">
        <v>1396</v>
      </c>
      <c r="D4503" s="1" t="s">
        <v>30</v>
      </c>
      <c r="E4503" s="1" t="s">
        <v>32</v>
      </c>
      <c r="F4503" s="1" t="n">
        <v>7</v>
      </c>
      <c r="G4503" s="15" t="n">
        <v>327.99</v>
      </c>
      <c r="H4503" s="16" t="n">
        <v>0.2</v>
      </c>
      <c r="I4503" s="1" t="s">
        <v>31</v>
      </c>
      <c r="J4503" s="1" t="n">
        <v>4</v>
      </c>
      <c r="K4503" s="1" t="n">
        <v>4.9</v>
      </c>
      <c r="L4503" s="15" t="n">
        <v>1836.74</v>
      </c>
      <c r="M4503" s="15" t="n">
        <f aca="false">F4503*G4503</f>
        <v>2295.93</v>
      </c>
      <c r="N4503" s="15" t="n">
        <f aca="false">M4503-L4503</f>
        <v>459.19</v>
      </c>
      <c r="O4503" s="1" t="n">
        <f aca="false">YEAR(B4503)</f>
        <v>2034</v>
      </c>
      <c r="P4503" s="1" t="n">
        <f aca="false">MONTH(B4503)</f>
        <v>4</v>
      </c>
      <c r="Q4503" s="1" t="str">
        <f aca="false">TEXT(B4503,"mmm")</f>
        <v>Apr</v>
      </c>
      <c r="R4503" s="1" t="str">
        <f aca="false">"Q"&amp;ROUNDUP(MONTH(B4503)/3,0)</f>
        <v>Q2</v>
      </c>
    </row>
    <row r="4504" customFormat="false" ht="15" hidden="false" customHeight="true" outlineLevel="0" collapsed="false">
      <c r="A4504" s="1" t="n">
        <v>14503</v>
      </c>
      <c r="B4504" s="14" t="n">
        <v>49064</v>
      </c>
      <c r="C4504" s="1" t="n">
        <v>1703</v>
      </c>
      <c r="D4504" s="1" t="s">
        <v>30</v>
      </c>
      <c r="E4504" s="1" t="s">
        <v>35</v>
      </c>
      <c r="F4504" s="1" t="n">
        <v>5</v>
      </c>
      <c r="G4504" s="15" t="n">
        <v>382.55</v>
      </c>
      <c r="H4504" s="16" t="n">
        <v>0.18</v>
      </c>
      <c r="I4504" s="1" t="s">
        <v>29</v>
      </c>
      <c r="J4504" s="1" t="n">
        <v>9</v>
      </c>
      <c r="K4504" s="1" t="n">
        <v>2.4</v>
      </c>
      <c r="L4504" s="15" t="n">
        <v>1568.46</v>
      </c>
      <c r="M4504" s="15" t="n">
        <f aca="false">F4504*G4504</f>
        <v>1912.75</v>
      </c>
      <c r="N4504" s="15" t="n">
        <f aca="false">M4504-L4504</f>
        <v>344.29</v>
      </c>
      <c r="O4504" s="1" t="n">
        <f aca="false">YEAR(B4504)</f>
        <v>2034</v>
      </c>
      <c r="P4504" s="1" t="n">
        <f aca="false">MONTH(B4504)</f>
        <v>4</v>
      </c>
      <c r="Q4504" s="1" t="str">
        <f aca="false">TEXT(B4504,"mmm")</f>
        <v>Apr</v>
      </c>
      <c r="R4504" s="1" t="str">
        <f aca="false">"Q"&amp;ROUNDUP(MONTH(B4504)/3,0)</f>
        <v>Q2</v>
      </c>
    </row>
    <row r="4505" customFormat="false" ht="15" hidden="false" customHeight="true" outlineLevel="0" collapsed="false">
      <c r="A4505" s="1" t="n">
        <v>14504</v>
      </c>
      <c r="B4505" s="14" t="n">
        <v>49065</v>
      </c>
      <c r="C4505" s="1" t="n">
        <v>1778</v>
      </c>
      <c r="D4505" s="1" t="s">
        <v>30</v>
      </c>
      <c r="E4505" s="1" t="s">
        <v>36</v>
      </c>
      <c r="F4505" s="1" t="n">
        <v>1</v>
      </c>
      <c r="G4505" s="15" t="n">
        <v>554.3</v>
      </c>
      <c r="H4505" s="16" t="n">
        <v>0.01</v>
      </c>
      <c r="I4505" s="1" t="s">
        <v>31</v>
      </c>
      <c r="J4505" s="1" t="n">
        <v>10</v>
      </c>
      <c r="K4505" s="1" t="n">
        <v>3.5</v>
      </c>
      <c r="L4505" s="15" t="n">
        <v>548.76</v>
      </c>
      <c r="M4505" s="15" t="n">
        <f aca="false">F4505*G4505</f>
        <v>554.3</v>
      </c>
      <c r="N4505" s="15" t="n">
        <f aca="false">M4505-L4505</f>
        <v>5.53999999999996</v>
      </c>
      <c r="O4505" s="1" t="n">
        <f aca="false">YEAR(B4505)</f>
        <v>2034</v>
      </c>
      <c r="P4505" s="1" t="n">
        <f aca="false">MONTH(B4505)</f>
        <v>5</v>
      </c>
      <c r="Q4505" s="1" t="str">
        <f aca="false">TEXT(B4505,"mmm")</f>
        <v>May</v>
      </c>
      <c r="R4505" s="1" t="str">
        <f aca="false">"Q"&amp;ROUNDUP(MONTH(B4505)/3,0)</f>
        <v>Q2</v>
      </c>
    </row>
    <row r="4506" customFormat="false" ht="15" hidden="false" customHeight="true" outlineLevel="0" collapsed="false">
      <c r="A4506" s="1" t="n">
        <v>14505</v>
      </c>
      <c r="B4506" s="14" t="n">
        <v>49066</v>
      </c>
      <c r="C4506" s="1" t="n">
        <v>1493</v>
      </c>
      <c r="D4506" s="1" t="s">
        <v>34</v>
      </c>
      <c r="E4506" s="1" t="s">
        <v>28</v>
      </c>
      <c r="F4506" s="1" t="n">
        <v>1</v>
      </c>
      <c r="G4506" s="15" t="n">
        <v>119.54</v>
      </c>
      <c r="H4506" s="16" t="n">
        <v>0.33</v>
      </c>
      <c r="I4506" s="1" t="s">
        <v>33</v>
      </c>
      <c r="J4506" s="1" t="n">
        <v>10</v>
      </c>
      <c r="K4506" s="1" t="n">
        <v>4.3</v>
      </c>
      <c r="L4506" s="15" t="n">
        <v>80.09</v>
      </c>
      <c r="M4506" s="15" t="n">
        <f aca="false">F4506*G4506</f>
        <v>119.54</v>
      </c>
      <c r="N4506" s="15" t="n">
        <f aca="false">M4506-L4506</f>
        <v>39.45</v>
      </c>
      <c r="O4506" s="1" t="n">
        <f aca="false">YEAR(B4506)</f>
        <v>2034</v>
      </c>
      <c r="P4506" s="1" t="n">
        <f aca="false">MONTH(B4506)</f>
        <v>5</v>
      </c>
      <c r="Q4506" s="1" t="str">
        <f aca="false">TEXT(B4506,"mmm")</f>
        <v>May</v>
      </c>
      <c r="R4506" s="1" t="str">
        <f aca="false">"Q"&amp;ROUNDUP(MONTH(B4506)/3,0)</f>
        <v>Q2</v>
      </c>
    </row>
    <row r="4507" customFormat="false" ht="15" hidden="false" customHeight="true" outlineLevel="0" collapsed="false">
      <c r="A4507" s="1" t="n">
        <v>14506</v>
      </c>
      <c r="B4507" s="14" t="n">
        <v>49067</v>
      </c>
      <c r="C4507" s="1" t="n">
        <v>1658</v>
      </c>
      <c r="D4507" s="1" t="s">
        <v>30</v>
      </c>
      <c r="E4507" s="1" t="s">
        <v>36</v>
      </c>
      <c r="F4507" s="1" t="n">
        <v>2</v>
      </c>
      <c r="G4507" s="15" t="n">
        <v>187.9</v>
      </c>
      <c r="H4507" s="16" t="n">
        <v>0.23</v>
      </c>
      <c r="I4507" s="1" t="s">
        <v>31</v>
      </c>
      <c r="J4507" s="1" t="n">
        <v>10</v>
      </c>
      <c r="K4507" s="1" t="n">
        <v>1.6</v>
      </c>
      <c r="L4507" s="15" t="n">
        <v>289.37</v>
      </c>
      <c r="M4507" s="15" t="n">
        <f aca="false">F4507*G4507</f>
        <v>375.8</v>
      </c>
      <c r="N4507" s="15" t="n">
        <f aca="false">M4507-L4507</f>
        <v>86.43</v>
      </c>
      <c r="O4507" s="1" t="n">
        <f aca="false">YEAR(B4507)</f>
        <v>2034</v>
      </c>
      <c r="P4507" s="1" t="n">
        <f aca="false">MONTH(B4507)</f>
        <v>5</v>
      </c>
      <c r="Q4507" s="1" t="str">
        <f aca="false">TEXT(B4507,"mmm")</f>
        <v>May</v>
      </c>
      <c r="R4507" s="1" t="str">
        <f aca="false">"Q"&amp;ROUNDUP(MONTH(B4507)/3,0)</f>
        <v>Q2</v>
      </c>
    </row>
    <row r="4508" customFormat="false" ht="15" hidden="false" customHeight="true" outlineLevel="0" collapsed="false">
      <c r="A4508" s="1" t="n">
        <v>14507</v>
      </c>
      <c r="B4508" s="14" t="n">
        <v>49068</v>
      </c>
      <c r="C4508" s="1" t="n">
        <v>1906</v>
      </c>
      <c r="D4508" s="1" t="s">
        <v>34</v>
      </c>
      <c r="E4508" s="1" t="s">
        <v>28</v>
      </c>
      <c r="F4508" s="1" t="n">
        <v>2</v>
      </c>
      <c r="G4508" s="15" t="n">
        <v>585.84</v>
      </c>
      <c r="H4508" s="16" t="n">
        <v>0.03</v>
      </c>
      <c r="I4508" s="1" t="s">
        <v>33</v>
      </c>
      <c r="J4508" s="1" t="n">
        <v>10</v>
      </c>
      <c r="K4508" s="1" t="n">
        <v>2.2</v>
      </c>
      <c r="L4508" s="15" t="n">
        <v>1136.53</v>
      </c>
      <c r="M4508" s="15" t="n">
        <f aca="false">F4508*G4508</f>
        <v>1171.68</v>
      </c>
      <c r="N4508" s="15" t="n">
        <f aca="false">M4508-L4508</f>
        <v>35.1500000000001</v>
      </c>
      <c r="O4508" s="1" t="n">
        <f aca="false">YEAR(B4508)</f>
        <v>2034</v>
      </c>
      <c r="P4508" s="1" t="n">
        <f aca="false">MONTH(B4508)</f>
        <v>5</v>
      </c>
      <c r="Q4508" s="1" t="str">
        <f aca="false">TEXT(B4508,"mmm")</f>
        <v>May</v>
      </c>
      <c r="R4508" s="1" t="str">
        <f aca="false">"Q"&amp;ROUNDUP(MONTH(B4508)/3,0)</f>
        <v>Q2</v>
      </c>
    </row>
    <row r="4509" customFormat="false" ht="15" hidden="false" customHeight="true" outlineLevel="0" collapsed="false">
      <c r="A4509" s="1" t="n">
        <v>14508</v>
      </c>
      <c r="B4509" s="14" t="n">
        <v>49069</v>
      </c>
      <c r="C4509" s="1" t="n">
        <v>1332</v>
      </c>
      <c r="D4509" s="1" t="s">
        <v>30</v>
      </c>
      <c r="E4509" s="1" t="s">
        <v>28</v>
      </c>
      <c r="F4509" s="1" t="n">
        <v>2</v>
      </c>
      <c r="G4509" s="15" t="n">
        <v>232.15</v>
      </c>
      <c r="H4509" s="16" t="n">
        <v>0.01</v>
      </c>
      <c r="I4509" s="1" t="s">
        <v>33</v>
      </c>
      <c r="J4509" s="1" t="n">
        <v>9</v>
      </c>
      <c r="K4509" s="1" t="n">
        <v>1.8</v>
      </c>
      <c r="L4509" s="15" t="n">
        <v>459.66</v>
      </c>
      <c r="M4509" s="15" t="n">
        <f aca="false">F4509*G4509</f>
        <v>464.3</v>
      </c>
      <c r="N4509" s="15" t="n">
        <f aca="false">M4509-L4509</f>
        <v>4.63999999999999</v>
      </c>
      <c r="O4509" s="1" t="n">
        <f aca="false">YEAR(B4509)</f>
        <v>2034</v>
      </c>
      <c r="P4509" s="1" t="n">
        <f aca="false">MONTH(B4509)</f>
        <v>5</v>
      </c>
      <c r="Q4509" s="1" t="str">
        <f aca="false">TEXT(B4509,"mmm")</f>
        <v>May</v>
      </c>
      <c r="R4509" s="1" t="str">
        <f aca="false">"Q"&amp;ROUNDUP(MONTH(B4509)/3,0)</f>
        <v>Q2</v>
      </c>
    </row>
    <row r="4510" customFormat="false" ht="15" hidden="false" customHeight="true" outlineLevel="0" collapsed="false">
      <c r="A4510" s="1" t="n">
        <v>14509</v>
      </c>
      <c r="B4510" s="14" t="n">
        <v>49070</v>
      </c>
      <c r="C4510" s="1" t="n">
        <v>1126</v>
      </c>
      <c r="D4510" s="1" t="s">
        <v>30</v>
      </c>
      <c r="E4510" s="1" t="s">
        <v>35</v>
      </c>
      <c r="F4510" s="1" t="n">
        <v>4</v>
      </c>
      <c r="G4510" s="15" t="n">
        <v>28.2</v>
      </c>
      <c r="H4510" s="16" t="n">
        <v>0.02</v>
      </c>
      <c r="I4510" s="1" t="s">
        <v>31</v>
      </c>
      <c r="J4510" s="1" t="n">
        <v>10</v>
      </c>
      <c r="K4510" s="1" t="n">
        <v>4.1</v>
      </c>
      <c r="L4510" s="15" t="n">
        <v>110.54</v>
      </c>
      <c r="M4510" s="15" t="n">
        <f aca="false">F4510*G4510</f>
        <v>112.8</v>
      </c>
      <c r="N4510" s="15" t="n">
        <f aca="false">M4510-L4510</f>
        <v>2.25999999999999</v>
      </c>
      <c r="O4510" s="1" t="n">
        <f aca="false">YEAR(B4510)</f>
        <v>2034</v>
      </c>
      <c r="P4510" s="1" t="n">
        <f aca="false">MONTH(B4510)</f>
        <v>5</v>
      </c>
      <c r="Q4510" s="1" t="str">
        <f aca="false">TEXT(B4510,"mmm")</f>
        <v>May</v>
      </c>
      <c r="R4510" s="1" t="str">
        <f aca="false">"Q"&amp;ROUNDUP(MONTH(B4510)/3,0)</f>
        <v>Q2</v>
      </c>
    </row>
    <row r="4511" customFormat="false" ht="15" hidden="false" customHeight="true" outlineLevel="0" collapsed="false">
      <c r="A4511" s="1" t="n">
        <v>14510</v>
      </c>
      <c r="B4511" s="14" t="n">
        <v>49071</v>
      </c>
      <c r="C4511" s="1" t="n">
        <v>1557</v>
      </c>
      <c r="D4511" s="1" t="s">
        <v>30</v>
      </c>
      <c r="E4511" s="1" t="s">
        <v>32</v>
      </c>
      <c r="F4511" s="1" t="n">
        <v>5</v>
      </c>
      <c r="G4511" s="15" t="n">
        <v>101.37</v>
      </c>
      <c r="H4511" s="16" t="n">
        <v>0.21</v>
      </c>
      <c r="I4511" s="1" t="s">
        <v>33</v>
      </c>
      <c r="J4511" s="1" t="n">
        <v>9</v>
      </c>
      <c r="K4511" s="1" t="n">
        <v>4.2</v>
      </c>
      <c r="L4511" s="15" t="n">
        <v>400.41</v>
      </c>
      <c r="M4511" s="15" t="n">
        <f aca="false">F4511*G4511</f>
        <v>506.85</v>
      </c>
      <c r="N4511" s="15" t="n">
        <f aca="false">M4511-L4511</f>
        <v>106.44</v>
      </c>
      <c r="O4511" s="1" t="n">
        <f aca="false">YEAR(B4511)</f>
        <v>2034</v>
      </c>
      <c r="P4511" s="1" t="n">
        <f aca="false">MONTH(B4511)</f>
        <v>5</v>
      </c>
      <c r="Q4511" s="1" t="str">
        <f aca="false">TEXT(B4511,"mmm")</f>
        <v>May</v>
      </c>
      <c r="R4511" s="1" t="str">
        <f aca="false">"Q"&amp;ROUNDUP(MONTH(B4511)/3,0)</f>
        <v>Q2</v>
      </c>
    </row>
    <row r="4512" customFormat="false" ht="15" hidden="false" customHeight="true" outlineLevel="0" collapsed="false">
      <c r="A4512" s="1" t="n">
        <v>14511</v>
      </c>
      <c r="B4512" s="14" t="n">
        <v>49072</v>
      </c>
      <c r="C4512" s="1" t="n">
        <v>1556</v>
      </c>
      <c r="D4512" s="1" t="s">
        <v>37</v>
      </c>
      <c r="E4512" s="1" t="s">
        <v>32</v>
      </c>
      <c r="F4512" s="1" t="n">
        <v>6</v>
      </c>
      <c r="G4512" s="15" t="n">
        <v>30.41</v>
      </c>
      <c r="H4512" s="16" t="n">
        <v>0.21</v>
      </c>
      <c r="I4512" s="1" t="s">
        <v>33</v>
      </c>
      <c r="J4512" s="1" t="n">
        <v>1</v>
      </c>
      <c r="K4512" s="1" t="n">
        <v>2</v>
      </c>
      <c r="L4512" s="15" t="n">
        <v>144.14</v>
      </c>
      <c r="M4512" s="15" t="n">
        <f aca="false">F4512*G4512</f>
        <v>182.46</v>
      </c>
      <c r="N4512" s="15" t="n">
        <f aca="false">M4512-L4512</f>
        <v>38.32</v>
      </c>
      <c r="O4512" s="1" t="n">
        <f aca="false">YEAR(B4512)</f>
        <v>2034</v>
      </c>
      <c r="P4512" s="1" t="n">
        <f aca="false">MONTH(B4512)</f>
        <v>5</v>
      </c>
      <c r="Q4512" s="1" t="str">
        <f aca="false">TEXT(B4512,"mmm")</f>
        <v>May</v>
      </c>
      <c r="R4512" s="1" t="str">
        <f aca="false">"Q"&amp;ROUNDUP(MONTH(B4512)/3,0)</f>
        <v>Q2</v>
      </c>
    </row>
    <row r="4513" customFormat="false" ht="15" hidden="false" customHeight="true" outlineLevel="0" collapsed="false">
      <c r="A4513" s="1" t="n">
        <v>14512</v>
      </c>
      <c r="B4513" s="14" t="n">
        <v>49073</v>
      </c>
      <c r="C4513" s="1" t="n">
        <v>1000</v>
      </c>
      <c r="D4513" s="1" t="s">
        <v>34</v>
      </c>
      <c r="E4513" s="1" t="s">
        <v>36</v>
      </c>
      <c r="F4513" s="1" t="n">
        <v>1</v>
      </c>
      <c r="G4513" s="15" t="n">
        <v>594.11</v>
      </c>
      <c r="H4513" s="16" t="n">
        <v>0.17</v>
      </c>
      <c r="I4513" s="1" t="s">
        <v>33</v>
      </c>
      <c r="J4513" s="1" t="n">
        <v>6</v>
      </c>
      <c r="K4513" s="1" t="n">
        <v>1</v>
      </c>
      <c r="L4513" s="15" t="n">
        <v>493.11</v>
      </c>
      <c r="M4513" s="15" t="n">
        <f aca="false">F4513*G4513</f>
        <v>594.11</v>
      </c>
      <c r="N4513" s="15" t="n">
        <f aca="false">M4513-L4513</f>
        <v>101</v>
      </c>
      <c r="O4513" s="1" t="n">
        <f aca="false">YEAR(B4513)</f>
        <v>2034</v>
      </c>
      <c r="P4513" s="1" t="n">
        <f aca="false">MONTH(B4513)</f>
        <v>5</v>
      </c>
      <c r="Q4513" s="1" t="str">
        <f aca="false">TEXT(B4513,"mmm")</f>
        <v>May</v>
      </c>
      <c r="R4513" s="1" t="str">
        <f aca="false">"Q"&amp;ROUNDUP(MONTH(B4513)/3,0)</f>
        <v>Q2</v>
      </c>
    </row>
    <row r="4514" customFormat="false" ht="15" hidden="false" customHeight="true" outlineLevel="0" collapsed="false">
      <c r="A4514" s="1" t="n">
        <v>14513</v>
      </c>
      <c r="B4514" s="14" t="n">
        <v>49074</v>
      </c>
      <c r="C4514" s="1" t="n">
        <v>1167</v>
      </c>
      <c r="D4514" s="1" t="s">
        <v>37</v>
      </c>
      <c r="E4514" s="1" t="s">
        <v>35</v>
      </c>
      <c r="F4514" s="1" t="n">
        <v>5</v>
      </c>
      <c r="G4514" s="15" t="n">
        <v>178.14</v>
      </c>
      <c r="H4514" s="16" t="n">
        <v>0.11</v>
      </c>
      <c r="I4514" s="1" t="s">
        <v>31</v>
      </c>
      <c r="J4514" s="1" t="n">
        <v>10</v>
      </c>
      <c r="K4514" s="1" t="n">
        <v>2.7</v>
      </c>
      <c r="L4514" s="15" t="n">
        <v>792.72</v>
      </c>
      <c r="M4514" s="15" t="n">
        <f aca="false">F4514*G4514</f>
        <v>890.7</v>
      </c>
      <c r="N4514" s="15" t="n">
        <f aca="false">M4514-L4514</f>
        <v>97.9799999999999</v>
      </c>
      <c r="O4514" s="1" t="n">
        <f aca="false">YEAR(B4514)</f>
        <v>2034</v>
      </c>
      <c r="P4514" s="1" t="n">
        <f aca="false">MONTH(B4514)</f>
        <v>5</v>
      </c>
      <c r="Q4514" s="1" t="str">
        <f aca="false">TEXT(B4514,"mmm")</f>
        <v>May</v>
      </c>
      <c r="R4514" s="1" t="str">
        <f aca="false">"Q"&amp;ROUNDUP(MONTH(B4514)/3,0)</f>
        <v>Q2</v>
      </c>
    </row>
    <row r="4515" customFormat="false" ht="15" hidden="false" customHeight="true" outlineLevel="0" collapsed="false">
      <c r="A4515" s="1" t="n">
        <v>14514</v>
      </c>
      <c r="B4515" s="14" t="n">
        <v>49075</v>
      </c>
      <c r="C4515" s="1" t="n">
        <v>1619</v>
      </c>
      <c r="D4515" s="1" t="s">
        <v>30</v>
      </c>
      <c r="E4515" s="1" t="s">
        <v>32</v>
      </c>
      <c r="F4515" s="1" t="n">
        <v>7</v>
      </c>
      <c r="G4515" s="15" t="n">
        <v>555.27</v>
      </c>
      <c r="H4515" s="16" t="n">
        <v>0.19</v>
      </c>
      <c r="I4515" s="1" t="s">
        <v>31</v>
      </c>
      <c r="J4515" s="1" t="n">
        <v>6</v>
      </c>
      <c r="K4515" s="1" t="n">
        <v>3.7</v>
      </c>
      <c r="L4515" s="15" t="n">
        <v>3148.38</v>
      </c>
      <c r="M4515" s="15" t="n">
        <f aca="false">F4515*G4515</f>
        <v>3886.89</v>
      </c>
      <c r="N4515" s="15" t="n">
        <f aca="false">M4515-L4515</f>
        <v>738.51</v>
      </c>
      <c r="O4515" s="1" t="n">
        <f aca="false">YEAR(B4515)</f>
        <v>2034</v>
      </c>
      <c r="P4515" s="1" t="n">
        <f aca="false">MONTH(B4515)</f>
        <v>5</v>
      </c>
      <c r="Q4515" s="1" t="str">
        <f aca="false">TEXT(B4515,"mmm")</f>
        <v>May</v>
      </c>
      <c r="R4515" s="1" t="str">
        <f aca="false">"Q"&amp;ROUNDUP(MONTH(B4515)/3,0)</f>
        <v>Q2</v>
      </c>
    </row>
    <row r="4516" customFormat="false" ht="15" hidden="false" customHeight="true" outlineLevel="0" collapsed="false">
      <c r="A4516" s="1" t="n">
        <v>14515</v>
      </c>
      <c r="B4516" s="14" t="n">
        <v>49076</v>
      </c>
      <c r="C4516" s="1" t="n">
        <v>1018</v>
      </c>
      <c r="D4516" s="1" t="s">
        <v>30</v>
      </c>
      <c r="E4516" s="1" t="s">
        <v>28</v>
      </c>
      <c r="F4516" s="1" t="n">
        <v>5</v>
      </c>
      <c r="G4516" s="15" t="n">
        <v>597.59</v>
      </c>
      <c r="H4516" s="16" t="n">
        <v>0.18</v>
      </c>
      <c r="I4516" s="1" t="s">
        <v>33</v>
      </c>
      <c r="J4516" s="1" t="n">
        <v>8</v>
      </c>
      <c r="K4516" s="1" t="n">
        <v>3.5</v>
      </c>
      <c r="L4516" s="15" t="n">
        <v>2450.12</v>
      </c>
      <c r="M4516" s="15" t="n">
        <f aca="false">F4516*G4516</f>
        <v>2987.95</v>
      </c>
      <c r="N4516" s="15" t="n">
        <f aca="false">M4516-L4516</f>
        <v>537.83</v>
      </c>
      <c r="O4516" s="1" t="n">
        <f aca="false">YEAR(B4516)</f>
        <v>2034</v>
      </c>
      <c r="P4516" s="1" t="n">
        <f aca="false">MONTH(B4516)</f>
        <v>5</v>
      </c>
      <c r="Q4516" s="1" t="str">
        <f aca="false">TEXT(B4516,"mmm")</f>
        <v>May</v>
      </c>
      <c r="R4516" s="1" t="str">
        <f aca="false">"Q"&amp;ROUNDUP(MONTH(B4516)/3,0)</f>
        <v>Q2</v>
      </c>
    </row>
    <row r="4517" customFormat="false" ht="15" hidden="false" customHeight="true" outlineLevel="0" collapsed="false">
      <c r="A4517" s="1" t="n">
        <v>14516</v>
      </c>
      <c r="B4517" s="14" t="n">
        <v>49077</v>
      </c>
      <c r="C4517" s="1" t="n">
        <v>1331</v>
      </c>
      <c r="D4517" s="1" t="s">
        <v>30</v>
      </c>
      <c r="E4517" s="1" t="s">
        <v>28</v>
      </c>
      <c r="F4517" s="1" t="n">
        <v>2</v>
      </c>
      <c r="G4517" s="15" t="n">
        <v>365.91</v>
      </c>
      <c r="H4517" s="16" t="n">
        <v>0.01</v>
      </c>
      <c r="I4517" s="1" t="s">
        <v>31</v>
      </c>
      <c r="J4517" s="1" t="n">
        <v>7</v>
      </c>
      <c r="K4517" s="1" t="n">
        <v>2.8</v>
      </c>
      <c r="L4517" s="15" t="n">
        <v>724.5</v>
      </c>
      <c r="M4517" s="15" t="n">
        <f aca="false">F4517*G4517</f>
        <v>731.82</v>
      </c>
      <c r="N4517" s="15" t="n">
        <f aca="false">M4517-L4517</f>
        <v>7.32000000000005</v>
      </c>
      <c r="O4517" s="1" t="n">
        <f aca="false">YEAR(B4517)</f>
        <v>2034</v>
      </c>
      <c r="P4517" s="1" t="n">
        <f aca="false">MONTH(B4517)</f>
        <v>5</v>
      </c>
      <c r="Q4517" s="1" t="str">
        <f aca="false">TEXT(B4517,"mmm")</f>
        <v>May</v>
      </c>
      <c r="R4517" s="1" t="str">
        <f aca="false">"Q"&amp;ROUNDUP(MONTH(B4517)/3,0)</f>
        <v>Q2</v>
      </c>
    </row>
    <row r="4518" customFormat="false" ht="15" hidden="false" customHeight="true" outlineLevel="0" collapsed="false">
      <c r="A4518" s="1" t="n">
        <v>14517</v>
      </c>
      <c r="B4518" s="14" t="n">
        <v>49078</v>
      </c>
      <c r="C4518" s="1" t="n">
        <v>1583</v>
      </c>
      <c r="D4518" s="1" t="s">
        <v>34</v>
      </c>
      <c r="E4518" s="1" t="s">
        <v>35</v>
      </c>
      <c r="F4518" s="1" t="n">
        <v>2</v>
      </c>
      <c r="G4518" s="15" t="n">
        <v>34.42</v>
      </c>
      <c r="H4518" s="16" t="n">
        <v>0.1</v>
      </c>
      <c r="I4518" s="1" t="s">
        <v>33</v>
      </c>
      <c r="J4518" s="1" t="n">
        <v>7</v>
      </c>
      <c r="K4518" s="1" t="n">
        <v>2.2</v>
      </c>
      <c r="L4518" s="15" t="n">
        <v>61.96</v>
      </c>
      <c r="M4518" s="15" t="n">
        <f aca="false">F4518*G4518</f>
        <v>68.84</v>
      </c>
      <c r="N4518" s="15" t="n">
        <f aca="false">M4518-L4518</f>
        <v>6.88</v>
      </c>
      <c r="O4518" s="1" t="n">
        <f aca="false">YEAR(B4518)</f>
        <v>2034</v>
      </c>
      <c r="P4518" s="1" t="n">
        <f aca="false">MONTH(B4518)</f>
        <v>5</v>
      </c>
      <c r="Q4518" s="1" t="str">
        <f aca="false">TEXT(B4518,"mmm")</f>
        <v>May</v>
      </c>
      <c r="R4518" s="1" t="str">
        <f aca="false">"Q"&amp;ROUNDUP(MONTH(B4518)/3,0)</f>
        <v>Q2</v>
      </c>
    </row>
    <row r="4519" customFormat="false" ht="15" hidden="false" customHeight="true" outlineLevel="0" collapsed="false">
      <c r="A4519" s="1" t="n">
        <v>14518</v>
      </c>
      <c r="B4519" s="14" t="n">
        <v>49079</v>
      </c>
      <c r="C4519" s="1" t="n">
        <v>1455</v>
      </c>
      <c r="D4519" s="1" t="s">
        <v>37</v>
      </c>
      <c r="E4519" s="1" t="s">
        <v>36</v>
      </c>
      <c r="F4519" s="1" t="n">
        <v>5</v>
      </c>
      <c r="G4519" s="15" t="n">
        <v>62.73</v>
      </c>
      <c r="H4519" s="16" t="n">
        <v>0.02</v>
      </c>
      <c r="I4519" s="1" t="s">
        <v>31</v>
      </c>
      <c r="J4519" s="1" t="n">
        <v>2</v>
      </c>
      <c r="K4519" s="1" t="n">
        <v>2.9</v>
      </c>
      <c r="L4519" s="15" t="n">
        <v>307.38</v>
      </c>
      <c r="M4519" s="15" t="n">
        <f aca="false">F4519*G4519</f>
        <v>313.65</v>
      </c>
      <c r="N4519" s="15" t="n">
        <f aca="false">M4519-L4519</f>
        <v>6.26999999999998</v>
      </c>
      <c r="O4519" s="1" t="n">
        <f aca="false">YEAR(B4519)</f>
        <v>2034</v>
      </c>
      <c r="P4519" s="1" t="n">
        <f aca="false">MONTH(B4519)</f>
        <v>5</v>
      </c>
      <c r="Q4519" s="1" t="str">
        <f aca="false">TEXT(B4519,"mmm")</f>
        <v>May</v>
      </c>
      <c r="R4519" s="1" t="str">
        <f aca="false">"Q"&amp;ROUNDUP(MONTH(B4519)/3,0)</f>
        <v>Q2</v>
      </c>
    </row>
    <row r="4520" customFormat="false" ht="15" hidden="false" customHeight="true" outlineLevel="0" collapsed="false">
      <c r="A4520" s="1" t="n">
        <v>14519</v>
      </c>
      <c r="B4520" s="14" t="n">
        <v>49080</v>
      </c>
      <c r="C4520" s="1" t="n">
        <v>1956</v>
      </c>
      <c r="D4520" s="1" t="s">
        <v>30</v>
      </c>
      <c r="E4520" s="1" t="s">
        <v>35</v>
      </c>
      <c r="F4520" s="1" t="n">
        <v>2</v>
      </c>
      <c r="G4520" s="15" t="n">
        <v>296.73</v>
      </c>
      <c r="H4520" s="16" t="n">
        <v>0.32</v>
      </c>
      <c r="I4520" s="1" t="s">
        <v>31</v>
      </c>
      <c r="J4520" s="1" t="n">
        <v>11</v>
      </c>
      <c r="K4520" s="1" t="n">
        <v>1.1</v>
      </c>
      <c r="L4520" s="15" t="n">
        <v>403.55</v>
      </c>
      <c r="M4520" s="15" t="n">
        <f aca="false">F4520*G4520</f>
        <v>593.46</v>
      </c>
      <c r="N4520" s="15" t="n">
        <f aca="false">M4520-L4520</f>
        <v>189.91</v>
      </c>
      <c r="O4520" s="1" t="n">
        <f aca="false">YEAR(B4520)</f>
        <v>2034</v>
      </c>
      <c r="P4520" s="1" t="n">
        <f aca="false">MONTH(B4520)</f>
        <v>5</v>
      </c>
      <c r="Q4520" s="1" t="str">
        <f aca="false">TEXT(B4520,"mmm")</f>
        <v>May</v>
      </c>
      <c r="R4520" s="1" t="str">
        <f aca="false">"Q"&amp;ROUNDUP(MONTH(B4520)/3,0)</f>
        <v>Q2</v>
      </c>
    </row>
    <row r="4521" customFormat="false" ht="15" hidden="false" customHeight="true" outlineLevel="0" collapsed="false">
      <c r="A4521" s="1" t="n">
        <v>14520</v>
      </c>
      <c r="B4521" s="14" t="n">
        <v>49081</v>
      </c>
      <c r="C4521" s="1" t="n">
        <v>1108</v>
      </c>
      <c r="D4521" s="1" t="s">
        <v>34</v>
      </c>
      <c r="E4521" s="1" t="s">
        <v>36</v>
      </c>
      <c r="F4521" s="1" t="n">
        <v>4</v>
      </c>
      <c r="G4521" s="15" t="n">
        <v>252.61</v>
      </c>
      <c r="H4521" s="16" t="n">
        <v>0.25</v>
      </c>
      <c r="I4521" s="1" t="s">
        <v>29</v>
      </c>
      <c r="J4521" s="1" t="n">
        <v>4</v>
      </c>
      <c r="K4521" s="1" t="n">
        <v>1.3</v>
      </c>
      <c r="L4521" s="15" t="n">
        <v>757.83</v>
      </c>
      <c r="M4521" s="15" t="n">
        <f aca="false">F4521*G4521</f>
        <v>1010.44</v>
      </c>
      <c r="N4521" s="15" t="n">
        <f aca="false">M4521-L4521</f>
        <v>252.61</v>
      </c>
      <c r="O4521" s="1" t="n">
        <f aca="false">YEAR(B4521)</f>
        <v>2034</v>
      </c>
      <c r="P4521" s="1" t="n">
        <f aca="false">MONTH(B4521)</f>
        <v>5</v>
      </c>
      <c r="Q4521" s="1" t="str">
        <f aca="false">TEXT(B4521,"mmm")</f>
        <v>May</v>
      </c>
      <c r="R4521" s="1" t="str">
        <f aca="false">"Q"&amp;ROUNDUP(MONTH(B4521)/3,0)</f>
        <v>Q2</v>
      </c>
    </row>
    <row r="4522" customFormat="false" ht="15" hidden="false" customHeight="true" outlineLevel="0" collapsed="false">
      <c r="A4522" s="1" t="n">
        <v>14521</v>
      </c>
      <c r="B4522" s="14" t="n">
        <v>49082</v>
      </c>
      <c r="C4522" s="1" t="n">
        <v>1267</v>
      </c>
      <c r="D4522" s="1" t="s">
        <v>34</v>
      </c>
      <c r="E4522" s="1" t="s">
        <v>35</v>
      </c>
      <c r="F4522" s="1" t="n">
        <v>1</v>
      </c>
      <c r="G4522" s="15" t="n">
        <v>369.61</v>
      </c>
      <c r="H4522" s="16" t="n">
        <v>0.35</v>
      </c>
      <c r="I4522" s="1" t="s">
        <v>33</v>
      </c>
      <c r="J4522" s="1" t="n">
        <v>1</v>
      </c>
      <c r="K4522" s="1" t="n">
        <v>1.7</v>
      </c>
      <c r="L4522" s="15" t="n">
        <v>240.25</v>
      </c>
      <c r="M4522" s="15" t="n">
        <f aca="false">F4522*G4522</f>
        <v>369.61</v>
      </c>
      <c r="N4522" s="15" t="n">
        <f aca="false">M4522-L4522</f>
        <v>129.36</v>
      </c>
      <c r="O4522" s="1" t="n">
        <f aca="false">YEAR(B4522)</f>
        <v>2034</v>
      </c>
      <c r="P4522" s="1" t="n">
        <f aca="false">MONTH(B4522)</f>
        <v>5</v>
      </c>
      <c r="Q4522" s="1" t="str">
        <f aca="false">TEXT(B4522,"mmm")</f>
        <v>May</v>
      </c>
      <c r="R4522" s="1" t="str">
        <f aca="false">"Q"&amp;ROUNDUP(MONTH(B4522)/3,0)</f>
        <v>Q2</v>
      </c>
    </row>
    <row r="4523" customFormat="false" ht="15" hidden="false" customHeight="true" outlineLevel="0" collapsed="false">
      <c r="A4523" s="1" t="n">
        <v>14522</v>
      </c>
      <c r="B4523" s="14" t="n">
        <v>49083</v>
      </c>
      <c r="C4523" s="1" t="n">
        <v>1444</v>
      </c>
      <c r="D4523" s="1" t="s">
        <v>34</v>
      </c>
      <c r="E4523" s="1" t="s">
        <v>28</v>
      </c>
      <c r="F4523" s="1" t="n">
        <v>7</v>
      </c>
      <c r="G4523" s="15" t="n">
        <v>271.73</v>
      </c>
      <c r="H4523" s="16" t="n">
        <v>0.11</v>
      </c>
      <c r="I4523" s="1" t="s">
        <v>33</v>
      </c>
      <c r="J4523" s="1" t="n">
        <v>11</v>
      </c>
      <c r="K4523" s="1" t="n">
        <v>3.5</v>
      </c>
      <c r="L4523" s="15" t="n">
        <v>1692.88</v>
      </c>
      <c r="M4523" s="15" t="n">
        <f aca="false">F4523*G4523</f>
        <v>1902.11</v>
      </c>
      <c r="N4523" s="15" t="n">
        <f aca="false">M4523-L4523</f>
        <v>209.23</v>
      </c>
      <c r="O4523" s="1" t="n">
        <f aca="false">YEAR(B4523)</f>
        <v>2034</v>
      </c>
      <c r="P4523" s="1" t="n">
        <f aca="false">MONTH(B4523)</f>
        <v>5</v>
      </c>
      <c r="Q4523" s="1" t="str">
        <f aca="false">TEXT(B4523,"mmm")</f>
        <v>May</v>
      </c>
      <c r="R4523" s="1" t="str">
        <f aca="false">"Q"&amp;ROUNDUP(MONTH(B4523)/3,0)</f>
        <v>Q2</v>
      </c>
    </row>
    <row r="4524" customFormat="false" ht="15" hidden="false" customHeight="true" outlineLevel="0" collapsed="false">
      <c r="A4524" s="1" t="n">
        <v>14523</v>
      </c>
      <c r="B4524" s="14" t="n">
        <v>49084</v>
      </c>
      <c r="C4524" s="1" t="n">
        <v>1239</v>
      </c>
      <c r="D4524" s="1" t="s">
        <v>27</v>
      </c>
      <c r="E4524" s="1" t="s">
        <v>35</v>
      </c>
      <c r="F4524" s="1" t="n">
        <v>5</v>
      </c>
      <c r="G4524" s="15" t="n">
        <v>561.43</v>
      </c>
      <c r="H4524" s="16" t="n">
        <v>0.31</v>
      </c>
      <c r="I4524" s="1" t="s">
        <v>29</v>
      </c>
      <c r="J4524" s="1" t="n">
        <v>11</v>
      </c>
      <c r="K4524" s="1" t="n">
        <v>1.9</v>
      </c>
      <c r="L4524" s="15" t="n">
        <v>1936.93</v>
      </c>
      <c r="M4524" s="15" t="n">
        <f aca="false">F4524*G4524</f>
        <v>2807.15</v>
      </c>
      <c r="N4524" s="15" t="n">
        <f aca="false">M4524-L4524</f>
        <v>870.22</v>
      </c>
      <c r="O4524" s="1" t="n">
        <f aca="false">YEAR(B4524)</f>
        <v>2034</v>
      </c>
      <c r="P4524" s="1" t="n">
        <f aca="false">MONTH(B4524)</f>
        <v>5</v>
      </c>
      <c r="Q4524" s="1" t="str">
        <f aca="false">TEXT(B4524,"mmm")</f>
        <v>May</v>
      </c>
      <c r="R4524" s="1" t="str">
        <f aca="false">"Q"&amp;ROUNDUP(MONTH(B4524)/3,0)</f>
        <v>Q2</v>
      </c>
    </row>
    <row r="4525" customFormat="false" ht="15" hidden="false" customHeight="true" outlineLevel="0" collapsed="false">
      <c r="A4525" s="1" t="n">
        <v>14524</v>
      </c>
      <c r="B4525" s="14" t="n">
        <v>49085</v>
      </c>
      <c r="C4525" s="1" t="n">
        <v>1928</v>
      </c>
      <c r="D4525" s="1" t="s">
        <v>37</v>
      </c>
      <c r="E4525" s="1" t="s">
        <v>32</v>
      </c>
      <c r="F4525" s="1" t="n">
        <v>1</v>
      </c>
      <c r="G4525" s="15" t="n">
        <v>327.82</v>
      </c>
      <c r="H4525" s="16" t="n">
        <v>0.21</v>
      </c>
      <c r="I4525" s="1" t="s">
        <v>33</v>
      </c>
      <c r="J4525" s="1" t="n">
        <v>7</v>
      </c>
      <c r="K4525" s="1" t="n">
        <v>2.7</v>
      </c>
      <c r="L4525" s="15" t="n">
        <v>258.98</v>
      </c>
      <c r="M4525" s="15" t="n">
        <f aca="false">F4525*G4525</f>
        <v>327.82</v>
      </c>
      <c r="N4525" s="15" t="n">
        <f aca="false">M4525-L4525</f>
        <v>68.84</v>
      </c>
      <c r="O4525" s="1" t="n">
        <f aca="false">YEAR(B4525)</f>
        <v>2034</v>
      </c>
      <c r="P4525" s="1" t="n">
        <f aca="false">MONTH(B4525)</f>
        <v>5</v>
      </c>
      <c r="Q4525" s="1" t="str">
        <f aca="false">TEXT(B4525,"mmm")</f>
        <v>May</v>
      </c>
      <c r="R4525" s="1" t="str">
        <f aca="false">"Q"&amp;ROUNDUP(MONTH(B4525)/3,0)</f>
        <v>Q2</v>
      </c>
    </row>
    <row r="4526" customFormat="false" ht="15" hidden="false" customHeight="true" outlineLevel="0" collapsed="false">
      <c r="A4526" s="1" t="n">
        <v>14525</v>
      </c>
      <c r="B4526" s="14" t="n">
        <v>49086</v>
      </c>
      <c r="C4526" s="1" t="n">
        <v>1300</v>
      </c>
      <c r="D4526" s="1" t="s">
        <v>34</v>
      </c>
      <c r="E4526" s="1" t="s">
        <v>32</v>
      </c>
      <c r="F4526" s="1" t="n">
        <v>4</v>
      </c>
      <c r="G4526" s="15" t="n">
        <v>420.83</v>
      </c>
      <c r="H4526" s="16" t="n">
        <v>0.16</v>
      </c>
      <c r="I4526" s="1" t="s">
        <v>33</v>
      </c>
      <c r="J4526" s="1" t="n">
        <v>4</v>
      </c>
      <c r="K4526" s="1" t="n">
        <v>3.5</v>
      </c>
      <c r="L4526" s="15" t="n">
        <v>1413.99</v>
      </c>
      <c r="M4526" s="15" t="n">
        <f aca="false">F4526*G4526</f>
        <v>1683.32</v>
      </c>
      <c r="N4526" s="15" t="n">
        <f aca="false">M4526-L4526</f>
        <v>269.33</v>
      </c>
      <c r="O4526" s="1" t="n">
        <f aca="false">YEAR(B4526)</f>
        <v>2034</v>
      </c>
      <c r="P4526" s="1" t="n">
        <f aca="false">MONTH(B4526)</f>
        <v>5</v>
      </c>
      <c r="Q4526" s="1" t="str">
        <f aca="false">TEXT(B4526,"mmm")</f>
        <v>May</v>
      </c>
      <c r="R4526" s="1" t="str">
        <f aca="false">"Q"&amp;ROUNDUP(MONTH(B4526)/3,0)</f>
        <v>Q2</v>
      </c>
    </row>
    <row r="4527" customFormat="false" ht="15" hidden="false" customHeight="true" outlineLevel="0" collapsed="false">
      <c r="A4527" s="1" t="n">
        <v>14526</v>
      </c>
      <c r="B4527" s="14" t="n">
        <v>49087</v>
      </c>
      <c r="C4527" s="1" t="n">
        <v>1601</v>
      </c>
      <c r="D4527" s="1" t="s">
        <v>30</v>
      </c>
      <c r="E4527" s="1" t="s">
        <v>35</v>
      </c>
      <c r="F4527" s="1" t="n">
        <v>7</v>
      </c>
      <c r="G4527" s="15" t="n">
        <v>539.44</v>
      </c>
      <c r="H4527" s="16" t="n">
        <v>0.08</v>
      </c>
      <c r="I4527" s="1" t="s">
        <v>29</v>
      </c>
      <c r="J4527" s="1" t="n">
        <v>9</v>
      </c>
      <c r="K4527" s="1" t="n">
        <v>4.3</v>
      </c>
      <c r="L4527" s="15" t="n">
        <v>3473.99</v>
      </c>
      <c r="M4527" s="15" t="n">
        <f aca="false">F4527*G4527</f>
        <v>3776.08</v>
      </c>
      <c r="N4527" s="15" t="n">
        <f aca="false">M4527-L4527</f>
        <v>302.090000000001</v>
      </c>
      <c r="O4527" s="1" t="n">
        <f aca="false">YEAR(B4527)</f>
        <v>2034</v>
      </c>
      <c r="P4527" s="1" t="n">
        <f aca="false">MONTH(B4527)</f>
        <v>5</v>
      </c>
      <c r="Q4527" s="1" t="str">
        <f aca="false">TEXT(B4527,"mmm")</f>
        <v>May</v>
      </c>
      <c r="R4527" s="1" t="str">
        <f aca="false">"Q"&amp;ROUNDUP(MONTH(B4527)/3,0)</f>
        <v>Q2</v>
      </c>
    </row>
    <row r="4528" customFormat="false" ht="15" hidden="false" customHeight="true" outlineLevel="0" collapsed="false">
      <c r="A4528" s="1" t="n">
        <v>14527</v>
      </c>
      <c r="B4528" s="14" t="n">
        <v>49088</v>
      </c>
      <c r="C4528" s="1" t="n">
        <v>1102</v>
      </c>
      <c r="D4528" s="1" t="s">
        <v>30</v>
      </c>
      <c r="E4528" s="1" t="s">
        <v>36</v>
      </c>
      <c r="F4528" s="1" t="n">
        <v>2</v>
      </c>
      <c r="G4528" s="15" t="n">
        <v>100.92</v>
      </c>
      <c r="H4528" s="16" t="n">
        <v>0.26</v>
      </c>
      <c r="I4528" s="1" t="s">
        <v>33</v>
      </c>
      <c r="J4528" s="1" t="n">
        <v>6</v>
      </c>
      <c r="K4528" s="1" t="n">
        <v>3.2</v>
      </c>
      <c r="L4528" s="15" t="n">
        <v>149.36</v>
      </c>
      <c r="M4528" s="15" t="n">
        <f aca="false">F4528*G4528</f>
        <v>201.84</v>
      </c>
      <c r="N4528" s="15" t="n">
        <f aca="false">M4528-L4528</f>
        <v>52.48</v>
      </c>
      <c r="O4528" s="1" t="n">
        <f aca="false">YEAR(B4528)</f>
        <v>2034</v>
      </c>
      <c r="P4528" s="1" t="n">
        <f aca="false">MONTH(B4528)</f>
        <v>5</v>
      </c>
      <c r="Q4528" s="1" t="str">
        <f aca="false">TEXT(B4528,"mmm")</f>
        <v>May</v>
      </c>
      <c r="R4528" s="1" t="str">
        <f aca="false">"Q"&amp;ROUNDUP(MONTH(B4528)/3,0)</f>
        <v>Q2</v>
      </c>
    </row>
    <row r="4529" customFormat="false" ht="15" hidden="false" customHeight="true" outlineLevel="0" collapsed="false">
      <c r="A4529" s="1" t="n">
        <v>14528</v>
      </c>
      <c r="B4529" s="14" t="n">
        <v>49089</v>
      </c>
      <c r="C4529" s="1" t="n">
        <v>1987</v>
      </c>
      <c r="D4529" s="1" t="s">
        <v>37</v>
      </c>
      <c r="E4529" s="1" t="s">
        <v>36</v>
      </c>
      <c r="F4529" s="1" t="n">
        <v>3</v>
      </c>
      <c r="G4529" s="15" t="n">
        <v>149.39</v>
      </c>
      <c r="H4529" s="16" t="n">
        <v>0.32</v>
      </c>
      <c r="I4529" s="1" t="s">
        <v>33</v>
      </c>
      <c r="J4529" s="1" t="n">
        <v>6</v>
      </c>
      <c r="K4529" s="1" t="n">
        <v>1.7</v>
      </c>
      <c r="L4529" s="15" t="n">
        <v>304.76</v>
      </c>
      <c r="M4529" s="15" t="n">
        <f aca="false">F4529*G4529</f>
        <v>448.17</v>
      </c>
      <c r="N4529" s="15" t="n">
        <f aca="false">M4529-L4529</f>
        <v>143.41</v>
      </c>
      <c r="O4529" s="1" t="n">
        <f aca="false">YEAR(B4529)</f>
        <v>2034</v>
      </c>
      <c r="P4529" s="1" t="n">
        <f aca="false">MONTH(B4529)</f>
        <v>5</v>
      </c>
      <c r="Q4529" s="1" t="str">
        <f aca="false">TEXT(B4529,"mmm")</f>
        <v>May</v>
      </c>
      <c r="R4529" s="1" t="str">
        <f aca="false">"Q"&amp;ROUNDUP(MONTH(B4529)/3,0)</f>
        <v>Q2</v>
      </c>
    </row>
    <row r="4530" customFormat="false" ht="15" hidden="false" customHeight="true" outlineLevel="0" collapsed="false">
      <c r="A4530" s="1" t="n">
        <v>14529</v>
      </c>
      <c r="B4530" s="14" t="n">
        <v>49090</v>
      </c>
      <c r="C4530" s="1" t="n">
        <v>1249</v>
      </c>
      <c r="D4530" s="1" t="s">
        <v>34</v>
      </c>
      <c r="E4530" s="1" t="s">
        <v>28</v>
      </c>
      <c r="F4530" s="1" t="n">
        <v>4</v>
      </c>
      <c r="G4530" s="15" t="n">
        <v>77.78</v>
      </c>
      <c r="H4530" s="16" t="n">
        <v>0.08</v>
      </c>
      <c r="I4530" s="1" t="s">
        <v>31</v>
      </c>
      <c r="J4530" s="1" t="n">
        <v>9</v>
      </c>
      <c r="K4530" s="1" t="n">
        <v>4.8</v>
      </c>
      <c r="L4530" s="15" t="n">
        <v>286.23</v>
      </c>
      <c r="M4530" s="15" t="n">
        <f aca="false">F4530*G4530</f>
        <v>311.12</v>
      </c>
      <c r="N4530" s="15" t="n">
        <f aca="false">M4530-L4530</f>
        <v>24.89</v>
      </c>
      <c r="O4530" s="1" t="n">
        <f aca="false">YEAR(B4530)</f>
        <v>2034</v>
      </c>
      <c r="P4530" s="1" t="n">
        <f aca="false">MONTH(B4530)</f>
        <v>5</v>
      </c>
      <c r="Q4530" s="1" t="str">
        <f aca="false">TEXT(B4530,"mmm")</f>
        <v>May</v>
      </c>
      <c r="R4530" s="1" t="str">
        <f aca="false">"Q"&amp;ROUNDUP(MONTH(B4530)/3,0)</f>
        <v>Q2</v>
      </c>
    </row>
    <row r="4531" customFormat="false" ht="15" hidden="false" customHeight="true" outlineLevel="0" collapsed="false">
      <c r="A4531" s="1" t="n">
        <v>14530</v>
      </c>
      <c r="B4531" s="14" t="n">
        <v>49091</v>
      </c>
      <c r="C4531" s="1" t="n">
        <v>1452</v>
      </c>
      <c r="D4531" s="1" t="s">
        <v>34</v>
      </c>
      <c r="E4531" s="1" t="s">
        <v>28</v>
      </c>
      <c r="F4531" s="1" t="n">
        <v>3</v>
      </c>
      <c r="G4531" s="15" t="n">
        <v>96.69</v>
      </c>
      <c r="H4531" s="16" t="n">
        <v>0.06</v>
      </c>
      <c r="I4531" s="1" t="s">
        <v>29</v>
      </c>
      <c r="J4531" s="1" t="n">
        <v>8</v>
      </c>
      <c r="K4531" s="1" t="n">
        <v>1.4</v>
      </c>
      <c r="L4531" s="15" t="n">
        <v>272.67</v>
      </c>
      <c r="M4531" s="15" t="n">
        <f aca="false">F4531*G4531</f>
        <v>290.07</v>
      </c>
      <c r="N4531" s="15" t="n">
        <f aca="false">M4531-L4531</f>
        <v>17.4</v>
      </c>
      <c r="O4531" s="1" t="n">
        <f aca="false">YEAR(B4531)</f>
        <v>2034</v>
      </c>
      <c r="P4531" s="1" t="n">
        <f aca="false">MONTH(B4531)</f>
        <v>5</v>
      </c>
      <c r="Q4531" s="1" t="str">
        <f aca="false">TEXT(B4531,"mmm")</f>
        <v>May</v>
      </c>
      <c r="R4531" s="1" t="str">
        <f aca="false">"Q"&amp;ROUNDUP(MONTH(B4531)/3,0)</f>
        <v>Q2</v>
      </c>
    </row>
    <row r="4532" customFormat="false" ht="15" hidden="false" customHeight="true" outlineLevel="0" collapsed="false">
      <c r="A4532" s="1" t="n">
        <v>14531</v>
      </c>
      <c r="B4532" s="14" t="n">
        <v>49092</v>
      </c>
      <c r="C4532" s="1" t="n">
        <v>1519</v>
      </c>
      <c r="D4532" s="1" t="s">
        <v>27</v>
      </c>
      <c r="E4532" s="1" t="s">
        <v>36</v>
      </c>
      <c r="F4532" s="1" t="n">
        <v>1</v>
      </c>
      <c r="G4532" s="15" t="n">
        <v>314.86</v>
      </c>
      <c r="H4532" s="16" t="n">
        <v>0.24</v>
      </c>
      <c r="I4532" s="1" t="s">
        <v>31</v>
      </c>
      <c r="J4532" s="1" t="n">
        <v>6</v>
      </c>
      <c r="K4532" s="1" t="n">
        <v>2.5</v>
      </c>
      <c r="L4532" s="15" t="n">
        <v>239.29</v>
      </c>
      <c r="M4532" s="15" t="n">
        <f aca="false">F4532*G4532</f>
        <v>314.86</v>
      </c>
      <c r="N4532" s="15" t="n">
        <f aca="false">M4532-L4532</f>
        <v>75.57</v>
      </c>
      <c r="O4532" s="1" t="n">
        <f aca="false">YEAR(B4532)</f>
        <v>2034</v>
      </c>
      <c r="P4532" s="1" t="n">
        <f aca="false">MONTH(B4532)</f>
        <v>5</v>
      </c>
      <c r="Q4532" s="1" t="str">
        <f aca="false">TEXT(B4532,"mmm")</f>
        <v>May</v>
      </c>
      <c r="R4532" s="1" t="str">
        <f aca="false">"Q"&amp;ROUNDUP(MONTH(B4532)/3,0)</f>
        <v>Q2</v>
      </c>
    </row>
    <row r="4533" customFormat="false" ht="15" hidden="false" customHeight="true" outlineLevel="0" collapsed="false">
      <c r="A4533" s="1" t="n">
        <v>14532</v>
      </c>
      <c r="B4533" s="14" t="n">
        <v>49093</v>
      </c>
      <c r="C4533" s="1" t="n">
        <v>1152</v>
      </c>
      <c r="D4533" s="1" t="s">
        <v>34</v>
      </c>
      <c r="E4533" s="1" t="s">
        <v>35</v>
      </c>
      <c r="F4533" s="1" t="n">
        <v>5</v>
      </c>
      <c r="G4533" s="15" t="n">
        <v>202.89</v>
      </c>
      <c r="H4533" s="16" t="n">
        <v>0.34</v>
      </c>
      <c r="I4533" s="1" t="s">
        <v>31</v>
      </c>
      <c r="J4533" s="1" t="n">
        <v>6</v>
      </c>
      <c r="K4533" s="1" t="n">
        <v>4.7</v>
      </c>
      <c r="L4533" s="15" t="n">
        <v>669.54</v>
      </c>
      <c r="M4533" s="15" t="n">
        <f aca="false">F4533*G4533</f>
        <v>1014.45</v>
      </c>
      <c r="N4533" s="15" t="n">
        <f aca="false">M4533-L4533</f>
        <v>344.91</v>
      </c>
      <c r="O4533" s="1" t="n">
        <f aca="false">YEAR(B4533)</f>
        <v>2034</v>
      </c>
      <c r="P4533" s="1" t="n">
        <f aca="false">MONTH(B4533)</f>
        <v>5</v>
      </c>
      <c r="Q4533" s="1" t="str">
        <f aca="false">TEXT(B4533,"mmm")</f>
        <v>May</v>
      </c>
      <c r="R4533" s="1" t="str">
        <f aca="false">"Q"&amp;ROUNDUP(MONTH(B4533)/3,0)</f>
        <v>Q2</v>
      </c>
    </row>
    <row r="4534" customFormat="false" ht="15" hidden="false" customHeight="true" outlineLevel="0" collapsed="false">
      <c r="A4534" s="1" t="n">
        <v>14533</v>
      </c>
      <c r="B4534" s="14" t="n">
        <v>49094</v>
      </c>
      <c r="C4534" s="1" t="n">
        <v>1858</v>
      </c>
      <c r="D4534" s="1" t="s">
        <v>34</v>
      </c>
      <c r="E4534" s="1" t="s">
        <v>28</v>
      </c>
      <c r="F4534" s="1" t="n">
        <v>7</v>
      </c>
      <c r="G4534" s="15" t="n">
        <v>262.56</v>
      </c>
      <c r="H4534" s="16" t="n">
        <v>0.26</v>
      </c>
      <c r="I4534" s="1" t="s">
        <v>31</v>
      </c>
      <c r="J4534" s="1" t="n">
        <v>6</v>
      </c>
      <c r="K4534" s="1" t="n">
        <v>3.4</v>
      </c>
      <c r="L4534" s="15" t="n">
        <v>1360.06</v>
      </c>
      <c r="M4534" s="15" t="n">
        <f aca="false">F4534*G4534</f>
        <v>1837.92</v>
      </c>
      <c r="N4534" s="15" t="n">
        <f aca="false">M4534-L4534</f>
        <v>477.86</v>
      </c>
      <c r="O4534" s="1" t="n">
        <f aca="false">YEAR(B4534)</f>
        <v>2034</v>
      </c>
      <c r="P4534" s="1" t="n">
        <f aca="false">MONTH(B4534)</f>
        <v>5</v>
      </c>
      <c r="Q4534" s="1" t="str">
        <f aca="false">TEXT(B4534,"mmm")</f>
        <v>May</v>
      </c>
      <c r="R4534" s="1" t="str">
        <f aca="false">"Q"&amp;ROUNDUP(MONTH(B4534)/3,0)</f>
        <v>Q2</v>
      </c>
    </row>
    <row r="4535" customFormat="false" ht="15" hidden="false" customHeight="true" outlineLevel="0" collapsed="false">
      <c r="A4535" s="1" t="n">
        <v>14534</v>
      </c>
      <c r="B4535" s="14" t="n">
        <v>49095</v>
      </c>
      <c r="C4535" s="1" t="n">
        <v>1173</v>
      </c>
      <c r="D4535" s="1" t="s">
        <v>27</v>
      </c>
      <c r="E4535" s="1" t="s">
        <v>36</v>
      </c>
      <c r="F4535" s="1" t="n">
        <v>2</v>
      </c>
      <c r="G4535" s="15" t="n">
        <v>589.76</v>
      </c>
      <c r="H4535" s="16" t="n">
        <v>0.1</v>
      </c>
      <c r="I4535" s="1" t="s">
        <v>31</v>
      </c>
      <c r="J4535" s="1" t="n">
        <v>4</v>
      </c>
      <c r="K4535" s="1" t="n">
        <v>3.7</v>
      </c>
      <c r="L4535" s="15" t="n">
        <v>1061.57</v>
      </c>
      <c r="M4535" s="15" t="n">
        <f aca="false">F4535*G4535</f>
        <v>1179.52</v>
      </c>
      <c r="N4535" s="15" t="n">
        <f aca="false">M4535-L4535</f>
        <v>117.95</v>
      </c>
      <c r="O4535" s="1" t="n">
        <f aca="false">YEAR(B4535)</f>
        <v>2034</v>
      </c>
      <c r="P4535" s="1" t="n">
        <f aca="false">MONTH(B4535)</f>
        <v>5</v>
      </c>
      <c r="Q4535" s="1" t="str">
        <f aca="false">TEXT(B4535,"mmm")</f>
        <v>May</v>
      </c>
      <c r="R4535" s="1" t="str">
        <f aca="false">"Q"&amp;ROUNDUP(MONTH(B4535)/3,0)</f>
        <v>Q2</v>
      </c>
    </row>
    <row r="4536" customFormat="false" ht="15" hidden="false" customHeight="true" outlineLevel="0" collapsed="false">
      <c r="A4536" s="1" t="n">
        <v>14535</v>
      </c>
      <c r="B4536" s="14" t="n">
        <v>49096</v>
      </c>
      <c r="C4536" s="1" t="n">
        <v>1342</v>
      </c>
      <c r="D4536" s="1" t="s">
        <v>30</v>
      </c>
      <c r="E4536" s="1" t="s">
        <v>36</v>
      </c>
      <c r="F4536" s="1" t="n">
        <v>7</v>
      </c>
      <c r="G4536" s="15" t="n">
        <v>106.67</v>
      </c>
      <c r="H4536" s="16" t="n">
        <v>0.15</v>
      </c>
      <c r="I4536" s="1" t="s">
        <v>31</v>
      </c>
      <c r="J4536" s="1" t="n">
        <v>5</v>
      </c>
      <c r="K4536" s="1" t="n">
        <v>2.2</v>
      </c>
      <c r="L4536" s="15" t="n">
        <v>634.69</v>
      </c>
      <c r="M4536" s="15" t="n">
        <f aca="false">F4536*G4536</f>
        <v>746.69</v>
      </c>
      <c r="N4536" s="15" t="n">
        <f aca="false">M4536-L4536</f>
        <v>112</v>
      </c>
      <c r="O4536" s="1" t="n">
        <f aca="false">YEAR(B4536)</f>
        <v>2034</v>
      </c>
      <c r="P4536" s="1" t="n">
        <f aca="false">MONTH(B4536)</f>
        <v>6</v>
      </c>
      <c r="Q4536" s="1" t="str">
        <f aca="false">TEXT(B4536,"mmm")</f>
        <v>Jun</v>
      </c>
      <c r="R4536" s="1" t="str">
        <f aca="false">"Q"&amp;ROUNDUP(MONTH(B4536)/3,0)</f>
        <v>Q2</v>
      </c>
    </row>
    <row r="4537" customFormat="false" ht="15" hidden="false" customHeight="true" outlineLevel="0" collapsed="false">
      <c r="A4537" s="1" t="n">
        <v>14536</v>
      </c>
      <c r="B4537" s="14" t="n">
        <v>49097</v>
      </c>
      <c r="C4537" s="1" t="n">
        <v>1669</v>
      </c>
      <c r="D4537" s="1" t="s">
        <v>34</v>
      </c>
      <c r="E4537" s="1" t="s">
        <v>35</v>
      </c>
      <c r="F4537" s="1" t="n">
        <v>4</v>
      </c>
      <c r="G4537" s="15" t="n">
        <v>331.38</v>
      </c>
      <c r="H4537" s="16" t="n">
        <v>0.13</v>
      </c>
      <c r="I4537" s="1" t="s">
        <v>29</v>
      </c>
      <c r="J4537" s="1" t="n">
        <v>3</v>
      </c>
      <c r="K4537" s="1" t="n">
        <v>1.3</v>
      </c>
      <c r="L4537" s="15" t="n">
        <v>1153.2</v>
      </c>
      <c r="M4537" s="15" t="n">
        <f aca="false">F4537*G4537</f>
        <v>1325.52</v>
      </c>
      <c r="N4537" s="15" t="n">
        <f aca="false">M4537-L4537</f>
        <v>172.32</v>
      </c>
      <c r="O4537" s="1" t="n">
        <f aca="false">YEAR(B4537)</f>
        <v>2034</v>
      </c>
      <c r="P4537" s="1" t="n">
        <f aca="false">MONTH(B4537)</f>
        <v>6</v>
      </c>
      <c r="Q4537" s="1" t="str">
        <f aca="false">TEXT(B4537,"mmm")</f>
        <v>Jun</v>
      </c>
      <c r="R4537" s="1" t="str">
        <f aca="false">"Q"&amp;ROUNDUP(MONTH(B4537)/3,0)</f>
        <v>Q2</v>
      </c>
    </row>
    <row r="4538" customFormat="false" ht="15" hidden="false" customHeight="true" outlineLevel="0" collapsed="false">
      <c r="A4538" s="1" t="n">
        <v>14537</v>
      </c>
      <c r="B4538" s="14" t="n">
        <v>49098</v>
      </c>
      <c r="C4538" s="1" t="n">
        <v>1430</v>
      </c>
      <c r="D4538" s="1" t="s">
        <v>34</v>
      </c>
      <c r="E4538" s="1" t="s">
        <v>32</v>
      </c>
      <c r="F4538" s="1" t="n">
        <v>2</v>
      </c>
      <c r="G4538" s="15" t="n">
        <v>72.84</v>
      </c>
      <c r="H4538" s="16" t="n">
        <v>0.3</v>
      </c>
      <c r="I4538" s="1" t="s">
        <v>33</v>
      </c>
      <c r="J4538" s="1" t="n">
        <v>9</v>
      </c>
      <c r="K4538" s="1" t="n">
        <v>2.5</v>
      </c>
      <c r="L4538" s="15" t="n">
        <v>101.98</v>
      </c>
      <c r="M4538" s="15" t="n">
        <f aca="false">F4538*G4538</f>
        <v>145.68</v>
      </c>
      <c r="N4538" s="15" t="n">
        <f aca="false">M4538-L4538</f>
        <v>43.7</v>
      </c>
      <c r="O4538" s="1" t="n">
        <f aca="false">YEAR(B4538)</f>
        <v>2034</v>
      </c>
      <c r="P4538" s="1" t="n">
        <f aca="false">MONTH(B4538)</f>
        <v>6</v>
      </c>
      <c r="Q4538" s="1" t="str">
        <f aca="false">TEXT(B4538,"mmm")</f>
        <v>Jun</v>
      </c>
      <c r="R4538" s="1" t="str">
        <f aca="false">"Q"&amp;ROUNDUP(MONTH(B4538)/3,0)</f>
        <v>Q2</v>
      </c>
    </row>
    <row r="4539" customFormat="false" ht="15" hidden="false" customHeight="true" outlineLevel="0" collapsed="false">
      <c r="A4539" s="1" t="n">
        <v>14538</v>
      </c>
      <c r="B4539" s="14" t="n">
        <v>49099</v>
      </c>
      <c r="C4539" s="1" t="n">
        <v>1726</v>
      </c>
      <c r="D4539" s="1" t="s">
        <v>34</v>
      </c>
      <c r="E4539" s="1" t="s">
        <v>36</v>
      </c>
      <c r="F4539" s="1" t="n">
        <v>3</v>
      </c>
      <c r="G4539" s="15" t="n">
        <v>201.32</v>
      </c>
      <c r="H4539" s="16" t="n">
        <v>0.27</v>
      </c>
      <c r="I4539" s="1" t="s">
        <v>31</v>
      </c>
      <c r="J4539" s="1" t="n">
        <v>11</v>
      </c>
      <c r="K4539" s="1" t="n">
        <v>2.6</v>
      </c>
      <c r="L4539" s="15" t="n">
        <v>440.89</v>
      </c>
      <c r="M4539" s="15" t="n">
        <f aca="false">F4539*G4539</f>
        <v>603.96</v>
      </c>
      <c r="N4539" s="15" t="n">
        <f aca="false">M4539-L4539</f>
        <v>163.07</v>
      </c>
      <c r="O4539" s="1" t="n">
        <f aca="false">YEAR(B4539)</f>
        <v>2034</v>
      </c>
      <c r="P4539" s="1" t="n">
        <f aca="false">MONTH(B4539)</f>
        <v>6</v>
      </c>
      <c r="Q4539" s="1" t="str">
        <f aca="false">TEXT(B4539,"mmm")</f>
        <v>Jun</v>
      </c>
      <c r="R4539" s="1" t="str">
        <f aca="false">"Q"&amp;ROUNDUP(MONTH(B4539)/3,0)</f>
        <v>Q2</v>
      </c>
    </row>
    <row r="4540" customFormat="false" ht="15" hidden="false" customHeight="true" outlineLevel="0" collapsed="false">
      <c r="A4540" s="1" t="n">
        <v>14539</v>
      </c>
      <c r="B4540" s="14" t="n">
        <v>49100</v>
      </c>
      <c r="C4540" s="1" t="n">
        <v>1688</v>
      </c>
      <c r="D4540" s="1" t="s">
        <v>34</v>
      </c>
      <c r="E4540" s="1" t="s">
        <v>28</v>
      </c>
      <c r="F4540" s="1" t="n">
        <v>3</v>
      </c>
      <c r="G4540" s="15" t="n">
        <v>323.6</v>
      </c>
      <c r="H4540" s="16" t="n">
        <v>0.21</v>
      </c>
      <c r="I4540" s="1" t="s">
        <v>33</v>
      </c>
      <c r="J4540" s="1" t="n">
        <v>2</v>
      </c>
      <c r="K4540" s="1" t="n">
        <v>2.1</v>
      </c>
      <c r="L4540" s="15" t="n">
        <v>766.93</v>
      </c>
      <c r="M4540" s="15" t="n">
        <f aca="false">F4540*G4540</f>
        <v>970.8</v>
      </c>
      <c r="N4540" s="15" t="n">
        <f aca="false">M4540-L4540</f>
        <v>203.87</v>
      </c>
      <c r="O4540" s="1" t="n">
        <f aca="false">YEAR(B4540)</f>
        <v>2034</v>
      </c>
      <c r="P4540" s="1" t="n">
        <f aca="false">MONTH(B4540)</f>
        <v>6</v>
      </c>
      <c r="Q4540" s="1" t="str">
        <f aca="false">TEXT(B4540,"mmm")</f>
        <v>Jun</v>
      </c>
      <c r="R4540" s="1" t="str">
        <f aca="false">"Q"&amp;ROUNDUP(MONTH(B4540)/3,0)</f>
        <v>Q2</v>
      </c>
    </row>
    <row r="4541" customFormat="false" ht="15" hidden="false" customHeight="true" outlineLevel="0" collapsed="false">
      <c r="A4541" s="1" t="n">
        <v>14540</v>
      </c>
      <c r="B4541" s="14" t="n">
        <v>49101</v>
      </c>
      <c r="C4541" s="1" t="n">
        <v>1686</v>
      </c>
      <c r="D4541" s="1" t="s">
        <v>27</v>
      </c>
      <c r="E4541" s="1" t="s">
        <v>35</v>
      </c>
      <c r="F4541" s="1" t="n">
        <v>6</v>
      </c>
      <c r="G4541" s="15" t="n">
        <v>568.78</v>
      </c>
      <c r="H4541" s="16" t="n">
        <v>0.1</v>
      </c>
      <c r="I4541" s="1" t="s">
        <v>33</v>
      </c>
      <c r="J4541" s="1" t="n">
        <v>11</v>
      </c>
      <c r="K4541" s="1" t="n">
        <v>1.9</v>
      </c>
      <c r="L4541" s="15" t="n">
        <v>3071.41</v>
      </c>
      <c r="M4541" s="15" t="n">
        <f aca="false">F4541*G4541</f>
        <v>3412.68</v>
      </c>
      <c r="N4541" s="15" t="n">
        <f aca="false">M4541-L4541</f>
        <v>341.27</v>
      </c>
      <c r="O4541" s="1" t="n">
        <f aca="false">YEAR(B4541)</f>
        <v>2034</v>
      </c>
      <c r="P4541" s="1" t="n">
        <f aca="false">MONTH(B4541)</f>
        <v>6</v>
      </c>
      <c r="Q4541" s="1" t="str">
        <f aca="false">TEXT(B4541,"mmm")</f>
        <v>Jun</v>
      </c>
      <c r="R4541" s="1" t="str">
        <f aca="false">"Q"&amp;ROUNDUP(MONTH(B4541)/3,0)</f>
        <v>Q2</v>
      </c>
    </row>
    <row r="4542" customFormat="false" ht="15" hidden="false" customHeight="true" outlineLevel="0" collapsed="false">
      <c r="A4542" s="1" t="n">
        <v>14541</v>
      </c>
      <c r="B4542" s="14" t="n">
        <v>49102</v>
      </c>
      <c r="C4542" s="1" t="n">
        <v>1851</v>
      </c>
      <c r="D4542" s="1" t="s">
        <v>30</v>
      </c>
      <c r="E4542" s="1" t="s">
        <v>35</v>
      </c>
      <c r="F4542" s="1" t="n">
        <v>7</v>
      </c>
      <c r="G4542" s="15" t="n">
        <v>243.87</v>
      </c>
      <c r="H4542" s="16" t="n">
        <v>0.33</v>
      </c>
      <c r="I4542" s="1" t="s">
        <v>33</v>
      </c>
      <c r="J4542" s="1" t="n">
        <v>7</v>
      </c>
      <c r="K4542" s="1" t="n">
        <v>2.4</v>
      </c>
      <c r="L4542" s="15" t="n">
        <v>1143.75</v>
      </c>
      <c r="M4542" s="15" t="n">
        <f aca="false">F4542*G4542</f>
        <v>1707.09</v>
      </c>
      <c r="N4542" s="15" t="n">
        <f aca="false">M4542-L4542</f>
        <v>563.34</v>
      </c>
      <c r="O4542" s="1" t="n">
        <f aca="false">YEAR(B4542)</f>
        <v>2034</v>
      </c>
      <c r="P4542" s="1" t="n">
        <f aca="false">MONTH(B4542)</f>
        <v>6</v>
      </c>
      <c r="Q4542" s="1" t="str">
        <f aca="false">TEXT(B4542,"mmm")</f>
        <v>Jun</v>
      </c>
      <c r="R4542" s="1" t="str">
        <f aca="false">"Q"&amp;ROUNDUP(MONTH(B4542)/3,0)</f>
        <v>Q2</v>
      </c>
    </row>
    <row r="4543" customFormat="false" ht="15" hidden="false" customHeight="true" outlineLevel="0" collapsed="false">
      <c r="A4543" s="1" t="n">
        <v>14542</v>
      </c>
      <c r="B4543" s="14" t="n">
        <v>49103</v>
      </c>
      <c r="C4543" s="1" t="n">
        <v>1849</v>
      </c>
      <c r="D4543" s="1" t="s">
        <v>37</v>
      </c>
      <c r="E4543" s="1" t="s">
        <v>35</v>
      </c>
      <c r="F4543" s="1" t="n">
        <v>5</v>
      </c>
      <c r="G4543" s="15" t="n">
        <v>52.97</v>
      </c>
      <c r="H4543" s="16" t="n">
        <v>0.23</v>
      </c>
      <c r="I4543" s="1" t="s">
        <v>31</v>
      </c>
      <c r="J4543" s="1" t="n">
        <v>1</v>
      </c>
      <c r="K4543" s="1" t="n">
        <v>3.6</v>
      </c>
      <c r="L4543" s="15" t="n">
        <v>203.93</v>
      </c>
      <c r="M4543" s="15" t="n">
        <f aca="false">F4543*G4543</f>
        <v>264.85</v>
      </c>
      <c r="N4543" s="15" t="n">
        <f aca="false">M4543-L4543</f>
        <v>60.92</v>
      </c>
      <c r="O4543" s="1" t="n">
        <f aca="false">YEAR(B4543)</f>
        <v>2034</v>
      </c>
      <c r="P4543" s="1" t="n">
        <f aca="false">MONTH(B4543)</f>
        <v>6</v>
      </c>
      <c r="Q4543" s="1" t="str">
        <f aca="false">TEXT(B4543,"mmm")</f>
        <v>Jun</v>
      </c>
      <c r="R4543" s="1" t="str">
        <f aca="false">"Q"&amp;ROUNDUP(MONTH(B4543)/3,0)</f>
        <v>Q2</v>
      </c>
    </row>
    <row r="4544" customFormat="false" ht="15" hidden="false" customHeight="true" outlineLevel="0" collapsed="false">
      <c r="A4544" s="1" t="n">
        <v>14543</v>
      </c>
      <c r="B4544" s="14" t="n">
        <v>49104</v>
      </c>
      <c r="C4544" s="1" t="n">
        <v>1657</v>
      </c>
      <c r="D4544" s="1" t="s">
        <v>27</v>
      </c>
      <c r="E4544" s="1" t="s">
        <v>32</v>
      </c>
      <c r="F4544" s="1" t="n">
        <v>3</v>
      </c>
      <c r="G4544" s="15" t="n">
        <v>242.07</v>
      </c>
      <c r="H4544" s="16" t="n">
        <v>0.34</v>
      </c>
      <c r="I4544" s="1" t="s">
        <v>29</v>
      </c>
      <c r="J4544" s="1" t="n">
        <v>10</v>
      </c>
      <c r="K4544" s="1" t="n">
        <v>4.8</v>
      </c>
      <c r="L4544" s="15" t="n">
        <v>479.3</v>
      </c>
      <c r="M4544" s="15" t="n">
        <f aca="false">F4544*G4544</f>
        <v>726.21</v>
      </c>
      <c r="N4544" s="15" t="n">
        <f aca="false">M4544-L4544</f>
        <v>246.91</v>
      </c>
      <c r="O4544" s="1" t="n">
        <f aca="false">YEAR(B4544)</f>
        <v>2034</v>
      </c>
      <c r="P4544" s="1" t="n">
        <f aca="false">MONTH(B4544)</f>
        <v>6</v>
      </c>
      <c r="Q4544" s="1" t="str">
        <f aca="false">TEXT(B4544,"mmm")</f>
        <v>Jun</v>
      </c>
      <c r="R4544" s="1" t="str">
        <f aca="false">"Q"&amp;ROUNDUP(MONTH(B4544)/3,0)</f>
        <v>Q2</v>
      </c>
    </row>
    <row r="4545" customFormat="false" ht="15" hidden="false" customHeight="true" outlineLevel="0" collapsed="false">
      <c r="A4545" s="1" t="n">
        <v>14544</v>
      </c>
      <c r="B4545" s="14" t="n">
        <v>49105</v>
      </c>
      <c r="C4545" s="1" t="n">
        <v>1961</v>
      </c>
      <c r="D4545" s="1" t="s">
        <v>30</v>
      </c>
      <c r="E4545" s="1" t="s">
        <v>32</v>
      </c>
      <c r="F4545" s="1" t="n">
        <v>5</v>
      </c>
      <c r="G4545" s="15" t="n">
        <v>100.26</v>
      </c>
      <c r="H4545" s="16" t="n">
        <v>0.2</v>
      </c>
      <c r="I4545" s="1" t="s">
        <v>31</v>
      </c>
      <c r="J4545" s="1" t="n">
        <v>7</v>
      </c>
      <c r="K4545" s="1" t="n">
        <v>3.8</v>
      </c>
      <c r="L4545" s="15" t="n">
        <v>401.04</v>
      </c>
      <c r="M4545" s="15" t="n">
        <f aca="false">F4545*G4545</f>
        <v>501.3</v>
      </c>
      <c r="N4545" s="15" t="n">
        <f aca="false">M4545-L4545</f>
        <v>100.26</v>
      </c>
      <c r="O4545" s="1" t="n">
        <f aca="false">YEAR(B4545)</f>
        <v>2034</v>
      </c>
      <c r="P4545" s="1" t="n">
        <f aca="false">MONTH(B4545)</f>
        <v>6</v>
      </c>
      <c r="Q4545" s="1" t="str">
        <f aca="false">TEXT(B4545,"mmm")</f>
        <v>Jun</v>
      </c>
      <c r="R4545" s="1" t="str">
        <f aca="false">"Q"&amp;ROUNDUP(MONTH(B4545)/3,0)</f>
        <v>Q2</v>
      </c>
    </row>
    <row r="4546" customFormat="false" ht="15" hidden="false" customHeight="true" outlineLevel="0" collapsed="false">
      <c r="A4546" s="1" t="n">
        <v>14545</v>
      </c>
      <c r="B4546" s="14" t="n">
        <v>49106</v>
      </c>
      <c r="C4546" s="1" t="n">
        <v>1323</v>
      </c>
      <c r="D4546" s="1" t="s">
        <v>34</v>
      </c>
      <c r="E4546" s="1" t="s">
        <v>28</v>
      </c>
      <c r="F4546" s="1" t="n">
        <v>6</v>
      </c>
      <c r="G4546" s="15" t="n">
        <v>149.54</v>
      </c>
      <c r="H4546" s="16" t="n">
        <v>0.29</v>
      </c>
      <c r="I4546" s="1" t="s">
        <v>31</v>
      </c>
      <c r="J4546" s="1" t="n">
        <v>2</v>
      </c>
      <c r="K4546" s="1" t="n">
        <v>4.1</v>
      </c>
      <c r="L4546" s="15" t="n">
        <v>637.04</v>
      </c>
      <c r="M4546" s="15" t="n">
        <f aca="false">F4546*G4546</f>
        <v>897.24</v>
      </c>
      <c r="N4546" s="15" t="n">
        <f aca="false">M4546-L4546</f>
        <v>260.2</v>
      </c>
      <c r="O4546" s="1" t="n">
        <f aca="false">YEAR(B4546)</f>
        <v>2034</v>
      </c>
      <c r="P4546" s="1" t="n">
        <f aca="false">MONTH(B4546)</f>
        <v>6</v>
      </c>
      <c r="Q4546" s="1" t="str">
        <f aca="false">TEXT(B4546,"mmm")</f>
        <v>Jun</v>
      </c>
      <c r="R4546" s="1" t="str">
        <f aca="false">"Q"&amp;ROUNDUP(MONTH(B4546)/3,0)</f>
        <v>Q2</v>
      </c>
    </row>
    <row r="4547" customFormat="false" ht="15" hidden="false" customHeight="true" outlineLevel="0" collapsed="false">
      <c r="A4547" s="1" t="n">
        <v>14546</v>
      </c>
      <c r="B4547" s="14" t="n">
        <v>49107</v>
      </c>
      <c r="C4547" s="1" t="n">
        <v>1989</v>
      </c>
      <c r="D4547" s="1" t="s">
        <v>30</v>
      </c>
      <c r="E4547" s="1" t="s">
        <v>28</v>
      </c>
      <c r="F4547" s="1" t="n">
        <v>4</v>
      </c>
      <c r="G4547" s="15" t="n">
        <v>376.58</v>
      </c>
      <c r="H4547" s="16" t="n">
        <v>0.28</v>
      </c>
      <c r="I4547" s="1" t="s">
        <v>31</v>
      </c>
      <c r="J4547" s="1" t="n">
        <v>5</v>
      </c>
      <c r="K4547" s="1" t="n">
        <v>2.2</v>
      </c>
      <c r="L4547" s="15" t="n">
        <v>1084.55</v>
      </c>
      <c r="M4547" s="15" t="n">
        <f aca="false">F4547*G4547</f>
        <v>1506.32</v>
      </c>
      <c r="N4547" s="15" t="n">
        <f aca="false">M4547-L4547</f>
        <v>421.77</v>
      </c>
      <c r="O4547" s="1" t="n">
        <f aca="false">YEAR(B4547)</f>
        <v>2034</v>
      </c>
      <c r="P4547" s="1" t="n">
        <f aca="false">MONTH(B4547)</f>
        <v>6</v>
      </c>
      <c r="Q4547" s="1" t="str">
        <f aca="false">TEXT(B4547,"mmm")</f>
        <v>Jun</v>
      </c>
      <c r="R4547" s="1" t="str">
        <f aca="false">"Q"&amp;ROUNDUP(MONTH(B4547)/3,0)</f>
        <v>Q2</v>
      </c>
    </row>
    <row r="4548" customFormat="false" ht="15" hidden="false" customHeight="true" outlineLevel="0" collapsed="false">
      <c r="A4548" s="1" t="n">
        <v>14547</v>
      </c>
      <c r="B4548" s="14" t="n">
        <v>49108</v>
      </c>
      <c r="C4548" s="1" t="n">
        <v>1672</v>
      </c>
      <c r="D4548" s="1" t="s">
        <v>27</v>
      </c>
      <c r="E4548" s="1" t="s">
        <v>35</v>
      </c>
      <c r="F4548" s="1" t="n">
        <v>6</v>
      </c>
      <c r="G4548" s="15" t="n">
        <v>54.44</v>
      </c>
      <c r="H4548" s="16" t="n">
        <v>0.12</v>
      </c>
      <c r="I4548" s="1" t="s">
        <v>33</v>
      </c>
      <c r="J4548" s="1" t="n">
        <v>1</v>
      </c>
      <c r="K4548" s="1" t="n">
        <v>1.4</v>
      </c>
      <c r="L4548" s="15" t="n">
        <v>287.44</v>
      </c>
      <c r="M4548" s="15" t="n">
        <f aca="false">F4548*G4548</f>
        <v>326.64</v>
      </c>
      <c r="N4548" s="15" t="n">
        <f aca="false">M4548-L4548</f>
        <v>39.2</v>
      </c>
      <c r="O4548" s="1" t="n">
        <f aca="false">YEAR(B4548)</f>
        <v>2034</v>
      </c>
      <c r="P4548" s="1" t="n">
        <f aca="false">MONTH(B4548)</f>
        <v>6</v>
      </c>
      <c r="Q4548" s="1" t="str">
        <f aca="false">TEXT(B4548,"mmm")</f>
        <v>Jun</v>
      </c>
      <c r="R4548" s="1" t="str">
        <f aca="false">"Q"&amp;ROUNDUP(MONTH(B4548)/3,0)</f>
        <v>Q2</v>
      </c>
    </row>
    <row r="4549" customFormat="false" ht="15" hidden="false" customHeight="true" outlineLevel="0" collapsed="false">
      <c r="A4549" s="1" t="n">
        <v>14548</v>
      </c>
      <c r="B4549" s="14" t="n">
        <v>49109</v>
      </c>
      <c r="C4549" s="1" t="n">
        <v>1638</v>
      </c>
      <c r="D4549" s="1" t="s">
        <v>37</v>
      </c>
      <c r="E4549" s="1" t="s">
        <v>28</v>
      </c>
      <c r="F4549" s="1" t="n">
        <v>5</v>
      </c>
      <c r="G4549" s="15" t="n">
        <v>286.86</v>
      </c>
      <c r="H4549" s="16" t="n">
        <v>0.34</v>
      </c>
      <c r="I4549" s="1" t="s">
        <v>33</v>
      </c>
      <c r="J4549" s="1" t="n">
        <v>5</v>
      </c>
      <c r="K4549" s="1" t="n">
        <v>2.2</v>
      </c>
      <c r="L4549" s="15" t="n">
        <v>946.64</v>
      </c>
      <c r="M4549" s="15" t="n">
        <f aca="false">F4549*G4549</f>
        <v>1434.3</v>
      </c>
      <c r="N4549" s="15" t="n">
        <f aca="false">M4549-L4549</f>
        <v>487.66</v>
      </c>
      <c r="O4549" s="1" t="n">
        <f aca="false">YEAR(B4549)</f>
        <v>2034</v>
      </c>
      <c r="P4549" s="1" t="n">
        <f aca="false">MONTH(B4549)</f>
        <v>6</v>
      </c>
      <c r="Q4549" s="1" t="str">
        <f aca="false">TEXT(B4549,"mmm")</f>
        <v>Jun</v>
      </c>
      <c r="R4549" s="1" t="str">
        <f aca="false">"Q"&amp;ROUNDUP(MONTH(B4549)/3,0)</f>
        <v>Q2</v>
      </c>
    </row>
    <row r="4550" customFormat="false" ht="15" hidden="false" customHeight="true" outlineLevel="0" collapsed="false">
      <c r="A4550" s="1" t="n">
        <v>14549</v>
      </c>
      <c r="B4550" s="14" t="n">
        <v>49110</v>
      </c>
      <c r="C4550" s="1" t="n">
        <v>1419</v>
      </c>
      <c r="D4550" s="1" t="s">
        <v>34</v>
      </c>
      <c r="E4550" s="1" t="s">
        <v>36</v>
      </c>
      <c r="F4550" s="1" t="n">
        <v>3</v>
      </c>
      <c r="G4550" s="15" t="n">
        <v>371.54</v>
      </c>
      <c r="H4550" s="16" t="n">
        <v>0.01</v>
      </c>
      <c r="I4550" s="1" t="s">
        <v>31</v>
      </c>
      <c r="J4550" s="1" t="n">
        <v>11</v>
      </c>
      <c r="K4550" s="1" t="n">
        <v>2.6</v>
      </c>
      <c r="L4550" s="15" t="n">
        <v>1103.47</v>
      </c>
      <c r="M4550" s="15" t="n">
        <f aca="false">F4550*G4550</f>
        <v>1114.62</v>
      </c>
      <c r="N4550" s="15" t="n">
        <f aca="false">M4550-L4550</f>
        <v>11.1500000000001</v>
      </c>
      <c r="O4550" s="1" t="n">
        <f aca="false">YEAR(B4550)</f>
        <v>2034</v>
      </c>
      <c r="P4550" s="1" t="n">
        <f aca="false">MONTH(B4550)</f>
        <v>6</v>
      </c>
      <c r="Q4550" s="1" t="str">
        <f aca="false">TEXT(B4550,"mmm")</f>
        <v>Jun</v>
      </c>
      <c r="R4550" s="1" t="str">
        <f aca="false">"Q"&amp;ROUNDUP(MONTH(B4550)/3,0)</f>
        <v>Q2</v>
      </c>
    </row>
    <row r="4551" customFormat="false" ht="15" hidden="false" customHeight="true" outlineLevel="0" collapsed="false">
      <c r="A4551" s="1" t="n">
        <v>14550</v>
      </c>
      <c r="B4551" s="14" t="n">
        <v>49111</v>
      </c>
      <c r="C4551" s="1" t="n">
        <v>1593</v>
      </c>
      <c r="D4551" s="1" t="s">
        <v>37</v>
      </c>
      <c r="E4551" s="1" t="s">
        <v>32</v>
      </c>
      <c r="F4551" s="1" t="n">
        <v>1</v>
      </c>
      <c r="G4551" s="15" t="n">
        <v>261.79</v>
      </c>
      <c r="H4551" s="16" t="n">
        <v>0.27</v>
      </c>
      <c r="I4551" s="1" t="s">
        <v>31</v>
      </c>
      <c r="J4551" s="1" t="n">
        <v>4</v>
      </c>
      <c r="K4551" s="1" t="n">
        <v>3.8</v>
      </c>
      <c r="L4551" s="15" t="n">
        <v>191.11</v>
      </c>
      <c r="M4551" s="15" t="n">
        <f aca="false">F4551*G4551</f>
        <v>261.79</v>
      </c>
      <c r="N4551" s="15" t="n">
        <f aca="false">M4551-L4551</f>
        <v>70.68</v>
      </c>
      <c r="O4551" s="1" t="n">
        <f aca="false">YEAR(B4551)</f>
        <v>2034</v>
      </c>
      <c r="P4551" s="1" t="n">
        <f aca="false">MONTH(B4551)</f>
        <v>6</v>
      </c>
      <c r="Q4551" s="1" t="str">
        <f aca="false">TEXT(B4551,"mmm")</f>
        <v>Jun</v>
      </c>
      <c r="R4551" s="1" t="str">
        <f aca="false">"Q"&amp;ROUNDUP(MONTH(B4551)/3,0)</f>
        <v>Q2</v>
      </c>
    </row>
    <row r="4552" customFormat="false" ht="15" hidden="false" customHeight="true" outlineLevel="0" collapsed="false">
      <c r="A4552" s="1" t="n">
        <v>14551</v>
      </c>
      <c r="B4552" s="14" t="n">
        <v>49112</v>
      </c>
      <c r="C4552" s="1" t="n">
        <v>1484</v>
      </c>
      <c r="D4552" s="1" t="s">
        <v>30</v>
      </c>
      <c r="E4552" s="1" t="s">
        <v>35</v>
      </c>
      <c r="F4552" s="1" t="n">
        <v>5</v>
      </c>
      <c r="G4552" s="15" t="n">
        <v>26.19</v>
      </c>
      <c r="H4552" s="16" t="n">
        <v>0.34</v>
      </c>
      <c r="I4552" s="1" t="s">
        <v>33</v>
      </c>
      <c r="J4552" s="1" t="n">
        <v>1</v>
      </c>
      <c r="K4552" s="1" t="n">
        <v>4.8</v>
      </c>
      <c r="L4552" s="15" t="n">
        <v>86.43</v>
      </c>
      <c r="M4552" s="15" t="n">
        <f aca="false">F4552*G4552</f>
        <v>130.95</v>
      </c>
      <c r="N4552" s="15" t="n">
        <f aca="false">M4552-L4552</f>
        <v>44.52</v>
      </c>
      <c r="O4552" s="1" t="n">
        <f aca="false">YEAR(B4552)</f>
        <v>2034</v>
      </c>
      <c r="P4552" s="1" t="n">
        <f aca="false">MONTH(B4552)</f>
        <v>6</v>
      </c>
      <c r="Q4552" s="1" t="str">
        <f aca="false">TEXT(B4552,"mmm")</f>
        <v>Jun</v>
      </c>
      <c r="R4552" s="1" t="str">
        <f aca="false">"Q"&amp;ROUNDUP(MONTH(B4552)/3,0)</f>
        <v>Q2</v>
      </c>
    </row>
    <row r="4553" customFormat="false" ht="15" hidden="false" customHeight="true" outlineLevel="0" collapsed="false">
      <c r="A4553" s="1" t="n">
        <v>14552</v>
      </c>
      <c r="B4553" s="14" t="n">
        <v>49113</v>
      </c>
      <c r="C4553" s="1" t="n">
        <v>1658</v>
      </c>
      <c r="D4553" s="1" t="s">
        <v>27</v>
      </c>
      <c r="E4553" s="1" t="s">
        <v>35</v>
      </c>
      <c r="F4553" s="1" t="n">
        <v>2</v>
      </c>
      <c r="G4553" s="15" t="n">
        <v>591.53</v>
      </c>
      <c r="H4553" s="16" t="n">
        <v>0.12</v>
      </c>
      <c r="I4553" s="1" t="s">
        <v>33</v>
      </c>
      <c r="J4553" s="1" t="n">
        <v>1</v>
      </c>
      <c r="K4553" s="1" t="n">
        <v>4.2</v>
      </c>
      <c r="L4553" s="15" t="n">
        <v>1041.09</v>
      </c>
      <c r="M4553" s="15" t="n">
        <f aca="false">F4553*G4553</f>
        <v>1183.06</v>
      </c>
      <c r="N4553" s="15" t="n">
        <f aca="false">M4553-L4553</f>
        <v>141.97</v>
      </c>
      <c r="O4553" s="1" t="n">
        <f aca="false">YEAR(B4553)</f>
        <v>2034</v>
      </c>
      <c r="P4553" s="1" t="n">
        <f aca="false">MONTH(B4553)</f>
        <v>6</v>
      </c>
      <c r="Q4553" s="1" t="str">
        <f aca="false">TEXT(B4553,"mmm")</f>
        <v>Jun</v>
      </c>
      <c r="R4553" s="1" t="str">
        <f aca="false">"Q"&amp;ROUNDUP(MONTH(B4553)/3,0)</f>
        <v>Q2</v>
      </c>
    </row>
    <row r="4554" customFormat="false" ht="15" hidden="false" customHeight="true" outlineLevel="0" collapsed="false">
      <c r="A4554" s="1" t="n">
        <v>14553</v>
      </c>
      <c r="B4554" s="14" t="n">
        <v>49114</v>
      </c>
      <c r="C4554" s="1" t="n">
        <v>1750</v>
      </c>
      <c r="D4554" s="1" t="s">
        <v>34</v>
      </c>
      <c r="E4554" s="1" t="s">
        <v>36</v>
      </c>
      <c r="F4554" s="1" t="n">
        <v>1</v>
      </c>
      <c r="G4554" s="15" t="n">
        <v>229.76</v>
      </c>
      <c r="H4554" s="16" t="n">
        <v>0.23</v>
      </c>
      <c r="I4554" s="1" t="s">
        <v>31</v>
      </c>
      <c r="J4554" s="1" t="n">
        <v>7</v>
      </c>
      <c r="K4554" s="1" t="n">
        <v>2.1</v>
      </c>
      <c r="L4554" s="15" t="n">
        <v>176.92</v>
      </c>
      <c r="M4554" s="15" t="n">
        <f aca="false">F4554*G4554</f>
        <v>229.76</v>
      </c>
      <c r="N4554" s="15" t="n">
        <f aca="false">M4554-L4554</f>
        <v>52.84</v>
      </c>
      <c r="O4554" s="1" t="n">
        <f aca="false">YEAR(B4554)</f>
        <v>2034</v>
      </c>
      <c r="P4554" s="1" t="n">
        <f aca="false">MONTH(B4554)</f>
        <v>6</v>
      </c>
      <c r="Q4554" s="1" t="str">
        <f aca="false">TEXT(B4554,"mmm")</f>
        <v>Jun</v>
      </c>
      <c r="R4554" s="1" t="str">
        <f aca="false">"Q"&amp;ROUNDUP(MONTH(B4554)/3,0)</f>
        <v>Q2</v>
      </c>
    </row>
    <row r="4555" customFormat="false" ht="15" hidden="false" customHeight="true" outlineLevel="0" collapsed="false">
      <c r="A4555" s="1" t="n">
        <v>14554</v>
      </c>
      <c r="B4555" s="14" t="n">
        <v>49115</v>
      </c>
      <c r="C4555" s="1" t="n">
        <v>1411</v>
      </c>
      <c r="D4555" s="1" t="s">
        <v>30</v>
      </c>
      <c r="E4555" s="1" t="s">
        <v>36</v>
      </c>
      <c r="F4555" s="1" t="n">
        <v>7</v>
      </c>
      <c r="G4555" s="15" t="n">
        <v>470.47</v>
      </c>
      <c r="H4555" s="16" t="n">
        <v>0.2</v>
      </c>
      <c r="I4555" s="1" t="s">
        <v>29</v>
      </c>
      <c r="J4555" s="1" t="n">
        <v>3</v>
      </c>
      <c r="K4555" s="1" t="n">
        <v>4.3</v>
      </c>
      <c r="L4555" s="15" t="n">
        <v>2634.63</v>
      </c>
      <c r="M4555" s="15" t="n">
        <f aca="false">F4555*G4555</f>
        <v>3293.29</v>
      </c>
      <c r="N4555" s="15" t="n">
        <f aca="false">M4555-L4555</f>
        <v>658.66</v>
      </c>
      <c r="O4555" s="1" t="n">
        <f aca="false">YEAR(B4555)</f>
        <v>2034</v>
      </c>
      <c r="P4555" s="1" t="n">
        <f aca="false">MONTH(B4555)</f>
        <v>6</v>
      </c>
      <c r="Q4555" s="1" t="str">
        <f aca="false">TEXT(B4555,"mmm")</f>
        <v>Jun</v>
      </c>
      <c r="R4555" s="1" t="str">
        <f aca="false">"Q"&amp;ROUNDUP(MONTH(B4555)/3,0)</f>
        <v>Q2</v>
      </c>
    </row>
    <row r="4556" customFormat="false" ht="15" hidden="false" customHeight="true" outlineLevel="0" collapsed="false">
      <c r="A4556" s="1" t="n">
        <v>14555</v>
      </c>
      <c r="B4556" s="14" t="n">
        <v>49116</v>
      </c>
      <c r="C4556" s="1" t="n">
        <v>1935</v>
      </c>
      <c r="D4556" s="1" t="s">
        <v>27</v>
      </c>
      <c r="E4556" s="1" t="s">
        <v>36</v>
      </c>
      <c r="F4556" s="1" t="n">
        <v>5</v>
      </c>
      <c r="G4556" s="15" t="n">
        <v>205.5</v>
      </c>
      <c r="H4556" s="16" t="n">
        <v>0.27</v>
      </c>
      <c r="I4556" s="1" t="s">
        <v>29</v>
      </c>
      <c r="J4556" s="1" t="n">
        <v>10</v>
      </c>
      <c r="K4556" s="1" t="n">
        <v>2.6</v>
      </c>
      <c r="L4556" s="15" t="n">
        <v>750.08</v>
      </c>
      <c r="M4556" s="15" t="n">
        <f aca="false">F4556*G4556</f>
        <v>1027.5</v>
      </c>
      <c r="N4556" s="15" t="n">
        <f aca="false">M4556-L4556</f>
        <v>277.42</v>
      </c>
      <c r="O4556" s="1" t="n">
        <f aca="false">YEAR(B4556)</f>
        <v>2034</v>
      </c>
      <c r="P4556" s="1" t="n">
        <f aca="false">MONTH(B4556)</f>
        <v>6</v>
      </c>
      <c r="Q4556" s="1" t="str">
        <f aca="false">TEXT(B4556,"mmm")</f>
        <v>Jun</v>
      </c>
      <c r="R4556" s="1" t="str">
        <f aca="false">"Q"&amp;ROUNDUP(MONTH(B4556)/3,0)</f>
        <v>Q2</v>
      </c>
    </row>
    <row r="4557" customFormat="false" ht="15" hidden="false" customHeight="true" outlineLevel="0" collapsed="false">
      <c r="A4557" s="1" t="n">
        <v>14556</v>
      </c>
      <c r="B4557" s="14" t="n">
        <v>49117</v>
      </c>
      <c r="C4557" s="1" t="n">
        <v>1083</v>
      </c>
      <c r="D4557" s="1" t="s">
        <v>30</v>
      </c>
      <c r="E4557" s="1" t="s">
        <v>36</v>
      </c>
      <c r="F4557" s="1" t="n">
        <v>2</v>
      </c>
      <c r="G4557" s="15" t="n">
        <v>292.88</v>
      </c>
      <c r="H4557" s="16" t="n">
        <v>0.3</v>
      </c>
      <c r="I4557" s="1" t="s">
        <v>31</v>
      </c>
      <c r="J4557" s="1" t="n">
        <v>9</v>
      </c>
      <c r="K4557" s="1" t="n">
        <v>1.7</v>
      </c>
      <c r="L4557" s="15" t="n">
        <v>410.03</v>
      </c>
      <c r="M4557" s="15" t="n">
        <f aca="false">F4557*G4557</f>
        <v>585.76</v>
      </c>
      <c r="N4557" s="15" t="n">
        <f aca="false">M4557-L4557</f>
        <v>175.73</v>
      </c>
      <c r="O4557" s="1" t="n">
        <f aca="false">YEAR(B4557)</f>
        <v>2034</v>
      </c>
      <c r="P4557" s="1" t="n">
        <f aca="false">MONTH(B4557)</f>
        <v>6</v>
      </c>
      <c r="Q4557" s="1" t="str">
        <f aca="false">TEXT(B4557,"mmm")</f>
        <v>Jun</v>
      </c>
      <c r="R4557" s="1" t="str">
        <f aca="false">"Q"&amp;ROUNDUP(MONTH(B4557)/3,0)</f>
        <v>Q2</v>
      </c>
    </row>
    <row r="4558" customFormat="false" ht="15" hidden="false" customHeight="true" outlineLevel="0" collapsed="false">
      <c r="A4558" s="1" t="n">
        <v>14557</v>
      </c>
      <c r="B4558" s="14" t="n">
        <v>49118</v>
      </c>
      <c r="C4558" s="1" t="n">
        <v>1112</v>
      </c>
      <c r="D4558" s="1" t="s">
        <v>30</v>
      </c>
      <c r="E4558" s="1" t="s">
        <v>35</v>
      </c>
      <c r="F4558" s="1" t="n">
        <v>7</v>
      </c>
      <c r="G4558" s="15" t="n">
        <v>242.25</v>
      </c>
      <c r="H4558" s="16" t="n">
        <v>0.21</v>
      </c>
      <c r="I4558" s="1" t="s">
        <v>33</v>
      </c>
      <c r="J4558" s="1" t="n">
        <v>9</v>
      </c>
      <c r="K4558" s="1" t="n">
        <v>2.8</v>
      </c>
      <c r="L4558" s="15" t="n">
        <v>1339.64</v>
      </c>
      <c r="M4558" s="15" t="n">
        <f aca="false">F4558*G4558</f>
        <v>1695.75</v>
      </c>
      <c r="N4558" s="15" t="n">
        <f aca="false">M4558-L4558</f>
        <v>356.11</v>
      </c>
      <c r="O4558" s="1" t="n">
        <f aca="false">YEAR(B4558)</f>
        <v>2034</v>
      </c>
      <c r="P4558" s="1" t="n">
        <f aca="false">MONTH(B4558)</f>
        <v>6</v>
      </c>
      <c r="Q4558" s="1" t="str">
        <f aca="false">TEXT(B4558,"mmm")</f>
        <v>Jun</v>
      </c>
      <c r="R4558" s="1" t="str">
        <f aca="false">"Q"&amp;ROUNDUP(MONTH(B4558)/3,0)</f>
        <v>Q2</v>
      </c>
    </row>
    <row r="4559" customFormat="false" ht="15" hidden="false" customHeight="true" outlineLevel="0" collapsed="false">
      <c r="A4559" s="1" t="n">
        <v>14558</v>
      </c>
      <c r="B4559" s="14" t="n">
        <v>49119</v>
      </c>
      <c r="C4559" s="1" t="n">
        <v>1736</v>
      </c>
      <c r="D4559" s="1" t="s">
        <v>34</v>
      </c>
      <c r="E4559" s="1" t="s">
        <v>32</v>
      </c>
      <c r="F4559" s="1" t="n">
        <v>6</v>
      </c>
      <c r="G4559" s="15" t="n">
        <v>215.39</v>
      </c>
      <c r="H4559" s="16" t="n">
        <v>0.29</v>
      </c>
      <c r="I4559" s="1" t="s">
        <v>31</v>
      </c>
      <c r="J4559" s="1" t="n">
        <v>10</v>
      </c>
      <c r="K4559" s="1" t="n">
        <v>3.3</v>
      </c>
      <c r="L4559" s="15" t="n">
        <v>917.56</v>
      </c>
      <c r="M4559" s="15" t="n">
        <f aca="false">F4559*G4559</f>
        <v>1292.34</v>
      </c>
      <c r="N4559" s="15" t="n">
        <f aca="false">M4559-L4559</f>
        <v>374.78</v>
      </c>
      <c r="O4559" s="1" t="n">
        <f aca="false">YEAR(B4559)</f>
        <v>2034</v>
      </c>
      <c r="P4559" s="1" t="n">
        <f aca="false">MONTH(B4559)</f>
        <v>6</v>
      </c>
      <c r="Q4559" s="1" t="str">
        <f aca="false">TEXT(B4559,"mmm")</f>
        <v>Jun</v>
      </c>
      <c r="R4559" s="1" t="str">
        <f aca="false">"Q"&amp;ROUNDUP(MONTH(B4559)/3,0)</f>
        <v>Q2</v>
      </c>
    </row>
    <row r="4560" customFormat="false" ht="15" hidden="false" customHeight="true" outlineLevel="0" collapsed="false">
      <c r="A4560" s="1" t="n">
        <v>14559</v>
      </c>
      <c r="B4560" s="14" t="n">
        <v>49120</v>
      </c>
      <c r="C4560" s="1" t="n">
        <v>1331</v>
      </c>
      <c r="D4560" s="1" t="s">
        <v>34</v>
      </c>
      <c r="E4560" s="1" t="s">
        <v>32</v>
      </c>
      <c r="F4560" s="1" t="n">
        <v>1</v>
      </c>
      <c r="G4560" s="15" t="n">
        <v>27.78</v>
      </c>
      <c r="H4560" s="16" t="n">
        <v>0.11</v>
      </c>
      <c r="I4560" s="1" t="s">
        <v>33</v>
      </c>
      <c r="J4560" s="1" t="n">
        <v>11</v>
      </c>
      <c r="K4560" s="1" t="n">
        <v>4.1</v>
      </c>
      <c r="L4560" s="15" t="n">
        <v>24.72</v>
      </c>
      <c r="M4560" s="15" t="n">
        <f aca="false">F4560*G4560</f>
        <v>27.78</v>
      </c>
      <c r="N4560" s="15" t="n">
        <f aca="false">M4560-L4560</f>
        <v>3.06</v>
      </c>
      <c r="O4560" s="1" t="n">
        <f aca="false">YEAR(B4560)</f>
        <v>2034</v>
      </c>
      <c r="P4560" s="1" t="n">
        <f aca="false">MONTH(B4560)</f>
        <v>6</v>
      </c>
      <c r="Q4560" s="1" t="str">
        <f aca="false">TEXT(B4560,"mmm")</f>
        <v>Jun</v>
      </c>
      <c r="R4560" s="1" t="str">
        <f aca="false">"Q"&amp;ROUNDUP(MONTH(B4560)/3,0)</f>
        <v>Q2</v>
      </c>
    </row>
    <row r="4561" customFormat="false" ht="15" hidden="false" customHeight="true" outlineLevel="0" collapsed="false">
      <c r="A4561" s="1" t="n">
        <v>14560</v>
      </c>
      <c r="B4561" s="14" t="n">
        <v>49121</v>
      </c>
      <c r="C4561" s="1" t="n">
        <v>1377</v>
      </c>
      <c r="D4561" s="1" t="s">
        <v>34</v>
      </c>
      <c r="E4561" s="1" t="s">
        <v>36</v>
      </c>
      <c r="F4561" s="1" t="n">
        <v>5</v>
      </c>
      <c r="G4561" s="15" t="n">
        <v>225.61</v>
      </c>
      <c r="H4561" s="16" t="n">
        <v>0.08</v>
      </c>
      <c r="I4561" s="1" t="s">
        <v>31</v>
      </c>
      <c r="J4561" s="1" t="n">
        <v>9</v>
      </c>
      <c r="K4561" s="1" t="n">
        <v>2.4</v>
      </c>
      <c r="L4561" s="15" t="n">
        <v>1037.81</v>
      </c>
      <c r="M4561" s="15" t="n">
        <f aca="false">F4561*G4561</f>
        <v>1128.05</v>
      </c>
      <c r="N4561" s="15" t="n">
        <f aca="false">M4561-L4561</f>
        <v>90.2400000000002</v>
      </c>
      <c r="O4561" s="1" t="n">
        <f aca="false">YEAR(B4561)</f>
        <v>2034</v>
      </c>
      <c r="P4561" s="1" t="n">
        <f aca="false">MONTH(B4561)</f>
        <v>6</v>
      </c>
      <c r="Q4561" s="1" t="str">
        <f aca="false">TEXT(B4561,"mmm")</f>
        <v>Jun</v>
      </c>
      <c r="R4561" s="1" t="str">
        <f aca="false">"Q"&amp;ROUNDUP(MONTH(B4561)/3,0)</f>
        <v>Q2</v>
      </c>
    </row>
    <row r="4562" customFormat="false" ht="15" hidden="false" customHeight="true" outlineLevel="0" collapsed="false">
      <c r="A4562" s="1" t="n">
        <v>14561</v>
      </c>
      <c r="B4562" s="14" t="n">
        <v>49122</v>
      </c>
      <c r="C4562" s="1" t="n">
        <v>1754</v>
      </c>
      <c r="D4562" s="1" t="s">
        <v>27</v>
      </c>
      <c r="E4562" s="1" t="s">
        <v>28</v>
      </c>
      <c r="F4562" s="1" t="n">
        <v>4</v>
      </c>
      <c r="G4562" s="15" t="n">
        <v>535.35</v>
      </c>
      <c r="H4562" s="16" t="n">
        <v>0.15</v>
      </c>
      <c r="I4562" s="1" t="s">
        <v>31</v>
      </c>
      <c r="J4562" s="1" t="n">
        <v>1</v>
      </c>
      <c r="K4562" s="1" t="n">
        <v>1.6</v>
      </c>
      <c r="L4562" s="15" t="n">
        <v>1820.19</v>
      </c>
      <c r="M4562" s="15" t="n">
        <f aca="false">F4562*G4562</f>
        <v>2141.4</v>
      </c>
      <c r="N4562" s="15" t="n">
        <f aca="false">M4562-L4562</f>
        <v>321.21</v>
      </c>
      <c r="O4562" s="1" t="n">
        <f aca="false">YEAR(B4562)</f>
        <v>2034</v>
      </c>
      <c r="P4562" s="1" t="n">
        <f aca="false">MONTH(B4562)</f>
        <v>6</v>
      </c>
      <c r="Q4562" s="1" t="str">
        <f aca="false">TEXT(B4562,"mmm")</f>
        <v>Jun</v>
      </c>
      <c r="R4562" s="1" t="str">
        <f aca="false">"Q"&amp;ROUNDUP(MONTH(B4562)/3,0)</f>
        <v>Q2</v>
      </c>
    </row>
    <row r="4563" customFormat="false" ht="15" hidden="false" customHeight="true" outlineLevel="0" collapsed="false">
      <c r="A4563" s="1" t="n">
        <v>14562</v>
      </c>
      <c r="B4563" s="14" t="n">
        <v>49123</v>
      </c>
      <c r="C4563" s="1" t="n">
        <v>1654</v>
      </c>
      <c r="D4563" s="1" t="s">
        <v>34</v>
      </c>
      <c r="E4563" s="1" t="s">
        <v>35</v>
      </c>
      <c r="F4563" s="1" t="n">
        <v>6</v>
      </c>
      <c r="G4563" s="15" t="n">
        <v>418.88</v>
      </c>
      <c r="H4563" s="16" t="n">
        <v>0.24</v>
      </c>
      <c r="I4563" s="1" t="s">
        <v>33</v>
      </c>
      <c r="J4563" s="1" t="n">
        <v>4</v>
      </c>
      <c r="K4563" s="1" t="n">
        <v>1.4</v>
      </c>
      <c r="L4563" s="15" t="n">
        <v>1910.09</v>
      </c>
      <c r="M4563" s="15" t="n">
        <f aca="false">F4563*G4563</f>
        <v>2513.28</v>
      </c>
      <c r="N4563" s="15" t="n">
        <f aca="false">M4563-L4563</f>
        <v>603.19</v>
      </c>
      <c r="O4563" s="1" t="n">
        <f aca="false">YEAR(B4563)</f>
        <v>2034</v>
      </c>
      <c r="P4563" s="1" t="n">
        <f aca="false">MONTH(B4563)</f>
        <v>6</v>
      </c>
      <c r="Q4563" s="1" t="str">
        <f aca="false">TEXT(B4563,"mmm")</f>
        <v>Jun</v>
      </c>
      <c r="R4563" s="1" t="str">
        <f aca="false">"Q"&amp;ROUNDUP(MONTH(B4563)/3,0)</f>
        <v>Q2</v>
      </c>
    </row>
    <row r="4564" customFormat="false" ht="15" hidden="false" customHeight="true" outlineLevel="0" collapsed="false">
      <c r="A4564" s="1" t="n">
        <v>14563</v>
      </c>
      <c r="B4564" s="14" t="n">
        <v>49124</v>
      </c>
      <c r="C4564" s="1" t="n">
        <v>1040</v>
      </c>
      <c r="D4564" s="1" t="s">
        <v>30</v>
      </c>
      <c r="E4564" s="1" t="s">
        <v>32</v>
      </c>
      <c r="F4564" s="1" t="n">
        <v>2</v>
      </c>
      <c r="G4564" s="15" t="n">
        <v>100.07</v>
      </c>
      <c r="H4564" s="16" t="n">
        <v>0.07</v>
      </c>
      <c r="I4564" s="1" t="s">
        <v>29</v>
      </c>
      <c r="J4564" s="1" t="n">
        <v>1</v>
      </c>
      <c r="K4564" s="1" t="n">
        <v>1.4</v>
      </c>
      <c r="L4564" s="15" t="n">
        <v>186.13</v>
      </c>
      <c r="M4564" s="15" t="n">
        <f aca="false">F4564*G4564</f>
        <v>200.14</v>
      </c>
      <c r="N4564" s="15" t="n">
        <f aca="false">M4564-L4564</f>
        <v>14.01</v>
      </c>
      <c r="O4564" s="1" t="n">
        <f aca="false">YEAR(B4564)</f>
        <v>2034</v>
      </c>
      <c r="P4564" s="1" t="n">
        <f aca="false">MONTH(B4564)</f>
        <v>6</v>
      </c>
      <c r="Q4564" s="1" t="str">
        <f aca="false">TEXT(B4564,"mmm")</f>
        <v>Jun</v>
      </c>
      <c r="R4564" s="1" t="str">
        <f aca="false">"Q"&amp;ROUNDUP(MONTH(B4564)/3,0)</f>
        <v>Q2</v>
      </c>
    </row>
    <row r="4565" customFormat="false" ht="15" hidden="false" customHeight="true" outlineLevel="0" collapsed="false">
      <c r="A4565" s="1" t="n">
        <v>14564</v>
      </c>
      <c r="B4565" s="14" t="n">
        <v>49125</v>
      </c>
      <c r="C4565" s="1" t="n">
        <v>1934</v>
      </c>
      <c r="D4565" s="1" t="s">
        <v>37</v>
      </c>
      <c r="E4565" s="1" t="s">
        <v>36</v>
      </c>
      <c r="F4565" s="1" t="n">
        <v>4</v>
      </c>
      <c r="G4565" s="15" t="n">
        <v>360.83</v>
      </c>
      <c r="H4565" s="16" t="n">
        <v>0.24</v>
      </c>
      <c r="I4565" s="1" t="s">
        <v>31</v>
      </c>
      <c r="J4565" s="1" t="n">
        <v>1</v>
      </c>
      <c r="K4565" s="1" t="n">
        <v>4.8</v>
      </c>
      <c r="L4565" s="15" t="n">
        <v>1096.92</v>
      </c>
      <c r="M4565" s="15" t="n">
        <f aca="false">F4565*G4565</f>
        <v>1443.32</v>
      </c>
      <c r="N4565" s="15" t="n">
        <f aca="false">M4565-L4565</f>
        <v>346.4</v>
      </c>
      <c r="O4565" s="1" t="n">
        <f aca="false">YEAR(B4565)</f>
        <v>2034</v>
      </c>
      <c r="P4565" s="1" t="n">
        <f aca="false">MONTH(B4565)</f>
        <v>6</v>
      </c>
      <c r="Q4565" s="1" t="str">
        <f aca="false">TEXT(B4565,"mmm")</f>
        <v>Jun</v>
      </c>
      <c r="R4565" s="1" t="str">
        <f aca="false">"Q"&amp;ROUNDUP(MONTH(B4565)/3,0)</f>
        <v>Q2</v>
      </c>
    </row>
    <row r="4566" customFormat="false" ht="15" hidden="false" customHeight="true" outlineLevel="0" collapsed="false">
      <c r="A4566" s="1" t="n">
        <v>14565</v>
      </c>
      <c r="B4566" s="14" t="n">
        <v>49126</v>
      </c>
      <c r="C4566" s="1" t="n">
        <v>1769</v>
      </c>
      <c r="D4566" s="1" t="s">
        <v>34</v>
      </c>
      <c r="E4566" s="1" t="s">
        <v>28</v>
      </c>
      <c r="F4566" s="1" t="n">
        <v>3</v>
      </c>
      <c r="G4566" s="15" t="n">
        <v>536.96</v>
      </c>
      <c r="H4566" s="16" t="n">
        <v>0.14</v>
      </c>
      <c r="I4566" s="1" t="s">
        <v>31</v>
      </c>
      <c r="J4566" s="1" t="n">
        <v>9</v>
      </c>
      <c r="K4566" s="1" t="n">
        <v>4.8</v>
      </c>
      <c r="L4566" s="15" t="n">
        <v>1385.36</v>
      </c>
      <c r="M4566" s="15" t="n">
        <f aca="false">F4566*G4566</f>
        <v>1610.88</v>
      </c>
      <c r="N4566" s="15" t="n">
        <f aca="false">M4566-L4566</f>
        <v>225.52</v>
      </c>
      <c r="O4566" s="1" t="n">
        <f aca="false">YEAR(B4566)</f>
        <v>2034</v>
      </c>
      <c r="P4566" s="1" t="n">
        <f aca="false">MONTH(B4566)</f>
        <v>7</v>
      </c>
      <c r="Q4566" s="1" t="str">
        <f aca="false">TEXT(B4566,"mmm")</f>
        <v>Jul</v>
      </c>
      <c r="R4566" s="1" t="str">
        <f aca="false">"Q"&amp;ROUNDUP(MONTH(B4566)/3,0)</f>
        <v>Q3</v>
      </c>
    </row>
    <row r="4567" customFormat="false" ht="15" hidden="false" customHeight="true" outlineLevel="0" collapsed="false">
      <c r="A4567" s="1" t="n">
        <v>14566</v>
      </c>
      <c r="B4567" s="14" t="n">
        <v>49127</v>
      </c>
      <c r="C4567" s="1" t="n">
        <v>1958</v>
      </c>
      <c r="D4567" s="1" t="s">
        <v>30</v>
      </c>
      <c r="E4567" s="1" t="s">
        <v>28</v>
      </c>
      <c r="F4567" s="1" t="n">
        <v>6</v>
      </c>
      <c r="G4567" s="15" t="n">
        <v>424.52</v>
      </c>
      <c r="H4567" s="16" t="n">
        <v>0.28</v>
      </c>
      <c r="I4567" s="1" t="s">
        <v>31</v>
      </c>
      <c r="J4567" s="1" t="n">
        <v>5</v>
      </c>
      <c r="K4567" s="1" t="n">
        <v>4.9</v>
      </c>
      <c r="L4567" s="15" t="n">
        <v>1833.93</v>
      </c>
      <c r="M4567" s="15" t="n">
        <f aca="false">F4567*G4567</f>
        <v>2547.12</v>
      </c>
      <c r="N4567" s="15" t="n">
        <f aca="false">M4567-L4567</f>
        <v>713.19</v>
      </c>
      <c r="O4567" s="1" t="n">
        <f aca="false">YEAR(B4567)</f>
        <v>2034</v>
      </c>
      <c r="P4567" s="1" t="n">
        <f aca="false">MONTH(B4567)</f>
        <v>7</v>
      </c>
      <c r="Q4567" s="1" t="str">
        <f aca="false">TEXT(B4567,"mmm")</f>
        <v>Jul</v>
      </c>
      <c r="R4567" s="1" t="str">
        <f aca="false">"Q"&amp;ROUNDUP(MONTH(B4567)/3,0)</f>
        <v>Q3</v>
      </c>
    </row>
    <row r="4568" customFormat="false" ht="15" hidden="false" customHeight="true" outlineLevel="0" collapsed="false">
      <c r="A4568" s="1" t="n">
        <v>14567</v>
      </c>
      <c r="B4568" s="14" t="n">
        <v>49128</v>
      </c>
      <c r="C4568" s="1" t="n">
        <v>1796</v>
      </c>
      <c r="D4568" s="1" t="s">
        <v>37</v>
      </c>
      <c r="E4568" s="1" t="s">
        <v>36</v>
      </c>
      <c r="F4568" s="1" t="n">
        <v>6</v>
      </c>
      <c r="G4568" s="15" t="n">
        <v>101.98</v>
      </c>
      <c r="H4568" s="16" t="n">
        <v>0.01</v>
      </c>
      <c r="I4568" s="1" t="s">
        <v>33</v>
      </c>
      <c r="J4568" s="1" t="n">
        <v>1</v>
      </c>
      <c r="K4568" s="1" t="n">
        <v>2.2</v>
      </c>
      <c r="L4568" s="15" t="n">
        <v>605.76</v>
      </c>
      <c r="M4568" s="15" t="n">
        <f aca="false">F4568*G4568</f>
        <v>611.88</v>
      </c>
      <c r="N4568" s="15" t="n">
        <f aca="false">M4568-L4568</f>
        <v>6.12</v>
      </c>
      <c r="O4568" s="1" t="n">
        <f aca="false">YEAR(B4568)</f>
        <v>2034</v>
      </c>
      <c r="P4568" s="1" t="n">
        <f aca="false">MONTH(B4568)</f>
        <v>7</v>
      </c>
      <c r="Q4568" s="1" t="str">
        <f aca="false">TEXT(B4568,"mmm")</f>
        <v>Jul</v>
      </c>
      <c r="R4568" s="1" t="str">
        <f aca="false">"Q"&amp;ROUNDUP(MONTH(B4568)/3,0)</f>
        <v>Q3</v>
      </c>
    </row>
    <row r="4569" customFormat="false" ht="15" hidden="false" customHeight="true" outlineLevel="0" collapsed="false">
      <c r="A4569" s="1" t="n">
        <v>14568</v>
      </c>
      <c r="B4569" s="14" t="n">
        <v>49129</v>
      </c>
      <c r="C4569" s="1" t="n">
        <v>1104</v>
      </c>
      <c r="D4569" s="1" t="s">
        <v>27</v>
      </c>
      <c r="E4569" s="1" t="s">
        <v>35</v>
      </c>
      <c r="F4569" s="1" t="n">
        <v>5</v>
      </c>
      <c r="G4569" s="15" t="n">
        <v>522.68</v>
      </c>
      <c r="H4569" s="16" t="n">
        <v>0.23</v>
      </c>
      <c r="I4569" s="1" t="s">
        <v>33</v>
      </c>
      <c r="J4569" s="1" t="n">
        <v>11</v>
      </c>
      <c r="K4569" s="1" t="n">
        <v>1.8</v>
      </c>
      <c r="L4569" s="15" t="n">
        <v>2012.32</v>
      </c>
      <c r="M4569" s="15" t="n">
        <f aca="false">F4569*G4569</f>
        <v>2613.4</v>
      </c>
      <c r="N4569" s="15" t="n">
        <f aca="false">M4569-L4569</f>
        <v>601.08</v>
      </c>
      <c r="O4569" s="1" t="n">
        <f aca="false">YEAR(B4569)</f>
        <v>2034</v>
      </c>
      <c r="P4569" s="1" t="n">
        <f aca="false">MONTH(B4569)</f>
        <v>7</v>
      </c>
      <c r="Q4569" s="1" t="str">
        <f aca="false">TEXT(B4569,"mmm")</f>
        <v>Jul</v>
      </c>
      <c r="R4569" s="1" t="str">
        <f aca="false">"Q"&amp;ROUNDUP(MONTH(B4569)/3,0)</f>
        <v>Q3</v>
      </c>
    </row>
    <row r="4570" customFormat="false" ht="15" hidden="false" customHeight="true" outlineLevel="0" collapsed="false">
      <c r="A4570" s="1" t="n">
        <v>14569</v>
      </c>
      <c r="B4570" s="14" t="n">
        <v>49130</v>
      </c>
      <c r="C4570" s="1" t="n">
        <v>1201</v>
      </c>
      <c r="D4570" s="1" t="s">
        <v>30</v>
      </c>
      <c r="E4570" s="1" t="s">
        <v>32</v>
      </c>
      <c r="F4570" s="1" t="n">
        <v>5</v>
      </c>
      <c r="G4570" s="15" t="n">
        <v>191.4</v>
      </c>
      <c r="H4570" s="16" t="n">
        <v>0.23</v>
      </c>
      <c r="I4570" s="1" t="s">
        <v>33</v>
      </c>
      <c r="J4570" s="1" t="n">
        <v>3</v>
      </c>
      <c r="K4570" s="1" t="n">
        <v>4.9</v>
      </c>
      <c r="L4570" s="15" t="n">
        <v>736.89</v>
      </c>
      <c r="M4570" s="15" t="n">
        <f aca="false">F4570*G4570</f>
        <v>957</v>
      </c>
      <c r="N4570" s="15" t="n">
        <f aca="false">M4570-L4570</f>
        <v>220.11</v>
      </c>
      <c r="O4570" s="1" t="n">
        <f aca="false">YEAR(B4570)</f>
        <v>2034</v>
      </c>
      <c r="P4570" s="1" t="n">
        <f aca="false">MONTH(B4570)</f>
        <v>7</v>
      </c>
      <c r="Q4570" s="1" t="str">
        <f aca="false">TEXT(B4570,"mmm")</f>
        <v>Jul</v>
      </c>
      <c r="R4570" s="1" t="str">
        <f aca="false">"Q"&amp;ROUNDUP(MONTH(B4570)/3,0)</f>
        <v>Q3</v>
      </c>
    </row>
    <row r="4571" customFormat="false" ht="15" hidden="false" customHeight="true" outlineLevel="0" collapsed="false">
      <c r="A4571" s="1" t="n">
        <v>14570</v>
      </c>
      <c r="B4571" s="14" t="n">
        <v>49131</v>
      </c>
      <c r="C4571" s="1" t="n">
        <v>1449</v>
      </c>
      <c r="D4571" s="1" t="s">
        <v>37</v>
      </c>
      <c r="E4571" s="1" t="s">
        <v>28</v>
      </c>
      <c r="F4571" s="1" t="n">
        <v>2</v>
      </c>
      <c r="G4571" s="15" t="n">
        <v>280.63</v>
      </c>
      <c r="H4571" s="16" t="n">
        <v>0.33</v>
      </c>
      <c r="I4571" s="1" t="s">
        <v>33</v>
      </c>
      <c r="J4571" s="1" t="n">
        <v>7</v>
      </c>
      <c r="K4571" s="1" t="n">
        <v>5</v>
      </c>
      <c r="L4571" s="15" t="n">
        <v>376.04</v>
      </c>
      <c r="M4571" s="15" t="n">
        <f aca="false">F4571*G4571</f>
        <v>561.26</v>
      </c>
      <c r="N4571" s="15" t="n">
        <f aca="false">M4571-L4571</f>
        <v>185.22</v>
      </c>
      <c r="O4571" s="1" t="n">
        <f aca="false">YEAR(B4571)</f>
        <v>2034</v>
      </c>
      <c r="P4571" s="1" t="n">
        <f aca="false">MONTH(B4571)</f>
        <v>7</v>
      </c>
      <c r="Q4571" s="1" t="str">
        <f aca="false">TEXT(B4571,"mmm")</f>
        <v>Jul</v>
      </c>
      <c r="R4571" s="1" t="str">
        <f aca="false">"Q"&amp;ROUNDUP(MONTH(B4571)/3,0)</f>
        <v>Q3</v>
      </c>
    </row>
    <row r="4572" customFormat="false" ht="15" hidden="false" customHeight="true" outlineLevel="0" collapsed="false">
      <c r="A4572" s="1" t="n">
        <v>14571</v>
      </c>
      <c r="B4572" s="14" t="n">
        <v>49132</v>
      </c>
      <c r="C4572" s="1" t="n">
        <v>1818</v>
      </c>
      <c r="D4572" s="1" t="s">
        <v>34</v>
      </c>
      <c r="E4572" s="1" t="s">
        <v>32</v>
      </c>
      <c r="F4572" s="1" t="n">
        <v>6</v>
      </c>
      <c r="G4572" s="15" t="n">
        <v>322.79</v>
      </c>
      <c r="H4572" s="16" t="n">
        <v>0.25</v>
      </c>
      <c r="I4572" s="1" t="s">
        <v>33</v>
      </c>
      <c r="J4572" s="1" t="n">
        <v>2</v>
      </c>
      <c r="K4572" s="1" t="n">
        <v>1.3</v>
      </c>
      <c r="L4572" s="15" t="n">
        <v>1452.56</v>
      </c>
      <c r="M4572" s="15" t="n">
        <f aca="false">F4572*G4572</f>
        <v>1936.74</v>
      </c>
      <c r="N4572" s="15" t="n">
        <f aca="false">M4572-L4572</f>
        <v>484.18</v>
      </c>
      <c r="O4572" s="1" t="n">
        <f aca="false">YEAR(B4572)</f>
        <v>2034</v>
      </c>
      <c r="P4572" s="1" t="n">
        <f aca="false">MONTH(B4572)</f>
        <v>7</v>
      </c>
      <c r="Q4572" s="1" t="str">
        <f aca="false">TEXT(B4572,"mmm")</f>
        <v>Jul</v>
      </c>
      <c r="R4572" s="1" t="str">
        <f aca="false">"Q"&amp;ROUNDUP(MONTH(B4572)/3,0)</f>
        <v>Q3</v>
      </c>
    </row>
    <row r="4573" customFormat="false" ht="15" hidden="false" customHeight="true" outlineLevel="0" collapsed="false">
      <c r="A4573" s="1" t="n">
        <v>14572</v>
      </c>
      <c r="B4573" s="14" t="n">
        <v>49133</v>
      </c>
      <c r="C4573" s="1" t="n">
        <v>1842</v>
      </c>
      <c r="D4573" s="1" t="s">
        <v>27</v>
      </c>
      <c r="E4573" s="1" t="s">
        <v>32</v>
      </c>
      <c r="F4573" s="1" t="n">
        <v>5</v>
      </c>
      <c r="G4573" s="15" t="n">
        <v>512.55</v>
      </c>
      <c r="H4573" s="16" t="n">
        <v>0.28</v>
      </c>
      <c r="I4573" s="1" t="s">
        <v>33</v>
      </c>
      <c r="J4573" s="1" t="n">
        <v>4</v>
      </c>
      <c r="K4573" s="1" t="n">
        <v>4</v>
      </c>
      <c r="L4573" s="15" t="n">
        <v>1845.18</v>
      </c>
      <c r="M4573" s="15" t="n">
        <f aca="false">F4573*G4573</f>
        <v>2562.75</v>
      </c>
      <c r="N4573" s="15" t="n">
        <f aca="false">M4573-L4573</f>
        <v>717.57</v>
      </c>
      <c r="O4573" s="1" t="n">
        <f aca="false">YEAR(B4573)</f>
        <v>2034</v>
      </c>
      <c r="P4573" s="1" t="n">
        <f aca="false">MONTH(B4573)</f>
        <v>7</v>
      </c>
      <c r="Q4573" s="1" t="str">
        <f aca="false">TEXT(B4573,"mmm")</f>
        <v>Jul</v>
      </c>
      <c r="R4573" s="1" t="str">
        <f aca="false">"Q"&amp;ROUNDUP(MONTH(B4573)/3,0)</f>
        <v>Q3</v>
      </c>
    </row>
    <row r="4574" customFormat="false" ht="15" hidden="false" customHeight="true" outlineLevel="0" collapsed="false">
      <c r="A4574" s="1" t="n">
        <v>14573</v>
      </c>
      <c r="B4574" s="14" t="n">
        <v>49134</v>
      </c>
      <c r="C4574" s="1" t="n">
        <v>1972</v>
      </c>
      <c r="D4574" s="1" t="s">
        <v>34</v>
      </c>
      <c r="E4574" s="1" t="s">
        <v>28</v>
      </c>
      <c r="F4574" s="1" t="n">
        <v>3</v>
      </c>
      <c r="G4574" s="15" t="n">
        <v>559.99</v>
      </c>
      <c r="H4574" s="16" t="n">
        <v>0.32</v>
      </c>
      <c r="I4574" s="1" t="s">
        <v>33</v>
      </c>
      <c r="J4574" s="1" t="n">
        <v>2</v>
      </c>
      <c r="K4574" s="1" t="n">
        <v>2.2</v>
      </c>
      <c r="L4574" s="15" t="n">
        <v>1142.38</v>
      </c>
      <c r="M4574" s="15" t="n">
        <f aca="false">F4574*G4574</f>
        <v>1679.97</v>
      </c>
      <c r="N4574" s="15" t="n">
        <f aca="false">M4574-L4574</f>
        <v>537.59</v>
      </c>
      <c r="O4574" s="1" t="n">
        <f aca="false">YEAR(B4574)</f>
        <v>2034</v>
      </c>
      <c r="P4574" s="1" t="n">
        <f aca="false">MONTH(B4574)</f>
        <v>7</v>
      </c>
      <c r="Q4574" s="1" t="str">
        <f aca="false">TEXT(B4574,"mmm")</f>
        <v>Jul</v>
      </c>
      <c r="R4574" s="1" t="str">
        <f aca="false">"Q"&amp;ROUNDUP(MONTH(B4574)/3,0)</f>
        <v>Q3</v>
      </c>
    </row>
    <row r="4575" customFormat="false" ht="15" hidden="false" customHeight="true" outlineLevel="0" collapsed="false">
      <c r="A4575" s="1" t="n">
        <v>14574</v>
      </c>
      <c r="B4575" s="14" t="n">
        <v>49135</v>
      </c>
      <c r="C4575" s="1" t="n">
        <v>1265</v>
      </c>
      <c r="D4575" s="1" t="s">
        <v>37</v>
      </c>
      <c r="E4575" s="1" t="s">
        <v>36</v>
      </c>
      <c r="F4575" s="1" t="n">
        <v>7</v>
      </c>
      <c r="G4575" s="15" t="n">
        <v>558.85</v>
      </c>
      <c r="H4575" s="16" t="n">
        <v>0.24</v>
      </c>
      <c r="I4575" s="1" t="s">
        <v>33</v>
      </c>
      <c r="J4575" s="1" t="n">
        <v>9</v>
      </c>
      <c r="K4575" s="1" t="n">
        <v>4.6</v>
      </c>
      <c r="L4575" s="15" t="n">
        <v>2973.08</v>
      </c>
      <c r="M4575" s="15" t="n">
        <f aca="false">F4575*G4575</f>
        <v>3911.95</v>
      </c>
      <c r="N4575" s="15" t="n">
        <f aca="false">M4575-L4575</f>
        <v>938.87</v>
      </c>
      <c r="O4575" s="1" t="n">
        <f aca="false">YEAR(B4575)</f>
        <v>2034</v>
      </c>
      <c r="P4575" s="1" t="n">
        <f aca="false">MONTH(B4575)</f>
        <v>7</v>
      </c>
      <c r="Q4575" s="1" t="str">
        <f aca="false">TEXT(B4575,"mmm")</f>
        <v>Jul</v>
      </c>
      <c r="R4575" s="1" t="str">
        <f aca="false">"Q"&amp;ROUNDUP(MONTH(B4575)/3,0)</f>
        <v>Q3</v>
      </c>
    </row>
    <row r="4576" customFormat="false" ht="15" hidden="false" customHeight="true" outlineLevel="0" collapsed="false">
      <c r="A4576" s="1" t="n">
        <v>14575</v>
      </c>
      <c r="B4576" s="14" t="n">
        <v>49136</v>
      </c>
      <c r="C4576" s="1" t="n">
        <v>1909</v>
      </c>
      <c r="D4576" s="1" t="s">
        <v>34</v>
      </c>
      <c r="E4576" s="1" t="s">
        <v>28</v>
      </c>
      <c r="F4576" s="1" t="n">
        <v>7</v>
      </c>
      <c r="G4576" s="15" t="n">
        <v>19.65</v>
      </c>
      <c r="H4576" s="16" t="n">
        <v>0.1</v>
      </c>
      <c r="I4576" s="1" t="s">
        <v>29</v>
      </c>
      <c r="J4576" s="1" t="n">
        <v>9</v>
      </c>
      <c r="K4576" s="1" t="n">
        <v>1.4</v>
      </c>
      <c r="L4576" s="15" t="n">
        <v>123.79</v>
      </c>
      <c r="M4576" s="15" t="n">
        <f aca="false">F4576*G4576</f>
        <v>137.55</v>
      </c>
      <c r="N4576" s="15" t="n">
        <f aca="false">M4576-L4576</f>
        <v>13.76</v>
      </c>
      <c r="O4576" s="1" t="n">
        <f aca="false">YEAR(B4576)</f>
        <v>2034</v>
      </c>
      <c r="P4576" s="1" t="n">
        <f aca="false">MONTH(B4576)</f>
        <v>7</v>
      </c>
      <c r="Q4576" s="1" t="str">
        <f aca="false">TEXT(B4576,"mmm")</f>
        <v>Jul</v>
      </c>
      <c r="R4576" s="1" t="str">
        <f aca="false">"Q"&amp;ROUNDUP(MONTH(B4576)/3,0)</f>
        <v>Q3</v>
      </c>
    </row>
    <row r="4577" customFormat="false" ht="15" hidden="false" customHeight="true" outlineLevel="0" collapsed="false">
      <c r="A4577" s="1" t="n">
        <v>14576</v>
      </c>
      <c r="B4577" s="14" t="n">
        <v>49137</v>
      </c>
      <c r="C4577" s="1" t="n">
        <v>1209</v>
      </c>
      <c r="D4577" s="1" t="s">
        <v>27</v>
      </c>
      <c r="E4577" s="1" t="s">
        <v>28</v>
      </c>
      <c r="F4577" s="1" t="n">
        <v>7</v>
      </c>
      <c r="G4577" s="15" t="n">
        <v>554.3</v>
      </c>
      <c r="H4577" s="16" t="n">
        <v>0.3</v>
      </c>
      <c r="I4577" s="1" t="s">
        <v>31</v>
      </c>
      <c r="J4577" s="1" t="n">
        <v>7</v>
      </c>
      <c r="K4577" s="1" t="n">
        <v>4.6</v>
      </c>
      <c r="L4577" s="15" t="n">
        <v>2716.07</v>
      </c>
      <c r="M4577" s="15" t="n">
        <f aca="false">F4577*G4577</f>
        <v>3880.1</v>
      </c>
      <c r="N4577" s="15" t="n">
        <f aca="false">M4577-L4577</f>
        <v>1164.03</v>
      </c>
      <c r="O4577" s="1" t="n">
        <f aca="false">YEAR(B4577)</f>
        <v>2034</v>
      </c>
      <c r="P4577" s="1" t="n">
        <f aca="false">MONTH(B4577)</f>
        <v>7</v>
      </c>
      <c r="Q4577" s="1" t="str">
        <f aca="false">TEXT(B4577,"mmm")</f>
        <v>Jul</v>
      </c>
      <c r="R4577" s="1" t="str">
        <f aca="false">"Q"&amp;ROUNDUP(MONTH(B4577)/3,0)</f>
        <v>Q3</v>
      </c>
    </row>
    <row r="4578" customFormat="false" ht="15" hidden="false" customHeight="true" outlineLevel="0" collapsed="false">
      <c r="A4578" s="1" t="n">
        <v>14577</v>
      </c>
      <c r="B4578" s="14" t="n">
        <v>49138</v>
      </c>
      <c r="C4578" s="1" t="n">
        <v>1562</v>
      </c>
      <c r="D4578" s="1" t="s">
        <v>37</v>
      </c>
      <c r="E4578" s="1" t="s">
        <v>35</v>
      </c>
      <c r="F4578" s="1" t="n">
        <v>5</v>
      </c>
      <c r="G4578" s="15" t="n">
        <v>46.82</v>
      </c>
      <c r="H4578" s="16" t="n">
        <v>0.26</v>
      </c>
      <c r="I4578" s="1" t="s">
        <v>31</v>
      </c>
      <c r="J4578" s="1" t="n">
        <v>7</v>
      </c>
      <c r="K4578" s="1" t="n">
        <v>1</v>
      </c>
      <c r="L4578" s="15" t="n">
        <v>173.23</v>
      </c>
      <c r="M4578" s="15" t="n">
        <f aca="false">F4578*G4578</f>
        <v>234.1</v>
      </c>
      <c r="N4578" s="15" t="n">
        <f aca="false">M4578-L4578</f>
        <v>60.87</v>
      </c>
      <c r="O4578" s="1" t="n">
        <f aca="false">YEAR(B4578)</f>
        <v>2034</v>
      </c>
      <c r="P4578" s="1" t="n">
        <f aca="false">MONTH(B4578)</f>
        <v>7</v>
      </c>
      <c r="Q4578" s="1" t="str">
        <f aca="false">TEXT(B4578,"mmm")</f>
        <v>Jul</v>
      </c>
      <c r="R4578" s="1" t="str">
        <f aca="false">"Q"&amp;ROUNDUP(MONTH(B4578)/3,0)</f>
        <v>Q3</v>
      </c>
    </row>
    <row r="4579" customFormat="false" ht="15" hidden="false" customHeight="true" outlineLevel="0" collapsed="false">
      <c r="A4579" s="1" t="n">
        <v>14578</v>
      </c>
      <c r="B4579" s="14" t="n">
        <v>49139</v>
      </c>
      <c r="C4579" s="1" t="n">
        <v>1117</v>
      </c>
      <c r="D4579" s="1" t="s">
        <v>37</v>
      </c>
      <c r="E4579" s="1" t="s">
        <v>32</v>
      </c>
      <c r="F4579" s="1" t="n">
        <v>6</v>
      </c>
      <c r="G4579" s="15" t="n">
        <v>170.48</v>
      </c>
      <c r="H4579" s="16" t="n">
        <v>0.15</v>
      </c>
      <c r="I4579" s="1" t="s">
        <v>31</v>
      </c>
      <c r="J4579" s="1" t="n">
        <v>2</v>
      </c>
      <c r="K4579" s="1" t="n">
        <v>3.1</v>
      </c>
      <c r="L4579" s="15" t="n">
        <v>869.45</v>
      </c>
      <c r="M4579" s="15" t="n">
        <f aca="false">F4579*G4579</f>
        <v>1022.88</v>
      </c>
      <c r="N4579" s="15" t="n">
        <f aca="false">M4579-L4579</f>
        <v>153.43</v>
      </c>
      <c r="O4579" s="1" t="n">
        <f aca="false">YEAR(B4579)</f>
        <v>2034</v>
      </c>
      <c r="P4579" s="1" t="n">
        <f aca="false">MONTH(B4579)</f>
        <v>7</v>
      </c>
      <c r="Q4579" s="1" t="str">
        <f aca="false">TEXT(B4579,"mmm")</f>
        <v>Jul</v>
      </c>
      <c r="R4579" s="1" t="str">
        <f aca="false">"Q"&amp;ROUNDUP(MONTH(B4579)/3,0)</f>
        <v>Q3</v>
      </c>
    </row>
    <row r="4580" customFormat="false" ht="15" hidden="false" customHeight="true" outlineLevel="0" collapsed="false">
      <c r="A4580" s="1" t="n">
        <v>14579</v>
      </c>
      <c r="B4580" s="14" t="n">
        <v>49140</v>
      </c>
      <c r="C4580" s="1" t="n">
        <v>1712</v>
      </c>
      <c r="D4580" s="1" t="s">
        <v>34</v>
      </c>
      <c r="E4580" s="1" t="s">
        <v>36</v>
      </c>
      <c r="F4580" s="1" t="n">
        <v>7</v>
      </c>
      <c r="G4580" s="15" t="n">
        <v>316.27</v>
      </c>
      <c r="H4580" s="16" t="n">
        <v>0.25</v>
      </c>
      <c r="I4580" s="1" t="s">
        <v>29</v>
      </c>
      <c r="J4580" s="1" t="n">
        <v>10</v>
      </c>
      <c r="K4580" s="1" t="n">
        <v>2.3</v>
      </c>
      <c r="L4580" s="15" t="n">
        <v>1660.42</v>
      </c>
      <c r="M4580" s="15" t="n">
        <f aca="false">F4580*G4580</f>
        <v>2213.89</v>
      </c>
      <c r="N4580" s="15" t="n">
        <f aca="false">M4580-L4580</f>
        <v>553.47</v>
      </c>
      <c r="O4580" s="1" t="n">
        <f aca="false">YEAR(B4580)</f>
        <v>2034</v>
      </c>
      <c r="P4580" s="1" t="n">
        <f aca="false">MONTH(B4580)</f>
        <v>7</v>
      </c>
      <c r="Q4580" s="1" t="str">
        <f aca="false">TEXT(B4580,"mmm")</f>
        <v>Jul</v>
      </c>
      <c r="R4580" s="1" t="str">
        <f aca="false">"Q"&amp;ROUNDUP(MONTH(B4580)/3,0)</f>
        <v>Q3</v>
      </c>
    </row>
    <row r="4581" customFormat="false" ht="15" hidden="false" customHeight="true" outlineLevel="0" collapsed="false">
      <c r="A4581" s="1" t="n">
        <v>14580</v>
      </c>
      <c r="B4581" s="14" t="n">
        <v>49141</v>
      </c>
      <c r="C4581" s="1" t="n">
        <v>1376</v>
      </c>
      <c r="D4581" s="1" t="s">
        <v>30</v>
      </c>
      <c r="E4581" s="1" t="s">
        <v>32</v>
      </c>
      <c r="F4581" s="1" t="n">
        <v>1</v>
      </c>
      <c r="G4581" s="15" t="n">
        <v>295.76</v>
      </c>
      <c r="H4581" s="16" t="n">
        <v>0.3</v>
      </c>
      <c r="I4581" s="1" t="s">
        <v>31</v>
      </c>
      <c r="J4581" s="1" t="n">
        <v>8</v>
      </c>
      <c r="K4581" s="1" t="n">
        <v>2.7</v>
      </c>
      <c r="L4581" s="15" t="n">
        <v>207.03</v>
      </c>
      <c r="M4581" s="15" t="n">
        <f aca="false">F4581*G4581</f>
        <v>295.76</v>
      </c>
      <c r="N4581" s="15" t="n">
        <f aca="false">M4581-L4581</f>
        <v>88.73</v>
      </c>
      <c r="O4581" s="1" t="n">
        <f aca="false">YEAR(B4581)</f>
        <v>2034</v>
      </c>
      <c r="P4581" s="1" t="n">
        <f aca="false">MONTH(B4581)</f>
        <v>7</v>
      </c>
      <c r="Q4581" s="1" t="str">
        <f aca="false">TEXT(B4581,"mmm")</f>
        <v>Jul</v>
      </c>
      <c r="R4581" s="1" t="str">
        <f aca="false">"Q"&amp;ROUNDUP(MONTH(B4581)/3,0)</f>
        <v>Q3</v>
      </c>
    </row>
    <row r="4582" customFormat="false" ht="15" hidden="false" customHeight="true" outlineLevel="0" collapsed="false">
      <c r="A4582" s="1" t="n">
        <v>14581</v>
      </c>
      <c r="B4582" s="14" t="n">
        <v>49142</v>
      </c>
      <c r="C4582" s="1" t="n">
        <v>1550</v>
      </c>
      <c r="D4582" s="1" t="s">
        <v>30</v>
      </c>
      <c r="E4582" s="1" t="s">
        <v>28</v>
      </c>
      <c r="F4582" s="1" t="n">
        <v>4</v>
      </c>
      <c r="G4582" s="15" t="n">
        <v>368.76</v>
      </c>
      <c r="H4582" s="16" t="n">
        <v>0.34</v>
      </c>
      <c r="I4582" s="1" t="s">
        <v>31</v>
      </c>
      <c r="J4582" s="1" t="n">
        <v>1</v>
      </c>
      <c r="K4582" s="1" t="n">
        <v>2.7</v>
      </c>
      <c r="L4582" s="15" t="n">
        <v>973.53</v>
      </c>
      <c r="M4582" s="15" t="n">
        <f aca="false">F4582*G4582</f>
        <v>1475.04</v>
      </c>
      <c r="N4582" s="15" t="n">
        <f aca="false">M4582-L4582</f>
        <v>501.51</v>
      </c>
      <c r="O4582" s="1" t="n">
        <f aca="false">YEAR(B4582)</f>
        <v>2034</v>
      </c>
      <c r="P4582" s="1" t="n">
        <f aca="false">MONTH(B4582)</f>
        <v>7</v>
      </c>
      <c r="Q4582" s="1" t="str">
        <f aca="false">TEXT(B4582,"mmm")</f>
        <v>Jul</v>
      </c>
      <c r="R4582" s="1" t="str">
        <f aca="false">"Q"&amp;ROUNDUP(MONTH(B4582)/3,0)</f>
        <v>Q3</v>
      </c>
    </row>
    <row r="4583" customFormat="false" ht="15" hidden="false" customHeight="true" outlineLevel="0" collapsed="false">
      <c r="A4583" s="1" t="n">
        <v>14582</v>
      </c>
      <c r="B4583" s="14" t="n">
        <v>49143</v>
      </c>
      <c r="C4583" s="1" t="n">
        <v>1539</v>
      </c>
      <c r="D4583" s="1" t="s">
        <v>37</v>
      </c>
      <c r="E4583" s="1" t="s">
        <v>36</v>
      </c>
      <c r="F4583" s="1" t="n">
        <v>6</v>
      </c>
      <c r="G4583" s="15" t="n">
        <v>295.48</v>
      </c>
      <c r="H4583" s="16" t="n">
        <v>0.33</v>
      </c>
      <c r="I4583" s="1" t="s">
        <v>29</v>
      </c>
      <c r="J4583" s="1" t="n">
        <v>8</v>
      </c>
      <c r="K4583" s="1" t="n">
        <v>3.6</v>
      </c>
      <c r="L4583" s="15" t="n">
        <v>1187.83</v>
      </c>
      <c r="M4583" s="15" t="n">
        <f aca="false">F4583*G4583</f>
        <v>1772.88</v>
      </c>
      <c r="N4583" s="15" t="n">
        <f aca="false">M4583-L4583</f>
        <v>585.05</v>
      </c>
      <c r="O4583" s="1" t="n">
        <f aca="false">YEAR(B4583)</f>
        <v>2034</v>
      </c>
      <c r="P4583" s="1" t="n">
        <f aca="false">MONTH(B4583)</f>
        <v>7</v>
      </c>
      <c r="Q4583" s="1" t="str">
        <f aca="false">TEXT(B4583,"mmm")</f>
        <v>Jul</v>
      </c>
      <c r="R4583" s="1" t="str">
        <f aca="false">"Q"&amp;ROUNDUP(MONTH(B4583)/3,0)</f>
        <v>Q3</v>
      </c>
    </row>
    <row r="4584" customFormat="false" ht="15" hidden="false" customHeight="true" outlineLevel="0" collapsed="false">
      <c r="A4584" s="1" t="n">
        <v>14583</v>
      </c>
      <c r="B4584" s="14" t="n">
        <v>49144</v>
      </c>
      <c r="C4584" s="1" t="n">
        <v>1770</v>
      </c>
      <c r="D4584" s="1" t="s">
        <v>34</v>
      </c>
      <c r="E4584" s="1" t="s">
        <v>36</v>
      </c>
      <c r="F4584" s="1" t="n">
        <v>3</v>
      </c>
      <c r="G4584" s="15" t="n">
        <v>561.61</v>
      </c>
      <c r="H4584" s="16" t="n">
        <v>0.11</v>
      </c>
      <c r="I4584" s="1" t="s">
        <v>29</v>
      </c>
      <c r="J4584" s="1" t="n">
        <v>5</v>
      </c>
      <c r="K4584" s="1" t="n">
        <v>1.1</v>
      </c>
      <c r="L4584" s="15" t="n">
        <v>1499.5</v>
      </c>
      <c r="M4584" s="15" t="n">
        <f aca="false">F4584*G4584</f>
        <v>1684.83</v>
      </c>
      <c r="N4584" s="15" t="n">
        <f aca="false">M4584-L4584</f>
        <v>185.33</v>
      </c>
      <c r="O4584" s="1" t="n">
        <f aca="false">YEAR(B4584)</f>
        <v>2034</v>
      </c>
      <c r="P4584" s="1" t="n">
        <f aca="false">MONTH(B4584)</f>
        <v>7</v>
      </c>
      <c r="Q4584" s="1" t="str">
        <f aca="false">TEXT(B4584,"mmm")</f>
        <v>Jul</v>
      </c>
      <c r="R4584" s="1" t="str">
        <f aca="false">"Q"&amp;ROUNDUP(MONTH(B4584)/3,0)</f>
        <v>Q3</v>
      </c>
    </row>
    <row r="4585" customFormat="false" ht="15" hidden="false" customHeight="true" outlineLevel="0" collapsed="false">
      <c r="A4585" s="1" t="n">
        <v>14584</v>
      </c>
      <c r="B4585" s="14" t="n">
        <v>49145</v>
      </c>
      <c r="C4585" s="1" t="n">
        <v>1083</v>
      </c>
      <c r="D4585" s="1" t="s">
        <v>27</v>
      </c>
      <c r="E4585" s="1" t="s">
        <v>36</v>
      </c>
      <c r="F4585" s="1" t="n">
        <v>6</v>
      </c>
      <c r="G4585" s="15" t="n">
        <v>155.72</v>
      </c>
      <c r="H4585" s="16" t="n">
        <v>0.15</v>
      </c>
      <c r="I4585" s="1" t="s">
        <v>29</v>
      </c>
      <c r="J4585" s="1" t="n">
        <v>4</v>
      </c>
      <c r="K4585" s="1" t="n">
        <v>3.8</v>
      </c>
      <c r="L4585" s="15" t="n">
        <v>794.17</v>
      </c>
      <c r="M4585" s="15" t="n">
        <f aca="false">F4585*G4585</f>
        <v>934.32</v>
      </c>
      <c r="N4585" s="15" t="n">
        <f aca="false">M4585-L4585</f>
        <v>140.15</v>
      </c>
      <c r="O4585" s="1" t="n">
        <f aca="false">YEAR(B4585)</f>
        <v>2034</v>
      </c>
      <c r="P4585" s="1" t="n">
        <f aca="false">MONTH(B4585)</f>
        <v>7</v>
      </c>
      <c r="Q4585" s="1" t="str">
        <f aca="false">TEXT(B4585,"mmm")</f>
        <v>Jul</v>
      </c>
      <c r="R4585" s="1" t="str">
        <f aca="false">"Q"&amp;ROUNDUP(MONTH(B4585)/3,0)</f>
        <v>Q3</v>
      </c>
    </row>
    <row r="4586" customFormat="false" ht="15" hidden="false" customHeight="true" outlineLevel="0" collapsed="false">
      <c r="A4586" s="1" t="n">
        <v>14585</v>
      </c>
      <c r="B4586" s="14" t="n">
        <v>49146</v>
      </c>
      <c r="C4586" s="1" t="n">
        <v>1453</v>
      </c>
      <c r="D4586" s="1" t="s">
        <v>27</v>
      </c>
      <c r="E4586" s="1" t="s">
        <v>36</v>
      </c>
      <c r="F4586" s="1" t="n">
        <v>3</v>
      </c>
      <c r="G4586" s="15" t="n">
        <v>175.3</v>
      </c>
      <c r="H4586" s="16" t="n">
        <v>0.04</v>
      </c>
      <c r="I4586" s="1" t="s">
        <v>31</v>
      </c>
      <c r="J4586" s="1" t="n">
        <v>10</v>
      </c>
      <c r="K4586" s="1" t="n">
        <v>1.1</v>
      </c>
      <c r="L4586" s="15" t="n">
        <v>504.86</v>
      </c>
      <c r="M4586" s="15" t="n">
        <f aca="false">F4586*G4586</f>
        <v>525.9</v>
      </c>
      <c r="N4586" s="15" t="n">
        <f aca="false">M4586-L4586</f>
        <v>21.0400000000001</v>
      </c>
      <c r="O4586" s="1" t="n">
        <f aca="false">YEAR(B4586)</f>
        <v>2034</v>
      </c>
      <c r="P4586" s="1" t="n">
        <f aca="false">MONTH(B4586)</f>
        <v>7</v>
      </c>
      <c r="Q4586" s="1" t="str">
        <f aca="false">TEXT(B4586,"mmm")</f>
        <v>Jul</v>
      </c>
      <c r="R4586" s="1" t="str">
        <f aca="false">"Q"&amp;ROUNDUP(MONTH(B4586)/3,0)</f>
        <v>Q3</v>
      </c>
    </row>
    <row r="4587" customFormat="false" ht="15" hidden="false" customHeight="true" outlineLevel="0" collapsed="false">
      <c r="A4587" s="1" t="n">
        <v>14586</v>
      </c>
      <c r="B4587" s="14" t="n">
        <v>49147</v>
      </c>
      <c r="C4587" s="1" t="n">
        <v>1666</v>
      </c>
      <c r="D4587" s="1" t="s">
        <v>34</v>
      </c>
      <c r="E4587" s="1" t="s">
        <v>35</v>
      </c>
      <c r="F4587" s="1" t="n">
        <v>6</v>
      </c>
      <c r="G4587" s="15" t="n">
        <v>553.63</v>
      </c>
      <c r="H4587" s="16" t="n">
        <v>0.09</v>
      </c>
      <c r="I4587" s="1" t="s">
        <v>29</v>
      </c>
      <c r="J4587" s="1" t="n">
        <v>2</v>
      </c>
      <c r="K4587" s="1" t="n">
        <v>1.7</v>
      </c>
      <c r="L4587" s="15" t="n">
        <v>3022.82</v>
      </c>
      <c r="M4587" s="15" t="n">
        <f aca="false">F4587*G4587</f>
        <v>3321.78</v>
      </c>
      <c r="N4587" s="15" t="n">
        <f aca="false">M4587-L4587</f>
        <v>298.96</v>
      </c>
      <c r="O4587" s="1" t="n">
        <f aca="false">YEAR(B4587)</f>
        <v>2034</v>
      </c>
      <c r="P4587" s="1" t="n">
        <f aca="false">MONTH(B4587)</f>
        <v>7</v>
      </c>
      <c r="Q4587" s="1" t="str">
        <f aca="false">TEXT(B4587,"mmm")</f>
        <v>Jul</v>
      </c>
      <c r="R4587" s="1" t="str">
        <f aca="false">"Q"&amp;ROUNDUP(MONTH(B4587)/3,0)</f>
        <v>Q3</v>
      </c>
    </row>
    <row r="4588" customFormat="false" ht="15" hidden="false" customHeight="true" outlineLevel="0" collapsed="false">
      <c r="A4588" s="1" t="n">
        <v>14587</v>
      </c>
      <c r="B4588" s="14" t="n">
        <v>49148</v>
      </c>
      <c r="C4588" s="1" t="n">
        <v>1628</v>
      </c>
      <c r="D4588" s="1" t="s">
        <v>37</v>
      </c>
      <c r="E4588" s="1" t="s">
        <v>36</v>
      </c>
      <c r="F4588" s="1" t="n">
        <v>7</v>
      </c>
      <c r="G4588" s="15" t="n">
        <v>59.89</v>
      </c>
      <c r="H4588" s="16" t="n">
        <v>0.31</v>
      </c>
      <c r="I4588" s="1" t="s">
        <v>31</v>
      </c>
      <c r="J4588" s="1" t="n">
        <v>3</v>
      </c>
      <c r="K4588" s="1" t="n">
        <v>3.4</v>
      </c>
      <c r="L4588" s="15" t="n">
        <v>289.27</v>
      </c>
      <c r="M4588" s="15" t="n">
        <f aca="false">F4588*G4588</f>
        <v>419.23</v>
      </c>
      <c r="N4588" s="15" t="n">
        <f aca="false">M4588-L4588</f>
        <v>129.96</v>
      </c>
      <c r="O4588" s="1" t="n">
        <f aca="false">YEAR(B4588)</f>
        <v>2034</v>
      </c>
      <c r="P4588" s="1" t="n">
        <f aca="false">MONTH(B4588)</f>
        <v>7</v>
      </c>
      <c r="Q4588" s="1" t="str">
        <f aca="false">TEXT(B4588,"mmm")</f>
        <v>Jul</v>
      </c>
      <c r="R4588" s="1" t="str">
        <f aca="false">"Q"&amp;ROUNDUP(MONTH(B4588)/3,0)</f>
        <v>Q3</v>
      </c>
    </row>
    <row r="4589" customFormat="false" ht="15" hidden="false" customHeight="true" outlineLevel="0" collapsed="false">
      <c r="A4589" s="1" t="n">
        <v>14588</v>
      </c>
      <c r="B4589" s="14" t="n">
        <v>49149</v>
      </c>
      <c r="C4589" s="1" t="n">
        <v>1513</v>
      </c>
      <c r="D4589" s="1" t="s">
        <v>30</v>
      </c>
      <c r="E4589" s="1" t="s">
        <v>28</v>
      </c>
      <c r="F4589" s="1" t="n">
        <v>4</v>
      </c>
      <c r="G4589" s="15" t="n">
        <v>371.59</v>
      </c>
      <c r="H4589" s="16" t="n">
        <v>0.13</v>
      </c>
      <c r="I4589" s="1" t="s">
        <v>31</v>
      </c>
      <c r="J4589" s="1" t="n">
        <v>10</v>
      </c>
      <c r="K4589" s="1" t="n">
        <v>1.3</v>
      </c>
      <c r="L4589" s="15" t="n">
        <v>1293.13</v>
      </c>
      <c r="M4589" s="15" t="n">
        <f aca="false">F4589*G4589</f>
        <v>1486.36</v>
      </c>
      <c r="N4589" s="15" t="n">
        <f aca="false">M4589-L4589</f>
        <v>193.23</v>
      </c>
      <c r="O4589" s="1" t="n">
        <f aca="false">YEAR(B4589)</f>
        <v>2034</v>
      </c>
      <c r="P4589" s="1" t="n">
        <f aca="false">MONTH(B4589)</f>
        <v>7</v>
      </c>
      <c r="Q4589" s="1" t="str">
        <f aca="false">TEXT(B4589,"mmm")</f>
        <v>Jul</v>
      </c>
      <c r="R4589" s="1" t="str">
        <f aca="false">"Q"&amp;ROUNDUP(MONTH(B4589)/3,0)</f>
        <v>Q3</v>
      </c>
    </row>
    <row r="4590" customFormat="false" ht="15" hidden="false" customHeight="true" outlineLevel="0" collapsed="false">
      <c r="A4590" s="1" t="n">
        <v>14589</v>
      </c>
      <c r="B4590" s="14" t="n">
        <v>49150</v>
      </c>
      <c r="C4590" s="1" t="n">
        <v>1604</v>
      </c>
      <c r="D4590" s="1" t="s">
        <v>30</v>
      </c>
      <c r="E4590" s="1" t="s">
        <v>35</v>
      </c>
      <c r="F4590" s="1" t="n">
        <v>4</v>
      </c>
      <c r="G4590" s="15" t="n">
        <v>413.82</v>
      </c>
      <c r="H4590" s="16" t="n">
        <v>0.22</v>
      </c>
      <c r="I4590" s="1" t="s">
        <v>31</v>
      </c>
      <c r="J4590" s="1" t="n">
        <v>2</v>
      </c>
      <c r="K4590" s="1" t="n">
        <v>5</v>
      </c>
      <c r="L4590" s="15" t="n">
        <v>1291.12</v>
      </c>
      <c r="M4590" s="15" t="n">
        <f aca="false">F4590*G4590</f>
        <v>1655.28</v>
      </c>
      <c r="N4590" s="15" t="n">
        <f aca="false">M4590-L4590</f>
        <v>364.16</v>
      </c>
      <c r="O4590" s="1" t="n">
        <f aca="false">YEAR(B4590)</f>
        <v>2034</v>
      </c>
      <c r="P4590" s="1" t="n">
        <f aca="false">MONTH(B4590)</f>
        <v>7</v>
      </c>
      <c r="Q4590" s="1" t="str">
        <f aca="false">TEXT(B4590,"mmm")</f>
        <v>Jul</v>
      </c>
      <c r="R4590" s="1" t="str">
        <f aca="false">"Q"&amp;ROUNDUP(MONTH(B4590)/3,0)</f>
        <v>Q3</v>
      </c>
    </row>
    <row r="4591" customFormat="false" ht="15" hidden="false" customHeight="true" outlineLevel="0" collapsed="false">
      <c r="A4591" s="1" t="n">
        <v>14590</v>
      </c>
      <c r="B4591" s="14" t="n">
        <v>49151</v>
      </c>
      <c r="C4591" s="1" t="n">
        <v>1677</v>
      </c>
      <c r="D4591" s="1" t="s">
        <v>34</v>
      </c>
      <c r="E4591" s="1" t="s">
        <v>28</v>
      </c>
      <c r="F4591" s="1" t="n">
        <v>3</v>
      </c>
      <c r="G4591" s="15" t="n">
        <v>310.74</v>
      </c>
      <c r="H4591" s="16" t="n">
        <v>0.23</v>
      </c>
      <c r="I4591" s="1" t="s">
        <v>33</v>
      </c>
      <c r="J4591" s="1" t="n">
        <v>11</v>
      </c>
      <c r="K4591" s="1" t="n">
        <v>4.1</v>
      </c>
      <c r="L4591" s="15" t="n">
        <v>717.81</v>
      </c>
      <c r="M4591" s="15" t="n">
        <f aca="false">F4591*G4591</f>
        <v>932.22</v>
      </c>
      <c r="N4591" s="15" t="n">
        <f aca="false">M4591-L4591</f>
        <v>214.41</v>
      </c>
      <c r="O4591" s="1" t="n">
        <f aca="false">YEAR(B4591)</f>
        <v>2034</v>
      </c>
      <c r="P4591" s="1" t="n">
        <f aca="false">MONTH(B4591)</f>
        <v>7</v>
      </c>
      <c r="Q4591" s="1" t="str">
        <f aca="false">TEXT(B4591,"mmm")</f>
        <v>Jul</v>
      </c>
      <c r="R4591" s="1" t="str">
        <f aca="false">"Q"&amp;ROUNDUP(MONTH(B4591)/3,0)</f>
        <v>Q3</v>
      </c>
    </row>
    <row r="4592" customFormat="false" ht="15" hidden="false" customHeight="true" outlineLevel="0" collapsed="false">
      <c r="A4592" s="1" t="n">
        <v>14591</v>
      </c>
      <c r="B4592" s="14" t="n">
        <v>49152</v>
      </c>
      <c r="C4592" s="1" t="n">
        <v>1386</v>
      </c>
      <c r="D4592" s="1" t="s">
        <v>30</v>
      </c>
      <c r="E4592" s="1" t="s">
        <v>28</v>
      </c>
      <c r="F4592" s="1" t="n">
        <v>6</v>
      </c>
      <c r="G4592" s="15" t="n">
        <v>421.13</v>
      </c>
      <c r="H4592" s="16" t="n">
        <v>0.27</v>
      </c>
      <c r="I4592" s="1" t="s">
        <v>31</v>
      </c>
      <c r="J4592" s="1" t="n">
        <v>4</v>
      </c>
      <c r="K4592" s="1" t="n">
        <v>3.8</v>
      </c>
      <c r="L4592" s="15" t="n">
        <v>1844.55</v>
      </c>
      <c r="M4592" s="15" t="n">
        <f aca="false">F4592*G4592</f>
        <v>2526.78</v>
      </c>
      <c r="N4592" s="15" t="n">
        <f aca="false">M4592-L4592</f>
        <v>682.23</v>
      </c>
      <c r="O4592" s="1" t="n">
        <f aca="false">YEAR(B4592)</f>
        <v>2034</v>
      </c>
      <c r="P4592" s="1" t="n">
        <f aca="false">MONTH(B4592)</f>
        <v>7</v>
      </c>
      <c r="Q4592" s="1" t="str">
        <f aca="false">TEXT(B4592,"mmm")</f>
        <v>Jul</v>
      </c>
      <c r="R4592" s="1" t="str">
        <f aca="false">"Q"&amp;ROUNDUP(MONTH(B4592)/3,0)</f>
        <v>Q3</v>
      </c>
    </row>
    <row r="4593" customFormat="false" ht="15" hidden="false" customHeight="true" outlineLevel="0" collapsed="false">
      <c r="A4593" s="1" t="n">
        <v>14592</v>
      </c>
      <c r="B4593" s="14" t="n">
        <v>49153</v>
      </c>
      <c r="C4593" s="1" t="n">
        <v>1911</v>
      </c>
      <c r="D4593" s="1" t="s">
        <v>37</v>
      </c>
      <c r="E4593" s="1" t="s">
        <v>32</v>
      </c>
      <c r="F4593" s="1" t="n">
        <v>4</v>
      </c>
      <c r="G4593" s="15" t="n">
        <v>116.06</v>
      </c>
      <c r="H4593" s="16" t="n">
        <v>0.06</v>
      </c>
      <c r="I4593" s="1" t="s">
        <v>33</v>
      </c>
      <c r="J4593" s="1" t="n">
        <v>3</v>
      </c>
      <c r="K4593" s="1" t="n">
        <v>2.1</v>
      </c>
      <c r="L4593" s="15" t="n">
        <v>436.39</v>
      </c>
      <c r="M4593" s="15" t="n">
        <f aca="false">F4593*G4593</f>
        <v>464.24</v>
      </c>
      <c r="N4593" s="15" t="n">
        <f aca="false">M4593-L4593</f>
        <v>27.85</v>
      </c>
      <c r="O4593" s="1" t="n">
        <f aca="false">YEAR(B4593)</f>
        <v>2034</v>
      </c>
      <c r="P4593" s="1" t="n">
        <f aca="false">MONTH(B4593)</f>
        <v>7</v>
      </c>
      <c r="Q4593" s="1" t="str">
        <f aca="false">TEXT(B4593,"mmm")</f>
        <v>Jul</v>
      </c>
      <c r="R4593" s="1" t="str">
        <f aca="false">"Q"&amp;ROUNDUP(MONTH(B4593)/3,0)</f>
        <v>Q3</v>
      </c>
    </row>
    <row r="4594" customFormat="false" ht="15" hidden="false" customHeight="true" outlineLevel="0" collapsed="false">
      <c r="A4594" s="1" t="n">
        <v>14593</v>
      </c>
      <c r="B4594" s="14" t="n">
        <v>49154</v>
      </c>
      <c r="C4594" s="1" t="n">
        <v>1349</v>
      </c>
      <c r="D4594" s="1" t="s">
        <v>30</v>
      </c>
      <c r="E4594" s="1" t="s">
        <v>36</v>
      </c>
      <c r="F4594" s="1" t="n">
        <v>2</v>
      </c>
      <c r="G4594" s="15" t="n">
        <v>513.79</v>
      </c>
      <c r="H4594" s="16" t="n">
        <v>0.11</v>
      </c>
      <c r="I4594" s="1" t="s">
        <v>29</v>
      </c>
      <c r="J4594" s="1" t="n">
        <v>5</v>
      </c>
      <c r="K4594" s="1" t="n">
        <v>1.2</v>
      </c>
      <c r="L4594" s="15" t="n">
        <v>914.55</v>
      </c>
      <c r="M4594" s="15" t="n">
        <f aca="false">F4594*G4594</f>
        <v>1027.58</v>
      </c>
      <c r="N4594" s="15" t="n">
        <f aca="false">M4594-L4594</f>
        <v>113.03</v>
      </c>
      <c r="O4594" s="1" t="n">
        <f aca="false">YEAR(B4594)</f>
        <v>2034</v>
      </c>
      <c r="P4594" s="1" t="n">
        <f aca="false">MONTH(B4594)</f>
        <v>7</v>
      </c>
      <c r="Q4594" s="1" t="str">
        <f aca="false">TEXT(B4594,"mmm")</f>
        <v>Jul</v>
      </c>
      <c r="R4594" s="1" t="str">
        <f aca="false">"Q"&amp;ROUNDUP(MONTH(B4594)/3,0)</f>
        <v>Q3</v>
      </c>
    </row>
    <row r="4595" customFormat="false" ht="15" hidden="false" customHeight="true" outlineLevel="0" collapsed="false">
      <c r="A4595" s="1" t="n">
        <v>14594</v>
      </c>
      <c r="B4595" s="14" t="n">
        <v>49155</v>
      </c>
      <c r="C4595" s="1" t="n">
        <v>1295</v>
      </c>
      <c r="D4595" s="1" t="s">
        <v>30</v>
      </c>
      <c r="E4595" s="1" t="s">
        <v>36</v>
      </c>
      <c r="F4595" s="1" t="n">
        <v>6</v>
      </c>
      <c r="G4595" s="15" t="n">
        <v>96.92</v>
      </c>
      <c r="H4595" s="16" t="n">
        <v>0.16</v>
      </c>
      <c r="I4595" s="1" t="s">
        <v>31</v>
      </c>
      <c r="J4595" s="1" t="n">
        <v>7</v>
      </c>
      <c r="K4595" s="1" t="n">
        <v>4.9</v>
      </c>
      <c r="L4595" s="15" t="n">
        <v>488.48</v>
      </c>
      <c r="M4595" s="15" t="n">
        <f aca="false">F4595*G4595</f>
        <v>581.52</v>
      </c>
      <c r="N4595" s="15" t="n">
        <f aca="false">M4595-L4595</f>
        <v>93.04</v>
      </c>
      <c r="O4595" s="1" t="n">
        <f aca="false">YEAR(B4595)</f>
        <v>2034</v>
      </c>
      <c r="P4595" s="1" t="n">
        <f aca="false">MONTH(B4595)</f>
        <v>7</v>
      </c>
      <c r="Q4595" s="1" t="str">
        <f aca="false">TEXT(B4595,"mmm")</f>
        <v>Jul</v>
      </c>
      <c r="R4595" s="1" t="str">
        <f aca="false">"Q"&amp;ROUNDUP(MONTH(B4595)/3,0)</f>
        <v>Q3</v>
      </c>
    </row>
    <row r="4596" customFormat="false" ht="15" hidden="false" customHeight="true" outlineLevel="0" collapsed="false">
      <c r="A4596" s="1" t="n">
        <v>14595</v>
      </c>
      <c r="B4596" s="14" t="n">
        <v>49156</v>
      </c>
      <c r="C4596" s="1" t="n">
        <v>1257</v>
      </c>
      <c r="D4596" s="1" t="s">
        <v>37</v>
      </c>
      <c r="E4596" s="1" t="s">
        <v>28</v>
      </c>
      <c r="F4596" s="1" t="n">
        <v>4</v>
      </c>
      <c r="G4596" s="15" t="n">
        <v>249.48</v>
      </c>
      <c r="H4596" s="16" t="n">
        <v>0.13</v>
      </c>
      <c r="I4596" s="1" t="s">
        <v>31</v>
      </c>
      <c r="J4596" s="1" t="n">
        <v>9</v>
      </c>
      <c r="K4596" s="1" t="n">
        <v>1.6</v>
      </c>
      <c r="L4596" s="15" t="n">
        <v>868.19</v>
      </c>
      <c r="M4596" s="15" t="n">
        <f aca="false">F4596*G4596</f>
        <v>997.92</v>
      </c>
      <c r="N4596" s="15" t="n">
        <f aca="false">M4596-L4596</f>
        <v>129.73</v>
      </c>
      <c r="O4596" s="1" t="n">
        <f aca="false">YEAR(B4596)</f>
        <v>2034</v>
      </c>
      <c r="P4596" s="1" t="n">
        <f aca="false">MONTH(B4596)</f>
        <v>7</v>
      </c>
      <c r="Q4596" s="1" t="str">
        <f aca="false">TEXT(B4596,"mmm")</f>
        <v>Jul</v>
      </c>
      <c r="R4596" s="1" t="str">
        <f aca="false">"Q"&amp;ROUNDUP(MONTH(B4596)/3,0)</f>
        <v>Q3</v>
      </c>
    </row>
    <row r="4597" customFormat="false" ht="15" hidden="false" customHeight="true" outlineLevel="0" collapsed="false">
      <c r="A4597" s="1" t="n">
        <v>14596</v>
      </c>
      <c r="B4597" s="14" t="n">
        <v>49157</v>
      </c>
      <c r="C4597" s="1" t="n">
        <v>1080</v>
      </c>
      <c r="D4597" s="1" t="s">
        <v>37</v>
      </c>
      <c r="E4597" s="1" t="s">
        <v>36</v>
      </c>
      <c r="F4597" s="1" t="n">
        <v>1</v>
      </c>
      <c r="G4597" s="15" t="n">
        <v>59.03</v>
      </c>
      <c r="H4597" s="16" t="n">
        <v>0.34</v>
      </c>
      <c r="I4597" s="1" t="s">
        <v>31</v>
      </c>
      <c r="J4597" s="1" t="n">
        <v>5</v>
      </c>
      <c r="K4597" s="1" t="n">
        <v>4.3</v>
      </c>
      <c r="L4597" s="15" t="n">
        <v>38.96</v>
      </c>
      <c r="M4597" s="15" t="n">
        <f aca="false">F4597*G4597</f>
        <v>59.03</v>
      </c>
      <c r="N4597" s="15" t="n">
        <f aca="false">M4597-L4597</f>
        <v>20.07</v>
      </c>
      <c r="O4597" s="1" t="n">
        <f aca="false">YEAR(B4597)</f>
        <v>2034</v>
      </c>
      <c r="P4597" s="1" t="n">
        <f aca="false">MONTH(B4597)</f>
        <v>8</v>
      </c>
      <c r="Q4597" s="1" t="str">
        <f aca="false">TEXT(B4597,"mmm")</f>
        <v>Aug</v>
      </c>
      <c r="R4597" s="1" t="str">
        <f aca="false">"Q"&amp;ROUNDUP(MONTH(B4597)/3,0)</f>
        <v>Q3</v>
      </c>
    </row>
    <row r="4598" customFormat="false" ht="15" hidden="false" customHeight="true" outlineLevel="0" collapsed="false">
      <c r="A4598" s="1" t="n">
        <v>14597</v>
      </c>
      <c r="B4598" s="14" t="n">
        <v>49158</v>
      </c>
      <c r="C4598" s="1" t="n">
        <v>1936</v>
      </c>
      <c r="D4598" s="1" t="s">
        <v>34</v>
      </c>
      <c r="E4598" s="1" t="s">
        <v>35</v>
      </c>
      <c r="F4598" s="1" t="n">
        <v>1</v>
      </c>
      <c r="G4598" s="15" t="n">
        <v>333.95</v>
      </c>
      <c r="H4598" s="16" t="n">
        <v>0.29</v>
      </c>
      <c r="I4598" s="1" t="s">
        <v>29</v>
      </c>
      <c r="J4598" s="1" t="n">
        <v>8</v>
      </c>
      <c r="K4598" s="1" t="n">
        <v>1.8</v>
      </c>
      <c r="L4598" s="15" t="n">
        <v>237.1</v>
      </c>
      <c r="M4598" s="15" t="n">
        <f aca="false">F4598*G4598</f>
        <v>333.95</v>
      </c>
      <c r="N4598" s="15" t="n">
        <f aca="false">M4598-L4598</f>
        <v>96.85</v>
      </c>
      <c r="O4598" s="1" t="n">
        <f aca="false">YEAR(B4598)</f>
        <v>2034</v>
      </c>
      <c r="P4598" s="1" t="n">
        <f aca="false">MONTH(B4598)</f>
        <v>8</v>
      </c>
      <c r="Q4598" s="1" t="str">
        <f aca="false">TEXT(B4598,"mmm")</f>
        <v>Aug</v>
      </c>
      <c r="R4598" s="1" t="str">
        <f aca="false">"Q"&amp;ROUNDUP(MONTH(B4598)/3,0)</f>
        <v>Q3</v>
      </c>
    </row>
    <row r="4599" customFormat="false" ht="15" hidden="false" customHeight="true" outlineLevel="0" collapsed="false">
      <c r="A4599" s="1" t="n">
        <v>14598</v>
      </c>
      <c r="B4599" s="14" t="n">
        <v>49159</v>
      </c>
      <c r="C4599" s="1" t="n">
        <v>1267</v>
      </c>
      <c r="D4599" s="1" t="s">
        <v>27</v>
      </c>
      <c r="E4599" s="1" t="s">
        <v>32</v>
      </c>
      <c r="F4599" s="1" t="n">
        <v>2</v>
      </c>
      <c r="G4599" s="15" t="n">
        <v>406.8</v>
      </c>
      <c r="H4599" s="16" t="n">
        <v>0.17</v>
      </c>
      <c r="I4599" s="1" t="s">
        <v>31</v>
      </c>
      <c r="J4599" s="1" t="n">
        <v>2</v>
      </c>
      <c r="K4599" s="1" t="n">
        <v>2.5</v>
      </c>
      <c r="L4599" s="15" t="n">
        <v>675.29</v>
      </c>
      <c r="M4599" s="15" t="n">
        <f aca="false">F4599*G4599</f>
        <v>813.6</v>
      </c>
      <c r="N4599" s="15" t="n">
        <f aca="false">M4599-L4599</f>
        <v>138.31</v>
      </c>
      <c r="O4599" s="1" t="n">
        <f aca="false">YEAR(B4599)</f>
        <v>2034</v>
      </c>
      <c r="P4599" s="1" t="n">
        <f aca="false">MONTH(B4599)</f>
        <v>8</v>
      </c>
      <c r="Q4599" s="1" t="str">
        <f aca="false">TEXT(B4599,"mmm")</f>
        <v>Aug</v>
      </c>
      <c r="R4599" s="1" t="str">
        <f aca="false">"Q"&amp;ROUNDUP(MONTH(B4599)/3,0)</f>
        <v>Q3</v>
      </c>
    </row>
    <row r="4600" customFormat="false" ht="15" hidden="false" customHeight="true" outlineLevel="0" collapsed="false">
      <c r="A4600" s="1" t="n">
        <v>14599</v>
      </c>
      <c r="B4600" s="14" t="n">
        <v>49160</v>
      </c>
      <c r="C4600" s="1" t="n">
        <v>1418</v>
      </c>
      <c r="D4600" s="1" t="s">
        <v>30</v>
      </c>
      <c r="E4600" s="1" t="s">
        <v>36</v>
      </c>
      <c r="F4600" s="1" t="n">
        <v>4</v>
      </c>
      <c r="G4600" s="15" t="n">
        <v>565.61</v>
      </c>
      <c r="H4600" s="16" t="n">
        <v>0.31</v>
      </c>
      <c r="I4600" s="1" t="s">
        <v>31</v>
      </c>
      <c r="J4600" s="1" t="n">
        <v>6</v>
      </c>
      <c r="K4600" s="1" t="n">
        <v>3.8</v>
      </c>
      <c r="L4600" s="15" t="n">
        <v>1561.08</v>
      </c>
      <c r="M4600" s="15" t="n">
        <f aca="false">F4600*G4600</f>
        <v>2262.44</v>
      </c>
      <c r="N4600" s="15" t="n">
        <f aca="false">M4600-L4600</f>
        <v>701.36</v>
      </c>
      <c r="O4600" s="1" t="n">
        <f aca="false">YEAR(B4600)</f>
        <v>2034</v>
      </c>
      <c r="P4600" s="1" t="n">
        <f aca="false">MONTH(B4600)</f>
        <v>8</v>
      </c>
      <c r="Q4600" s="1" t="str">
        <f aca="false">TEXT(B4600,"mmm")</f>
        <v>Aug</v>
      </c>
      <c r="R4600" s="1" t="str">
        <f aca="false">"Q"&amp;ROUNDUP(MONTH(B4600)/3,0)</f>
        <v>Q3</v>
      </c>
    </row>
    <row r="4601" customFormat="false" ht="15" hidden="false" customHeight="true" outlineLevel="0" collapsed="false">
      <c r="A4601" s="1" t="n">
        <v>14600</v>
      </c>
      <c r="B4601" s="14" t="n">
        <v>49161</v>
      </c>
      <c r="C4601" s="1" t="n">
        <v>1234</v>
      </c>
      <c r="D4601" s="1" t="s">
        <v>34</v>
      </c>
      <c r="E4601" s="1" t="s">
        <v>36</v>
      </c>
      <c r="F4601" s="1" t="n">
        <v>1</v>
      </c>
      <c r="G4601" s="15" t="n">
        <v>447.51</v>
      </c>
      <c r="H4601" s="16" t="n">
        <v>0.12</v>
      </c>
      <c r="I4601" s="1" t="s">
        <v>31</v>
      </c>
      <c r="J4601" s="1" t="n">
        <v>8</v>
      </c>
      <c r="K4601" s="1" t="n">
        <v>4.8</v>
      </c>
      <c r="L4601" s="15" t="n">
        <v>393.81</v>
      </c>
      <c r="M4601" s="15" t="n">
        <f aca="false">F4601*G4601</f>
        <v>447.51</v>
      </c>
      <c r="N4601" s="15" t="n">
        <f aca="false">M4601-L4601</f>
        <v>53.7</v>
      </c>
      <c r="O4601" s="1" t="n">
        <f aca="false">YEAR(B4601)</f>
        <v>2034</v>
      </c>
      <c r="P4601" s="1" t="n">
        <f aca="false">MONTH(B4601)</f>
        <v>8</v>
      </c>
      <c r="Q4601" s="1" t="str">
        <f aca="false">TEXT(B4601,"mmm")</f>
        <v>Aug</v>
      </c>
      <c r="R4601" s="1" t="str">
        <f aca="false">"Q"&amp;ROUNDUP(MONTH(B4601)/3,0)</f>
        <v>Q3</v>
      </c>
    </row>
    <row r="4602" customFormat="false" ht="15" hidden="false" customHeight="true" outlineLevel="0" collapsed="false">
      <c r="A4602" s="1" t="n">
        <v>14601</v>
      </c>
      <c r="B4602" s="14" t="n">
        <v>49162</v>
      </c>
      <c r="C4602" s="1" t="n">
        <v>1832</v>
      </c>
      <c r="D4602" s="1" t="s">
        <v>34</v>
      </c>
      <c r="E4602" s="1" t="s">
        <v>35</v>
      </c>
      <c r="F4602" s="1" t="n">
        <v>7</v>
      </c>
      <c r="G4602" s="15" t="n">
        <v>331.55</v>
      </c>
      <c r="H4602" s="16" t="n">
        <v>0.28</v>
      </c>
      <c r="I4602" s="1" t="s">
        <v>29</v>
      </c>
      <c r="J4602" s="1" t="n">
        <v>9</v>
      </c>
      <c r="K4602" s="1" t="n">
        <v>1.1</v>
      </c>
      <c r="L4602" s="15" t="n">
        <v>1671.01</v>
      </c>
      <c r="M4602" s="15" t="n">
        <f aca="false">F4602*G4602</f>
        <v>2320.85</v>
      </c>
      <c r="N4602" s="15" t="n">
        <f aca="false">M4602-L4602</f>
        <v>649.84</v>
      </c>
      <c r="O4602" s="1" t="n">
        <f aca="false">YEAR(B4602)</f>
        <v>2034</v>
      </c>
      <c r="P4602" s="1" t="n">
        <f aca="false">MONTH(B4602)</f>
        <v>8</v>
      </c>
      <c r="Q4602" s="1" t="str">
        <f aca="false">TEXT(B4602,"mmm")</f>
        <v>Aug</v>
      </c>
      <c r="R4602" s="1" t="str">
        <f aca="false">"Q"&amp;ROUNDUP(MONTH(B4602)/3,0)</f>
        <v>Q3</v>
      </c>
    </row>
    <row r="4603" customFormat="false" ht="15" hidden="false" customHeight="true" outlineLevel="0" collapsed="false">
      <c r="A4603" s="1" t="n">
        <v>14602</v>
      </c>
      <c r="B4603" s="14" t="n">
        <v>49163</v>
      </c>
      <c r="C4603" s="1" t="n">
        <v>1310</v>
      </c>
      <c r="D4603" s="1" t="s">
        <v>30</v>
      </c>
      <c r="E4603" s="1" t="s">
        <v>32</v>
      </c>
      <c r="F4603" s="1" t="n">
        <v>6</v>
      </c>
      <c r="G4603" s="15" t="n">
        <v>560.58</v>
      </c>
      <c r="H4603" s="16" t="n">
        <v>0.08</v>
      </c>
      <c r="I4603" s="1" t="s">
        <v>31</v>
      </c>
      <c r="J4603" s="1" t="n">
        <v>11</v>
      </c>
      <c r="K4603" s="1" t="n">
        <v>2</v>
      </c>
      <c r="L4603" s="15" t="n">
        <v>3094.4</v>
      </c>
      <c r="M4603" s="15" t="n">
        <f aca="false">F4603*G4603</f>
        <v>3363.48</v>
      </c>
      <c r="N4603" s="15" t="n">
        <f aca="false">M4603-L4603</f>
        <v>269.08</v>
      </c>
      <c r="O4603" s="1" t="n">
        <f aca="false">YEAR(B4603)</f>
        <v>2034</v>
      </c>
      <c r="P4603" s="1" t="n">
        <f aca="false">MONTH(B4603)</f>
        <v>8</v>
      </c>
      <c r="Q4603" s="1" t="str">
        <f aca="false">TEXT(B4603,"mmm")</f>
        <v>Aug</v>
      </c>
      <c r="R4603" s="1" t="str">
        <f aca="false">"Q"&amp;ROUNDUP(MONTH(B4603)/3,0)</f>
        <v>Q3</v>
      </c>
    </row>
    <row r="4604" customFormat="false" ht="15" hidden="false" customHeight="true" outlineLevel="0" collapsed="false">
      <c r="A4604" s="1" t="n">
        <v>14603</v>
      </c>
      <c r="B4604" s="14" t="n">
        <v>49164</v>
      </c>
      <c r="C4604" s="1" t="n">
        <v>1812</v>
      </c>
      <c r="D4604" s="1" t="s">
        <v>27</v>
      </c>
      <c r="E4604" s="1" t="s">
        <v>35</v>
      </c>
      <c r="F4604" s="1" t="n">
        <v>5</v>
      </c>
      <c r="G4604" s="15" t="n">
        <v>294.89</v>
      </c>
      <c r="H4604" s="16" t="n">
        <v>0.27</v>
      </c>
      <c r="I4604" s="1" t="s">
        <v>31</v>
      </c>
      <c r="J4604" s="1" t="n">
        <v>4</v>
      </c>
      <c r="K4604" s="1" t="n">
        <v>4.1</v>
      </c>
      <c r="L4604" s="15" t="n">
        <v>1076.35</v>
      </c>
      <c r="M4604" s="15" t="n">
        <f aca="false">F4604*G4604</f>
        <v>1474.45</v>
      </c>
      <c r="N4604" s="15" t="n">
        <f aca="false">M4604-L4604</f>
        <v>398.1</v>
      </c>
      <c r="O4604" s="1" t="n">
        <f aca="false">YEAR(B4604)</f>
        <v>2034</v>
      </c>
      <c r="P4604" s="1" t="n">
        <f aca="false">MONTH(B4604)</f>
        <v>8</v>
      </c>
      <c r="Q4604" s="1" t="str">
        <f aca="false">TEXT(B4604,"mmm")</f>
        <v>Aug</v>
      </c>
      <c r="R4604" s="1" t="str">
        <f aca="false">"Q"&amp;ROUNDUP(MONTH(B4604)/3,0)</f>
        <v>Q3</v>
      </c>
    </row>
    <row r="4605" customFormat="false" ht="15" hidden="false" customHeight="true" outlineLevel="0" collapsed="false">
      <c r="A4605" s="1" t="n">
        <v>14604</v>
      </c>
      <c r="B4605" s="14" t="n">
        <v>49165</v>
      </c>
      <c r="C4605" s="1" t="n">
        <v>1974</v>
      </c>
      <c r="D4605" s="1" t="s">
        <v>30</v>
      </c>
      <c r="E4605" s="1" t="s">
        <v>28</v>
      </c>
      <c r="F4605" s="1" t="n">
        <v>4</v>
      </c>
      <c r="G4605" s="15" t="n">
        <v>343.31</v>
      </c>
      <c r="H4605" s="16" t="n">
        <v>0.16</v>
      </c>
      <c r="I4605" s="1" t="s">
        <v>31</v>
      </c>
      <c r="J4605" s="1" t="n">
        <v>4</v>
      </c>
      <c r="K4605" s="1" t="n">
        <v>1.7</v>
      </c>
      <c r="L4605" s="15" t="n">
        <v>1153.52</v>
      </c>
      <c r="M4605" s="15" t="n">
        <f aca="false">F4605*G4605</f>
        <v>1373.24</v>
      </c>
      <c r="N4605" s="15" t="n">
        <f aca="false">M4605-L4605</f>
        <v>219.72</v>
      </c>
      <c r="O4605" s="1" t="n">
        <f aca="false">YEAR(B4605)</f>
        <v>2034</v>
      </c>
      <c r="P4605" s="1" t="n">
        <f aca="false">MONTH(B4605)</f>
        <v>8</v>
      </c>
      <c r="Q4605" s="1" t="str">
        <f aca="false">TEXT(B4605,"mmm")</f>
        <v>Aug</v>
      </c>
      <c r="R4605" s="1" t="str">
        <f aca="false">"Q"&amp;ROUNDUP(MONTH(B4605)/3,0)</f>
        <v>Q3</v>
      </c>
    </row>
    <row r="4606" customFormat="false" ht="15" hidden="false" customHeight="true" outlineLevel="0" collapsed="false">
      <c r="A4606" s="1" t="n">
        <v>14605</v>
      </c>
      <c r="B4606" s="14" t="n">
        <v>49166</v>
      </c>
      <c r="C4606" s="1" t="n">
        <v>1985</v>
      </c>
      <c r="D4606" s="1" t="s">
        <v>37</v>
      </c>
      <c r="E4606" s="1" t="s">
        <v>28</v>
      </c>
      <c r="F4606" s="1" t="n">
        <v>2</v>
      </c>
      <c r="G4606" s="15" t="n">
        <v>363.72</v>
      </c>
      <c r="H4606" s="16" t="n">
        <v>0.04</v>
      </c>
      <c r="I4606" s="1" t="s">
        <v>29</v>
      </c>
      <c r="J4606" s="1" t="n">
        <v>7</v>
      </c>
      <c r="K4606" s="1" t="n">
        <v>1.4</v>
      </c>
      <c r="L4606" s="15" t="n">
        <v>698.34</v>
      </c>
      <c r="M4606" s="15" t="n">
        <f aca="false">F4606*G4606</f>
        <v>727.44</v>
      </c>
      <c r="N4606" s="15" t="n">
        <f aca="false">M4606-L4606</f>
        <v>29.1</v>
      </c>
      <c r="O4606" s="1" t="n">
        <f aca="false">YEAR(B4606)</f>
        <v>2034</v>
      </c>
      <c r="P4606" s="1" t="n">
        <f aca="false">MONTH(B4606)</f>
        <v>8</v>
      </c>
      <c r="Q4606" s="1" t="str">
        <f aca="false">TEXT(B4606,"mmm")</f>
        <v>Aug</v>
      </c>
      <c r="R4606" s="1" t="str">
        <f aca="false">"Q"&amp;ROUNDUP(MONTH(B4606)/3,0)</f>
        <v>Q3</v>
      </c>
    </row>
    <row r="4607" customFormat="false" ht="15" hidden="false" customHeight="true" outlineLevel="0" collapsed="false">
      <c r="A4607" s="1" t="n">
        <v>14606</v>
      </c>
      <c r="B4607" s="14" t="n">
        <v>49167</v>
      </c>
      <c r="C4607" s="1" t="n">
        <v>1356</v>
      </c>
      <c r="D4607" s="1" t="s">
        <v>34</v>
      </c>
      <c r="E4607" s="1" t="s">
        <v>36</v>
      </c>
      <c r="F4607" s="1" t="n">
        <v>4</v>
      </c>
      <c r="G4607" s="15" t="n">
        <v>254.84</v>
      </c>
      <c r="H4607" s="16" t="n">
        <v>0.1</v>
      </c>
      <c r="I4607" s="1" t="s">
        <v>31</v>
      </c>
      <c r="J4607" s="1" t="n">
        <v>4</v>
      </c>
      <c r="K4607" s="1" t="n">
        <v>1.2</v>
      </c>
      <c r="L4607" s="15" t="n">
        <v>917.42</v>
      </c>
      <c r="M4607" s="15" t="n">
        <f aca="false">F4607*G4607</f>
        <v>1019.36</v>
      </c>
      <c r="N4607" s="15" t="n">
        <f aca="false">M4607-L4607</f>
        <v>101.94</v>
      </c>
      <c r="O4607" s="1" t="n">
        <f aca="false">YEAR(B4607)</f>
        <v>2034</v>
      </c>
      <c r="P4607" s="1" t="n">
        <f aca="false">MONTH(B4607)</f>
        <v>8</v>
      </c>
      <c r="Q4607" s="1" t="str">
        <f aca="false">TEXT(B4607,"mmm")</f>
        <v>Aug</v>
      </c>
      <c r="R4607" s="1" t="str">
        <f aca="false">"Q"&amp;ROUNDUP(MONTH(B4607)/3,0)</f>
        <v>Q3</v>
      </c>
    </row>
    <row r="4608" customFormat="false" ht="15" hidden="false" customHeight="true" outlineLevel="0" collapsed="false">
      <c r="A4608" s="1" t="n">
        <v>14607</v>
      </c>
      <c r="B4608" s="14" t="n">
        <v>49168</v>
      </c>
      <c r="C4608" s="1" t="n">
        <v>1212</v>
      </c>
      <c r="D4608" s="1" t="s">
        <v>30</v>
      </c>
      <c r="E4608" s="1" t="s">
        <v>32</v>
      </c>
      <c r="F4608" s="1" t="n">
        <v>3</v>
      </c>
      <c r="G4608" s="15" t="n">
        <v>505.51</v>
      </c>
      <c r="H4608" s="16" t="n">
        <v>0.14</v>
      </c>
      <c r="I4608" s="1" t="s">
        <v>33</v>
      </c>
      <c r="J4608" s="1" t="n">
        <v>5</v>
      </c>
      <c r="K4608" s="1" t="n">
        <v>3</v>
      </c>
      <c r="L4608" s="15" t="n">
        <v>1304.22</v>
      </c>
      <c r="M4608" s="15" t="n">
        <f aca="false">F4608*G4608</f>
        <v>1516.53</v>
      </c>
      <c r="N4608" s="15" t="n">
        <f aca="false">M4608-L4608</f>
        <v>212.31</v>
      </c>
      <c r="O4608" s="1" t="n">
        <f aca="false">YEAR(B4608)</f>
        <v>2034</v>
      </c>
      <c r="P4608" s="1" t="n">
        <f aca="false">MONTH(B4608)</f>
        <v>8</v>
      </c>
      <c r="Q4608" s="1" t="str">
        <f aca="false">TEXT(B4608,"mmm")</f>
        <v>Aug</v>
      </c>
      <c r="R4608" s="1" t="str">
        <f aca="false">"Q"&amp;ROUNDUP(MONTH(B4608)/3,0)</f>
        <v>Q3</v>
      </c>
    </row>
    <row r="4609" customFormat="false" ht="15" hidden="false" customHeight="true" outlineLevel="0" collapsed="false">
      <c r="A4609" s="1" t="n">
        <v>14608</v>
      </c>
      <c r="B4609" s="14" t="n">
        <v>49169</v>
      </c>
      <c r="C4609" s="1" t="n">
        <v>1573</v>
      </c>
      <c r="D4609" s="1" t="s">
        <v>27</v>
      </c>
      <c r="E4609" s="1" t="s">
        <v>28</v>
      </c>
      <c r="F4609" s="1" t="n">
        <v>3</v>
      </c>
      <c r="G4609" s="15" t="n">
        <v>123.33</v>
      </c>
      <c r="H4609" s="16" t="n">
        <v>0.26</v>
      </c>
      <c r="I4609" s="1" t="s">
        <v>31</v>
      </c>
      <c r="J4609" s="1" t="n">
        <v>2</v>
      </c>
      <c r="K4609" s="1" t="n">
        <v>4.1</v>
      </c>
      <c r="L4609" s="15" t="n">
        <v>273.79</v>
      </c>
      <c r="M4609" s="15" t="n">
        <f aca="false">F4609*G4609</f>
        <v>369.99</v>
      </c>
      <c r="N4609" s="15" t="n">
        <f aca="false">M4609-L4609</f>
        <v>96.2</v>
      </c>
      <c r="O4609" s="1" t="n">
        <f aca="false">YEAR(B4609)</f>
        <v>2034</v>
      </c>
      <c r="P4609" s="1" t="n">
        <f aca="false">MONTH(B4609)</f>
        <v>8</v>
      </c>
      <c r="Q4609" s="1" t="str">
        <f aca="false">TEXT(B4609,"mmm")</f>
        <v>Aug</v>
      </c>
      <c r="R4609" s="1" t="str">
        <f aca="false">"Q"&amp;ROUNDUP(MONTH(B4609)/3,0)</f>
        <v>Q3</v>
      </c>
    </row>
    <row r="4610" customFormat="false" ht="15" hidden="false" customHeight="true" outlineLevel="0" collapsed="false">
      <c r="A4610" s="1" t="n">
        <v>14609</v>
      </c>
      <c r="B4610" s="14" t="n">
        <v>49170</v>
      </c>
      <c r="C4610" s="1" t="n">
        <v>1048</v>
      </c>
      <c r="D4610" s="1" t="s">
        <v>37</v>
      </c>
      <c r="E4610" s="1" t="s">
        <v>35</v>
      </c>
      <c r="F4610" s="1" t="n">
        <v>1</v>
      </c>
      <c r="G4610" s="15" t="n">
        <v>339.58</v>
      </c>
      <c r="H4610" s="16" t="n">
        <v>0.03</v>
      </c>
      <c r="I4610" s="1" t="s">
        <v>29</v>
      </c>
      <c r="J4610" s="1" t="n">
        <v>2</v>
      </c>
      <c r="K4610" s="1" t="n">
        <v>4.8</v>
      </c>
      <c r="L4610" s="15" t="n">
        <v>329.39</v>
      </c>
      <c r="M4610" s="15" t="n">
        <f aca="false">F4610*G4610</f>
        <v>339.58</v>
      </c>
      <c r="N4610" s="15" t="n">
        <f aca="false">M4610-L4610</f>
        <v>10.19</v>
      </c>
      <c r="O4610" s="1" t="n">
        <f aca="false">YEAR(B4610)</f>
        <v>2034</v>
      </c>
      <c r="P4610" s="1" t="n">
        <f aca="false">MONTH(B4610)</f>
        <v>8</v>
      </c>
      <c r="Q4610" s="1" t="str">
        <f aca="false">TEXT(B4610,"mmm")</f>
        <v>Aug</v>
      </c>
      <c r="R4610" s="1" t="str">
        <f aca="false">"Q"&amp;ROUNDUP(MONTH(B4610)/3,0)</f>
        <v>Q3</v>
      </c>
    </row>
    <row r="4611" customFormat="false" ht="15" hidden="false" customHeight="true" outlineLevel="0" collapsed="false">
      <c r="A4611" s="1" t="n">
        <v>14610</v>
      </c>
      <c r="B4611" s="14" t="n">
        <v>49171</v>
      </c>
      <c r="C4611" s="1" t="n">
        <v>1126</v>
      </c>
      <c r="D4611" s="1" t="s">
        <v>34</v>
      </c>
      <c r="E4611" s="1" t="s">
        <v>28</v>
      </c>
      <c r="F4611" s="1" t="n">
        <v>3</v>
      </c>
      <c r="G4611" s="15" t="n">
        <v>437.51</v>
      </c>
      <c r="H4611" s="16" t="n">
        <v>0.23</v>
      </c>
      <c r="I4611" s="1" t="s">
        <v>33</v>
      </c>
      <c r="J4611" s="1" t="n">
        <v>11</v>
      </c>
      <c r="K4611" s="1" t="n">
        <v>2.1</v>
      </c>
      <c r="L4611" s="15" t="n">
        <v>1010.65</v>
      </c>
      <c r="M4611" s="15" t="n">
        <f aca="false">F4611*G4611</f>
        <v>1312.53</v>
      </c>
      <c r="N4611" s="15" t="n">
        <f aca="false">M4611-L4611</f>
        <v>301.88</v>
      </c>
      <c r="O4611" s="1" t="n">
        <f aca="false">YEAR(B4611)</f>
        <v>2034</v>
      </c>
      <c r="P4611" s="1" t="n">
        <f aca="false">MONTH(B4611)</f>
        <v>8</v>
      </c>
      <c r="Q4611" s="1" t="str">
        <f aca="false">TEXT(B4611,"mmm")</f>
        <v>Aug</v>
      </c>
      <c r="R4611" s="1" t="str">
        <f aca="false">"Q"&amp;ROUNDUP(MONTH(B4611)/3,0)</f>
        <v>Q3</v>
      </c>
    </row>
    <row r="4612" customFormat="false" ht="15" hidden="false" customHeight="true" outlineLevel="0" collapsed="false">
      <c r="A4612" s="1" t="n">
        <v>14611</v>
      </c>
      <c r="B4612" s="14" t="n">
        <v>49172</v>
      </c>
      <c r="C4612" s="1" t="n">
        <v>1222</v>
      </c>
      <c r="D4612" s="1" t="s">
        <v>30</v>
      </c>
      <c r="E4612" s="1" t="s">
        <v>28</v>
      </c>
      <c r="F4612" s="1" t="n">
        <v>2</v>
      </c>
      <c r="G4612" s="15" t="n">
        <v>543.83</v>
      </c>
      <c r="H4612" s="16" t="n">
        <v>0.25</v>
      </c>
      <c r="I4612" s="1" t="s">
        <v>33</v>
      </c>
      <c r="J4612" s="1" t="n">
        <v>10</v>
      </c>
      <c r="K4612" s="1" t="n">
        <v>1.5</v>
      </c>
      <c r="L4612" s="15" t="n">
        <v>815.75</v>
      </c>
      <c r="M4612" s="15" t="n">
        <f aca="false">F4612*G4612</f>
        <v>1087.66</v>
      </c>
      <c r="N4612" s="15" t="n">
        <f aca="false">M4612-L4612</f>
        <v>271.91</v>
      </c>
      <c r="O4612" s="1" t="n">
        <f aca="false">YEAR(B4612)</f>
        <v>2034</v>
      </c>
      <c r="P4612" s="1" t="n">
        <f aca="false">MONTH(B4612)</f>
        <v>8</v>
      </c>
      <c r="Q4612" s="1" t="str">
        <f aca="false">TEXT(B4612,"mmm")</f>
        <v>Aug</v>
      </c>
      <c r="R4612" s="1" t="str">
        <f aca="false">"Q"&amp;ROUNDUP(MONTH(B4612)/3,0)</f>
        <v>Q3</v>
      </c>
    </row>
    <row r="4613" customFormat="false" ht="15" hidden="false" customHeight="true" outlineLevel="0" collapsed="false">
      <c r="A4613" s="1" t="n">
        <v>14612</v>
      </c>
      <c r="B4613" s="14" t="n">
        <v>49173</v>
      </c>
      <c r="C4613" s="1" t="n">
        <v>1920</v>
      </c>
      <c r="D4613" s="1" t="s">
        <v>34</v>
      </c>
      <c r="E4613" s="1" t="s">
        <v>35</v>
      </c>
      <c r="F4613" s="1" t="n">
        <v>1</v>
      </c>
      <c r="G4613" s="15" t="n">
        <v>532.09</v>
      </c>
      <c r="H4613" s="16" t="n">
        <v>0.23</v>
      </c>
      <c r="I4613" s="1" t="s">
        <v>31</v>
      </c>
      <c r="J4613" s="1" t="n">
        <v>5</v>
      </c>
      <c r="K4613" s="1" t="n">
        <v>2.6</v>
      </c>
      <c r="L4613" s="15" t="n">
        <v>409.71</v>
      </c>
      <c r="M4613" s="15" t="n">
        <f aca="false">F4613*G4613</f>
        <v>532.09</v>
      </c>
      <c r="N4613" s="15" t="n">
        <f aca="false">M4613-L4613</f>
        <v>122.38</v>
      </c>
      <c r="O4613" s="1" t="n">
        <f aca="false">YEAR(B4613)</f>
        <v>2034</v>
      </c>
      <c r="P4613" s="1" t="n">
        <f aca="false">MONTH(B4613)</f>
        <v>8</v>
      </c>
      <c r="Q4613" s="1" t="str">
        <f aca="false">TEXT(B4613,"mmm")</f>
        <v>Aug</v>
      </c>
      <c r="R4613" s="1" t="str">
        <f aca="false">"Q"&amp;ROUNDUP(MONTH(B4613)/3,0)</f>
        <v>Q3</v>
      </c>
    </row>
    <row r="4614" customFormat="false" ht="15" hidden="false" customHeight="true" outlineLevel="0" collapsed="false">
      <c r="A4614" s="1" t="n">
        <v>14613</v>
      </c>
      <c r="B4614" s="14" t="n">
        <v>49174</v>
      </c>
      <c r="C4614" s="1" t="n">
        <v>1278</v>
      </c>
      <c r="D4614" s="1" t="s">
        <v>30</v>
      </c>
      <c r="E4614" s="1" t="s">
        <v>36</v>
      </c>
      <c r="F4614" s="1" t="n">
        <v>2</v>
      </c>
      <c r="G4614" s="15" t="n">
        <v>312.61</v>
      </c>
      <c r="H4614" s="16" t="n">
        <v>0.27</v>
      </c>
      <c r="I4614" s="1" t="s">
        <v>31</v>
      </c>
      <c r="J4614" s="1" t="n">
        <v>10</v>
      </c>
      <c r="K4614" s="1" t="n">
        <v>1.2</v>
      </c>
      <c r="L4614" s="15" t="n">
        <v>456.41</v>
      </c>
      <c r="M4614" s="15" t="n">
        <f aca="false">F4614*G4614</f>
        <v>625.22</v>
      </c>
      <c r="N4614" s="15" t="n">
        <f aca="false">M4614-L4614</f>
        <v>168.81</v>
      </c>
      <c r="O4614" s="1" t="n">
        <f aca="false">YEAR(B4614)</f>
        <v>2034</v>
      </c>
      <c r="P4614" s="1" t="n">
        <f aca="false">MONTH(B4614)</f>
        <v>8</v>
      </c>
      <c r="Q4614" s="1" t="str">
        <f aca="false">TEXT(B4614,"mmm")</f>
        <v>Aug</v>
      </c>
      <c r="R4614" s="1" t="str">
        <f aca="false">"Q"&amp;ROUNDUP(MONTH(B4614)/3,0)</f>
        <v>Q3</v>
      </c>
    </row>
    <row r="4615" customFormat="false" ht="15" hidden="false" customHeight="true" outlineLevel="0" collapsed="false">
      <c r="A4615" s="1" t="n">
        <v>14614</v>
      </c>
      <c r="B4615" s="14" t="n">
        <v>49175</v>
      </c>
      <c r="C4615" s="1" t="n">
        <v>1407</v>
      </c>
      <c r="D4615" s="1" t="s">
        <v>37</v>
      </c>
      <c r="E4615" s="1" t="s">
        <v>32</v>
      </c>
      <c r="F4615" s="1" t="n">
        <v>6</v>
      </c>
      <c r="G4615" s="15" t="n">
        <v>391.25</v>
      </c>
      <c r="H4615" s="16" t="n">
        <v>0.06</v>
      </c>
      <c r="I4615" s="1" t="s">
        <v>31</v>
      </c>
      <c r="J4615" s="1" t="n">
        <v>10</v>
      </c>
      <c r="K4615" s="1" t="n">
        <v>2.3</v>
      </c>
      <c r="L4615" s="15" t="n">
        <v>2206.65</v>
      </c>
      <c r="M4615" s="15" t="n">
        <f aca="false">F4615*G4615</f>
        <v>2347.5</v>
      </c>
      <c r="N4615" s="15" t="n">
        <f aca="false">M4615-L4615</f>
        <v>140.85</v>
      </c>
      <c r="O4615" s="1" t="n">
        <f aca="false">YEAR(B4615)</f>
        <v>2034</v>
      </c>
      <c r="P4615" s="1" t="n">
        <f aca="false">MONTH(B4615)</f>
        <v>8</v>
      </c>
      <c r="Q4615" s="1" t="str">
        <f aca="false">TEXT(B4615,"mmm")</f>
        <v>Aug</v>
      </c>
      <c r="R4615" s="1" t="str">
        <f aca="false">"Q"&amp;ROUNDUP(MONTH(B4615)/3,0)</f>
        <v>Q3</v>
      </c>
    </row>
    <row r="4616" customFormat="false" ht="15" hidden="false" customHeight="true" outlineLevel="0" collapsed="false">
      <c r="A4616" s="1" t="n">
        <v>14615</v>
      </c>
      <c r="B4616" s="14" t="n">
        <v>49176</v>
      </c>
      <c r="C4616" s="1" t="n">
        <v>1504</v>
      </c>
      <c r="D4616" s="1" t="s">
        <v>37</v>
      </c>
      <c r="E4616" s="1" t="s">
        <v>36</v>
      </c>
      <c r="F4616" s="1" t="n">
        <v>2</v>
      </c>
      <c r="G4616" s="15" t="n">
        <v>245.63</v>
      </c>
      <c r="H4616" s="16" t="n">
        <v>0.21</v>
      </c>
      <c r="I4616" s="1" t="s">
        <v>33</v>
      </c>
      <c r="J4616" s="1" t="n">
        <v>2</v>
      </c>
      <c r="K4616" s="1" t="n">
        <v>3.6</v>
      </c>
      <c r="L4616" s="15" t="n">
        <v>388.1</v>
      </c>
      <c r="M4616" s="15" t="n">
        <f aca="false">F4616*G4616</f>
        <v>491.26</v>
      </c>
      <c r="N4616" s="15" t="n">
        <f aca="false">M4616-L4616</f>
        <v>103.16</v>
      </c>
      <c r="O4616" s="1" t="n">
        <f aca="false">YEAR(B4616)</f>
        <v>2034</v>
      </c>
      <c r="P4616" s="1" t="n">
        <f aca="false">MONTH(B4616)</f>
        <v>8</v>
      </c>
      <c r="Q4616" s="1" t="str">
        <f aca="false">TEXT(B4616,"mmm")</f>
        <v>Aug</v>
      </c>
      <c r="R4616" s="1" t="str">
        <f aca="false">"Q"&amp;ROUNDUP(MONTH(B4616)/3,0)</f>
        <v>Q3</v>
      </c>
    </row>
    <row r="4617" customFormat="false" ht="15" hidden="false" customHeight="true" outlineLevel="0" collapsed="false">
      <c r="A4617" s="1" t="n">
        <v>14616</v>
      </c>
      <c r="B4617" s="14" t="n">
        <v>49177</v>
      </c>
      <c r="C4617" s="1" t="n">
        <v>1293</v>
      </c>
      <c r="D4617" s="1" t="s">
        <v>34</v>
      </c>
      <c r="E4617" s="1" t="s">
        <v>35</v>
      </c>
      <c r="F4617" s="1" t="n">
        <v>3</v>
      </c>
      <c r="G4617" s="15" t="n">
        <v>288.88</v>
      </c>
      <c r="H4617" s="16" t="n">
        <v>0.33</v>
      </c>
      <c r="I4617" s="1" t="s">
        <v>29</v>
      </c>
      <c r="J4617" s="1" t="n">
        <v>6</v>
      </c>
      <c r="K4617" s="1" t="n">
        <v>1.7</v>
      </c>
      <c r="L4617" s="15" t="n">
        <v>580.65</v>
      </c>
      <c r="M4617" s="15" t="n">
        <f aca="false">F4617*G4617</f>
        <v>866.64</v>
      </c>
      <c r="N4617" s="15" t="n">
        <f aca="false">M4617-L4617</f>
        <v>285.99</v>
      </c>
      <c r="O4617" s="1" t="n">
        <f aca="false">YEAR(B4617)</f>
        <v>2034</v>
      </c>
      <c r="P4617" s="1" t="n">
        <f aca="false">MONTH(B4617)</f>
        <v>8</v>
      </c>
      <c r="Q4617" s="1" t="str">
        <f aca="false">TEXT(B4617,"mmm")</f>
        <v>Aug</v>
      </c>
      <c r="R4617" s="1" t="str">
        <f aca="false">"Q"&amp;ROUNDUP(MONTH(B4617)/3,0)</f>
        <v>Q3</v>
      </c>
    </row>
    <row r="4618" customFormat="false" ht="15" hidden="false" customHeight="true" outlineLevel="0" collapsed="false">
      <c r="A4618" s="1" t="n">
        <v>14617</v>
      </c>
      <c r="B4618" s="14" t="n">
        <v>49178</v>
      </c>
      <c r="C4618" s="1" t="n">
        <v>1795</v>
      </c>
      <c r="D4618" s="1" t="s">
        <v>27</v>
      </c>
      <c r="E4618" s="1" t="s">
        <v>28</v>
      </c>
      <c r="F4618" s="1" t="n">
        <v>6</v>
      </c>
      <c r="G4618" s="15" t="n">
        <v>545.17</v>
      </c>
      <c r="H4618" s="16" t="n">
        <v>0.21</v>
      </c>
      <c r="I4618" s="1" t="s">
        <v>31</v>
      </c>
      <c r="J4618" s="1" t="n">
        <v>6</v>
      </c>
      <c r="K4618" s="1" t="n">
        <v>3.5</v>
      </c>
      <c r="L4618" s="15" t="n">
        <v>2584.11</v>
      </c>
      <c r="M4618" s="15" t="n">
        <f aca="false">F4618*G4618</f>
        <v>3271.02</v>
      </c>
      <c r="N4618" s="15" t="n">
        <f aca="false">M4618-L4618</f>
        <v>686.909999999999</v>
      </c>
      <c r="O4618" s="1" t="n">
        <f aca="false">YEAR(B4618)</f>
        <v>2034</v>
      </c>
      <c r="P4618" s="1" t="n">
        <f aca="false">MONTH(B4618)</f>
        <v>8</v>
      </c>
      <c r="Q4618" s="1" t="str">
        <f aca="false">TEXT(B4618,"mmm")</f>
        <v>Aug</v>
      </c>
      <c r="R4618" s="1" t="str">
        <f aca="false">"Q"&amp;ROUNDUP(MONTH(B4618)/3,0)</f>
        <v>Q3</v>
      </c>
    </row>
    <row r="4619" customFormat="false" ht="15" hidden="false" customHeight="true" outlineLevel="0" collapsed="false">
      <c r="A4619" s="1" t="n">
        <v>14618</v>
      </c>
      <c r="B4619" s="14" t="n">
        <v>49179</v>
      </c>
      <c r="C4619" s="1" t="n">
        <v>1276</v>
      </c>
      <c r="D4619" s="1" t="s">
        <v>30</v>
      </c>
      <c r="E4619" s="1" t="s">
        <v>32</v>
      </c>
      <c r="F4619" s="1" t="n">
        <v>3</v>
      </c>
      <c r="G4619" s="15" t="n">
        <v>559.46</v>
      </c>
      <c r="H4619" s="16" t="n">
        <v>0.21</v>
      </c>
      <c r="I4619" s="1" t="s">
        <v>29</v>
      </c>
      <c r="J4619" s="1" t="n">
        <v>8</v>
      </c>
      <c r="K4619" s="1" t="n">
        <v>4.9</v>
      </c>
      <c r="L4619" s="15" t="n">
        <v>1325.92</v>
      </c>
      <c r="M4619" s="15" t="n">
        <f aca="false">F4619*G4619</f>
        <v>1678.38</v>
      </c>
      <c r="N4619" s="15" t="n">
        <f aca="false">M4619-L4619</f>
        <v>352.46</v>
      </c>
      <c r="O4619" s="1" t="n">
        <f aca="false">YEAR(B4619)</f>
        <v>2034</v>
      </c>
      <c r="P4619" s="1" t="n">
        <f aca="false">MONTH(B4619)</f>
        <v>8</v>
      </c>
      <c r="Q4619" s="1" t="str">
        <f aca="false">TEXT(B4619,"mmm")</f>
        <v>Aug</v>
      </c>
      <c r="R4619" s="1" t="str">
        <f aca="false">"Q"&amp;ROUNDUP(MONTH(B4619)/3,0)</f>
        <v>Q3</v>
      </c>
    </row>
    <row r="4620" customFormat="false" ht="15" hidden="false" customHeight="true" outlineLevel="0" collapsed="false">
      <c r="A4620" s="1" t="n">
        <v>14619</v>
      </c>
      <c r="B4620" s="14" t="n">
        <v>49180</v>
      </c>
      <c r="C4620" s="1" t="n">
        <v>1437</v>
      </c>
      <c r="D4620" s="1" t="s">
        <v>30</v>
      </c>
      <c r="E4620" s="1" t="s">
        <v>36</v>
      </c>
      <c r="F4620" s="1" t="n">
        <v>2</v>
      </c>
      <c r="G4620" s="15" t="n">
        <v>538.82</v>
      </c>
      <c r="H4620" s="16" t="n">
        <v>0.26</v>
      </c>
      <c r="I4620" s="1" t="s">
        <v>31</v>
      </c>
      <c r="J4620" s="1" t="n">
        <v>1</v>
      </c>
      <c r="K4620" s="1" t="n">
        <v>4.5</v>
      </c>
      <c r="L4620" s="15" t="n">
        <v>797.45</v>
      </c>
      <c r="M4620" s="15" t="n">
        <f aca="false">F4620*G4620</f>
        <v>1077.64</v>
      </c>
      <c r="N4620" s="15" t="n">
        <f aca="false">M4620-L4620</f>
        <v>280.19</v>
      </c>
      <c r="O4620" s="1" t="n">
        <f aca="false">YEAR(B4620)</f>
        <v>2034</v>
      </c>
      <c r="P4620" s="1" t="n">
        <f aca="false">MONTH(B4620)</f>
        <v>8</v>
      </c>
      <c r="Q4620" s="1" t="str">
        <f aca="false">TEXT(B4620,"mmm")</f>
        <v>Aug</v>
      </c>
      <c r="R4620" s="1" t="str">
        <f aca="false">"Q"&amp;ROUNDUP(MONTH(B4620)/3,0)</f>
        <v>Q3</v>
      </c>
    </row>
    <row r="4621" customFormat="false" ht="15" hidden="false" customHeight="true" outlineLevel="0" collapsed="false">
      <c r="A4621" s="1" t="n">
        <v>14620</v>
      </c>
      <c r="B4621" s="14" t="n">
        <v>49181</v>
      </c>
      <c r="C4621" s="1" t="n">
        <v>1106</v>
      </c>
      <c r="D4621" s="1" t="s">
        <v>30</v>
      </c>
      <c r="E4621" s="1" t="s">
        <v>35</v>
      </c>
      <c r="F4621" s="1" t="n">
        <v>3</v>
      </c>
      <c r="G4621" s="15" t="n">
        <v>95.95</v>
      </c>
      <c r="H4621" s="16" t="n">
        <v>0.12</v>
      </c>
      <c r="I4621" s="1" t="s">
        <v>29</v>
      </c>
      <c r="J4621" s="1" t="n">
        <v>7</v>
      </c>
      <c r="K4621" s="1" t="n">
        <v>2.4</v>
      </c>
      <c r="L4621" s="15" t="n">
        <v>253.31</v>
      </c>
      <c r="M4621" s="15" t="n">
        <f aca="false">F4621*G4621</f>
        <v>287.85</v>
      </c>
      <c r="N4621" s="15" t="n">
        <f aca="false">M4621-L4621</f>
        <v>34.54</v>
      </c>
      <c r="O4621" s="1" t="n">
        <f aca="false">YEAR(B4621)</f>
        <v>2034</v>
      </c>
      <c r="P4621" s="1" t="n">
        <f aca="false">MONTH(B4621)</f>
        <v>8</v>
      </c>
      <c r="Q4621" s="1" t="str">
        <f aca="false">TEXT(B4621,"mmm")</f>
        <v>Aug</v>
      </c>
      <c r="R4621" s="1" t="str">
        <f aca="false">"Q"&amp;ROUNDUP(MONTH(B4621)/3,0)</f>
        <v>Q3</v>
      </c>
    </row>
    <row r="4622" customFormat="false" ht="15" hidden="false" customHeight="true" outlineLevel="0" collapsed="false">
      <c r="A4622" s="1" t="n">
        <v>14621</v>
      </c>
      <c r="B4622" s="14" t="n">
        <v>49182</v>
      </c>
      <c r="C4622" s="1" t="n">
        <v>1657</v>
      </c>
      <c r="D4622" s="1" t="s">
        <v>30</v>
      </c>
      <c r="E4622" s="1" t="s">
        <v>28</v>
      </c>
      <c r="F4622" s="1" t="n">
        <v>3</v>
      </c>
      <c r="G4622" s="15" t="n">
        <v>512.3</v>
      </c>
      <c r="H4622" s="16" t="n">
        <v>0.25</v>
      </c>
      <c r="I4622" s="1" t="s">
        <v>31</v>
      </c>
      <c r="J4622" s="1" t="n">
        <v>7</v>
      </c>
      <c r="K4622" s="1" t="n">
        <v>2.7</v>
      </c>
      <c r="L4622" s="15" t="n">
        <v>1152.68</v>
      </c>
      <c r="M4622" s="15" t="n">
        <f aca="false">F4622*G4622</f>
        <v>1536.9</v>
      </c>
      <c r="N4622" s="15" t="n">
        <f aca="false">M4622-L4622</f>
        <v>384.22</v>
      </c>
      <c r="O4622" s="1" t="n">
        <f aca="false">YEAR(B4622)</f>
        <v>2034</v>
      </c>
      <c r="P4622" s="1" t="n">
        <f aca="false">MONTH(B4622)</f>
        <v>8</v>
      </c>
      <c r="Q4622" s="1" t="str">
        <f aca="false">TEXT(B4622,"mmm")</f>
        <v>Aug</v>
      </c>
      <c r="R4622" s="1" t="str">
        <f aca="false">"Q"&amp;ROUNDUP(MONTH(B4622)/3,0)</f>
        <v>Q3</v>
      </c>
    </row>
    <row r="4623" customFormat="false" ht="15" hidden="false" customHeight="true" outlineLevel="0" collapsed="false">
      <c r="A4623" s="1" t="n">
        <v>14622</v>
      </c>
      <c r="B4623" s="14" t="n">
        <v>49183</v>
      </c>
      <c r="C4623" s="1" t="n">
        <v>1419</v>
      </c>
      <c r="D4623" s="1" t="s">
        <v>30</v>
      </c>
      <c r="E4623" s="1" t="s">
        <v>28</v>
      </c>
      <c r="F4623" s="1" t="n">
        <v>3</v>
      </c>
      <c r="G4623" s="15" t="n">
        <v>569.79</v>
      </c>
      <c r="H4623" s="16" t="n">
        <v>0.32</v>
      </c>
      <c r="I4623" s="1" t="s">
        <v>31</v>
      </c>
      <c r="J4623" s="1" t="n">
        <v>9</v>
      </c>
      <c r="K4623" s="1" t="n">
        <v>2.7</v>
      </c>
      <c r="L4623" s="15" t="n">
        <v>1162.37</v>
      </c>
      <c r="M4623" s="15" t="n">
        <f aca="false">F4623*G4623</f>
        <v>1709.37</v>
      </c>
      <c r="N4623" s="15" t="n">
        <f aca="false">M4623-L4623</f>
        <v>547</v>
      </c>
      <c r="O4623" s="1" t="n">
        <f aca="false">YEAR(B4623)</f>
        <v>2034</v>
      </c>
      <c r="P4623" s="1" t="n">
        <f aca="false">MONTH(B4623)</f>
        <v>8</v>
      </c>
      <c r="Q4623" s="1" t="str">
        <f aca="false">TEXT(B4623,"mmm")</f>
        <v>Aug</v>
      </c>
      <c r="R4623" s="1" t="str">
        <f aca="false">"Q"&amp;ROUNDUP(MONTH(B4623)/3,0)</f>
        <v>Q3</v>
      </c>
    </row>
    <row r="4624" customFormat="false" ht="15" hidden="false" customHeight="true" outlineLevel="0" collapsed="false">
      <c r="A4624" s="1" t="n">
        <v>14623</v>
      </c>
      <c r="B4624" s="14" t="n">
        <v>49184</v>
      </c>
      <c r="C4624" s="1" t="n">
        <v>1610</v>
      </c>
      <c r="D4624" s="1" t="s">
        <v>30</v>
      </c>
      <c r="E4624" s="1" t="s">
        <v>36</v>
      </c>
      <c r="F4624" s="1" t="n">
        <v>4</v>
      </c>
      <c r="G4624" s="15" t="n">
        <v>226.33</v>
      </c>
      <c r="H4624" s="16" t="n">
        <v>0</v>
      </c>
      <c r="I4624" s="1" t="s">
        <v>33</v>
      </c>
      <c r="J4624" s="1" t="n">
        <v>4</v>
      </c>
      <c r="K4624" s="1" t="n">
        <v>4.4</v>
      </c>
      <c r="L4624" s="15" t="n">
        <v>905.32</v>
      </c>
      <c r="M4624" s="15" t="n">
        <f aca="false">F4624*G4624</f>
        <v>905.32</v>
      </c>
      <c r="N4624" s="15" t="n">
        <f aca="false">M4624-L4624</f>
        <v>0</v>
      </c>
      <c r="O4624" s="1" t="n">
        <f aca="false">YEAR(B4624)</f>
        <v>2034</v>
      </c>
      <c r="P4624" s="1" t="n">
        <f aca="false">MONTH(B4624)</f>
        <v>8</v>
      </c>
      <c r="Q4624" s="1" t="str">
        <f aca="false">TEXT(B4624,"mmm")</f>
        <v>Aug</v>
      </c>
      <c r="R4624" s="1" t="str">
        <f aca="false">"Q"&amp;ROUNDUP(MONTH(B4624)/3,0)</f>
        <v>Q3</v>
      </c>
    </row>
    <row r="4625" customFormat="false" ht="15" hidden="false" customHeight="true" outlineLevel="0" collapsed="false">
      <c r="A4625" s="1" t="n">
        <v>14624</v>
      </c>
      <c r="B4625" s="14" t="n">
        <v>49185</v>
      </c>
      <c r="C4625" s="1" t="n">
        <v>1428</v>
      </c>
      <c r="D4625" s="1" t="s">
        <v>30</v>
      </c>
      <c r="E4625" s="1" t="s">
        <v>35</v>
      </c>
      <c r="F4625" s="1" t="n">
        <v>6</v>
      </c>
      <c r="G4625" s="15" t="n">
        <v>318.41</v>
      </c>
      <c r="H4625" s="16" t="n">
        <v>0.3</v>
      </c>
      <c r="I4625" s="1" t="s">
        <v>33</v>
      </c>
      <c r="J4625" s="1" t="n">
        <v>7</v>
      </c>
      <c r="K4625" s="1" t="n">
        <v>5</v>
      </c>
      <c r="L4625" s="15" t="n">
        <v>1337.32</v>
      </c>
      <c r="M4625" s="15" t="n">
        <f aca="false">F4625*G4625</f>
        <v>1910.46</v>
      </c>
      <c r="N4625" s="15" t="n">
        <f aca="false">M4625-L4625</f>
        <v>573.14</v>
      </c>
      <c r="O4625" s="1" t="n">
        <f aca="false">YEAR(B4625)</f>
        <v>2034</v>
      </c>
      <c r="P4625" s="1" t="n">
        <f aca="false">MONTH(B4625)</f>
        <v>8</v>
      </c>
      <c r="Q4625" s="1" t="str">
        <f aca="false">TEXT(B4625,"mmm")</f>
        <v>Aug</v>
      </c>
      <c r="R4625" s="1" t="str">
        <f aca="false">"Q"&amp;ROUNDUP(MONTH(B4625)/3,0)</f>
        <v>Q3</v>
      </c>
    </row>
    <row r="4626" customFormat="false" ht="15" hidden="false" customHeight="true" outlineLevel="0" collapsed="false">
      <c r="A4626" s="1" t="n">
        <v>14625</v>
      </c>
      <c r="B4626" s="14" t="n">
        <v>49186</v>
      </c>
      <c r="C4626" s="1" t="n">
        <v>1374</v>
      </c>
      <c r="D4626" s="1" t="s">
        <v>34</v>
      </c>
      <c r="E4626" s="1" t="s">
        <v>28</v>
      </c>
      <c r="F4626" s="1" t="n">
        <v>6</v>
      </c>
      <c r="G4626" s="15" t="n">
        <v>470.77</v>
      </c>
      <c r="H4626" s="16" t="n">
        <v>0.08</v>
      </c>
      <c r="I4626" s="1" t="s">
        <v>33</v>
      </c>
      <c r="J4626" s="1" t="n">
        <v>6</v>
      </c>
      <c r="K4626" s="1" t="n">
        <v>4.3</v>
      </c>
      <c r="L4626" s="15" t="n">
        <v>2598.65</v>
      </c>
      <c r="M4626" s="15" t="n">
        <f aca="false">F4626*G4626</f>
        <v>2824.62</v>
      </c>
      <c r="N4626" s="15" t="n">
        <f aca="false">M4626-L4626</f>
        <v>225.97</v>
      </c>
      <c r="O4626" s="1" t="n">
        <f aca="false">YEAR(B4626)</f>
        <v>2034</v>
      </c>
      <c r="P4626" s="1" t="n">
        <f aca="false">MONTH(B4626)</f>
        <v>8</v>
      </c>
      <c r="Q4626" s="1" t="str">
        <f aca="false">TEXT(B4626,"mmm")</f>
        <v>Aug</v>
      </c>
      <c r="R4626" s="1" t="str">
        <f aca="false">"Q"&amp;ROUNDUP(MONTH(B4626)/3,0)</f>
        <v>Q3</v>
      </c>
    </row>
    <row r="4627" customFormat="false" ht="15" hidden="false" customHeight="true" outlineLevel="0" collapsed="false">
      <c r="A4627" s="1" t="n">
        <v>14626</v>
      </c>
      <c r="B4627" s="14" t="n">
        <v>49187</v>
      </c>
      <c r="C4627" s="1" t="n">
        <v>1072</v>
      </c>
      <c r="D4627" s="1" t="s">
        <v>37</v>
      </c>
      <c r="E4627" s="1" t="s">
        <v>28</v>
      </c>
      <c r="F4627" s="1" t="n">
        <v>7</v>
      </c>
      <c r="G4627" s="15" t="n">
        <v>343.82</v>
      </c>
      <c r="H4627" s="16" t="n">
        <v>0.16</v>
      </c>
      <c r="I4627" s="1" t="s">
        <v>33</v>
      </c>
      <c r="J4627" s="1" t="n">
        <v>4</v>
      </c>
      <c r="K4627" s="1" t="n">
        <v>3.2</v>
      </c>
      <c r="L4627" s="15" t="n">
        <v>2021.66</v>
      </c>
      <c r="M4627" s="15" t="n">
        <f aca="false">F4627*G4627</f>
        <v>2406.74</v>
      </c>
      <c r="N4627" s="15" t="n">
        <f aca="false">M4627-L4627</f>
        <v>385.08</v>
      </c>
      <c r="O4627" s="1" t="n">
        <f aca="false">YEAR(B4627)</f>
        <v>2034</v>
      </c>
      <c r="P4627" s="1" t="n">
        <f aca="false">MONTH(B4627)</f>
        <v>8</v>
      </c>
      <c r="Q4627" s="1" t="str">
        <f aca="false">TEXT(B4627,"mmm")</f>
        <v>Aug</v>
      </c>
      <c r="R4627" s="1" t="str">
        <f aca="false">"Q"&amp;ROUNDUP(MONTH(B4627)/3,0)</f>
        <v>Q3</v>
      </c>
    </row>
    <row r="4628" customFormat="false" ht="15" hidden="false" customHeight="true" outlineLevel="0" collapsed="false">
      <c r="A4628" s="1" t="n">
        <v>14627</v>
      </c>
      <c r="B4628" s="14" t="n">
        <v>49188</v>
      </c>
      <c r="C4628" s="1" t="n">
        <v>1948</v>
      </c>
      <c r="D4628" s="1" t="s">
        <v>30</v>
      </c>
      <c r="E4628" s="1" t="s">
        <v>32</v>
      </c>
      <c r="F4628" s="1" t="n">
        <v>6</v>
      </c>
      <c r="G4628" s="15" t="n">
        <v>596.19</v>
      </c>
      <c r="H4628" s="16" t="n">
        <v>0.3</v>
      </c>
      <c r="I4628" s="1" t="s">
        <v>33</v>
      </c>
      <c r="J4628" s="1" t="n">
        <v>10</v>
      </c>
      <c r="K4628" s="1" t="n">
        <v>1.4</v>
      </c>
      <c r="L4628" s="15" t="n">
        <v>2504</v>
      </c>
      <c r="M4628" s="15" t="n">
        <f aca="false">F4628*G4628</f>
        <v>3577.14</v>
      </c>
      <c r="N4628" s="15" t="n">
        <f aca="false">M4628-L4628</f>
        <v>1073.14</v>
      </c>
      <c r="O4628" s="1" t="n">
        <f aca="false">YEAR(B4628)</f>
        <v>2034</v>
      </c>
      <c r="P4628" s="1" t="n">
        <f aca="false">MONTH(B4628)</f>
        <v>9</v>
      </c>
      <c r="Q4628" s="1" t="str">
        <f aca="false">TEXT(B4628,"mmm")</f>
        <v>Sep</v>
      </c>
      <c r="R4628" s="1" t="str">
        <f aca="false">"Q"&amp;ROUNDUP(MONTH(B4628)/3,0)</f>
        <v>Q3</v>
      </c>
    </row>
    <row r="4629" customFormat="false" ht="15" hidden="false" customHeight="true" outlineLevel="0" collapsed="false">
      <c r="A4629" s="1" t="n">
        <v>14628</v>
      </c>
      <c r="B4629" s="14" t="n">
        <v>49189</v>
      </c>
      <c r="C4629" s="1" t="n">
        <v>1997</v>
      </c>
      <c r="D4629" s="1" t="s">
        <v>34</v>
      </c>
      <c r="E4629" s="1" t="s">
        <v>28</v>
      </c>
      <c r="F4629" s="1" t="n">
        <v>7</v>
      </c>
      <c r="G4629" s="15" t="n">
        <v>281.59</v>
      </c>
      <c r="H4629" s="16" t="n">
        <v>0.29</v>
      </c>
      <c r="I4629" s="1" t="s">
        <v>31</v>
      </c>
      <c r="J4629" s="1" t="n">
        <v>8</v>
      </c>
      <c r="K4629" s="1" t="n">
        <v>4.8</v>
      </c>
      <c r="L4629" s="15" t="n">
        <v>1399.5</v>
      </c>
      <c r="M4629" s="15" t="n">
        <f aca="false">F4629*G4629</f>
        <v>1971.13</v>
      </c>
      <c r="N4629" s="15" t="n">
        <f aca="false">M4629-L4629</f>
        <v>571.63</v>
      </c>
      <c r="O4629" s="1" t="n">
        <f aca="false">YEAR(B4629)</f>
        <v>2034</v>
      </c>
      <c r="P4629" s="1" t="n">
        <f aca="false">MONTH(B4629)</f>
        <v>9</v>
      </c>
      <c r="Q4629" s="1" t="str">
        <f aca="false">TEXT(B4629,"mmm")</f>
        <v>Sep</v>
      </c>
      <c r="R4629" s="1" t="str">
        <f aca="false">"Q"&amp;ROUNDUP(MONTH(B4629)/3,0)</f>
        <v>Q3</v>
      </c>
    </row>
    <row r="4630" customFormat="false" ht="15" hidden="false" customHeight="true" outlineLevel="0" collapsed="false">
      <c r="A4630" s="1" t="n">
        <v>14629</v>
      </c>
      <c r="B4630" s="14" t="n">
        <v>49190</v>
      </c>
      <c r="C4630" s="1" t="n">
        <v>1633</v>
      </c>
      <c r="D4630" s="1" t="s">
        <v>37</v>
      </c>
      <c r="E4630" s="1" t="s">
        <v>36</v>
      </c>
      <c r="F4630" s="1" t="n">
        <v>2</v>
      </c>
      <c r="G4630" s="15" t="n">
        <v>432.66</v>
      </c>
      <c r="H4630" s="16" t="n">
        <v>0.31</v>
      </c>
      <c r="I4630" s="1" t="s">
        <v>31</v>
      </c>
      <c r="J4630" s="1" t="n">
        <v>3</v>
      </c>
      <c r="K4630" s="1" t="n">
        <v>4.4</v>
      </c>
      <c r="L4630" s="15" t="n">
        <v>597.07</v>
      </c>
      <c r="M4630" s="15" t="n">
        <f aca="false">F4630*G4630</f>
        <v>865.32</v>
      </c>
      <c r="N4630" s="15" t="n">
        <f aca="false">M4630-L4630</f>
        <v>268.25</v>
      </c>
      <c r="O4630" s="1" t="n">
        <f aca="false">YEAR(B4630)</f>
        <v>2034</v>
      </c>
      <c r="P4630" s="1" t="n">
        <f aca="false">MONTH(B4630)</f>
        <v>9</v>
      </c>
      <c r="Q4630" s="1" t="str">
        <f aca="false">TEXT(B4630,"mmm")</f>
        <v>Sep</v>
      </c>
      <c r="R4630" s="1" t="str">
        <f aca="false">"Q"&amp;ROUNDUP(MONTH(B4630)/3,0)</f>
        <v>Q3</v>
      </c>
    </row>
    <row r="4631" customFormat="false" ht="15" hidden="false" customHeight="true" outlineLevel="0" collapsed="false">
      <c r="A4631" s="1" t="n">
        <v>14630</v>
      </c>
      <c r="B4631" s="14" t="n">
        <v>49191</v>
      </c>
      <c r="C4631" s="1" t="n">
        <v>1029</v>
      </c>
      <c r="D4631" s="1" t="s">
        <v>27</v>
      </c>
      <c r="E4631" s="1" t="s">
        <v>35</v>
      </c>
      <c r="F4631" s="1" t="n">
        <v>7</v>
      </c>
      <c r="G4631" s="15" t="n">
        <v>478.67</v>
      </c>
      <c r="H4631" s="16" t="n">
        <v>0.33</v>
      </c>
      <c r="I4631" s="1" t="s">
        <v>31</v>
      </c>
      <c r="J4631" s="1" t="n">
        <v>8</v>
      </c>
      <c r="K4631" s="1" t="n">
        <v>4.4</v>
      </c>
      <c r="L4631" s="15" t="n">
        <v>2244.96</v>
      </c>
      <c r="M4631" s="15" t="n">
        <f aca="false">F4631*G4631</f>
        <v>3350.69</v>
      </c>
      <c r="N4631" s="15" t="n">
        <f aca="false">M4631-L4631</f>
        <v>1105.73</v>
      </c>
      <c r="O4631" s="1" t="n">
        <f aca="false">YEAR(B4631)</f>
        <v>2034</v>
      </c>
      <c r="P4631" s="1" t="n">
        <f aca="false">MONTH(B4631)</f>
        <v>9</v>
      </c>
      <c r="Q4631" s="1" t="str">
        <f aca="false">TEXT(B4631,"mmm")</f>
        <v>Sep</v>
      </c>
      <c r="R4631" s="1" t="str">
        <f aca="false">"Q"&amp;ROUNDUP(MONTH(B4631)/3,0)</f>
        <v>Q3</v>
      </c>
    </row>
    <row r="4632" customFormat="false" ht="15" hidden="false" customHeight="true" outlineLevel="0" collapsed="false">
      <c r="A4632" s="1" t="n">
        <v>14631</v>
      </c>
      <c r="B4632" s="14" t="n">
        <v>49192</v>
      </c>
      <c r="C4632" s="1" t="n">
        <v>1187</v>
      </c>
      <c r="D4632" s="1" t="s">
        <v>27</v>
      </c>
      <c r="E4632" s="1" t="s">
        <v>35</v>
      </c>
      <c r="F4632" s="1" t="n">
        <v>7</v>
      </c>
      <c r="G4632" s="15" t="n">
        <v>304.05</v>
      </c>
      <c r="H4632" s="16" t="n">
        <v>0.16</v>
      </c>
      <c r="I4632" s="1" t="s">
        <v>33</v>
      </c>
      <c r="J4632" s="1" t="n">
        <v>5</v>
      </c>
      <c r="K4632" s="1" t="n">
        <v>2.6</v>
      </c>
      <c r="L4632" s="15" t="n">
        <v>1787.81</v>
      </c>
      <c r="M4632" s="15" t="n">
        <f aca="false">F4632*G4632</f>
        <v>2128.35</v>
      </c>
      <c r="N4632" s="15" t="n">
        <f aca="false">M4632-L4632</f>
        <v>340.54</v>
      </c>
      <c r="O4632" s="1" t="n">
        <f aca="false">YEAR(B4632)</f>
        <v>2034</v>
      </c>
      <c r="P4632" s="1" t="n">
        <f aca="false">MONTH(B4632)</f>
        <v>9</v>
      </c>
      <c r="Q4632" s="1" t="str">
        <f aca="false">TEXT(B4632,"mmm")</f>
        <v>Sep</v>
      </c>
      <c r="R4632" s="1" t="str">
        <f aca="false">"Q"&amp;ROUNDUP(MONTH(B4632)/3,0)</f>
        <v>Q3</v>
      </c>
    </row>
    <row r="4633" customFormat="false" ht="15" hidden="false" customHeight="true" outlineLevel="0" collapsed="false">
      <c r="A4633" s="1" t="n">
        <v>14632</v>
      </c>
      <c r="B4633" s="14" t="n">
        <v>49193</v>
      </c>
      <c r="C4633" s="1" t="n">
        <v>1363</v>
      </c>
      <c r="D4633" s="1" t="s">
        <v>30</v>
      </c>
      <c r="E4633" s="1" t="s">
        <v>32</v>
      </c>
      <c r="F4633" s="1" t="n">
        <v>5</v>
      </c>
      <c r="G4633" s="15" t="n">
        <v>516.34</v>
      </c>
      <c r="H4633" s="16" t="n">
        <v>0.23</v>
      </c>
      <c r="I4633" s="1" t="s">
        <v>33</v>
      </c>
      <c r="J4633" s="1" t="n">
        <v>4</v>
      </c>
      <c r="K4633" s="1" t="n">
        <v>2.8</v>
      </c>
      <c r="L4633" s="15" t="n">
        <v>1987.91</v>
      </c>
      <c r="M4633" s="15" t="n">
        <f aca="false">F4633*G4633</f>
        <v>2581.7</v>
      </c>
      <c r="N4633" s="15" t="n">
        <f aca="false">M4633-L4633</f>
        <v>593.79</v>
      </c>
      <c r="O4633" s="1" t="n">
        <f aca="false">YEAR(B4633)</f>
        <v>2034</v>
      </c>
      <c r="P4633" s="1" t="n">
        <f aca="false">MONTH(B4633)</f>
        <v>9</v>
      </c>
      <c r="Q4633" s="1" t="str">
        <f aca="false">TEXT(B4633,"mmm")</f>
        <v>Sep</v>
      </c>
      <c r="R4633" s="1" t="str">
        <f aca="false">"Q"&amp;ROUNDUP(MONTH(B4633)/3,0)</f>
        <v>Q3</v>
      </c>
    </row>
    <row r="4634" customFormat="false" ht="15" hidden="false" customHeight="true" outlineLevel="0" collapsed="false">
      <c r="A4634" s="1" t="n">
        <v>14633</v>
      </c>
      <c r="B4634" s="14" t="n">
        <v>49194</v>
      </c>
      <c r="C4634" s="1" t="n">
        <v>1865</v>
      </c>
      <c r="D4634" s="1" t="s">
        <v>34</v>
      </c>
      <c r="E4634" s="1" t="s">
        <v>35</v>
      </c>
      <c r="F4634" s="1" t="n">
        <v>2</v>
      </c>
      <c r="G4634" s="15" t="n">
        <v>334.5</v>
      </c>
      <c r="H4634" s="16" t="n">
        <v>0.14</v>
      </c>
      <c r="I4634" s="1" t="s">
        <v>33</v>
      </c>
      <c r="J4634" s="1" t="n">
        <v>3</v>
      </c>
      <c r="K4634" s="1" t="n">
        <v>1.5</v>
      </c>
      <c r="L4634" s="15" t="n">
        <v>575.34</v>
      </c>
      <c r="M4634" s="15" t="n">
        <f aca="false">F4634*G4634</f>
        <v>669</v>
      </c>
      <c r="N4634" s="15" t="n">
        <f aca="false">M4634-L4634</f>
        <v>93.66</v>
      </c>
      <c r="O4634" s="1" t="n">
        <f aca="false">YEAR(B4634)</f>
        <v>2034</v>
      </c>
      <c r="P4634" s="1" t="n">
        <f aca="false">MONTH(B4634)</f>
        <v>9</v>
      </c>
      <c r="Q4634" s="1" t="str">
        <f aca="false">TEXT(B4634,"mmm")</f>
        <v>Sep</v>
      </c>
      <c r="R4634" s="1" t="str">
        <f aca="false">"Q"&amp;ROUNDUP(MONTH(B4634)/3,0)</f>
        <v>Q3</v>
      </c>
    </row>
    <row r="4635" customFormat="false" ht="15" hidden="false" customHeight="true" outlineLevel="0" collapsed="false">
      <c r="A4635" s="1" t="n">
        <v>14634</v>
      </c>
      <c r="B4635" s="14" t="n">
        <v>49195</v>
      </c>
      <c r="C4635" s="1" t="n">
        <v>1799</v>
      </c>
      <c r="D4635" s="1" t="s">
        <v>30</v>
      </c>
      <c r="E4635" s="1" t="s">
        <v>36</v>
      </c>
      <c r="F4635" s="1" t="n">
        <v>6</v>
      </c>
      <c r="G4635" s="15" t="n">
        <v>255.82</v>
      </c>
      <c r="H4635" s="16" t="n">
        <v>0.12</v>
      </c>
      <c r="I4635" s="1" t="s">
        <v>33</v>
      </c>
      <c r="J4635" s="1" t="n">
        <v>10</v>
      </c>
      <c r="K4635" s="1" t="n">
        <v>4.8</v>
      </c>
      <c r="L4635" s="15" t="n">
        <v>1350.73</v>
      </c>
      <c r="M4635" s="15" t="n">
        <f aca="false">F4635*G4635</f>
        <v>1534.92</v>
      </c>
      <c r="N4635" s="15" t="n">
        <f aca="false">M4635-L4635</f>
        <v>184.19</v>
      </c>
      <c r="O4635" s="1" t="n">
        <f aca="false">YEAR(B4635)</f>
        <v>2034</v>
      </c>
      <c r="P4635" s="1" t="n">
        <f aca="false">MONTH(B4635)</f>
        <v>9</v>
      </c>
      <c r="Q4635" s="1" t="str">
        <f aca="false">TEXT(B4635,"mmm")</f>
        <v>Sep</v>
      </c>
      <c r="R4635" s="1" t="str">
        <f aca="false">"Q"&amp;ROUNDUP(MONTH(B4635)/3,0)</f>
        <v>Q3</v>
      </c>
    </row>
    <row r="4636" customFormat="false" ht="15" hidden="false" customHeight="true" outlineLevel="0" collapsed="false">
      <c r="A4636" s="1" t="n">
        <v>14635</v>
      </c>
      <c r="B4636" s="14" t="n">
        <v>49196</v>
      </c>
      <c r="C4636" s="1" t="n">
        <v>1450</v>
      </c>
      <c r="D4636" s="1" t="s">
        <v>34</v>
      </c>
      <c r="E4636" s="1" t="s">
        <v>28</v>
      </c>
      <c r="F4636" s="1" t="n">
        <v>1</v>
      </c>
      <c r="G4636" s="15" t="n">
        <v>78.08</v>
      </c>
      <c r="H4636" s="16" t="n">
        <v>0.15</v>
      </c>
      <c r="I4636" s="1" t="s">
        <v>31</v>
      </c>
      <c r="J4636" s="1" t="n">
        <v>7</v>
      </c>
      <c r="K4636" s="1" t="n">
        <v>4.8</v>
      </c>
      <c r="L4636" s="15" t="n">
        <v>66.37</v>
      </c>
      <c r="M4636" s="15" t="n">
        <f aca="false">F4636*G4636</f>
        <v>78.08</v>
      </c>
      <c r="N4636" s="15" t="n">
        <f aca="false">M4636-L4636</f>
        <v>11.71</v>
      </c>
      <c r="O4636" s="1" t="n">
        <f aca="false">YEAR(B4636)</f>
        <v>2034</v>
      </c>
      <c r="P4636" s="1" t="n">
        <f aca="false">MONTH(B4636)</f>
        <v>9</v>
      </c>
      <c r="Q4636" s="1" t="str">
        <f aca="false">TEXT(B4636,"mmm")</f>
        <v>Sep</v>
      </c>
      <c r="R4636" s="1" t="str">
        <f aca="false">"Q"&amp;ROUNDUP(MONTH(B4636)/3,0)</f>
        <v>Q3</v>
      </c>
    </row>
    <row r="4637" customFormat="false" ht="15" hidden="false" customHeight="true" outlineLevel="0" collapsed="false">
      <c r="A4637" s="1" t="n">
        <v>14636</v>
      </c>
      <c r="B4637" s="14" t="n">
        <v>49197</v>
      </c>
      <c r="C4637" s="1" t="n">
        <v>1194</v>
      </c>
      <c r="D4637" s="1" t="s">
        <v>27</v>
      </c>
      <c r="E4637" s="1" t="s">
        <v>32</v>
      </c>
      <c r="F4637" s="1" t="n">
        <v>3</v>
      </c>
      <c r="G4637" s="15" t="n">
        <v>245.15</v>
      </c>
      <c r="H4637" s="16" t="n">
        <v>0.26</v>
      </c>
      <c r="I4637" s="1" t="s">
        <v>33</v>
      </c>
      <c r="J4637" s="1" t="n">
        <v>7</v>
      </c>
      <c r="K4637" s="1" t="n">
        <v>2</v>
      </c>
      <c r="L4637" s="15" t="n">
        <v>544.23</v>
      </c>
      <c r="M4637" s="15" t="n">
        <f aca="false">F4637*G4637</f>
        <v>735.45</v>
      </c>
      <c r="N4637" s="15" t="n">
        <f aca="false">M4637-L4637</f>
        <v>191.22</v>
      </c>
      <c r="O4637" s="1" t="n">
        <f aca="false">YEAR(B4637)</f>
        <v>2034</v>
      </c>
      <c r="P4637" s="1" t="n">
        <f aca="false">MONTH(B4637)</f>
        <v>9</v>
      </c>
      <c r="Q4637" s="1" t="str">
        <f aca="false">TEXT(B4637,"mmm")</f>
        <v>Sep</v>
      </c>
      <c r="R4637" s="1" t="str">
        <f aca="false">"Q"&amp;ROUNDUP(MONTH(B4637)/3,0)</f>
        <v>Q3</v>
      </c>
    </row>
    <row r="4638" customFormat="false" ht="15" hidden="false" customHeight="true" outlineLevel="0" collapsed="false">
      <c r="A4638" s="1" t="n">
        <v>14637</v>
      </c>
      <c r="B4638" s="14" t="n">
        <v>49198</v>
      </c>
      <c r="C4638" s="1" t="n">
        <v>1155</v>
      </c>
      <c r="D4638" s="1" t="s">
        <v>34</v>
      </c>
      <c r="E4638" s="1" t="s">
        <v>35</v>
      </c>
      <c r="F4638" s="1" t="n">
        <v>3</v>
      </c>
      <c r="G4638" s="15" t="n">
        <v>444.35</v>
      </c>
      <c r="H4638" s="16" t="n">
        <v>0.18</v>
      </c>
      <c r="I4638" s="1" t="s">
        <v>31</v>
      </c>
      <c r="J4638" s="1" t="n">
        <v>6</v>
      </c>
      <c r="K4638" s="1" t="n">
        <v>3.8</v>
      </c>
      <c r="L4638" s="15" t="n">
        <v>1093.1</v>
      </c>
      <c r="M4638" s="15" t="n">
        <f aca="false">F4638*G4638</f>
        <v>1333.05</v>
      </c>
      <c r="N4638" s="15" t="n">
        <f aca="false">M4638-L4638</f>
        <v>239.95</v>
      </c>
      <c r="O4638" s="1" t="n">
        <f aca="false">YEAR(B4638)</f>
        <v>2034</v>
      </c>
      <c r="P4638" s="1" t="n">
        <f aca="false">MONTH(B4638)</f>
        <v>9</v>
      </c>
      <c r="Q4638" s="1" t="str">
        <f aca="false">TEXT(B4638,"mmm")</f>
        <v>Sep</v>
      </c>
      <c r="R4638" s="1" t="str">
        <f aca="false">"Q"&amp;ROUNDUP(MONTH(B4638)/3,0)</f>
        <v>Q3</v>
      </c>
    </row>
    <row r="4639" customFormat="false" ht="15" hidden="false" customHeight="true" outlineLevel="0" collapsed="false">
      <c r="A4639" s="1" t="n">
        <v>14638</v>
      </c>
      <c r="B4639" s="14" t="n">
        <v>49199</v>
      </c>
      <c r="C4639" s="1" t="n">
        <v>1171</v>
      </c>
      <c r="D4639" s="1" t="s">
        <v>34</v>
      </c>
      <c r="E4639" s="1" t="s">
        <v>32</v>
      </c>
      <c r="F4639" s="1" t="n">
        <v>5</v>
      </c>
      <c r="G4639" s="15" t="n">
        <v>553.95</v>
      </c>
      <c r="H4639" s="16" t="n">
        <v>0.28</v>
      </c>
      <c r="I4639" s="1" t="s">
        <v>33</v>
      </c>
      <c r="J4639" s="1" t="n">
        <v>3</v>
      </c>
      <c r="K4639" s="1" t="n">
        <v>1.8</v>
      </c>
      <c r="L4639" s="15" t="n">
        <v>1994.22</v>
      </c>
      <c r="M4639" s="15" t="n">
        <f aca="false">F4639*G4639</f>
        <v>2769.75</v>
      </c>
      <c r="N4639" s="15" t="n">
        <f aca="false">M4639-L4639</f>
        <v>775.53</v>
      </c>
      <c r="O4639" s="1" t="n">
        <f aca="false">YEAR(B4639)</f>
        <v>2034</v>
      </c>
      <c r="P4639" s="1" t="n">
        <f aca="false">MONTH(B4639)</f>
        <v>9</v>
      </c>
      <c r="Q4639" s="1" t="str">
        <f aca="false">TEXT(B4639,"mmm")</f>
        <v>Sep</v>
      </c>
      <c r="R4639" s="1" t="str">
        <f aca="false">"Q"&amp;ROUNDUP(MONTH(B4639)/3,0)</f>
        <v>Q3</v>
      </c>
    </row>
    <row r="4640" customFormat="false" ht="15" hidden="false" customHeight="true" outlineLevel="0" collapsed="false">
      <c r="A4640" s="1" t="n">
        <v>14639</v>
      </c>
      <c r="B4640" s="14" t="n">
        <v>49200</v>
      </c>
      <c r="C4640" s="1" t="n">
        <v>1846</v>
      </c>
      <c r="D4640" s="1" t="s">
        <v>30</v>
      </c>
      <c r="E4640" s="1" t="s">
        <v>32</v>
      </c>
      <c r="F4640" s="1" t="n">
        <v>1</v>
      </c>
      <c r="G4640" s="15" t="n">
        <v>162.23</v>
      </c>
      <c r="H4640" s="16" t="n">
        <v>0.26</v>
      </c>
      <c r="I4640" s="1" t="s">
        <v>31</v>
      </c>
      <c r="J4640" s="1" t="n">
        <v>9</v>
      </c>
      <c r="K4640" s="1" t="n">
        <v>2.6</v>
      </c>
      <c r="L4640" s="15" t="n">
        <v>120.05</v>
      </c>
      <c r="M4640" s="15" t="n">
        <f aca="false">F4640*G4640</f>
        <v>162.23</v>
      </c>
      <c r="N4640" s="15" t="n">
        <f aca="false">M4640-L4640</f>
        <v>42.18</v>
      </c>
      <c r="O4640" s="1" t="n">
        <f aca="false">YEAR(B4640)</f>
        <v>2034</v>
      </c>
      <c r="P4640" s="1" t="n">
        <f aca="false">MONTH(B4640)</f>
        <v>9</v>
      </c>
      <c r="Q4640" s="1" t="str">
        <f aca="false">TEXT(B4640,"mmm")</f>
        <v>Sep</v>
      </c>
      <c r="R4640" s="1" t="str">
        <f aca="false">"Q"&amp;ROUNDUP(MONTH(B4640)/3,0)</f>
        <v>Q3</v>
      </c>
    </row>
    <row r="4641" customFormat="false" ht="15" hidden="false" customHeight="true" outlineLevel="0" collapsed="false">
      <c r="A4641" s="1" t="n">
        <v>14640</v>
      </c>
      <c r="B4641" s="14" t="n">
        <v>49201</v>
      </c>
      <c r="C4641" s="1" t="n">
        <v>1040</v>
      </c>
      <c r="D4641" s="1" t="s">
        <v>30</v>
      </c>
      <c r="E4641" s="1" t="s">
        <v>35</v>
      </c>
      <c r="F4641" s="1" t="n">
        <v>4</v>
      </c>
      <c r="G4641" s="15" t="n">
        <v>222.81</v>
      </c>
      <c r="H4641" s="16" t="n">
        <v>0.01</v>
      </c>
      <c r="I4641" s="1" t="s">
        <v>33</v>
      </c>
      <c r="J4641" s="1" t="n">
        <v>11</v>
      </c>
      <c r="K4641" s="1" t="n">
        <v>2.2</v>
      </c>
      <c r="L4641" s="15" t="n">
        <v>882.33</v>
      </c>
      <c r="M4641" s="15" t="n">
        <f aca="false">F4641*G4641</f>
        <v>891.24</v>
      </c>
      <c r="N4641" s="15" t="n">
        <f aca="false">M4641-L4641</f>
        <v>8.90999999999997</v>
      </c>
      <c r="O4641" s="1" t="n">
        <f aca="false">YEAR(B4641)</f>
        <v>2034</v>
      </c>
      <c r="P4641" s="1" t="n">
        <f aca="false">MONTH(B4641)</f>
        <v>9</v>
      </c>
      <c r="Q4641" s="1" t="str">
        <f aca="false">TEXT(B4641,"mmm")</f>
        <v>Sep</v>
      </c>
      <c r="R4641" s="1" t="str">
        <f aca="false">"Q"&amp;ROUNDUP(MONTH(B4641)/3,0)</f>
        <v>Q3</v>
      </c>
    </row>
    <row r="4642" customFormat="false" ht="15" hidden="false" customHeight="true" outlineLevel="0" collapsed="false">
      <c r="A4642" s="1" t="n">
        <v>14641</v>
      </c>
      <c r="B4642" s="14" t="n">
        <v>49202</v>
      </c>
      <c r="C4642" s="1" t="n">
        <v>1062</v>
      </c>
      <c r="D4642" s="1" t="s">
        <v>37</v>
      </c>
      <c r="E4642" s="1" t="s">
        <v>32</v>
      </c>
      <c r="F4642" s="1" t="n">
        <v>7</v>
      </c>
      <c r="G4642" s="15" t="n">
        <v>105.07</v>
      </c>
      <c r="H4642" s="16" t="n">
        <v>0.22</v>
      </c>
      <c r="I4642" s="1" t="s">
        <v>33</v>
      </c>
      <c r="J4642" s="1" t="n">
        <v>2</v>
      </c>
      <c r="K4642" s="1" t="n">
        <v>2.6</v>
      </c>
      <c r="L4642" s="15" t="n">
        <v>573.68</v>
      </c>
      <c r="M4642" s="15" t="n">
        <f aca="false">F4642*G4642</f>
        <v>735.49</v>
      </c>
      <c r="N4642" s="15" t="n">
        <f aca="false">M4642-L4642</f>
        <v>161.81</v>
      </c>
      <c r="O4642" s="1" t="n">
        <f aca="false">YEAR(B4642)</f>
        <v>2034</v>
      </c>
      <c r="P4642" s="1" t="n">
        <f aca="false">MONTH(B4642)</f>
        <v>9</v>
      </c>
      <c r="Q4642" s="1" t="str">
        <f aca="false">TEXT(B4642,"mmm")</f>
        <v>Sep</v>
      </c>
      <c r="R4642" s="1" t="str">
        <f aca="false">"Q"&amp;ROUNDUP(MONTH(B4642)/3,0)</f>
        <v>Q3</v>
      </c>
    </row>
    <row r="4643" customFormat="false" ht="15" hidden="false" customHeight="true" outlineLevel="0" collapsed="false">
      <c r="A4643" s="1" t="n">
        <v>14642</v>
      </c>
      <c r="B4643" s="14" t="n">
        <v>49203</v>
      </c>
      <c r="C4643" s="1" t="n">
        <v>1022</v>
      </c>
      <c r="D4643" s="1" t="s">
        <v>30</v>
      </c>
      <c r="E4643" s="1" t="s">
        <v>35</v>
      </c>
      <c r="F4643" s="1" t="n">
        <v>2</v>
      </c>
      <c r="G4643" s="15" t="n">
        <v>419.07</v>
      </c>
      <c r="H4643" s="16" t="n">
        <v>0.15</v>
      </c>
      <c r="I4643" s="1" t="s">
        <v>31</v>
      </c>
      <c r="J4643" s="1" t="n">
        <v>3</v>
      </c>
      <c r="K4643" s="1" t="n">
        <v>2.2</v>
      </c>
      <c r="L4643" s="15" t="n">
        <v>712.42</v>
      </c>
      <c r="M4643" s="15" t="n">
        <f aca="false">F4643*G4643</f>
        <v>838.14</v>
      </c>
      <c r="N4643" s="15" t="n">
        <f aca="false">M4643-L4643</f>
        <v>125.72</v>
      </c>
      <c r="O4643" s="1" t="n">
        <f aca="false">YEAR(B4643)</f>
        <v>2034</v>
      </c>
      <c r="P4643" s="1" t="n">
        <f aca="false">MONTH(B4643)</f>
        <v>9</v>
      </c>
      <c r="Q4643" s="1" t="str">
        <f aca="false">TEXT(B4643,"mmm")</f>
        <v>Sep</v>
      </c>
      <c r="R4643" s="1" t="str">
        <f aca="false">"Q"&amp;ROUNDUP(MONTH(B4643)/3,0)</f>
        <v>Q3</v>
      </c>
    </row>
    <row r="4644" customFormat="false" ht="15" hidden="false" customHeight="true" outlineLevel="0" collapsed="false">
      <c r="A4644" s="1" t="n">
        <v>14643</v>
      </c>
      <c r="B4644" s="14" t="n">
        <v>49204</v>
      </c>
      <c r="C4644" s="1" t="n">
        <v>1359</v>
      </c>
      <c r="D4644" s="1" t="s">
        <v>34</v>
      </c>
      <c r="E4644" s="1" t="s">
        <v>36</v>
      </c>
      <c r="F4644" s="1" t="n">
        <v>4</v>
      </c>
      <c r="G4644" s="15" t="n">
        <v>576.71</v>
      </c>
      <c r="H4644" s="16" t="n">
        <v>0.16</v>
      </c>
      <c r="I4644" s="1" t="s">
        <v>33</v>
      </c>
      <c r="J4644" s="1" t="n">
        <v>1</v>
      </c>
      <c r="K4644" s="1" t="n">
        <v>2.4</v>
      </c>
      <c r="L4644" s="15" t="n">
        <v>1937.75</v>
      </c>
      <c r="M4644" s="15" t="n">
        <f aca="false">F4644*G4644</f>
        <v>2306.84</v>
      </c>
      <c r="N4644" s="15" t="n">
        <f aca="false">M4644-L4644</f>
        <v>369.09</v>
      </c>
      <c r="O4644" s="1" t="n">
        <f aca="false">YEAR(B4644)</f>
        <v>2034</v>
      </c>
      <c r="P4644" s="1" t="n">
        <f aca="false">MONTH(B4644)</f>
        <v>9</v>
      </c>
      <c r="Q4644" s="1" t="str">
        <f aca="false">TEXT(B4644,"mmm")</f>
        <v>Sep</v>
      </c>
      <c r="R4644" s="1" t="str">
        <f aca="false">"Q"&amp;ROUNDUP(MONTH(B4644)/3,0)</f>
        <v>Q3</v>
      </c>
    </row>
    <row r="4645" customFormat="false" ht="15" hidden="false" customHeight="true" outlineLevel="0" collapsed="false">
      <c r="A4645" s="1" t="n">
        <v>14644</v>
      </c>
      <c r="B4645" s="14" t="n">
        <v>49205</v>
      </c>
      <c r="C4645" s="1" t="n">
        <v>1074</v>
      </c>
      <c r="D4645" s="1" t="s">
        <v>34</v>
      </c>
      <c r="E4645" s="1" t="s">
        <v>35</v>
      </c>
      <c r="F4645" s="1" t="n">
        <v>1</v>
      </c>
      <c r="G4645" s="15" t="n">
        <v>389.96</v>
      </c>
      <c r="H4645" s="16" t="n">
        <v>0.29</v>
      </c>
      <c r="I4645" s="1" t="s">
        <v>31</v>
      </c>
      <c r="J4645" s="1" t="n">
        <v>7</v>
      </c>
      <c r="K4645" s="1" t="n">
        <v>4.2</v>
      </c>
      <c r="L4645" s="15" t="n">
        <v>276.87</v>
      </c>
      <c r="M4645" s="15" t="n">
        <f aca="false">F4645*G4645</f>
        <v>389.96</v>
      </c>
      <c r="N4645" s="15" t="n">
        <f aca="false">M4645-L4645</f>
        <v>113.09</v>
      </c>
      <c r="O4645" s="1" t="n">
        <f aca="false">YEAR(B4645)</f>
        <v>2034</v>
      </c>
      <c r="P4645" s="1" t="n">
        <f aca="false">MONTH(B4645)</f>
        <v>9</v>
      </c>
      <c r="Q4645" s="1" t="str">
        <f aca="false">TEXT(B4645,"mmm")</f>
        <v>Sep</v>
      </c>
      <c r="R4645" s="1" t="str">
        <f aca="false">"Q"&amp;ROUNDUP(MONTH(B4645)/3,0)</f>
        <v>Q3</v>
      </c>
    </row>
    <row r="4646" customFormat="false" ht="15" hidden="false" customHeight="true" outlineLevel="0" collapsed="false">
      <c r="A4646" s="1" t="n">
        <v>14645</v>
      </c>
      <c r="B4646" s="14" t="n">
        <v>49206</v>
      </c>
      <c r="C4646" s="1" t="n">
        <v>1559</v>
      </c>
      <c r="D4646" s="1" t="s">
        <v>30</v>
      </c>
      <c r="E4646" s="1" t="s">
        <v>28</v>
      </c>
      <c r="F4646" s="1" t="n">
        <v>5</v>
      </c>
      <c r="G4646" s="15" t="n">
        <v>375.99</v>
      </c>
      <c r="H4646" s="16" t="n">
        <v>0.19</v>
      </c>
      <c r="I4646" s="1" t="s">
        <v>31</v>
      </c>
      <c r="J4646" s="1" t="n">
        <v>2</v>
      </c>
      <c r="K4646" s="1" t="n">
        <v>2.2</v>
      </c>
      <c r="L4646" s="15" t="n">
        <v>1522.76</v>
      </c>
      <c r="M4646" s="15" t="n">
        <f aca="false">F4646*G4646</f>
        <v>1879.95</v>
      </c>
      <c r="N4646" s="15" t="n">
        <f aca="false">M4646-L4646</f>
        <v>357.19</v>
      </c>
      <c r="O4646" s="1" t="n">
        <f aca="false">YEAR(B4646)</f>
        <v>2034</v>
      </c>
      <c r="P4646" s="1" t="n">
        <f aca="false">MONTH(B4646)</f>
        <v>9</v>
      </c>
      <c r="Q4646" s="1" t="str">
        <f aca="false">TEXT(B4646,"mmm")</f>
        <v>Sep</v>
      </c>
      <c r="R4646" s="1" t="str">
        <f aca="false">"Q"&amp;ROUNDUP(MONTH(B4646)/3,0)</f>
        <v>Q3</v>
      </c>
    </row>
    <row r="4647" customFormat="false" ht="15" hidden="false" customHeight="true" outlineLevel="0" collapsed="false">
      <c r="A4647" s="1" t="n">
        <v>14646</v>
      </c>
      <c r="B4647" s="14" t="n">
        <v>49207</v>
      </c>
      <c r="C4647" s="1" t="n">
        <v>1671</v>
      </c>
      <c r="D4647" s="1" t="s">
        <v>34</v>
      </c>
      <c r="E4647" s="1" t="s">
        <v>35</v>
      </c>
      <c r="F4647" s="1" t="n">
        <v>1</v>
      </c>
      <c r="G4647" s="15" t="n">
        <v>338.79</v>
      </c>
      <c r="H4647" s="16" t="n">
        <v>0.31</v>
      </c>
      <c r="I4647" s="1" t="s">
        <v>33</v>
      </c>
      <c r="J4647" s="1" t="n">
        <v>10</v>
      </c>
      <c r="K4647" s="1" t="n">
        <v>4.3</v>
      </c>
      <c r="L4647" s="15" t="n">
        <v>233.77</v>
      </c>
      <c r="M4647" s="15" t="n">
        <f aca="false">F4647*G4647</f>
        <v>338.79</v>
      </c>
      <c r="N4647" s="15" t="n">
        <f aca="false">M4647-L4647</f>
        <v>105.02</v>
      </c>
      <c r="O4647" s="1" t="n">
        <f aca="false">YEAR(B4647)</f>
        <v>2034</v>
      </c>
      <c r="P4647" s="1" t="n">
        <f aca="false">MONTH(B4647)</f>
        <v>9</v>
      </c>
      <c r="Q4647" s="1" t="str">
        <f aca="false">TEXT(B4647,"mmm")</f>
        <v>Sep</v>
      </c>
      <c r="R4647" s="1" t="str">
        <f aca="false">"Q"&amp;ROUNDUP(MONTH(B4647)/3,0)</f>
        <v>Q3</v>
      </c>
    </row>
    <row r="4648" customFormat="false" ht="15" hidden="false" customHeight="true" outlineLevel="0" collapsed="false">
      <c r="A4648" s="1" t="n">
        <v>14647</v>
      </c>
      <c r="B4648" s="14" t="n">
        <v>49208</v>
      </c>
      <c r="C4648" s="1" t="n">
        <v>1824</v>
      </c>
      <c r="D4648" s="1" t="s">
        <v>30</v>
      </c>
      <c r="E4648" s="1" t="s">
        <v>28</v>
      </c>
      <c r="F4648" s="1" t="n">
        <v>5</v>
      </c>
      <c r="G4648" s="15" t="n">
        <v>66.75</v>
      </c>
      <c r="H4648" s="16" t="n">
        <v>0.25</v>
      </c>
      <c r="I4648" s="1" t="s">
        <v>29</v>
      </c>
      <c r="J4648" s="1" t="n">
        <v>8</v>
      </c>
      <c r="K4648" s="1" t="n">
        <v>3.3</v>
      </c>
      <c r="L4648" s="15" t="n">
        <v>250.31</v>
      </c>
      <c r="M4648" s="15" t="n">
        <f aca="false">F4648*G4648</f>
        <v>333.75</v>
      </c>
      <c r="N4648" s="15" t="n">
        <f aca="false">M4648-L4648</f>
        <v>83.44</v>
      </c>
      <c r="O4648" s="1" t="n">
        <f aca="false">YEAR(B4648)</f>
        <v>2034</v>
      </c>
      <c r="P4648" s="1" t="n">
        <f aca="false">MONTH(B4648)</f>
        <v>9</v>
      </c>
      <c r="Q4648" s="1" t="str">
        <f aca="false">TEXT(B4648,"mmm")</f>
        <v>Sep</v>
      </c>
      <c r="R4648" s="1" t="str">
        <f aca="false">"Q"&amp;ROUNDUP(MONTH(B4648)/3,0)</f>
        <v>Q3</v>
      </c>
    </row>
    <row r="4649" customFormat="false" ht="15" hidden="false" customHeight="true" outlineLevel="0" collapsed="false">
      <c r="A4649" s="1" t="n">
        <v>14648</v>
      </c>
      <c r="B4649" s="14" t="n">
        <v>49209</v>
      </c>
      <c r="C4649" s="1" t="n">
        <v>1117</v>
      </c>
      <c r="D4649" s="1" t="s">
        <v>30</v>
      </c>
      <c r="E4649" s="1" t="s">
        <v>32</v>
      </c>
      <c r="F4649" s="1" t="n">
        <v>4</v>
      </c>
      <c r="G4649" s="15" t="n">
        <v>441.76</v>
      </c>
      <c r="H4649" s="16" t="n">
        <v>0.19</v>
      </c>
      <c r="I4649" s="1" t="s">
        <v>31</v>
      </c>
      <c r="J4649" s="1" t="n">
        <v>9</v>
      </c>
      <c r="K4649" s="1" t="n">
        <v>4.1</v>
      </c>
      <c r="L4649" s="15" t="n">
        <v>1431.3</v>
      </c>
      <c r="M4649" s="15" t="n">
        <f aca="false">F4649*G4649</f>
        <v>1767.04</v>
      </c>
      <c r="N4649" s="15" t="n">
        <f aca="false">M4649-L4649</f>
        <v>335.74</v>
      </c>
      <c r="O4649" s="1" t="n">
        <f aca="false">YEAR(B4649)</f>
        <v>2034</v>
      </c>
      <c r="P4649" s="1" t="n">
        <f aca="false">MONTH(B4649)</f>
        <v>9</v>
      </c>
      <c r="Q4649" s="1" t="str">
        <f aca="false">TEXT(B4649,"mmm")</f>
        <v>Sep</v>
      </c>
      <c r="R4649" s="1" t="str">
        <f aca="false">"Q"&amp;ROUNDUP(MONTH(B4649)/3,0)</f>
        <v>Q3</v>
      </c>
    </row>
    <row r="4650" customFormat="false" ht="15" hidden="false" customHeight="true" outlineLevel="0" collapsed="false">
      <c r="A4650" s="1" t="n">
        <v>14649</v>
      </c>
      <c r="B4650" s="14" t="n">
        <v>49210</v>
      </c>
      <c r="C4650" s="1" t="n">
        <v>1611</v>
      </c>
      <c r="D4650" s="1" t="s">
        <v>37</v>
      </c>
      <c r="E4650" s="1" t="s">
        <v>35</v>
      </c>
      <c r="F4650" s="1" t="n">
        <v>4</v>
      </c>
      <c r="G4650" s="15" t="n">
        <v>367.2</v>
      </c>
      <c r="H4650" s="16" t="n">
        <v>0.26</v>
      </c>
      <c r="I4650" s="1" t="s">
        <v>31</v>
      </c>
      <c r="J4650" s="1" t="n">
        <v>11</v>
      </c>
      <c r="K4650" s="1" t="n">
        <v>4.7</v>
      </c>
      <c r="L4650" s="15" t="n">
        <v>1086.91</v>
      </c>
      <c r="M4650" s="15" t="n">
        <f aca="false">F4650*G4650</f>
        <v>1468.8</v>
      </c>
      <c r="N4650" s="15" t="n">
        <f aca="false">M4650-L4650</f>
        <v>381.89</v>
      </c>
      <c r="O4650" s="1" t="n">
        <f aca="false">YEAR(B4650)</f>
        <v>2034</v>
      </c>
      <c r="P4650" s="1" t="n">
        <f aca="false">MONTH(B4650)</f>
        <v>9</v>
      </c>
      <c r="Q4650" s="1" t="str">
        <f aca="false">TEXT(B4650,"mmm")</f>
        <v>Sep</v>
      </c>
      <c r="R4650" s="1" t="str">
        <f aca="false">"Q"&amp;ROUNDUP(MONTH(B4650)/3,0)</f>
        <v>Q3</v>
      </c>
    </row>
    <row r="4651" customFormat="false" ht="15" hidden="false" customHeight="true" outlineLevel="0" collapsed="false">
      <c r="A4651" s="1" t="n">
        <v>14650</v>
      </c>
      <c r="B4651" s="14" t="n">
        <v>49211</v>
      </c>
      <c r="C4651" s="1" t="n">
        <v>1379</v>
      </c>
      <c r="D4651" s="1" t="s">
        <v>27</v>
      </c>
      <c r="E4651" s="1" t="s">
        <v>28</v>
      </c>
      <c r="F4651" s="1" t="n">
        <v>1</v>
      </c>
      <c r="G4651" s="15" t="n">
        <v>401.96</v>
      </c>
      <c r="H4651" s="16" t="n">
        <v>0.01</v>
      </c>
      <c r="I4651" s="1" t="s">
        <v>33</v>
      </c>
      <c r="J4651" s="1" t="n">
        <v>2</v>
      </c>
      <c r="K4651" s="1" t="n">
        <v>1.6</v>
      </c>
      <c r="L4651" s="15" t="n">
        <v>397.94</v>
      </c>
      <c r="M4651" s="15" t="n">
        <f aca="false">F4651*G4651</f>
        <v>401.96</v>
      </c>
      <c r="N4651" s="15" t="n">
        <f aca="false">M4651-L4651</f>
        <v>4.01999999999998</v>
      </c>
      <c r="O4651" s="1" t="n">
        <f aca="false">YEAR(B4651)</f>
        <v>2034</v>
      </c>
      <c r="P4651" s="1" t="n">
        <f aca="false">MONTH(B4651)</f>
        <v>9</v>
      </c>
      <c r="Q4651" s="1" t="str">
        <f aca="false">TEXT(B4651,"mmm")</f>
        <v>Sep</v>
      </c>
      <c r="R4651" s="1" t="str">
        <f aca="false">"Q"&amp;ROUNDUP(MONTH(B4651)/3,0)</f>
        <v>Q3</v>
      </c>
    </row>
    <row r="4652" customFormat="false" ht="15" hidden="false" customHeight="true" outlineLevel="0" collapsed="false">
      <c r="A4652" s="1" t="n">
        <v>14651</v>
      </c>
      <c r="B4652" s="14" t="n">
        <v>49212</v>
      </c>
      <c r="C4652" s="1" t="n">
        <v>1928</v>
      </c>
      <c r="D4652" s="1" t="s">
        <v>27</v>
      </c>
      <c r="E4652" s="1" t="s">
        <v>35</v>
      </c>
      <c r="F4652" s="1" t="n">
        <v>1</v>
      </c>
      <c r="G4652" s="15" t="n">
        <v>540.8</v>
      </c>
      <c r="H4652" s="16" t="n">
        <v>0.01</v>
      </c>
      <c r="I4652" s="1" t="s">
        <v>33</v>
      </c>
      <c r="J4652" s="1" t="n">
        <v>6</v>
      </c>
      <c r="K4652" s="1" t="n">
        <v>2.4</v>
      </c>
      <c r="L4652" s="15" t="n">
        <v>535.39</v>
      </c>
      <c r="M4652" s="15" t="n">
        <f aca="false">F4652*G4652</f>
        <v>540.8</v>
      </c>
      <c r="N4652" s="15" t="n">
        <f aca="false">M4652-L4652</f>
        <v>5.40999999999997</v>
      </c>
      <c r="O4652" s="1" t="n">
        <f aca="false">YEAR(B4652)</f>
        <v>2034</v>
      </c>
      <c r="P4652" s="1" t="n">
        <f aca="false">MONTH(B4652)</f>
        <v>9</v>
      </c>
      <c r="Q4652" s="1" t="str">
        <f aca="false">TEXT(B4652,"mmm")</f>
        <v>Sep</v>
      </c>
      <c r="R4652" s="1" t="str">
        <f aca="false">"Q"&amp;ROUNDUP(MONTH(B4652)/3,0)</f>
        <v>Q3</v>
      </c>
    </row>
    <row r="4653" customFormat="false" ht="15" hidden="false" customHeight="true" outlineLevel="0" collapsed="false">
      <c r="A4653" s="1" t="n">
        <v>14652</v>
      </c>
      <c r="B4653" s="14" t="n">
        <v>49213</v>
      </c>
      <c r="C4653" s="1" t="n">
        <v>1919</v>
      </c>
      <c r="D4653" s="1" t="s">
        <v>27</v>
      </c>
      <c r="E4653" s="1" t="s">
        <v>35</v>
      </c>
      <c r="F4653" s="1" t="n">
        <v>7</v>
      </c>
      <c r="G4653" s="15" t="n">
        <v>473.62</v>
      </c>
      <c r="H4653" s="16" t="n">
        <v>0.03</v>
      </c>
      <c r="I4653" s="1" t="s">
        <v>31</v>
      </c>
      <c r="J4653" s="1" t="n">
        <v>11</v>
      </c>
      <c r="K4653" s="1" t="n">
        <v>1.2</v>
      </c>
      <c r="L4653" s="15" t="n">
        <v>3215.88</v>
      </c>
      <c r="M4653" s="15" t="n">
        <f aca="false">F4653*G4653</f>
        <v>3315.34</v>
      </c>
      <c r="N4653" s="15" t="n">
        <f aca="false">M4653-L4653</f>
        <v>99.46</v>
      </c>
      <c r="O4653" s="1" t="n">
        <f aca="false">YEAR(B4653)</f>
        <v>2034</v>
      </c>
      <c r="P4653" s="1" t="n">
        <f aca="false">MONTH(B4653)</f>
        <v>9</v>
      </c>
      <c r="Q4653" s="1" t="str">
        <f aca="false">TEXT(B4653,"mmm")</f>
        <v>Sep</v>
      </c>
      <c r="R4653" s="1" t="str">
        <f aca="false">"Q"&amp;ROUNDUP(MONTH(B4653)/3,0)</f>
        <v>Q3</v>
      </c>
    </row>
    <row r="4654" customFormat="false" ht="15" hidden="false" customHeight="true" outlineLevel="0" collapsed="false">
      <c r="A4654" s="1" t="n">
        <v>14653</v>
      </c>
      <c r="B4654" s="14" t="n">
        <v>49214</v>
      </c>
      <c r="C4654" s="1" t="n">
        <v>1678</v>
      </c>
      <c r="D4654" s="1" t="s">
        <v>34</v>
      </c>
      <c r="E4654" s="1" t="s">
        <v>35</v>
      </c>
      <c r="F4654" s="1" t="n">
        <v>3</v>
      </c>
      <c r="G4654" s="15" t="n">
        <v>471.84</v>
      </c>
      <c r="H4654" s="16" t="n">
        <v>0.15</v>
      </c>
      <c r="I4654" s="1" t="s">
        <v>29</v>
      </c>
      <c r="J4654" s="1" t="n">
        <v>1</v>
      </c>
      <c r="K4654" s="1" t="n">
        <v>2.6</v>
      </c>
      <c r="L4654" s="15" t="n">
        <v>1203.19</v>
      </c>
      <c r="M4654" s="15" t="n">
        <f aca="false">F4654*G4654</f>
        <v>1415.52</v>
      </c>
      <c r="N4654" s="15" t="n">
        <f aca="false">M4654-L4654</f>
        <v>212.33</v>
      </c>
      <c r="O4654" s="1" t="n">
        <f aca="false">YEAR(B4654)</f>
        <v>2034</v>
      </c>
      <c r="P4654" s="1" t="n">
        <f aca="false">MONTH(B4654)</f>
        <v>9</v>
      </c>
      <c r="Q4654" s="1" t="str">
        <f aca="false">TEXT(B4654,"mmm")</f>
        <v>Sep</v>
      </c>
      <c r="R4654" s="1" t="str">
        <f aca="false">"Q"&amp;ROUNDUP(MONTH(B4654)/3,0)</f>
        <v>Q3</v>
      </c>
    </row>
    <row r="4655" customFormat="false" ht="15" hidden="false" customHeight="true" outlineLevel="0" collapsed="false">
      <c r="A4655" s="1" t="n">
        <v>14654</v>
      </c>
      <c r="B4655" s="14" t="n">
        <v>49215</v>
      </c>
      <c r="C4655" s="1" t="n">
        <v>1289</v>
      </c>
      <c r="D4655" s="1" t="s">
        <v>34</v>
      </c>
      <c r="E4655" s="1" t="s">
        <v>36</v>
      </c>
      <c r="F4655" s="1" t="n">
        <v>5</v>
      </c>
      <c r="G4655" s="15" t="n">
        <v>557.4</v>
      </c>
      <c r="H4655" s="16" t="n">
        <v>0.08</v>
      </c>
      <c r="I4655" s="1" t="s">
        <v>33</v>
      </c>
      <c r="J4655" s="1" t="n">
        <v>8</v>
      </c>
      <c r="K4655" s="1" t="n">
        <v>1.9</v>
      </c>
      <c r="L4655" s="15" t="n">
        <v>2564.04</v>
      </c>
      <c r="M4655" s="15" t="n">
        <f aca="false">F4655*G4655</f>
        <v>2787</v>
      </c>
      <c r="N4655" s="15" t="n">
        <f aca="false">M4655-L4655</f>
        <v>222.96</v>
      </c>
      <c r="O4655" s="1" t="n">
        <f aca="false">YEAR(B4655)</f>
        <v>2034</v>
      </c>
      <c r="P4655" s="1" t="n">
        <f aca="false">MONTH(B4655)</f>
        <v>9</v>
      </c>
      <c r="Q4655" s="1" t="str">
        <f aca="false">TEXT(B4655,"mmm")</f>
        <v>Sep</v>
      </c>
      <c r="R4655" s="1" t="str">
        <f aca="false">"Q"&amp;ROUNDUP(MONTH(B4655)/3,0)</f>
        <v>Q3</v>
      </c>
    </row>
    <row r="4656" customFormat="false" ht="15" hidden="false" customHeight="true" outlineLevel="0" collapsed="false">
      <c r="A4656" s="1" t="n">
        <v>14655</v>
      </c>
      <c r="B4656" s="14" t="n">
        <v>49216</v>
      </c>
      <c r="C4656" s="1" t="n">
        <v>1439</v>
      </c>
      <c r="D4656" s="1" t="s">
        <v>34</v>
      </c>
      <c r="E4656" s="1" t="s">
        <v>28</v>
      </c>
      <c r="F4656" s="1" t="n">
        <v>3</v>
      </c>
      <c r="G4656" s="15" t="n">
        <v>594.11</v>
      </c>
      <c r="H4656" s="16" t="n">
        <v>0.34</v>
      </c>
      <c r="I4656" s="1" t="s">
        <v>31</v>
      </c>
      <c r="J4656" s="1" t="n">
        <v>5</v>
      </c>
      <c r="K4656" s="1" t="n">
        <v>3.3</v>
      </c>
      <c r="L4656" s="15" t="n">
        <v>1176.34</v>
      </c>
      <c r="M4656" s="15" t="n">
        <f aca="false">F4656*G4656</f>
        <v>1782.33</v>
      </c>
      <c r="N4656" s="15" t="n">
        <f aca="false">M4656-L4656</f>
        <v>605.99</v>
      </c>
      <c r="O4656" s="1" t="n">
        <f aca="false">YEAR(B4656)</f>
        <v>2034</v>
      </c>
      <c r="P4656" s="1" t="n">
        <f aca="false">MONTH(B4656)</f>
        <v>9</v>
      </c>
      <c r="Q4656" s="1" t="str">
        <f aca="false">TEXT(B4656,"mmm")</f>
        <v>Sep</v>
      </c>
      <c r="R4656" s="1" t="str">
        <f aca="false">"Q"&amp;ROUNDUP(MONTH(B4656)/3,0)</f>
        <v>Q3</v>
      </c>
    </row>
    <row r="4657" customFormat="false" ht="15" hidden="false" customHeight="true" outlineLevel="0" collapsed="false">
      <c r="A4657" s="1" t="n">
        <v>14656</v>
      </c>
      <c r="B4657" s="14" t="n">
        <v>49217</v>
      </c>
      <c r="C4657" s="1" t="n">
        <v>1667</v>
      </c>
      <c r="D4657" s="1" t="s">
        <v>27</v>
      </c>
      <c r="E4657" s="1" t="s">
        <v>36</v>
      </c>
      <c r="F4657" s="1" t="n">
        <v>2</v>
      </c>
      <c r="G4657" s="15" t="n">
        <v>355.05</v>
      </c>
      <c r="H4657" s="16" t="n">
        <v>0.19</v>
      </c>
      <c r="I4657" s="1" t="s">
        <v>31</v>
      </c>
      <c r="J4657" s="1" t="n">
        <v>9</v>
      </c>
      <c r="K4657" s="1" t="n">
        <v>4.1</v>
      </c>
      <c r="L4657" s="15" t="n">
        <v>575.18</v>
      </c>
      <c r="M4657" s="15" t="n">
        <f aca="false">F4657*G4657</f>
        <v>710.1</v>
      </c>
      <c r="N4657" s="15" t="n">
        <f aca="false">M4657-L4657</f>
        <v>134.92</v>
      </c>
      <c r="O4657" s="1" t="n">
        <f aca="false">YEAR(B4657)</f>
        <v>2034</v>
      </c>
      <c r="P4657" s="1" t="n">
        <f aca="false">MONTH(B4657)</f>
        <v>9</v>
      </c>
      <c r="Q4657" s="1" t="str">
        <f aca="false">TEXT(B4657,"mmm")</f>
        <v>Sep</v>
      </c>
      <c r="R4657" s="1" t="str">
        <f aca="false">"Q"&amp;ROUNDUP(MONTH(B4657)/3,0)</f>
        <v>Q3</v>
      </c>
    </row>
    <row r="4658" customFormat="false" ht="15" hidden="false" customHeight="true" outlineLevel="0" collapsed="false">
      <c r="A4658" s="1" t="n">
        <v>14657</v>
      </c>
      <c r="B4658" s="14" t="n">
        <v>49218</v>
      </c>
      <c r="C4658" s="1" t="n">
        <v>1932</v>
      </c>
      <c r="D4658" s="1" t="s">
        <v>27</v>
      </c>
      <c r="E4658" s="1" t="s">
        <v>36</v>
      </c>
      <c r="F4658" s="1" t="n">
        <v>2</v>
      </c>
      <c r="G4658" s="15" t="n">
        <v>78.7</v>
      </c>
      <c r="H4658" s="16" t="n">
        <v>0.23</v>
      </c>
      <c r="I4658" s="1" t="s">
        <v>33</v>
      </c>
      <c r="J4658" s="1" t="n">
        <v>3</v>
      </c>
      <c r="K4658" s="1" t="n">
        <v>2.9</v>
      </c>
      <c r="L4658" s="15" t="n">
        <v>121.2</v>
      </c>
      <c r="M4658" s="15" t="n">
        <f aca="false">F4658*G4658</f>
        <v>157.4</v>
      </c>
      <c r="N4658" s="15" t="n">
        <f aca="false">M4658-L4658</f>
        <v>36.2</v>
      </c>
      <c r="O4658" s="1" t="n">
        <f aca="false">YEAR(B4658)</f>
        <v>2034</v>
      </c>
      <c r="P4658" s="1" t="n">
        <f aca="false">MONTH(B4658)</f>
        <v>10</v>
      </c>
      <c r="Q4658" s="1" t="str">
        <f aca="false">TEXT(B4658,"mmm")</f>
        <v>Oct</v>
      </c>
      <c r="R4658" s="1" t="str">
        <f aca="false">"Q"&amp;ROUNDUP(MONTH(B4658)/3,0)</f>
        <v>Q4</v>
      </c>
    </row>
    <row r="4659" customFormat="false" ht="15" hidden="false" customHeight="true" outlineLevel="0" collapsed="false">
      <c r="A4659" s="1" t="n">
        <v>14658</v>
      </c>
      <c r="B4659" s="14" t="n">
        <v>49219</v>
      </c>
      <c r="C4659" s="1" t="n">
        <v>1006</v>
      </c>
      <c r="D4659" s="1" t="s">
        <v>27</v>
      </c>
      <c r="E4659" s="1" t="s">
        <v>28</v>
      </c>
      <c r="F4659" s="1" t="n">
        <v>1</v>
      </c>
      <c r="G4659" s="15" t="n">
        <v>283.59</v>
      </c>
      <c r="H4659" s="16" t="n">
        <v>0.1</v>
      </c>
      <c r="I4659" s="1" t="s">
        <v>33</v>
      </c>
      <c r="J4659" s="1" t="n">
        <v>2</v>
      </c>
      <c r="K4659" s="1" t="n">
        <v>2.3</v>
      </c>
      <c r="L4659" s="15" t="n">
        <v>255.23</v>
      </c>
      <c r="M4659" s="15" t="n">
        <f aca="false">F4659*G4659</f>
        <v>283.59</v>
      </c>
      <c r="N4659" s="15" t="n">
        <f aca="false">M4659-L4659</f>
        <v>28.36</v>
      </c>
      <c r="O4659" s="1" t="n">
        <f aca="false">YEAR(B4659)</f>
        <v>2034</v>
      </c>
      <c r="P4659" s="1" t="n">
        <f aca="false">MONTH(B4659)</f>
        <v>10</v>
      </c>
      <c r="Q4659" s="1" t="str">
        <f aca="false">TEXT(B4659,"mmm")</f>
        <v>Oct</v>
      </c>
      <c r="R4659" s="1" t="str">
        <f aca="false">"Q"&amp;ROUNDUP(MONTH(B4659)/3,0)</f>
        <v>Q4</v>
      </c>
    </row>
    <row r="4660" customFormat="false" ht="15" hidden="false" customHeight="true" outlineLevel="0" collapsed="false">
      <c r="A4660" s="1" t="n">
        <v>14659</v>
      </c>
      <c r="B4660" s="14" t="n">
        <v>49220</v>
      </c>
      <c r="C4660" s="1" t="n">
        <v>1195</v>
      </c>
      <c r="D4660" s="1" t="s">
        <v>34</v>
      </c>
      <c r="E4660" s="1" t="s">
        <v>35</v>
      </c>
      <c r="F4660" s="1" t="n">
        <v>4</v>
      </c>
      <c r="G4660" s="15" t="n">
        <v>475.75</v>
      </c>
      <c r="H4660" s="16" t="n">
        <v>0.11</v>
      </c>
      <c r="I4660" s="1" t="s">
        <v>31</v>
      </c>
      <c r="J4660" s="1" t="n">
        <v>7</v>
      </c>
      <c r="K4660" s="1" t="n">
        <v>1.6</v>
      </c>
      <c r="L4660" s="15" t="n">
        <v>1693.67</v>
      </c>
      <c r="M4660" s="15" t="n">
        <f aca="false">F4660*G4660</f>
        <v>1903</v>
      </c>
      <c r="N4660" s="15" t="n">
        <f aca="false">M4660-L4660</f>
        <v>209.33</v>
      </c>
      <c r="O4660" s="1" t="n">
        <f aca="false">YEAR(B4660)</f>
        <v>2034</v>
      </c>
      <c r="P4660" s="1" t="n">
        <f aca="false">MONTH(B4660)</f>
        <v>10</v>
      </c>
      <c r="Q4660" s="1" t="str">
        <f aca="false">TEXT(B4660,"mmm")</f>
        <v>Oct</v>
      </c>
      <c r="R4660" s="1" t="str">
        <f aca="false">"Q"&amp;ROUNDUP(MONTH(B4660)/3,0)</f>
        <v>Q4</v>
      </c>
    </row>
    <row r="4661" customFormat="false" ht="15" hidden="false" customHeight="true" outlineLevel="0" collapsed="false">
      <c r="A4661" s="1" t="n">
        <v>14660</v>
      </c>
      <c r="B4661" s="14" t="n">
        <v>49221</v>
      </c>
      <c r="C4661" s="1" t="n">
        <v>1420</v>
      </c>
      <c r="D4661" s="1" t="s">
        <v>27</v>
      </c>
      <c r="E4661" s="1" t="s">
        <v>36</v>
      </c>
      <c r="F4661" s="1" t="n">
        <v>2</v>
      </c>
      <c r="G4661" s="15" t="n">
        <v>31.22</v>
      </c>
      <c r="H4661" s="16" t="n">
        <v>0.12</v>
      </c>
      <c r="I4661" s="1" t="s">
        <v>29</v>
      </c>
      <c r="J4661" s="1" t="n">
        <v>11</v>
      </c>
      <c r="K4661" s="1" t="n">
        <v>1.1</v>
      </c>
      <c r="L4661" s="15" t="n">
        <v>54.95</v>
      </c>
      <c r="M4661" s="15" t="n">
        <f aca="false">F4661*G4661</f>
        <v>62.44</v>
      </c>
      <c r="N4661" s="15" t="n">
        <f aca="false">M4661-L4661</f>
        <v>7.49</v>
      </c>
      <c r="O4661" s="1" t="n">
        <f aca="false">YEAR(B4661)</f>
        <v>2034</v>
      </c>
      <c r="P4661" s="1" t="n">
        <f aca="false">MONTH(B4661)</f>
        <v>10</v>
      </c>
      <c r="Q4661" s="1" t="str">
        <f aca="false">TEXT(B4661,"mmm")</f>
        <v>Oct</v>
      </c>
      <c r="R4661" s="1" t="str">
        <f aca="false">"Q"&amp;ROUNDUP(MONTH(B4661)/3,0)</f>
        <v>Q4</v>
      </c>
    </row>
    <row r="4662" customFormat="false" ht="15" hidden="false" customHeight="true" outlineLevel="0" collapsed="false">
      <c r="A4662" s="1" t="n">
        <v>14661</v>
      </c>
      <c r="B4662" s="14" t="n">
        <v>49222</v>
      </c>
      <c r="C4662" s="1" t="n">
        <v>1567</v>
      </c>
      <c r="D4662" s="1" t="s">
        <v>30</v>
      </c>
      <c r="E4662" s="1" t="s">
        <v>36</v>
      </c>
      <c r="F4662" s="1" t="n">
        <v>2</v>
      </c>
      <c r="G4662" s="15" t="n">
        <v>48.28</v>
      </c>
      <c r="H4662" s="16" t="n">
        <v>0.24</v>
      </c>
      <c r="I4662" s="1" t="s">
        <v>31</v>
      </c>
      <c r="J4662" s="1" t="n">
        <v>7</v>
      </c>
      <c r="K4662" s="1" t="n">
        <v>3.7</v>
      </c>
      <c r="L4662" s="15" t="n">
        <v>73.39</v>
      </c>
      <c r="M4662" s="15" t="n">
        <f aca="false">F4662*G4662</f>
        <v>96.56</v>
      </c>
      <c r="N4662" s="15" t="n">
        <f aca="false">M4662-L4662</f>
        <v>23.17</v>
      </c>
      <c r="O4662" s="1" t="n">
        <f aca="false">YEAR(B4662)</f>
        <v>2034</v>
      </c>
      <c r="P4662" s="1" t="n">
        <f aca="false">MONTH(B4662)</f>
        <v>10</v>
      </c>
      <c r="Q4662" s="1" t="str">
        <f aca="false">TEXT(B4662,"mmm")</f>
        <v>Oct</v>
      </c>
      <c r="R4662" s="1" t="str">
        <f aca="false">"Q"&amp;ROUNDUP(MONTH(B4662)/3,0)</f>
        <v>Q4</v>
      </c>
    </row>
    <row r="4663" customFormat="false" ht="15" hidden="false" customHeight="true" outlineLevel="0" collapsed="false">
      <c r="A4663" s="1" t="n">
        <v>14662</v>
      </c>
      <c r="B4663" s="14" t="n">
        <v>49223</v>
      </c>
      <c r="C4663" s="1" t="n">
        <v>1832</v>
      </c>
      <c r="D4663" s="1" t="s">
        <v>34</v>
      </c>
      <c r="E4663" s="1" t="s">
        <v>36</v>
      </c>
      <c r="F4663" s="1" t="n">
        <v>3</v>
      </c>
      <c r="G4663" s="15" t="n">
        <v>54.29</v>
      </c>
      <c r="H4663" s="16" t="n">
        <v>0.17</v>
      </c>
      <c r="I4663" s="1" t="s">
        <v>33</v>
      </c>
      <c r="J4663" s="1" t="n">
        <v>10</v>
      </c>
      <c r="K4663" s="1" t="n">
        <v>1.1</v>
      </c>
      <c r="L4663" s="15" t="n">
        <v>135.18</v>
      </c>
      <c r="M4663" s="15" t="n">
        <f aca="false">F4663*G4663</f>
        <v>162.87</v>
      </c>
      <c r="N4663" s="15" t="n">
        <f aca="false">M4663-L4663</f>
        <v>27.69</v>
      </c>
      <c r="O4663" s="1" t="n">
        <f aca="false">YEAR(B4663)</f>
        <v>2034</v>
      </c>
      <c r="P4663" s="1" t="n">
        <f aca="false">MONTH(B4663)</f>
        <v>10</v>
      </c>
      <c r="Q4663" s="1" t="str">
        <f aca="false">TEXT(B4663,"mmm")</f>
        <v>Oct</v>
      </c>
      <c r="R4663" s="1" t="str">
        <f aca="false">"Q"&amp;ROUNDUP(MONTH(B4663)/3,0)</f>
        <v>Q4</v>
      </c>
    </row>
    <row r="4664" customFormat="false" ht="15" hidden="false" customHeight="true" outlineLevel="0" collapsed="false">
      <c r="A4664" s="1" t="n">
        <v>14663</v>
      </c>
      <c r="B4664" s="14" t="n">
        <v>49224</v>
      </c>
      <c r="C4664" s="1" t="n">
        <v>1192</v>
      </c>
      <c r="D4664" s="1" t="s">
        <v>30</v>
      </c>
      <c r="E4664" s="1" t="s">
        <v>35</v>
      </c>
      <c r="F4664" s="1" t="n">
        <v>3</v>
      </c>
      <c r="G4664" s="15" t="n">
        <v>442.66</v>
      </c>
      <c r="H4664" s="16" t="n">
        <v>0.18</v>
      </c>
      <c r="I4664" s="1" t="s">
        <v>31</v>
      </c>
      <c r="J4664" s="1" t="n">
        <v>5</v>
      </c>
      <c r="K4664" s="1" t="n">
        <v>4.7</v>
      </c>
      <c r="L4664" s="15" t="n">
        <v>1088.94</v>
      </c>
      <c r="M4664" s="15" t="n">
        <f aca="false">F4664*G4664</f>
        <v>1327.98</v>
      </c>
      <c r="N4664" s="15" t="n">
        <f aca="false">M4664-L4664</f>
        <v>239.04</v>
      </c>
      <c r="O4664" s="1" t="n">
        <f aca="false">YEAR(B4664)</f>
        <v>2034</v>
      </c>
      <c r="P4664" s="1" t="n">
        <f aca="false">MONTH(B4664)</f>
        <v>10</v>
      </c>
      <c r="Q4664" s="1" t="str">
        <f aca="false">TEXT(B4664,"mmm")</f>
        <v>Oct</v>
      </c>
      <c r="R4664" s="1" t="str">
        <f aca="false">"Q"&amp;ROUNDUP(MONTH(B4664)/3,0)</f>
        <v>Q4</v>
      </c>
    </row>
    <row r="4665" customFormat="false" ht="15" hidden="false" customHeight="true" outlineLevel="0" collapsed="false">
      <c r="A4665" s="1" t="n">
        <v>14664</v>
      </c>
      <c r="B4665" s="14" t="n">
        <v>49225</v>
      </c>
      <c r="C4665" s="1" t="n">
        <v>1558</v>
      </c>
      <c r="D4665" s="1" t="s">
        <v>34</v>
      </c>
      <c r="E4665" s="1" t="s">
        <v>36</v>
      </c>
      <c r="F4665" s="1" t="n">
        <v>7</v>
      </c>
      <c r="G4665" s="15" t="n">
        <v>308.18</v>
      </c>
      <c r="H4665" s="16" t="n">
        <v>0.21</v>
      </c>
      <c r="I4665" s="1" t="s">
        <v>29</v>
      </c>
      <c r="J4665" s="1" t="n">
        <v>7</v>
      </c>
      <c r="K4665" s="1" t="n">
        <v>3.4</v>
      </c>
      <c r="L4665" s="15" t="n">
        <v>1704.24</v>
      </c>
      <c r="M4665" s="15" t="n">
        <f aca="false">F4665*G4665</f>
        <v>2157.26</v>
      </c>
      <c r="N4665" s="15" t="n">
        <f aca="false">M4665-L4665</f>
        <v>453.02</v>
      </c>
      <c r="O4665" s="1" t="n">
        <f aca="false">YEAR(B4665)</f>
        <v>2034</v>
      </c>
      <c r="P4665" s="1" t="n">
        <f aca="false">MONTH(B4665)</f>
        <v>10</v>
      </c>
      <c r="Q4665" s="1" t="str">
        <f aca="false">TEXT(B4665,"mmm")</f>
        <v>Oct</v>
      </c>
      <c r="R4665" s="1" t="str">
        <f aca="false">"Q"&amp;ROUNDUP(MONTH(B4665)/3,0)</f>
        <v>Q4</v>
      </c>
    </row>
    <row r="4666" customFormat="false" ht="15" hidden="false" customHeight="true" outlineLevel="0" collapsed="false">
      <c r="A4666" s="1" t="n">
        <v>14665</v>
      </c>
      <c r="B4666" s="14" t="n">
        <v>49226</v>
      </c>
      <c r="C4666" s="1" t="n">
        <v>1147</v>
      </c>
      <c r="D4666" s="1" t="s">
        <v>30</v>
      </c>
      <c r="E4666" s="1" t="s">
        <v>32</v>
      </c>
      <c r="F4666" s="1" t="n">
        <v>7</v>
      </c>
      <c r="G4666" s="15" t="n">
        <v>230.81</v>
      </c>
      <c r="H4666" s="16" t="n">
        <v>0.27</v>
      </c>
      <c r="I4666" s="1" t="s">
        <v>33</v>
      </c>
      <c r="J4666" s="1" t="n">
        <v>6</v>
      </c>
      <c r="K4666" s="1" t="n">
        <v>2.4</v>
      </c>
      <c r="L4666" s="15" t="n">
        <v>1179.44</v>
      </c>
      <c r="M4666" s="15" t="n">
        <f aca="false">F4666*G4666</f>
        <v>1615.67</v>
      </c>
      <c r="N4666" s="15" t="n">
        <f aca="false">M4666-L4666</f>
        <v>436.23</v>
      </c>
      <c r="O4666" s="1" t="n">
        <f aca="false">YEAR(B4666)</f>
        <v>2034</v>
      </c>
      <c r="P4666" s="1" t="n">
        <f aca="false">MONTH(B4666)</f>
        <v>10</v>
      </c>
      <c r="Q4666" s="1" t="str">
        <f aca="false">TEXT(B4666,"mmm")</f>
        <v>Oct</v>
      </c>
      <c r="R4666" s="1" t="str">
        <f aca="false">"Q"&amp;ROUNDUP(MONTH(B4666)/3,0)</f>
        <v>Q4</v>
      </c>
    </row>
    <row r="4667" customFormat="false" ht="15" hidden="false" customHeight="true" outlineLevel="0" collapsed="false">
      <c r="A4667" s="1" t="n">
        <v>14666</v>
      </c>
      <c r="B4667" s="14" t="n">
        <v>49227</v>
      </c>
      <c r="C4667" s="1" t="n">
        <v>1786</v>
      </c>
      <c r="D4667" s="1" t="s">
        <v>34</v>
      </c>
      <c r="E4667" s="1" t="s">
        <v>28</v>
      </c>
      <c r="F4667" s="1" t="n">
        <v>2</v>
      </c>
      <c r="G4667" s="15" t="n">
        <v>76.79</v>
      </c>
      <c r="H4667" s="16" t="n">
        <v>0.03</v>
      </c>
      <c r="I4667" s="1" t="s">
        <v>31</v>
      </c>
      <c r="J4667" s="1" t="n">
        <v>9</v>
      </c>
      <c r="K4667" s="1" t="n">
        <v>1.2</v>
      </c>
      <c r="L4667" s="15" t="n">
        <v>148.97</v>
      </c>
      <c r="M4667" s="15" t="n">
        <f aca="false">F4667*G4667</f>
        <v>153.58</v>
      </c>
      <c r="N4667" s="15" t="n">
        <f aca="false">M4667-L4667</f>
        <v>4.61000000000001</v>
      </c>
      <c r="O4667" s="1" t="n">
        <f aca="false">YEAR(B4667)</f>
        <v>2034</v>
      </c>
      <c r="P4667" s="1" t="n">
        <f aca="false">MONTH(B4667)</f>
        <v>10</v>
      </c>
      <c r="Q4667" s="1" t="str">
        <f aca="false">TEXT(B4667,"mmm")</f>
        <v>Oct</v>
      </c>
      <c r="R4667" s="1" t="str">
        <f aca="false">"Q"&amp;ROUNDUP(MONTH(B4667)/3,0)</f>
        <v>Q4</v>
      </c>
    </row>
    <row r="4668" customFormat="false" ht="15" hidden="false" customHeight="true" outlineLevel="0" collapsed="false">
      <c r="A4668" s="1" t="n">
        <v>14667</v>
      </c>
      <c r="B4668" s="14" t="n">
        <v>49228</v>
      </c>
      <c r="C4668" s="1" t="n">
        <v>1668</v>
      </c>
      <c r="D4668" s="1" t="s">
        <v>30</v>
      </c>
      <c r="E4668" s="1" t="s">
        <v>32</v>
      </c>
      <c r="F4668" s="1" t="n">
        <v>1</v>
      </c>
      <c r="G4668" s="15" t="n">
        <v>443.36</v>
      </c>
      <c r="H4668" s="16" t="n">
        <v>0.27</v>
      </c>
      <c r="I4668" s="1" t="s">
        <v>29</v>
      </c>
      <c r="J4668" s="1" t="n">
        <v>3</v>
      </c>
      <c r="K4668" s="1" t="n">
        <v>2.7</v>
      </c>
      <c r="L4668" s="15" t="n">
        <v>323.65</v>
      </c>
      <c r="M4668" s="15" t="n">
        <f aca="false">F4668*G4668</f>
        <v>443.36</v>
      </c>
      <c r="N4668" s="15" t="n">
        <f aca="false">M4668-L4668</f>
        <v>119.71</v>
      </c>
      <c r="O4668" s="1" t="n">
        <f aca="false">YEAR(B4668)</f>
        <v>2034</v>
      </c>
      <c r="P4668" s="1" t="n">
        <f aca="false">MONTH(B4668)</f>
        <v>10</v>
      </c>
      <c r="Q4668" s="1" t="str">
        <f aca="false">TEXT(B4668,"mmm")</f>
        <v>Oct</v>
      </c>
      <c r="R4668" s="1" t="str">
        <f aca="false">"Q"&amp;ROUNDUP(MONTH(B4668)/3,0)</f>
        <v>Q4</v>
      </c>
    </row>
    <row r="4669" customFormat="false" ht="15" hidden="false" customHeight="true" outlineLevel="0" collapsed="false">
      <c r="A4669" s="1" t="n">
        <v>14668</v>
      </c>
      <c r="B4669" s="14" t="n">
        <v>49229</v>
      </c>
      <c r="C4669" s="1" t="n">
        <v>1201</v>
      </c>
      <c r="D4669" s="1" t="s">
        <v>30</v>
      </c>
      <c r="E4669" s="1" t="s">
        <v>35</v>
      </c>
      <c r="F4669" s="1" t="n">
        <v>3</v>
      </c>
      <c r="G4669" s="15" t="n">
        <v>202.8</v>
      </c>
      <c r="H4669" s="16" t="n">
        <v>0.2</v>
      </c>
      <c r="I4669" s="1" t="s">
        <v>31</v>
      </c>
      <c r="J4669" s="1" t="n">
        <v>4</v>
      </c>
      <c r="K4669" s="1" t="n">
        <v>4.5</v>
      </c>
      <c r="L4669" s="15" t="n">
        <v>486.72</v>
      </c>
      <c r="M4669" s="15" t="n">
        <f aca="false">F4669*G4669</f>
        <v>608.4</v>
      </c>
      <c r="N4669" s="15" t="n">
        <f aca="false">M4669-L4669</f>
        <v>121.68</v>
      </c>
      <c r="O4669" s="1" t="n">
        <f aca="false">YEAR(B4669)</f>
        <v>2034</v>
      </c>
      <c r="P4669" s="1" t="n">
        <f aca="false">MONTH(B4669)</f>
        <v>10</v>
      </c>
      <c r="Q4669" s="1" t="str">
        <f aca="false">TEXT(B4669,"mmm")</f>
        <v>Oct</v>
      </c>
      <c r="R4669" s="1" t="str">
        <f aca="false">"Q"&amp;ROUNDUP(MONTH(B4669)/3,0)</f>
        <v>Q4</v>
      </c>
    </row>
    <row r="4670" customFormat="false" ht="15" hidden="false" customHeight="true" outlineLevel="0" collapsed="false">
      <c r="A4670" s="1" t="n">
        <v>14669</v>
      </c>
      <c r="B4670" s="14" t="n">
        <v>49230</v>
      </c>
      <c r="C4670" s="1" t="n">
        <v>1443</v>
      </c>
      <c r="D4670" s="1" t="s">
        <v>27</v>
      </c>
      <c r="E4670" s="1" t="s">
        <v>36</v>
      </c>
      <c r="F4670" s="1" t="n">
        <v>2</v>
      </c>
      <c r="G4670" s="15" t="n">
        <v>170.21</v>
      </c>
      <c r="H4670" s="16" t="n">
        <v>0.23</v>
      </c>
      <c r="I4670" s="1" t="s">
        <v>33</v>
      </c>
      <c r="J4670" s="1" t="n">
        <v>9</v>
      </c>
      <c r="K4670" s="1" t="n">
        <v>4.9</v>
      </c>
      <c r="L4670" s="15" t="n">
        <v>262.12</v>
      </c>
      <c r="M4670" s="15" t="n">
        <f aca="false">F4670*G4670</f>
        <v>340.42</v>
      </c>
      <c r="N4670" s="15" t="n">
        <f aca="false">M4670-L4670</f>
        <v>78.3</v>
      </c>
      <c r="O4670" s="1" t="n">
        <f aca="false">YEAR(B4670)</f>
        <v>2034</v>
      </c>
      <c r="P4670" s="1" t="n">
        <f aca="false">MONTH(B4670)</f>
        <v>10</v>
      </c>
      <c r="Q4670" s="1" t="str">
        <f aca="false">TEXT(B4670,"mmm")</f>
        <v>Oct</v>
      </c>
      <c r="R4670" s="1" t="str">
        <f aca="false">"Q"&amp;ROUNDUP(MONTH(B4670)/3,0)</f>
        <v>Q4</v>
      </c>
    </row>
    <row r="4671" customFormat="false" ht="15" hidden="false" customHeight="true" outlineLevel="0" collapsed="false">
      <c r="A4671" s="1" t="n">
        <v>14670</v>
      </c>
      <c r="B4671" s="14" t="n">
        <v>49231</v>
      </c>
      <c r="C4671" s="1" t="n">
        <v>1913</v>
      </c>
      <c r="D4671" s="1" t="s">
        <v>37</v>
      </c>
      <c r="E4671" s="1" t="s">
        <v>28</v>
      </c>
      <c r="F4671" s="1" t="n">
        <v>4</v>
      </c>
      <c r="G4671" s="15" t="n">
        <v>396.61</v>
      </c>
      <c r="H4671" s="16" t="n">
        <v>0.11</v>
      </c>
      <c r="I4671" s="1" t="s">
        <v>29</v>
      </c>
      <c r="J4671" s="1" t="n">
        <v>10</v>
      </c>
      <c r="K4671" s="1" t="n">
        <v>1.3</v>
      </c>
      <c r="L4671" s="15" t="n">
        <v>1411.93</v>
      </c>
      <c r="M4671" s="15" t="n">
        <f aca="false">F4671*G4671</f>
        <v>1586.44</v>
      </c>
      <c r="N4671" s="15" t="n">
        <f aca="false">M4671-L4671</f>
        <v>174.51</v>
      </c>
      <c r="O4671" s="1" t="n">
        <f aca="false">YEAR(B4671)</f>
        <v>2034</v>
      </c>
      <c r="P4671" s="1" t="n">
        <f aca="false">MONTH(B4671)</f>
        <v>10</v>
      </c>
      <c r="Q4671" s="1" t="str">
        <f aca="false">TEXT(B4671,"mmm")</f>
        <v>Oct</v>
      </c>
      <c r="R4671" s="1" t="str">
        <f aca="false">"Q"&amp;ROUNDUP(MONTH(B4671)/3,0)</f>
        <v>Q4</v>
      </c>
    </row>
    <row r="4672" customFormat="false" ht="15" hidden="false" customHeight="true" outlineLevel="0" collapsed="false">
      <c r="A4672" s="1" t="n">
        <v>14671</v>
      </c>
      <c r="B4672" s="14" t="n">
        <v>49232</v>
      </c>
      <c r="C4672" s="1" t="n">
        <v>1987</v>
      </c>
      <c r="D4672" s="1" t="s">
        <v>30</v>
      </c>
      <c r="E4672" s="1" t="s">
        <v>36</v>
      </c>
      <c r="F4672" s="1" t="n">
        <v>3</v>
      </c>
      <c r="G4672" s="15" t="n">
        <v>342.02</v>
      </c>
      <c r="H4672" s="16" t="n">
        <v>0.14</v>
      </c>
      <c r="I4672" s="1" t="s">
        <v>33</v>
      </c>
      <c r="J4672" s="1" t="n">
        <v>8</v>
      </c>
      <c r="K4672" s="1" t="n">
        <v>4.1</v>
      </c>
      <c r="L4672" s="15" t="n">
        <v>882.41</v>
      </c>
      <c r="M4672" s="15" t="n">
        <f aca="false">F4672*G4672</f>
        <v>1026.06</v>
      </c>
      <c r="N4672" s="15" t="n">
        <f aca="false">M4672-L4672</f>
        <v>143.65</v>
      </c>
      <c r="O4672" s="1" t="n">
        <f aca="false">YEAR(B4672)</f>
        <v>2034</v>
      </c>
      <c r="P4672" s="1" t="n">
        <f aca="false">MONTH(B4672)</f>
        <v>10</v>
      </c>
      <c r="Q4672" s="1" t="str">
        <f aca="false">TEXT(B4672,"mmm")</f>
        <v>Oct</v>
      </c>
      <c r="R4672" s="1" t="str">
        <f aca="false">"Q"&amp;ROUNDUP(MONTH(B4672)/3,0)</f>
        <v>Q4</v>
      </c>
    </row>
    <row r="4673" customFormat="false" ht="15" hidden="false" customHeight="true" outlineLevel="0" collapsed="false">
      <c r="A4673" s="1" t="n">
        <v>14672</v>
      </c>
      <c r="B4673" s="14" t="n">
        <v>49233</v>
      </c>
      <c r="C4673" s="1" t="n">
        <v>1418</v>
      </c>
      <c r="D4673" s="1" t="s">
        <v>37</v>
      </c>
      <c r="E4673" s="1" t="s">
        <v>35</v>
      </c>
      <c r="F4673" s="1" t="n">
        <v>2</v>
      </c>
      <c r="G4673" s="15" t="n">
        <v>227.01</v>
      </c>
      <c r="H4673" s="16" t="n">
        <v>0.08</v>
      </c>
      <c r="I4673" s="1" t="s">
        <v>29</v>
      </c>
      <c r="J4673" s="1" t="n">
        <v>10</v>
      </c>
      <c r="K4673" s="1" t="n">
        <v>2</v>
      </c>
      <c r="L4673" s="15" t="n">
        <v>417.7</v>
      </c>
      <c r="M4673" s="15" t="n">
        <f aca="false">F4673*G4673</f>
        <v>454.02</v>
      </c>
      <c r="N4673" s="15" t="n">
        <f aca="false">M4673-L4673</f>
        <v>36.32</v>
      </c>
      <c r="O4673" s="1" t="n">
        <f aca="false">YEAR(B4673)</f>
        <v>2034</v>
      </c>
      <c r="P4673" s="1" t="n">
        <f aca="false">MONTH(B4673)</f>
        <v>10</v>
      </c>
      <c r="Q4673" s="1" t="str">
        <f aca="false">TEXT(B4673,"mmm")</f>
        <v>Oct</v>
      </c>
      <c r="R4673" s="1" t="str">
        <f aca="false">"Q"&amp;ROUNDUP(MONTH(B4673)/3,0)</f>
        <v>Q4</v>
      </c>
    </row>
    <row r="4674" customFormat="false" ht="15" hidden="false" customHeight="true" outlineLevel="0" collapsed="false">
      <c r="A4674" s="1" t="n">
        <v>14673</v>
      </c>
      <c r="B4674" s="14" t="n">
        <v>49234</v>
      </c>
      <c r="C4674" s="1" t="n">
        <v>1426</v>
      </c>
      <c r="D4674" s="1" t="s">
        <v>27</v>
      </c>
      <c r="E4674" s="1" t="s">
        <v>28</v>
      </c>
      <c r="F4674" s="1" t="n">
        <v>7</v>
      </c>
      <c r="G4674" s="15" t="n">
        <v>390.27</v>
      </c>
      <c r="H4674" s="16" t="n">
        <v>0.34</v>
      </c>
      <c r="I4674" s="1" t="s">
        <v>29</v>
      </c>
      <c r="J4674" s="1" t="n">
        <v>6</v>
      </c>
      <c r="K4674" s="1" t="n">
        <v>2.5</v>
      </c>
      <c r="L4674" s="15" t="n">
        <v>1803.05</v>
      </c>
      <c r="M4674" s="15" t="n">
        <f aca="false">F4674*G4674</f>
        <v>2731.89</v>
      </c>
      <c r="N4674" s="15" t="n">
        <f aca="false">M4674-L4674</f>
        <v>928.84</v>
      </c>
      <c r="O4674" s="1" t="n">
        <f aca="false">YEAR(B4674)</f>
        <v>2034</v>
      </c>
      <c r="P4674" s="1" t="n">
        <f aca="false">MONTH(B4674)</f>
        <v>10</v>
      </c>
      <c r="Q4674" s="1" t="str">
        <f aca="false">TEXT(B4674,"mmm")</f>
        <v>Oct</v>
      </c>
      <c r="R4674" s="1" t="str">
        <f aca="false">"Q"&amp;ROUNDUP(MONTH(B4674)/3,0)</f>
        <v>Q4</v>
      </c>
    </row>
    <row r="4675" customFormat="false" ht="15" hidden="false" customHeight="true" outlineLevel="0" collapsed="false">
      <c r="A4675" s="1" t="n">
        <v>14674</v>
      </c>
      <c r="B4675" s="14" t="n">
        <v>49235</v>
      </c>
      <c r="C4675" s="1" t="n">
        <v>1478</v>
      </c>
      <c r="D4675" s="1" t="s">
        <v>34</v>
      </c>
      <c r="E4675" s="1" t="s">
        <v>32</v>
      </c>
      <c r="F4675" s="1" t="n">
        <v>5</v>
      </c>
      <c r="G4675" s="15" t="n">
        <v>173.66</v>
      </c>
      <c r="H4675" s="16" t="n">
        <v>0.17</v>
      </c>
      <c r="I4675" s="1" t="s">
        <v>29</v>
      </c>
      <c r="J4675" s="1" t="n">
        <v>3</v>
      </c>
      <c r="K4675" s="1" t="n">
        <v>3.2</v>
      </c>
      <c r="L4675" s="15" t="n">
        <v>720.69</v>
      </c>
      <c r="M4675" s="15" t="n">
        <f aca="false">F4675*G4675</f>
        <v>868.3</v>
      </c>
      <c r="N4675" s="15" t="n">
        <f aca="false">M4675-L4675</f>
        <v>147.61</v>
      </c>
      <c r="O4675" s="1" t="n">
        <f aca="false">YEAR(B4675)</f>
        <v>2034</v>
      </c>
      <c r="P4675" s="1" t="n">
        <f aca="false">MONTH(B4675)</f>
        <v>10</v>
      </c>
      <c r="Q4675" s="1" t="str">
        <f aca="false">TEXT(B4675,"mmm")</f>
        <v>Oct</v>
      </c>
      <c r="R4675" s="1" t="str">
        <f aca="false">"Q"&amp;ROUNDUP(MONTH(B4675)/3,0)</f>
        <v>Q4</v>
      </c>
    </row>
    <row r="4676" customFormat="false" ht="15" hidden="false" customHeight="true" outlineLevel="0" collapsed="false">
      <c r="A4676" s="1" t="n">
        <v>14675</v>
      </c>
      <c r="B4676" s="14" t="n">
        <v>49236</v>
      </c>
      <c r="C4676" s="1" t="n">
        <v>1474</v>
      </c>
      <c r="D4676" s="1" t="s">
        <v>30</v>
      </c>
      <c r="E4676" s="1" t="s">
        <v>28</v>
      </c>
      <c r="F4676" s="1" t="n">
        <v>3</v>
      </c>
      <c r="G4676" s="15" t="n">
        <v>479.98</v>
      </c>
      <c r="H4676" s="16" t="n">
        <v>0.35</v>
      </c>
      <c r="I4676" s="1" t="s">
        <v>31</v>
      </c>
      <c r="J4676" s="1" t="n">
        <v>9</v>
      </c>
      <c r="K4676" s="1" t="n">
        <v>5</v>
      </c>
      <c r="L4676" s="15" t="n">
        <v>935.96</v>
      </c>
      <c r="M4676" s="15" t="n">
        <f aca="false">F4676*G4676</f>
        <v>1439.94</v>
      </c>
      <c r="N4676" s="15" t="n">
        <f aca="false">M4676-L4676</f>
        <v>503.98</v>
      </c>
      <c r="O4676" s="1" t="n">
        <f aca="false">YEAR(B4676)</f>
        <v>2034</v>
      </c>
      <c r="P4676" s="1" t="n">
        <f aca="false">MONTH(B4676)</f>
        <v>10</v>
      </c>
      <c r="Q4676" s="1" t="str">
        <f aca="false">TEXT(B4676,"mmm")</f>
        <v>Oct</v>
      </c>
      <c r="R4676" s="1" t="str">
        <f aca="false">"Q"&amp;ROUNDUP(MONTH(B4676)/3,0)</f>
        <v>Q4</v>
      </c>
    </row>
    <row r="4677" customFormat="false" ht="15" hidden="false" customHeight="true" outlineLevel="0" collapsed="false">
      <c r="A4677" s="1" t="n">
        <v>14676</v>
      </c>
      <c r="B4677" s="14" t="n">
        <v>49237</v>
      </c>
      <c r="C4677" s="1" t="n">
        <v>1125</v>
      </c>
      <c r="D4677" s="1" t="s">
        <v>34</v>
      </c>
      <c r="E4677" s="1" t="s">
        <v>36</v>
      </c>
      <c r="F4677" s="1" t="n">
        <v>5</v>
      </c>
      <c r="G4677" s="15" t="n">
        <v>149.15</v>
      </c>
      <c r="H4677" s="16" t="n">
        <v>0.17</v>
      </c>
      <c r="I4677" s="1" t="s">
        <v>31</v>
      </c>
      <c r="J4677" s="1" t="n">
        <v>9</v>
      </c>
      <c r="K4677" s="1" t="n">
        <v>1.8</v>
      </c>
      <c r="L4677" s="15" t="n">
        <v>618.97</v>
      </c>
      <c r="M4677" s="15" t="n">
        <f aca="false">F4677*G4677</f>
        <v>745.75</v>
      </c>
      <c r="N4677" s="15" t="n">
        <f aca="false">M4677-L4677</f>
        <v>126.78</v>
      </c>
      <c r="O4677" s="1" t="n">
        <f aca="false">YEAR(B4677)</f>
        <v>2034</v>
      </c>
      <c r="P4677" s="1" t="n">
        <f aca="false">MONTH(B4677)</f>
        <v>10</v>
      </c>
      <c r="Q4677" s="1" t="str">
        <f aca="false">TEXT(B4677,"mmm")</f>
        <v>Oct</v>
      </c>
      <c r="R4677" s="1" t="str">
        <f aca="false">"Q"&amp;ROUNDUP(MONTH(B4677)/3,0)</f>
        <v>Q4</v>
      </c>
    </row>
    <row r="4678" customFormat="false" ht="15" hidden="false" customHeight="true" outlineLevel="0" collapsed="false">
      <c r="A4678" s="1" t="n">
        <v>14677</v>
      </c>
      <c r="B4678" s="14" t="n">
        <v>49238</v>
      </c>
      <c r="C4678" s="1" t="n">
        <v>1394</v>
      </c>
      <c r="D4678" s="1" t="s">
        <v>34</v>
      </c>
      <c r="E4678" s="1" t="s">
        <v>28</v>
      </c>
      <c r="F4678" s="1" t="n">
        <v>3</v>
      </c>
      <c r="G4678" s="15" t="n">
        <v>107.92</v>
      </c>
      <c r="H4678" s="16" t="n">
        <v>0.08</v>
      </c>
      <c r="I4678" s="1" t="s">
        <v>33</v>
      </c>
      <c r="J4678" s="1" t="n">
        <v>11</v>
      </c>
      <c r="K4678" s="1" t="n">
        <v>1.5</v>
      </c>
      <c r="L4678" s="15" t="n">
        <v>297.86</v>
      </c>
      <c r="M4678" s="15" t="n">
        <f aca="false">F4678*G4678</f>
        <v>323.76</v>
      </c>
      <c r="N4678" s="15" t="n">
        <f aca="false">M4678-L4678</f>
        <v>25.9</v>
      </c>
      <c r="O4678" s="1" t="n">
        <f aca="false">YEAR(B4678)</f>
        <v>2034</v>
      </c>
      <c r="P4678" s="1" t="n">
        <f aca="false">MONTH(B4678)</f>
        <v>10</v>
      </c>
      <c r="Q4678" s="1" t="str">
        <f aca="false">TEXT(B4678,"mmm")</f>
        <v>Oct</v>
      </c>
      <c r="R4678" s="1" t="str">
        <f aca="false">"Q"&amp;ROUNDUP(MONTH(B4678)/3,0)</f>
        <v>Q4</v>
      </c>
    </row>
    <row r="4679" customFormat="false" ht="15" hidden="false" customHeight="true" outlineLevel="0" collapsed="false">
      <c r="A4679" s="1" t="n">
        <v>14678</v>
      </c>
      <c r="B4679" s="14" t="n">
        <v>49239</v>
      </c>
      <c r="C4679" s="1" t="n">
        <v>1816</v>
      </c>
      <c r="D4679" s="1" t="s">
        <v>37</v>
      </c>
      <c r="E4679" s="1" t="s">
        <v>35</v>
      </c>
      <c r="F4679" s="1" t="n">
        <v>3</v>
      </c>
      <c r="G4679" s="15" t="n">
        <v>472.73</v>
      </c>
      <c r="H4679" s="16" t="n">
        <v>0.18</v>
      </c>
      <c r="I4679" s="1" t="s">
        <v>33</v>
      </c>
      <c r="J4679" s="1" t="n">
        <v>6</v>
      </c>
      <c r="K4679" s="1" t="n">
        <v>3.4</v>
      </c>
      <c r="L4679" s="15" t="n">
        <v>1162.92</v>
      </c>
      <c r="M4679" s="15" t="n">
        <f aca="false">F4679*G4679</f>
        <v>1418.19</v>
      </c>
      <c r="N4679" s="15" t="n">
        <f aca="false">M4679-L4679</f>
        <v>255.27</v>
      </c>
      <c r="O4679" s="1" t="n">
        <f aca="false">YEAR(B4679)</f>
        <v>2034</v>
      </c>
      <c r="P4679" s="1" t="n">
        <f aca="false">MONTH(B4679)</f>
        <v>10</v>
      </c>
      <c r="Q4679" s="1" t="str">
        <f aca="false">TEXT(B4679,"mmm")</f>
        <v>Oct</v>
      </c>
      <c r="R4679" s="1" t="str">
        <f aca="false">"Q"&amp;ROUNDUP(MONTH(B4679)/3,0)</f>
        <v>Q4</v>
      </c>
    </row>
    <row r="4680" customFormat="false" ht="15" hidden="false" customHeight="true" outlineLevel="0" collapsed="false">
      <c r="A4680" s="1" t="n">
        <v>14679</v>
      </c>
      <c r="B4680" s="14" t="n">
        <v>49240</v>
      </c>
      <c r="C4680" s="1" t="n">
        <v>1880</v>
      </c>
      <c r="D4680" s="1" t="s">
        <v>27</v>
      </c>
      <c r="E4680" s="1" t="s">
        <v>35</v>
      </c>
      <c r="F4680" s="1" t="n">
        <v>7</v>
      </c>
      <c r="G4680" s="15" t="n">
        <v>429.12</v>
      </c>
      <c r="H4680" s="16" t="n">
        <v>0.01</v>
      </c>
      <c r="I4680" s="1" t="s">
        <v>33</v>
      </c>
      <c r="J4680" s="1" t="n">
        <v>2</v>
      </c>
      <c r="K4680" s="1" t="n">
        <v>4.4</v>
      </c>
      <c r="L4680" s="15" t="n">
        <v>2973.8</v>
      </c>
      <c r="M4680" s="15" t="n">
        <f aca="false">F4680*G4680</f>
        <v>3003.84</v>
      </c>
      <c r="N4680" s="15" t="n">
        <f aca="false">M4680-L4680</f>
        <v>30.04</v>
      </c>
      <c r="O4680" s="1" t="n">
        <f aca="false">YEAR(B4680)</f>
        <v>2034</v>
      </c>
      <c r="P4680" s="1" t="n">
        <f aca="false">MONTH(B4680)</f>
        <v>10</v>
      </c>
      <c r="Q4680" s="1" t="str">
        <f aca="false">TEXT(B4680,"mmm")</f>
        <v>Oct</v>
      </c>
      <c r="R4680" s="1" t="str">
        <f aca="false">"Q"&amp;ROUNDUP(MONTH(B4680)/3,0)</f>
        <v>Q4</v>
      </c>
    </row>
    <row r="4681" customFormat="false" ht="15" hidden="false" customHeight="true" outlineLevel="0" collapsed="false">
      <c r="A4681" s="1" t="n">
        <v>14680</v>
      </c>
      <c r="B4681" s="14" t="n">
        <v>49241</v>
      </c>
      <c r="C4681" s="1" t="n">
        <v>1805</v>
      </c>
      <c r="D4681" s="1" t="s">
        <v>34</v>
      </c>
      <c r="E4681" s="1" t="s">
        <v>28</v>
      </c>
      <c r="F4681" s="1" t="n">
        <v>6</v>
      </c>
      <c r="G4681" s="15" t="n">
        <v>121.84</v>
      </c>
      <c r="H4681" s="16" t="n">
        <v>0.32</v>
      </c>
      <c r="I4681" s="1" t="s">
        <v>31</v>
      </c>
      <c r="J4681" s="1" t="n">
        <v>7</v>
      </c>
      <c r="K4681" s="1" t="n">
        <v>3.6</v>
      </c>
      <c r="L4681" s="15" t="n">
        <v>497.11</v>
      </c>
      <c r="M4681" s="15" t="n">
        <f aca="false">F4681*G4681</f>
        <v>731.04</v>
      </c>
      <c r="N4681" s="15" t="n">
        <f aca="false">M4681-L4681</f>
        <v>233.93</v>
      </c>
      <c r="O4681" s="1" t="n">
        <f aca="false">YEAR(B4681)</f>
        <v>2034</v>
      </c>
      <c r="P4681" s="1" t="n">
        <f aca="false">MONTH(B4681)</f>
        <v>10</v>
      </c>
      <c r="Q4681" s="1" t="str">
        <f aca="false">TEXT(B4681,"mmm")</f>
        <v>Oct</v>
      </c>
      <c r="R4681" s="1" t="str">
        <f aca="false">"Q"&amp;ROUNDUP(MONTH(B4681)/3,0)</f>
        <v>Q4</v>
      </c>
    </row>
    <row r="4682" customFormat="false" ht="15" hidden="false" customHeight="true" outlineLevel="0" collapsed="false">
      <c r="A4682" s="1" t="n">
        <v>14681</v>
      </c>
      <c r="B4682" s="14" t="n">
        <v>49242</v>
      </c>
      <c r="C4682" s="1" t="n">
        <v>1575</v>
      </c>
      <c r="D4682" s="1" t="s">
        <v>37</v>
      </c>
      <c r="E4682" s="1" t="s">
        <v>35</v>
      </c>
      <c r="F4682" s="1" t="n">
        <v>6</v>
      </c>
      <c r="G4682" s="15" t="n">
        <v>83</v>
      </c>
      <c r="H4682" s="16" t="n">
        <v>0.29</v>
      </c>
      <c r="I4682" s="1" t="s">
        <v>29</v>
      </c>
      <c r="J4682" s="1" t="n">
        <v>9</v>
      </c>
      <c r="K4682" s="1" t="n">
        <v>2.4</v>
      </c>
      <c r="L4682" s="15" t="n">
        <v>353.58</v>
      </c>
      <c r="M4682" s="15" t="n">
        <f aca="false">F4682*G4682</f>
        <v>498</v>
      </c>
      <c r="N4682" s="15" t="n">
        <f aca="false">M4682-L4682</f>
        <v>144.42</v>
      </c>
      <c r="O4682" s="1" t="n">
        <f aca="false">YEAR(B4682)</f>
        <v>2034</v>
      </c>
      <c r="P4682" s="1" t="n">
        <f aca="false">MONTH(B4682)</f>
        <v>10</v>
      </c>
      <c r="Q4682" s="1" t="str">
        <f aca="false">TEXT(B4682,"mmm")</f>
        <v>Oct</v>
      </c>
      <c r="R4682" s="1" t="str">
        <f aca="false">"Q"&amp;ROUNDUP(MONTH(B4682)/3,0)</f>
        <v>Q4</v>
      </c>
    </row>
    <row r="4683" customFormat="false" ht="15" hidden="false" customHeight="true" outlineLevel="0" collapsed="false">
      <c r="A4683" s="1" t="n">
        <v>14682</v>
      </c>
      <c r="B4683" s="14" t="n">
        <v>49243</v>
      </c>
      <c r="C4683" s="1" t="n">
        <v>1324</v>
      </c>
      <c r="D4683" s="1" t="s">
        <v>27</v>
      </c>
      <c r="E4683" s="1" t="s">
        <v>35</v>
      </c>
      <c r="F4683" s="1" t="n">
        <v>5</v>
      </c>
      <c r="G4683" s="15" t="n">
        <v>505.46</v>
      </c>
      <c r="H4683" s="16" t="n">
        <v>0.25</v>
      </c>
      <c r="I4683" s="1" t="s">
        <v>29</v>
      </c>
      <c r="J4683" s="1" t="n">
        <v>9</v>
      </c>
      <c r="K4683" s="1" t="n">
        <v>4.9</v>
      </c>
      <c r="L4683" s="15" t="n">
        <v>1895.48</v>
      </c>
      <c r="M4683" s="15" t="n">
        <f aca="false">F4683*G4683</f>
        <v>2527.3</v>
      </c>
      <c r="N4683" s="15" t="n">
        <f aca="false">M4683-L4683</f>
        <v>631.82</v>
      </c>
      <c r="O4683" s="1" t="n">
        <f aca="false">YEAR(B4683)</f>
        <v>2034</v>
      </c>
      <c r="P4683" s="1" t="n">
        <f aca="false">MONTH(B4683)</f>
        <v>10</v>
      </c>
      <c r="Q4683" s="1" t="str">
        <f aca="false">TEXT(B4683,"mmm")</f>
        <v>Oct</v>
      </c>
      <c r="R4683" s="1" t="str">
        <f aca="false">"Q"&amp;ROUNDUP(MONTH(B4683)/3,0)</f>
        <v>Q4</v>
      </c>
    </row>
    <row r="4684" customFormat="false" ht="15" hidden="false" customHeight="true" outlineLevel="0" collapsed="false">
      <c r="A4684" s="1" t="n">
        <v>14683</v>
      </c>
      <c r="B4684" s="14" t="n">
        <v>49244</v>
      </c>
      <c r="C4684" s="1" t="n">
        <v>1391</v>
      </c>
      <c r="D4684" s="1" t="s">
        <v>27</v>
      </c>
      <c r="E4684" s="1" t="s">
        <v>35</v>
      </c>
      <c r="F4684" s="1" t="n">
        <v>1</v>
      </c>
      <c r="G4684" s="15" t="n">
        <v>469.31</v>
      </c>
      <c r="H4684" s="16" t="n">
        <v>0.21</v>
      </c>
      <c r="I4684" s="1" t="s">
        <v>31</v>
      </c>
      <c r="J4684" s="1" t="n">
        <v>3</v>
      </c>
      <c r="K4684" s="1" t="n">
        <v>5</v>
      </c>
      <c r="L4684" s="15" t="n">
        <v>370.75</v>
      </c>
      <c r="M4684" s="15" t="n">
        <f aca="false">F4684*G4684</f>
        <v>469.31</v>
      </c>
      <c r="N4684" s="15" t="n">
        <f aca="false">M4684-L4684</f>
        <v>98.56</v>
      </c>
      <c r="O4684" s="1" t="n">
        <f aca="false">YEAR(B4684)</f>
        <v>2034</v>
      </c>
      <c r="P4684" s="1" t="n">
        <f aca="false">MONTH(B4684)</f>
        <v>10</v>
      </c>
      <c r="Q4684" s="1" t="str">
        <f aca="false">TEXT(B4684,"mmm")</f>
        <v>Oct</v>
      </c>
      <c r="R4684" s="1" t="str">
        <f aca="false">"Q"&amp;ROUNDUP(MONTH(B4684)/3,0)</f>
        <v>Q4</v>
      </c>
    </row>
    <row r="4685" customFormat="false" ht="15" hidden="false" customHeight="true" outlineLevel="0" collapsed="false">
      <c r="A4685" s="1" t="n">
        <v>14684</v>
      </c>
      <c r="B4685" s="14" t="n">
        <v>49245</v>
      </c>
      <c r="C4685" s="1" t="n">
        <v>1929</v>
      </c>
      <c r="D4685" s="1" t="s">
        <v>34</v>
      </c>
      <c r="E4685" s="1" t="s">
        <v>32</v>
      </c>
      <c r="F4685" s="1" t="n">
        <v>2</v>
      </c>
      <c r="G4685" s="15" t="n">
        <v>206.45</v>
      </c>
      <c r="H4685" s="16" t="n">
        <v>0.2</v>
      </c>
      <c r="I4685" s="1" t="s">
        <v>31</v>
      </c>
      <c r="J4685" s="1" t="n">
        <v>2</v>
      </c>
      <c r="K4685" s="1" t="n">
        <v>4.1</v>
      </c>
      <c r="L4685" s="15" t="n">
        <v>330.32</v>
      </c>
      <c r="M4685" s="15" t="n">
        <f aca="false">F4685*G4685</f>
        <v>412.9</v>
      </c>
      <c r="N4685" s="15" t="n">
        <f aca="false">M4685-L4685</f>
        <v>82.58</v>
      </c>
      <c r="O4685" s="1" t="n">
        <f aca="false">YEAR(B4685)</f>
        <v>2034</v>
      </c>
      <c r="P4685" s="1" t="n">
        <f aca="false">MONTH(B4685)</f>
        <v>10</v>
      </c>
      <c r="Q4685" s="1" t="str">
        <f aca="false">TEXT(B4685,"mmm")</f>
        <v>Oct</v>
      </c>
      <c r="R4685" s="1" t="str">
        <f aca="false">"Q"&amp;ROUNDUP(MONTH(B4685)/3,0)</f>
        <v>Q4</v>
      </c>
    </row>
    <row r="4686" customFormat="false" ht="15" hidden="false" customHeight="true" outlineLevel="0" collapsed="false">
      <c r="A4686" s="1" t="n">
        <v>14685</v>
      </c>
      <c r="B4686" s="14" t="n">
        <v>49246</v>
      </c>
      <c r="C4686" s="1" t="n">
        <v>1687</v>
      </c>
      <c r="D4686" s="1" t="s">
        <v>27</v>
      </c>
      <c r="E4686" s="1" t="s">
        <v>36</v>
      </c>
      <c r="F4686" s="1" t="n">
        <v>1</v>
      </c>
      <c r="G4686" s="15" t="n">
        <v>400.05</v>
      </c>
      <c r="H4686" s="16" t="n">
        <v>0.35</v>
      </c>
      <c r="I4686" s="1" t="s">
        <v>31</v>
      </c>
      <c r="J4686" s="1" t="n">
        <v>5</v>
      </c>
      <c r="K4686" s="1" t="n">
        <v>4.2</v>
      </c>
      <c r="L4686" s="15" t="n">
        <v>260.03</v>
      </c>
      <c r="M4686" s="15" t="n">
        <f aca="false">F4686*G4686</f>
        <v>400.05</v>
      </c>
      <c r="N4686" s="15" t="n">
        <f aca="false">M4686-L4686</f>
        <v>140.02</v>
      </c>
      <c r="O4686" s="1" t="n">
        <f aca="false">YEAR(B4686)</f>
        <v>2034</v>
      </c>
      <c r="P4686" s="1" t="n">
        <f aca="false">MONTH(B4686)</f>
        <v>10</v>
      </c>
      <c r="Q4686" s="1" t="str">
        <f aca="false">TEXT(B4686,"mmm")</f>
        <v>Oct</v>
      </c>
      <c r="R4686" s="1" t="str">
        <f aca="false">"Q"&amp;ROUNDUP(MONTH(B4686)/3,0)</f>
        <v>Q4</v>
      </c>
    </row>
    <row r="4687" customFormat="false" ht="15" hidden="false" customHeight="true" outlineLevel="0" collapsed="false">
      <c r="A4687" s="1" t="n">
        <v>14686</v>
      </c>
      <c r="B4687" s="14" t="n">
        <v>49247</v>
      </c>
      <c r="C4687" s="1" t="n">
        <v>1627</v>
      </c>
      <c r="D4687" s="1" t="s">
        <v>34</v>
      </c>
      <c r="E4687" s="1" t="s">
        <v>35</v>
      </c>
      <c r="F4687" s="1" t="n">
        <v>1</v>
      </c>
      <c r="G4687" s="15" t="n">
        <v>87.63</v>
      </c>
      <c r="H4687" s="16" t="n">
        <v>0.1</v>
      </c>
      <c r="I4687" s="1" t="s">
        <v>31</v>
      </c>
      <c r="J4687" s="1" t="n">
        <v>11</v>
      </c>
      <c r="K4687" s="1" t="n">
        <v>4</v>
      </c>
      <c r="L4687" s="15" t="n">
        <v>78.87</v>
      </c>
      <c r="M4687" s="15" t="n">
        <f aca="false">F4687*G4687</f>
        <v>87.63</v>
      </c>
      <c r="N4687" s="15" t="n">
        <f aca="false">M4687-L4687</f>
        <v>8.75999999999999</v>
      </c>
      <c r="O4687" s="1" t="n">
        <f aca="false">YEAR(B4687)</f>
        <v>2034</v>
      </c>
      <c r="P4687" s="1" t="n">
        <f aca="false">MONTH(B4687)</f>
        <v>10</v>
      </c>
      <c r="Q4687" s="1" t="str">
        <f aca="false">TEXT(B4687,"mmm")</f>
        <v>Oct</v>
      </c>
      <c r="R4687" s="1" t="str">
        <f aca="false">"Q"&amp;ROUNDUP(MONTH(B4687)/3,0)</f>
        <v>Q4</v>
      </c>
    </row>
    <row r="4688" customFormat="false" ht="15" hidden="false" customHeight="true" outlineLevel="0" collapsed="false">
      <c r="A4688" s="1" t="n">
        <v>14687</v>
      </c>
      <c r="B4688" s="14" t="n">
        <v>49248</v>
      </c>
      <c r="C4688" s="1" t="n">
        <v>1439</v>
      </c>
      <c r="D4688" s="1" t="s">
        <v>30</v>
      </c>
      <c r="E4688" s="1" t="s">
        <v>28</v>
      </c>
      <c r="F4688" s="1" t="n">
        <v>6</v>
      </c>
      <c r="G4688" s="15" t="n">
        <v>311.62</v>
      </c>
      <c r="H4688" s="16" t="n">
        <v>0.27</v>
      </c>
      <c r="I4688" s="1" t="s">
        <v>33</v>
      </c>
      <c r="J4688" s="1" t="n">
        <v>10</v>
      </c>
      <c r="K4688" s="1" t="n">
        <v>2</v>
      </c>
      <c r="L4688" s="15" t="n">
        <v>1364.9</v>
      </c>
      <c r="M4688" s="15" t="n">
        <f aca="false">F4688*G4688</f>
        <v>1869.72</v>
      </c>
      <c r="N4688" s="15" t="n">
        <f aca="false">M4688-L4688</f>
        <v>504.82</v>
      </c>
      <c r="O4688" s="1" t="n">
        <f aca="false">YEAR(B4688)</f>
        <v>2034</v>
      </c>
      <c r="P4688" s="1" t="n">
        <f aca="false">MONTH(B4688)</f>
        <v>10</v>
      </c>
      <c r="Q4688" s="1" t="str">
        <f aca="false">TEXT(B4688,"mmm")</f>
        <v>Oct</v>
      </c>
      <c r="R4688" s="1" t="str">
        <f aca="false">"Q"&amp;ROUNDUP(MONTH(B4688)/3,0)</f>
        <v>Q4</v>
      </c>
    </row>
    <row r="4689" customFormat="false" ht="15" hidden="false" customHeight="true" outlineLevel="0" collapsed="false">
      <c r="A4689" s="1" t="n">
        <v>14688</v>
      </c>
      <c r="B4689" s="14" t="n">
        <v>49249</v>
      </c>
      <c r="C4689" s="1" t="n">
        <v>1203</v>
      </c>
      <c r="D4689" s="1" t="s">
        <v>34</v>
      </c>
      <c r="E4689" s="1" t="s">
        <v>35</v>
      </c>
      <c r="F4689" s="1" t="n">
        <v>2</v>
      </c>
      <c r="G4689" s="15" t="n">
        <v>25.96</v>
      </c>
      <c r="H4689" s="16" t="n">
        <v>0.2</v>
      </c>
      <c r="I4689" s="1" t="s">
        <v>29</v>
      </c>
      <c r="J4689" s="1" t="n">
        <v>7</v>
      </c>
      <c r="K4689" s="1" t="n">
        <v>1.6</v>
      </c>
      <c r="L4689" s="15" t="n">
        <v>41.54</v>
      </c>
      <c r="M4689" s="15" t="n">
        <f aca="false">F4689*G4689</f>
        <v>51.92</v>
      </c>
      <c r="N4689" s="15" t="n">
        <f aca="false">M4689-L4689</f>
        <v>10.38</v>
      </c>
      <c r="O4689" s="1" t="n">
        <f aca="false">YEAR(B4689)</f>
        <v>2034</v>
      </c>
      <c r="P4689" s="1" t="n">
        <f aca="false">MONTH(B4689)</f>
        <v>11</v>
      </c>
      <c r="Q4689" s="1" t="str">
        <f aca="false">TEXT(B4689,"mmm")</f>
        <v>Nov</v>
      </c>
      <c r="R4689" s="1" t="str">
        <f aca="false">"Q"&amp;ROUNDUP(MONTH(B4689)/3,0)</f>
        <v>Q4</v>
      </c>
    </row>
    <row r="4690" customFormat="false" ht="15" hidden="false" customHeight="true" outlineLevel="0" collapsed="false">
      <c r="A4690" s="1" t="n">
        <v>14689</v>
      </c>
      <c r="B4690" s="14" t="n">
        <v>49250</v>
      </c>
      <c r="C4690" s="1" t="n">
        <v>1485</v>
      </c>
      <c r="D4690" s="1" t="s">
        <v>34</v>
      </c>
      <c r="E4690" s="1" t="s">
        <v>32</v>
      </c>
      <c r="F4690" s="1" t="n">
        <v>6</v>
      </c>
      <c r="G4690" s="15" t="n">
        <v>244.09</v>
      </c>
      <c r="H4690" s="16" t="n">
        <v>0.34</v>
      </c>
      <c r="I4690" s="1" t="s">
        <v>31</v>
      </c>
      <c r="J4690" s="1" t="n">
        <v>3</v>
      </c>
      <c r="K4690" s="1" t="n">
        <v>3.2</v>
      </c>
      <c r="L4690" s="15" t="n">
        <v>966.6</v>
      </c>
      <c r="M4690" s="15" t="n">
        <f aca="false">F4690*G4690</f>
        <v>1464.54</v>
      </c>
      <c r="N4690" s="15" t="n">
        <f aca="false">M4690-L4690</f>
        <v>497.94</v>
      </c>
      <c r="O4690" s="1" t="n">
        <f aca="false">YEAR(B4690)</f>
        <v>2034</v>
      </c>
      <c r="P4690" s="1" t="n">
        <f aca="false">MONTH(B4690)</f>
        <v>11</v>
      </c>
      <c r="Q4690" s="1" t="str">
        <f aca="false">TEXT(B4690,"mmm")</f>
        <v>Nov</v>
      </c>
      <c r="R4690" s="1" t="str">
        <f aca="false">"Q"&amp;ROUNDUP(MONTH(B4690)/3,0)</f>
        <v>Q4</v>
      </c>
    </row>
    <row r="4691" customFormat="false" ht="15" hidden="false" customHeight="true" outlineLevel="0" collapsed="false">
      <c r="A4691" s="1" t="n">
        <v>14690</v>
      </c>
      <c r="B4691" s="14" t="n">
        <v>49251</v>
      </c>
      <c r="C4691" s="1" t="n">
        <v>1832</v>
      </c>
      <c r="D4691" s="1" t="s">
        <v>37</v>
      </c>
      <c r="E4691" s="1" t="s">
        <v>28</v>
      </c>
      <c r="F4691" s="1" t="n">
        <v>6</v>
      </c>
      <c r="G4691" s="15" t="n">
        <v>58.78</v>
      </c>
      <c r="H4691" s="16" t="n">
        <v>0.29</v>
      </c>
      <c r="I4691" s="1" t="s">
        <v>33</v>
      </c>
      <c r="J4691" s="1" t="n">
        <v>4</v>
      </c>
      <c r="K4691" s="1" t="n">
        <v>4.8</v>
      </c>
      <c r="L4691" s="15" t="n">
        <v>250.4</v>
      </c>
      <c r="M4691" s="15" t="n">
        <f aca="false">F4691*G4691</f>
        <v>352.68</v>
      </c>
      <c r="N4691" s="15" t="n">
        <f aca="false">M4691-L4691</f>
        <v>102.28</v>
      </c>
      <c r="O4691" s="1" t="n">
        <f aca="false">YEAR(B4691)</f>
        <v>2034</v>
      </c>
      <c r="P4691" s="1" t="n">
        <f aca="false">MONTH(B4691)</f>
        <v>11</v>
      </c>
      <c r="Q4691" s="1" t="str">
        <f aca="false">TEXT(B4691,"mmm")</f>
        <v>Nov</v>
      </c>
      <c r="R4691" s="1" t="str">
        <f aca="false">"Q"&amp;ROUNDUP(MONTH(B4691)/3,0)</f>
        <v>Q4</v>
      </c>
    </row>
    <row r="4692" customFormat="false" ht="15" hidden="false" customHeight="true" outlineLevel="0" collapsed="false">
      <c r="A4692" s="1" t="n">
        <v>14691</v>
      </c>
      <c r="B4692" s="14" t="n">
        <v>49252</v>
      </c>
      <c r="C4692" s="1" t="n">
        <v>1030</v>
      </c>
      <c r="D4692" s="1" t="s">
        <v>30</v>
      </c>
      <c r="E4692" s="1" t="s">
        <v>36</v>
      </c>
      <c r="F4692" s="1" t="n">
        <v>7</v>
      </c>
      <c r="G4692" s="15" t="n">
        <v>292.96</v>
      </c>
      <c r="H4692" s="16" t="n">
        <v>0.35</v>
      </c>
      <c r="I4692" s="1" t="s">
        <v>33</v>
      </c>
      <c r="J4692" s="1" t="n">
        <v>10</v>
      </c>
      <c r="K4692" s="1" t="n">
        <v>4.5</v>
      </c>
      <c r="L4692" s="15" t="n">
        <v>1332.97</v>
      </c>
      <c r="M4692" s="15" t="n">
        <f aca="false">F4692*G4692</f>
        <v>2050.72</v>
      </c>
      <c r="N4692" s="15" t="n">
        <f aca="false">M4692-L4692</f>
        <v>717.75</v>
      </c>
      <c r="O4692" s="1" t="n">
        <f aca="false">YEAR(B4692)</f>
        <v>2034</v>
      </c>
      <c r="P4692" s="1" t="n">
        <f aca="false">MONTH(B4692)</f>
        <v>11</v>
      </c>
      <c r="Q4692" s="1" t="str">
        <f aca="false">TEXT(B4692,"mmm")</f>
        <v>Nov</v>
      </c>
      <c r="R4692" s="1" t="str">
        <f aca="false">"Q"&amp;ROUNDUP(MONTH(B4692)/3,0)</f>
        <v>Q4</v>
      </c>
    </row>
    <row r="4693" customFormat="false" ht="15" hidden="false" customHeight="true" outlineLevel="0" collapsed="false">
      <c r="A4693" s="1" t="n">
        <v>14692</v>
      </c>
      <c r="B4693" s="14" t="n">
        <v>49253</v>
      </c>
      <c r="C4693" s="1" t="n">
        <v>1387</v>
      </c>
      <c r="D4693" s="1" t="s">
        <v>34</v>
      </c>
      <c r="E4693" s="1" t="s">
        <v>28</v>
      </c>
      <c r="F4693" s="1" t="n">
        <v>6</v>
      </c>
      <c r="G4693" s="15" t="n">
        <v>261.68</v>
      </c>
      <c r="H4693" s="16" t="n">
        <v>0.21</v>
      </c>
      <c r="I4693" s="1" t="s">
        <v>31</v>
      </c>
      <c r="J4693" s="1" t="n">
        <v>2</v>
      </c>
      <c r="K4693" s="1" t="n">
        <v>1.4</v>
      </c>
      <c r="L4693" s="15" t="n">
        <v>1240.36</v>
      </c>
      <c r="M4693" s="15" t="n">
        <f aca="false">F4693*G4693</f>
        <v>1570.08</v>
      </c>
      <c r="N4693" s="15" t="n">
        <f aca="false">M4693-L4693</f>
        <v>329.72</v>
      </c>
      <c r="O4693" s="1" t="n">
        <f aca="false">YEAR(B4693)</f>
        <v>2034</v>
      </c>
      <c r="P4693" s="1" t="n">
        <f aca="false">MONTH(B4693)</f>
        <v>11</v>
      </c>
      <c r="Q4693" s="1" t="str">
        <f aca="false">TEXT(B4693,"mmm")</f>
        <v>Nov</v>
      </c>
      <c r="R4693" s="1" t="str">
        <f aca="false">"Q"&amp;ROUNDUP(MONTH(B4693)/3,0)</f>
        <v>Q4</v>
      </c>
    </row>
    <row r="4694" customFormat="false" ht="15" hidden="false" customHeight="true" outlineLevel="0" collapsed="false">
      <c r="A4694" s="1" t="n">
        <v>14693</v>
      </c>
      <c r="B4694" s="14" t="n">
        <v>49254</v>
      </c>
      <c r="C4694" s="1" t="n">
        <v>1624</v>
      </c>
      <c r="D4694" s="1" t="s">
        <v>34</v>
      </c>
      <c r="E4694" s="1" t="s">
        <v>28</v>
      </c>
      <c r="F4694" s="1" t="n">
        <v>4</v>
      </c>
      <c r="G4694" s="15" t="n">
        <v>274.97</v>
      </c>
      <c r="H4694" s="16" t="n">
        <v>0.07</v>
      </c>
      <c r="I4694" s="1" t="s">
        <v>33</v>
      </c>
      <c r="J4694" s="1" t="n">
        <v>11</v>
      </c>
      <c r="K4694" s="1" t="n">
        <v>1.2</v>
      </c>
      <c r="L4694" s="15" t="n">
        <v>1022.89</v>
      </c>
      <c r="M4694" s="15" t="n">
        <f aca="false">F4694*G4694</f>
        <v>1099.88</v>
      </c>
      <c r="N4694" s="15" t="n">
        <f aca="false">M4694-L4694</f>
        <v>76.9900000000001</v>
      </c>
      <c r="O4694" s="1" t="n">
        <f aca="false">YEAR(B4694)</f>
        <v>2034</v>
      </c>
      <c r="P4694" s="1" t="n">
        <f aca="false">MONTH(B4694)</f>
        <v>11</v>
      </c>
      <c r="Q4694" s="1" t="str">
        <f aca="false">TEXT(B4694,"mmm")</f>
        <v>Nov</v>
      </c>
      <c r="R4694" s="1" t="str">
        <f aca="false">"Q"&amp;ROUNDUP(MONTH(B4694)/3,0)</f>
        <v>Q4</v>
      </c>
    </row>
    <row r="4695" customFormat="false" ht="15" hidden="false" customHeight="true" outlineLevel="0" collapsed="false">
      <c r="A4695" s="1" t="n">
        <v>14694</v>
      </c>
      <c r="B4695" s="14" t="n">
        <v>49255</v>
      </c>
      <c r="C4695" s="1" t="n">
        <v>1876</v>
      </c>
      <c r="D4695" s="1" t="s">
        <v>37</v>
      </c>
      <c r="E4695" s="1" t="s">
        <v>28</v>
      </c>
      <c r="F4695" s="1" t="n">
        <v>1</v>
      </c>
      <c r="G4695" s="15" t="n">
        <v>41.52</v>
      </c>
      <c r="H4695" s="16" t="n">
        <v>0.18</v>
      </c>
      <c r="I4695" s="1" t="s">
        <v>33</v>
      </c>
      <c r="J4695" s="1" t="n">
        <v>10</v>
      </c>
      <c r="K4695" s="1" t="n">
        <v>4.5</v>
      </c>
      <c r="L4695" s="15" t="n">
        <v>34.05</v>
      </c>
      <c r="M4695" s="15" t="n">
        <f aca="false">F4695*G4695</f>
        <v>41.52</v>
      </c>
      <c r="N4695" s="15" t="n">
        <f aca="false">M4695-L4695</f>
        <v>7.47000000000001</v>
      </c>
      <c r="O4695" s="1" t="n">
        <f aca="false">YEAR(B4695)</f>
        <v>2034</v>
      </c>
      <c r="P4695" s="1" t="n">
        <f aca="false">MONTH(B4695)</f>
        <v>11</v>
      </c>
      <c r="Q4695" s="1" t="str">
        <f aca="false">TEXT(B4695,"mmm")</f>
        <v>Nov</v>
      </c>
      <c r="R4695" s="1" t="str">
        <f aca="false">"Q"&amp;ROUNDUP(MONTH(B4695)/3,0)</f>
        <v>Q4</v>
      </c>
    </row>
    <row r="4696" customFormat="false" ht="15" hidden="false" customHeight="true" outlineLevel="0" collapsed="false">
      <c r="A4696" s="1" t="n">
        <v>14695</v>
      </c>
      <c r="B4696" s="14" t="n">
        <v>49256</v>
      </c>
      <c r="C4696" s="1" t="n">
        <v>1433</v>
      </c>
      <c r="D4696" s="1" t="s">
        <v>34</v>
      </c>
      <c r="E4696" s="1" t="s">
        <v>28</v>
      </c>
      <c r="F4696" s="1" t="n">
        <v>7</v>
      </c>
      <c r="G4696" s="15" t="n">
        <v>226.55</v>
      </c>
      <c r="H4696" s="16" t="n">
        <v>0.25</v>
      </c>
      <c r="I4696" s="1" t="s">
        <v>29</v>
      </c>
      <c r="J4696" s="1" t="n">
        <v>2</v>
      </c>
      <c r="K4696" s="1" t="n">
        <v>3.5</v>
      </c>
      <c r="L4696" s="15" t="n">
        <v>1189.39</v>
      </c>
      <c r="M4696" s="15" t="n">
        <f aca="false">F4696*G4696</f>
        <v>1585.85</v>
      </c>
      <c r="N4696" s="15" t="n">
        <f aca="false">M4696-L4696</f>
        <v>396.46</v>
      </c>
      <c r="O4696" s="1" t="n">
        <f aca="false">YEAR(B4696)</f>
        <v>2034</v>
      </c>
      <c r="P4696" s="1" t="n">
        <f aca="false">MONTH(B4696)</f>
        <v>11</v>
      </c>
      <c r="Q4696" s="1" t="str">
        <f aca="false">TEXT(B4696,"mmm")</f>
        <v>Nov</v>
      </c>
      <c r="R4696" s="1" t="str">
        <f aca="false">"Q"&amp;ROUNDUP(MONTH(B4696)/3,0)</f>
        <v>Q4</v>
      </c>
    </row>
    <row r="4697" customFormat="false" ht="15" hidden="false" customHeight="true" outlineLevel="0" collapsed="false">
      <c r="A4697" s="1" t="n">
        <v>14696</v>
      </c>
      <c r="B4697" s="14" t="n">
        <v>49257</v>
      </c>
      <c r="C4697" s="1" t="n">
        <v>1836</v>
      </c>
      <c r="D4697" s="1" t="s">
        <v>37</v>
      </c>
      <c r="E4697" s="1" t="s">
        <v>35</v>
      </c>
      <c r="F4697" s="1" t="n">
        <v>7</v>
      </c>
      <c r="G4697" s="15" t="n">
        <v>457.54</v>
      </c>
      <c r="H4697" s="16" t="n">
        <v>0.27</v>
      </c>
      <c r="I4697" s="1" t="s">
        <v>33</v>
      </c>
      <c r="J4697" s="1" t="n">
        <v>7</v>
      </c>
      <c r="K4697" s="1" t="n">
        <v>2.2</v>
      </c>
      <c r="L4697" s="15" t="n">
        <v>2338.03</v>
      </c>
      <c r="M4697" s="15" t="n">
        <f aca="false">F4697*G4697</f>
        <v>3202.78</v>
      </c>
      <c r="N4697" s="15" t="n">
        <f aca="false">M4697-L4697</f>
        <v>864.75</v>
      </c>
      <c r="O4697" s="1" t="n">
        <f aca="false">YEAR(B4697)</f>
        <v>2034</v>
      </c>
      <c r="P4697" s="1" t="n">
        <f aca="false">MONTH(B4697)</f>
        <v>11</v>
      </c>
      <c r="Q4697" s="1" t="str">
        <f aca="false">TEXT(B4697,"mmm")</f>
        <v>Nov</v>
      </c>
      <c r="R4697" s="1" t="str">
        <f aca="false">"Q"&amp;ROUNDUP(MONTH(B4697)/3,0)</f>
        <v>Q4</v>
      </c>
    </row>
    <row r="4698" customFormat="false" ht="15" hidden="false" customHeight="true" outlineLevel="0" collapsed="false">
      <c r="A4698" s="1" t="n">
        <v>14697</v>
      </c>
      <c r="B4698" s="14" t="n">
        <v>49258</v>
      </c>
      <c r="C4698" s="1" t="n">
        <v>1925</v>
      </c>
      <c r="D4698" s="1" t="s">
        <v>34</v>
      </c>
      <c r="E4698" s="1" t="s">
        <v>36</v>
      </c>
      <c r="F4698" s="1" t="n">
        <v>1</v>
      </c>
      <c r="G4698" s="15" t="n">
        <v>230.81</v>
      </c>
      <c r="H4698" s="16" t="n">
        <v>0</v>
      </c>
      <c r="I4698" s="1" t="s">
        <v>33</v>
      </c>
      <c r="J4698" s="1" t="n">
        <v>2</v>
      </c>
      <c r="K4698" s="1" t="n">
        <v>3.2</v>
      </c>
      <c r="L4698" s="15" t="n">
        <v>230.81</v>
      </c>
      <c r="M4698" s="15" t="n">
        <f aca="false">F4698*G4698</f>
        <v>230.81</v>
      </c>
      <c r="N4698" s="15" t="n">
        <f aca="false">M4698-L4698</f>
        <v>0</v>
      </c>
      <c r="O4698" s="1" t="n">
        <f aca="false">YEAR(B4698)</f>
        <v>2034</v>
      </c>
      <c r="P4698" s="1" t="n">
        <f aca="false">MONTH(B4698)</f>
        <v>11</v>
      </c>
      <c r="Q4698" s="1" t="str">
        <f aca="false">TEXT(B4698,"mmm")</f>
        <v>Nov</v>
      </c>
      <c r="R4698" s="1" t="str">
        <f aca="false">"Q"&amp;ROUNDUP(MONTH(B4698)/3,0)</f>
        <v>Q4</v>
      </c>
    </row>
    <row r="4699" customFormat="false" ht="15" hidden="false" customHeight="true" outlineLevel="0" collapsed="false">
      <c r="A4699" s="1" t="n">
        <v>14698</v>
      </c>
      <c r="B4699" s="14" t="n">
        <v>49259</v>
      </c>
      <c r="C4699" s="1" t="n">
        <v>1375</v>
      </c>
      <c r="D4699" s="1" t="s">
        <v>34</v>
      </c>
      <c r="E4699" s="1" t="s">
        <v>35</v>
      </c>
      <c r="F4699" s="1" t="n">
        <v>7</v>
      </c>
      <c r="G4699" s="15" t="n">
        <v>433.38</v>
      </c>
      <c r="H4699" s="16" t="n">
        <v>0.18</v>
      </c>
      <c r="I4699" s="1" t="s">
        <v>31</v>
      </c>
      <c r="J4699" s="1" t="n">
        <v>1</v>
      </c>
      <c r="K4699" s="1" t="n">
        <v>1.9</v>
      </c>
      <c r="L4699" s="15" t="n">
        <v>2487.6</v>
      </c>
      <c r="M4699" s="15" t="n">
        <f aca="false">F4699*G4699</f>
        <v>3033.66</v>
      </c>
      <c r="N4699" s="15" t="n">
        <f aca="false">M4699-L4699</f>
        <v>546.06</v>
      </c>
      <c r="O4699" s="1" t="n">
        <f aca="false">YEAR(B4699)</f>
        <v>2034</v>
      </c>
      <c r="P4699" s="1" t="n">
        <f aca="false">MONTH(B4699)</f>
        <v>11</v>
      </c>
      <c r="Q4699" s="1" t="str">
        <f aca="false">TEXT(B4699,"mmm")</f>
        <v>Nov</v>
      </c>
      <c r="R4699" s="1" t="str">
        <f aca="false">"Q"&amp;ROUNDUP(MONTH(B4699)/3,0)</f>
        <v>Q4</v>
      </c>
    </row>
    <row r="4700" customFormat="false" ht="15" hidden="false" customHeight="true" outlineLevel="0" collapsed="false">
      <c r="A4700" s="1" t="n">
        <v>14699</v>
      </c>
      <c r="B4700" s="14" t="n">
        <v>49260</v>
      </c>
      <c r="C4700" s="1" t="n">
        <v>1343</v>
      </c>
      <c r="D4700" s="1" t="s">
        <v>30</v>
      </c>
      <c r="E4700" s="1" t="s">
        <v>32</v>
      </c>
      <c r="F4700" s="1" t="n">
        <v>1</v>
      </c>
      <c r="G4700" s="15" t="n">
        <v>231.15</v>
      </c>
      <c r="H4700" s="16" t="n">
        <v>0.08</v>
      </c>
      <c r="I4700" s="1" t="s">
        <v>31</v>
      </c>
      <c r="J4700" s="1" t="n">
        <v>4</v>
      </c>
      <c r="K4700" s="1" t="n">
        <v>4.8</v>
      </c>
      <c r="L4700" s="15" t="n">
        <v>212.66</v>
      </c>
      <c r="M4700" s="15" t="n">
        <f aca="false">F4700*G4700</f>
        <v>231.15</v>
      </c>
      <c r="N4700" s="15" t="n">
        <f aca="false">M4700-L4700</f>
        <v>18.49</v>
      </c>
      <c r="O4700" s="1" t="n">
        <f aca="false">YEAR(B4700)</f>
        <v>2034</v>
      </c>
      <c r="P4700" s="1" t="n">
        <f aca="false">MONTH(B4700)</f>
        <v>11</v>
      </c>
      <c r="Q4700" s="1" t="str">
        <f aca="false">TEXT(B4700,"mmm")</f>
        <v>Nov</v>
      </c>
      <c r="R4700" s="1" t="str">
        <f aca="false">"Q"&amp;ROUNDUP(MONTH(B4700)/3,0)</f>
        <v>Q4</v>
      </c>
    </row>
    <row r="4701" customFormat="false" ht="15" hidden="false" customHeight="true" outlineLevel="0" collapsed="false">
      <c r="A4701" s="1" t="n">
        <v>14700</v>
      </c>
      <c r="B4701" s="14" t="n">
        <v>49261</v>
      </c>
      <c r="C4701" s="1" t="n">
        <v>1442</v>
      </c>
      <c r="D4701" s="1" t="s">
        <v>30</v>
      </c>
      <c r="E4701" s="1" t="s">
        <v>32</v>
      </c>
      <c r="F4701" s="1" t="n">
        <v>4</v>
      </c>
      <c r="G4701" s="15" t="n">
        <v>262.6</v>
      </c>
      <c r="H4701" s="16" t="n">
        <v>0.31</v>
      </c>
      <c r="I4701" s="1" t="s">
        <v>31</v>
      </c>
      <c r="J4701" s="1" t="n">
        <v>6</v>
      </c>
      <c r="K4701" s="1" t="n">
        <v>4.3</v>
      </c>
      <c r="L4701" s="15" t="n">
        <v>724.78</v>
      </c>
      <c r="M4701" s="15" t="n">
        <f aca="false">F4701*G4701</f>
        <v>1050.4</v>
      </c>
      <c r="N4701" s="15" t="n">
        <f aca="false">M4701-L4701</f>
        <v>325.62</v>
      </c>
      <c r="O4701" s="1" t="n">
        <f aca="false">YEAR(B4701)</f>
        <v>2034</v>
      </c>
      <c r="P4701" s="1" t="n">
        <f aca="false">MONTH(B4701)</f>
        <v>11</v>
      </c>
      <c r="Q4701" s="1" t="str">
        <f aca="false">TEXT(B4701,"mmm")</f>
        <v>Nov</v>
      </c>
      <c r="R4701" s="1" t="str">
        <f aca="false">"Q"&amp;ROUNDUP(MONTH(B4701)/3,0)</f>
        <v>Q4</v>
      </c>
    </row>
    <row r="4702" customFormat="false" ht="15" hidden="false" customHeight="true" outlineLevel="0" collapsed="false">
      <c r="A4702" s="1" t="n">
        <v>14701</v>
      </c>
      <c r="B4702" s="14" t="n">
        <v>49262</v>
      </c>
      <c r="C4702" s="1" t="n">
        <v>1578</v>
      </c>
      <c r="D4702" s="1" t="s">
        <v>30</v>
      </c>
      <c r="E4702" s="1" t="s">
        <v>28</v>
      </c>
      <c r="F4702" s="1" t="n">
        <v>3</v>
      </c>
      <c r="G4702" s="15" t="n">
        <v>344.88</v>
      </c>
      <c r="H4702" s="16" t="n">
        <v>0.05</v>
      </c>
      <c r="I4702" s="1" t="s">
        <v>31</v>
      </c>
      <c r="J4702" s="1" t="n">
        <v>10</v>
      </c>
      <c r="K4702" s="1" t="n">
        <v>4.8</v>
      </c>
      <c r="L4702" s="15" t="n">
        <v>982.91</v>
      </c>
      <c r="M4702" s="15" t="n">
        <f aca="false">F4702*G4702</f>
        <v>1034.64</v>
      </c>
      <c r="N4702" s="15" t="n">
        <f aca="false">M4702-L4702</f>
        <v>51.7299999999999</v>
      </c>
      <c r="O4702" s="1" t="n">
        <f aca="false">YEAR(B4702)</f>
        <v>2034</v>
      </c>
      <c r="P4702" s="1" t="n">
        <f aca="false">MONTH(B4702)</f>
        <v>11</v>
      </c>
      <c r="Q4702" s="1" t="str">
        <f aca="false">TEXT(B4702,"mmm")</f>
        <v>Nov</v>
      </c>
      <c r="R4702" s="1" t="str">
        <f aca="false">"Q"&amp;ROUNDUP(MONTH(B4702)/3,0)</f>
        <v>Q4</v>
      </c>
    </row>
    <row r="4703" customFormat="false" ht="15" hidden="false" customHeight="true" outlineLevel="0" collapsed="false">
      <c r="A4703" s="1" t="n">
        <v>14702</v>
      </c>
      <c r="B4703" s="14" t="n">
        <v>49263</v>
      </c>
      <c r="C4703" s="1" t="n">
        <v>1074</v>
      </c>
      <c r="D4703" s="1" t="s">
        <v>34</v>
      </c>
      <c r="E4703" s="1" t="s">
        <v>35</v>
      </c>
      <c r="F4703" s="1" t="n">
        <v>7</v>
      </c>
      <c r="G4703" s="15" t="n">
        <v>571.15</v>
      </c>
      <c r="H4703" s="16" t="n">
        <v>0.23</v>
      </c>
      <c r="I4703" s="1" t="s">
        <v>31</v>
      </c>
      <c r="J4703" s="1" t="n">
        <v>10</v>
      </c>
      <c r="K4703" s="1" t="n">
        <v>1.7</v>
      </c>
      <c r="L4703" s="15" t="n">
        <v>3078.5</v>
      </c>
      <c r="M4703" s="15" t="n">
        <f aca="false">F4703*G4703</f>
        <v>3998.05</v>
      </c>
      <c r="N4703" s="15" t="n">
        <f aca="false">M4703-L4703</f>
        <v>919.55</v>
      </c>
      <c r="O4703" s="1" t="n">
        <f aca="false">YEAR(B4703)</f>
        <v>2034</v>
      </c>
      <c r="P4703" s="1" t="n">
        <f aca="false">MONTH(B4703)</f>
        <v>11</v>
      </c>
      <c r="Q4703" s="1" t="str">
        <f aca="false">TEXT(B4703,"mmm")</f>
        <v>Nov</v>
      </c>
      <c r="R4703" s="1" t="str">
        <f aca="false">"Q"&amp;ROUNDUP(MONTH(B4703)/3,0)</f>
        <v>Q4</v>
      </c>
    </row>
    <row r="4704" customFormat="false" ht="15" hidden="false" customHeight="true" outlineLevel="0" collapsed="false">
      <c r="A4704" s="1" t="n">
        <v>14703</v>
      </c>
      <c r="B4704" s="14" t="n">
        <v>49264</v>
      </c>
      <c r="C4704" s="1" t="n">
        <v>1556</v>
      </c>
      <c r="D4704" s="1" t="s">
        <v>27</v>
      </c>
      <c r="E4704" s="1" t="s">
        <v>35</v>
      </c>
      <c r="F4704" s="1" t="n">
        <v>5</v>
      </c>
      <c r="G4704" s="15" t="n">
        <v>78.68</v>
      </c>
      <c r="H4704" s="16" t="n">
        <v>0.09</v>
      </c>
      <c r="I4704" s="1" t="s">
        <v>31</v>
      </c>
      <c r="J4704" s="1" t="n">
        <v>4</v>
      </c>
      <c r="K4704" s="1" t="n">
        <v>4.4</v>
      </c>
      <c r="L4704" s="15" t="n">
        <v>357.99</v>
      </c>
      <c r="M4704" s="15" t="n">
        <f aca="false">F4704*G4704</f>
        <v>393.4</v>
      </c>
      <c r="N4704" s="15" t="n">
        <f aca="false">M4704-L4704</f>
        <v>35.41</v>
      </c>
      <c r="O4704" s="1" t="n">
        <f aca="false">YEAR(B4704)</f>
        <v>2034</v>
      </c>
      <c r="P4704" s="1" t="n">
        <f aca="false">MONTH(B4704)</f>
        <v>11</v>
      </c>
      <c r="Q4704" s="1" t="str">
        <f aca="false">TEXT(B4704,"mmm")</f>
        <v>Nov</v>
      </c>
      <c r="R4704" s="1" t="str">
        <f aca="false">"Q"&amp;ROUNDUP(MONTH(B4704)/3,0)</f>
        <v>Q4</v>
      </c>
    </row>
    <row r="4705" customFormat="false" ht="15" hidden="false" customHeight="true" outlineLevel="0" collapsed="false">
      <c r="A4705" s="1" t="n">
        <v>14704</v>
      </c>
      <c r="B4705" s="14" t="n">
        <v>49265</v>
      </c>
      <c r="C4705" s="1" t="n">
        <v>1771</v>
      </c>
      <c r="D4705" s="1" t="s">
        <v>30</v>
      </c>
      <c r="E4705" s="1" t="s">
        <v>36</v>
      </c>
      <c r="F4705" s="1" t="n">
        <v>5</v>
      </c>
      <c r="G4705" s="15" t="n">
        <v>34.25</v>
      </c>
      <c r="H4705" s="16" t="n">
        <v>0.12</v>
      </c>
      <c r="I4705" s="1" t="s">
        <v>33</v>
      </c>
      <c r="J4705" s="1" t="n">
        <v>1</v>
      </c>
      <c r="K4705" s="1" t="n">
        <v>3.2</v>
      </c>
      <c r="L4705" s="15" t="n">
        <v>150.7</v>
      </c>
      <c r="M4705" s="15" t="n">
        <f aca="false">F4705*G4705</f>
        <v>171.25</v>
      </c>
      <c r="N4705" s="15" t="n">
        <f aca="false">M4705-L4705</f>
        <v>20.55</v>
      </c>
      <c r="O4705" s="1" t="n">
        <f aca="false">YEAR(B4705)</f>
        <v>2034</v>
      </c>
      <c r="P4705" s="1" t="n">
        <f aca="false">MONTH(B4705)</f>
        <v>11</v>
      </c>
      <c r="Q4705" s="1" t="str">
        <f aca="false">TEXT(B4705,"mmm")</f>
        <v>Nov</v>
      </c>
      <c r="R4705" s="1" t="str">
        <f aca="false">"Q"&amp;ROUNDUP(MONTH(B4705)/3,0)</f>
        <v>Q4</v>
      </c>
    </row>
    <row r="4706" customFormat="false" ht="15" hidden="false" customHeight="true" outlineLevel="0" collapsed="false">
      <c r="A4706" s="1" t="n">
        <v>14705</v>
      </c>
      <c r="B4706" s="14" t="n">
        <v>49266</v>
      </c>
      <c r="C4706" s="1" t="n">
        <v>1665</v>
      </c>
      <c r="D4706" s="1" t="s">
        <v>34</v>
      </c>
      <c r="E4706" s="1" t="s">
        <v>36</v>
      </c>
      <c r="F4706" s="1" t="n">
        <v>4</v>
      </c>
      <c r="G4706" s="15" t="n">
        <v>370.65</v>
      </c>
      <c r="H4706" s="16" t="n">
        <v>0.33</v>
      </c>
      <c r="I4706" s="1" t="s">
        <v>33</v>
      </c>
      <c r="J4706" s="1" t="n">
        <v>1</v>
      </c>
      <c r="K4706" s="1" t="n">
        <v>2.3</v>
      </c>
      <c r="L4706" s="15" t="n">
        <v>993.34</v>
      </c>
      <c r="M4706" s="15" t="n">
        <f aca="false">F4706*G4706</f>
        <v>1482.6</v>
      </c>
      <c r="N4706" s="15" t="n">
        <f aca="false">M4706-L4706</f>
        <v>489.26</v>
      </c>
      <c r="O4706" s="1" t="n">
        <f aca="false">YEAR(B4706)</f>
        <v>2034</v>
      </c>
      <c r="P4706" s="1" t="n">
        <f aca="false">MONTH(B4706)</f>
        <v>11</v>
      </c>
      <c r="Q4706" s="1" t="str">
        <f aca="false">TEXT(B4706,"mmm")</f>
        <v>Nov</v>
      </c>
      <c r="R4706" s="1" t="str">
        <f aca="false">"Q"&amp;ROUNDUP(MONTH(B4706)/3,0)</f>
        <v>Q4</v>
      </c>
    </row>
    <row r="4707" customFormat="false" ht="15" hidden="false" customHeight="true" outlineLevel="0" collapsed="false">
      <c r="A4707" s="1" t="n">
        <v>14706</v>
      </c>
      <c r="B4707" s="14" t="n">
        <v>49267</v>
      </c>
      <c r="C4707" s="1" t="n">
        <v>1154</v>
      </c>
      <c r="D4707" s="1" t="s">
        <v>30</v>
      </c>
      <c r="E4707" s="1" t="s">
        <v>36</v>
      </c>
      <c r="F4707" s="1" t="n">
        <v>1</v>
      </c>
      <c r="G4707" s="15" t="n">
        <v>570.22</v>
      </c>
      <c r="H4707" s="16" t="n">
        <v>0.08</v>
      </c>
      <c r="I4707" s="1" t="s">
        <v>31</v>
      </c>
      <c r="J4707" s="1" t="n">
        <v>9</v>
      </c>
      <c r="K4707" s="1" t="n">
        <v>2.9</v>
      </c>
      <c r="L4707" s="15" t="n">
        <v>524.6</v>
      </c>
      <c r="M4707" s="15" t="n">
        <f aca="false">F4707*G4707</f>
        <v>570.22</v>
      </c>
      <c r="N4707" s="15" t="n">
        <f aca="false">M4707-L4707</f>
        <v>45.62</v>
      </c>
      <c r="O4707" s="1" t="n">
        <f aca="false">YEAR(B4707)</f>
        <v>2034</v>
      </c>
      <c r="P4707" s="1" t="n">
        <f aca="false">MONTH(B4707)</f>
        <v>11</v>
      </c>
      <c r="Q4707" s="1" t="str">
        <f aca="false">TEXT(B4707,"mmm")</f>
        <v>Nov</v>
      </c>
      <c r="R4707" s="1" t="str">
        <f aca="false">"Q"&amp;ROUNDUP(MONTH(B4707)/3,0)</f>
        <v>Q4</v>
      </c>
    </row>
    <row r="4708" customFormat="false" ht="15" hidden="false" customHeight="true" outlineLevel="0" collapsed="false">
      <c r="A4708" s="1" t="n">
        <v>14707</v>
      </c>
      <c r="B4708" s="14" t="n">
        <v>49268</v>
      </c>
      <c r="C4708" s="1" t="n">
        <v>1429</v>
      </c>
      <c r="D4708" s="1" t="s">
        <v>27</v>
      </c>
      <c r="E4708" s="1" t="s">
        <v>35</v>
      </c>
      <c r="F4708" s="1" t="n">
        <v>5</v>
      </c>
      <c r="G4708" s="15" t="n">
        <v>593.99</v>
      </c>
      <c r="H4708" s="16" t="n">
        <v>0.03</v>
      </c>
      <c r="I4708" s="1" t="s">
        <v>31</v>
      </c>
      <c r="J4708" s="1" t="n">
        <v>1</v>
      </c>
      <c r="K4708" s="1" t="n">
        <v>4.8</v>
      </c>
      <c r="L4708" s="15" t="n">
        <v>2880.85</v>
      </c>
      <c r="M4708" s="15" t="n">
        <f aca="false">F4708*G4708</f>
        <v>2969.95</v>
      </c>
      <c r="N4708" s="15" t="n">
        <f aca="false">M4708-L4708</f>
        <v>89.0999999999999</v>
      </c>
      <c r="O4708" s="1" t="n">
        <f aca="false">YEAR(B4708)</f>
        <v>2034</v>
      </c>
      <c r="P4708" s="1" t="n">
        <f aca="false">MONTH(B4708)</f>
        <v>11</v>
      </c>
      <c r="Q4708" s="1" t="str">
        <f aca="false">TEXT(B4708,"mmm")</f>
        <v>Nov</v>
      </c>
      <c r="R4708" s="1" t="str">
        <f aca="false">"Q"&amp;ROUNDUP(MONTH(B4708)/3,0)</f>
        <v>Q4</v>
      </c>
    </row>
    <row r="4709" customFormat="false" ht="15" hidden="false" customHeight="true" outlineLevel="0" collapsed="false">
      <c r="A4709" s="1" t="n">
        <v>14708</v>
      </c>
      <c r="B4709" s="14" t="n">
        <v>49269</v>
      </c>
      <c r="C4709" s="1" t="n">
        <v>1362</v>
      </c>
      <c r="D4709" s="1" t="s">
        <v>34</v>
      </c>
      <c r="E4709" s="1" t="s">
        <v>36</v>
      </c>
      <c r="F4709" s="1" t="n">
        <v>4</v>
      </c>
      <c r="G4709" s="15" t="n">
        <v>298.24</v>
      </c>
      <c r="H4709" s="16" t="n">
        <v>0.02</v>
      </c>
      <c r="I4709" s="1" t="s">
        <v>33</v>
      </c>
      <c r="J4709" s="1" t="n">
        <v>7</v>
      </c>
      <c r="K4709" s="1" t="n">
        <v>3.8</v>
      </c>
      <c r="L4709" s="15" t="n">
        <v>1169.1</v>
      </c>
      <c r="M4709" s="15" t="n">
        <f aca="false">F4709*G4709</f>
        <v>1192.96</v>
      </c>
      <c r="N4709" s="15" t="n">
        <f aca="false">M4709-L4709</f>
        <v>23.8600000000001</v>
      </c>
      <c r="O4709" s="1" t="n">
        <f aca="false">YEAR(B4709)</f>
        <v>2034</v>
      </c>
      <c r="P4709" s="1" t="n">
        <f aca="false">MONTH(B4709)</f>
        <v>11</v>
      </c>
      <c r="Q4709" s="1" t="str">
        <f aca="false">TEXT(B4709,"mmm")</f>
        <v>Nov</v>
      </c>
      <c r="R4709" s="1" t="str">
        <f aca="false">"Q"&amp;ROUNDUP(MONTH(B4709)/3,0)</f>
        <v>Q4</v>
      </c>
    </row>
    <row r="4710" customFormat="false" ht="15" hidden="false" customHeight="true" outlineLevel="0" collapsed="false">
      <c r="A4710" s="1" t="n">
        <v>14709</v>
      </c>
      <c r="B4710" s="14" t="n">
        <v>49270</v>
      </c>
      <c r="C4710" s="1" t="n">
        <v>1447</v>
      </c>
      <c r="D4710" s="1" t="s">
        <v>34</v>
      </c>
      <c r="E4710" s="1" t="s">
        <v>36</v>
      </c>
      <c r="F4710" s="1" t="n">
        <v>6</v>
      </c>
      <c r="G4710" s="15" t="n">
        <v>288.83</v>
      </c>
      <c r="H4710" s="16" t="n">
        <v>0.18</v>
      </c>
      <c r="I4710" s="1" t="s">
        <v>31</v>
      </c>
      <c r="J4710" s="1" t="n">
        <v>11</v>
      </c>
      <c r="K4710" s="1" t="n">
        <v>2.4</v>
      </c>
      <c r="L4710" s="15" t="n">
        <v>1421.04</v>
      </c>
      <c r="M4710" s="15" t="n">
        <f aca="false">F4710*G4710</f>
        <v>1732.98</v>
      </c>
      <c r="N4710" s="15" t="n">
        <f aca="false">M4710-L4710</f>
        <v>311.94</v>
      </c>
      <c r="O4710" s="1" t="n">
        <f aca="false">YEAR(B4710)</f>
        <v>2034</v>
      </c>
      <c r="P4710" s="1" t="n">
        <f aca="false">MONTH(B4710)</f>
        <v>11</v>
      </c>
      <c r="Q4710" s="1" t="str">
        <f aca="false">TEXT(B4710,"mmm")</f>
        <v>Nov</v>
      </c>
      <c r="R4710" s="1" t="str">
        <f aca="false">"Q"&amp;ROUNDUP(MONTH(B4710)/3,0)</f>
        <v>Q4</v>
      </c>
    </row>
    <row r="4711" customFormat="false" ht="15" hidden="false" customHeight="true" outlineLevel="0" collapsed="false">
      <c r="A4711" s="1" t="n">
        <v>14710</v>
      </c>
      <c r="B4711" s="14" t="n">
        <v>49271</v>
      </c>
      <c r="C4711" s="1" t="n">
        <v>1986</v>
      </c>
      <c r="D4711" s="1" t="s">
        <v>37</v>
      </c>
      <c r="E4711" s="1" t="s">
        <v>36</v>
      </c>
      <c r="F4711" s="1" t="n">
        <v>2</v>
      </c>
      <c r="G4711" s="15" t="n">
        <v>392.3</v>
      </c>
      <c r="H4711" s="16" t="n">
        <v>0.22</v>
      </c>
      <c r="I4711" s="1" t="s">
        <v>31</v>
      </c>
      <c r="J4711" s="1" t="n">
        <v>7</v>
      </c>
      <c r="K4711" s="1" t="n">
        <v>5</v>
      </c>
      <c r="L4711" s="15" t="n">
        <v>611.99</v>
      </c>
      <c r="M4711" s="15" t="n">
        <f aca="false">F4711*G4711</f>
        <v>784.6</v>
      </c>
      <c r="N4711" s="15" t="n">
        <f aca="false">M4711-L4711</f>
        <v>172.61</v>
      </c>
      <c r="O4711" s="1" t="n">
        <f aca="false">YEAR(B4711)</f>
        <v>2034</v>
      </c>
      <c r="P4711" s="1" t="n">
        <f aca="false">MONTH(B4711)</f>
        <v>11</v>
      </c>
      <c r="Q4711" s="1" t="str">
        <f aca="false">TEXT(B4711,"mmm")</f>
        <v>Nov</v>
      </c>
      <c r="R4711" s="1" t="str">
        <f aca="false">"Q"&amp;ROUNDUP(MONTH(B4711)/3,0)</f>
        <v>Q4</v>
      </c>
    </row>
    <row r="4712" customFormat="false" ht="15" hidden="false" customHeight="true" outlineLevel="0" collapsed="false">
      <c r="A4712" s="1" t="n">
        <v>14711</v>
      </c>
      <c r="B4712" s="14" t="n">
        <v>49272</v>
      </c>
      <c r="C4712" s="1" t="n">
        <v>1233</v>
      </c>
      <c r="D4712" s="1" t="s">
        <v>30</v>
      </c>
      <c r="E4712" s="1" t="s">
        <v>28</v>
      </c>
      <c r="F4712" s="1" t="n">
        <v>5</v>
      </c>
      <c r="G4712" s="15" t="n">
        <v>340.05</v>
      </c>
      <c r="H4712" s="16" t="n">
        <v>0.11</v>
      </c>
      <c r="I4712" s="1" t="s">
        <v>33</v>
      </c>
      <c r="J4712" s="1" t="n">
        <v>1</v>
      </c>
      <c r="K4712" s="1" t="n">
        <v>2.4</v>
      </c>
      <c r="L4712" s="15" t="n">
        <v>1513.22</v>
      </c>
      <c r="M4712" s="15" t="n">
        <f aca="false">F4712*G4712</f>
        <v>1700.25</v>
      </c>
      <c r="N4712" s="15" t="n">
        <f aca="false">M4712-L4712</f>
        <v>187.03</v>
      </c>
      <c r="O4712" s="1" t="n">
        <f aca="false">YEAR(B4712)</f>
        <v>2034</v>
      </c>
      <c r="P4712" s="1" t="n">
        <f aca="false">MONTH(B4712)</f>
        <v>11</v>
      </c>
      <c r="Q4712" s="1" t="str">
        <f aca="false">TEXT(B4712,"mmm")</f>
        <v>Nov</v>
      </c>
      <c r="R4712" s="1" t="str">
        <f aca="false">"Q"&amp;ROUNDUP(MONTH(B4712)/3,0)</f>
        <v>Q4</v>
      </c>
    </row>
    <row r="4713" customFormat="false" ht="15" hidden="false" customHeight="true" outlineLevel="0" collapsed="false">
      <c r="A4713" s="1" t="n">
        <v>14712</v>
      </c>
      <c r="B4713" s="14" t="n">
        <v>49273</v>
      </c>
      <c r="C4713" s="1" t="n">
        <v>1562</v>
      </c>
      <c r="D4713" s="1" t="s">
        <v>30</v>
      </c>
      <c r="E4713" s="1" t="s">
        <v>32</v>
      </c>
      <c r="F4713" s="1" t="n">
        <v>2</v>
      </c>
      <c r="G4713" s="15" t="n">
        <v>385.94</v>
      </c>
      <c r="H4713" s="16" t="n">
        <v>0.24</v>
      </c>
      <c r="I4713" s="1" t="s">
        <v>31</v>
      </c>
      <c r="J4713" s="1" t="n">
        <v>1</v>
      </c>
      <c r="K4713" s="1" t="n">
        <v>4.3</v>
      </c>
      <c r="L4713" s="15" t="n">
        <v>586.63</v>
      </c>
      <c r="M4713" s="15" t="n">
        <f aca="false">F4713*G4713</f>
        <v>771.88</v>
      </c>
      <c r="N4713" s="15" t="n">
        <f aca="false">M4713-L4713</f>
        <v>185.25</v>
      </c>
      <c r="O4713" s="1" t="n">
        <f aca="false">YEAR(B4713)</f>
        <v>2034</v>
      </c>
      <c r="P4713" s="1" t="n">
        <f aca="false">MONTH(B4713)</f>
        <v>11</v>
      </c>
      <c r="Q4713" s="1" t="str">
        <f aca="false">TEXT(B4713,"mmm")</f>
        <v>Nov</v>
      </c>
      <c r="R4713" s="1" t="str">
        <f aca="false">"Q"&amp;ROUNDUP(MONTH(B4713)/3,0)</f>
        <v>Q4</v>
      </c>
    </row>
    <row r="4714" customFormat="false" ht="15" hidden="false" customHeight="true" outlineLevel="0" collapsed="false">
      <c r="A4714" s="1" t="n">
        <v>14713</v>
      </c>
      <c r="B4714" s="14" t="n">
        <v>49274</v>
      </c>
      <c r="C4714" s="1" t="n">
        <v>1817</v>
      </c>
      <c r="D4714" s="1" t="s">
        <v>34</v>
      </c>
      <c r="E4714" s="1" t="s">
        <v>32</v>
      </c>
      <c r="F4714" s="1" t="n">
        <v>1</v>
      </c>
      <c r="G4714" s="15" t="n">
        <v>526.29</v>
      </c>
      <c r="H4714" s="16" t="n">
        <v>0.02</v>
      </c>
      <c r="I4714" s="1" t="s">
        <v>31</v>
      </c>
      <c r="J4714" s="1" t="n">
        <v>6</v>
      </c>
      <c r="K4714" s="1" t="n">
        <v>4.1</v>
      </c>
      <c r="L4714" s="15" t="n">
        <v>515.76</v>
      </c>
      <c r="M4714" s="15" t="n">
        <f aca="false">F4714*G4714</f>
        <v>526.29</v>
      </c>
      <c r="N4714" s="15" t="n">
        <f aca="false">M4714-L4714</f>
        <v>10.53</v>
      </c>
      <c r="O4714" s="1" t="n">
        <f aca="false">YEAR(B4714)</f>
        <v>2034</v>
      </c>
      <c r="P4714" s="1" t="n">
        <f aca="false">MONTH(B4714)</f>
        <v>11</v>
      </c>
      <c r="Q4714" s="1" t="str">
        <f aca="false">TEXT(B4714,"mmm")</f>
        <v>Nov</v>
      </c>
      <c r="R4714" s="1" t="str">
        <f aca="false">"Q"&amp;ROUNDUP(MONTH(B4714)/3,0)</f>
        <v>Q4</v>
      </c>
    </row>
    <row r="4715" customFormat="false" ht="15" hidden="false" customHeight="true" outlineLevel="0" collapsed="false">
      <c r="A4715" s="1" t="n">
        <v>14714</v>
      </c>
      <c r="B4715" s="14" t="n">
        <v>49275</v>
      </c>
      <c r="C4715" s="1" t="n">
        <v>1261</v>
      </c>
      <c r="D4715" s="1" t="s">
        <v>34</v>
      </c>
      <c r="E4715" s="1" t="s">
        <v>35</v>
      </c>
      <c r="F4715" s="1" t="n">
        <v>5</v>
      </c>
      <c r="G4715" s="15" t="n">
        <v>451.59</v>
      </c>
      <c r="H4715" s="16" t="n">
        <v>0.3</v>
      </c>
      <c r="I4715" s="1" t="s">
        <v>31</v>
      </c>
      <c r="J4715" s="1" t="n">
        <v>8</v>
      </c>
      <c r="K4715" s="1" t="n">
        <v>3.9</v>
      </c>
      <c r="L4715" s="15" t="n">
        <v>1580.56</v>
      </c>
      <c r="M4715" s="15" t="n">
        <f aca="false">F4715*G4715</f>
        <v>2257.95</v>
      </c>
      <c r="N4715" s="15" t="n">
        <f aca="false">M4715-L4715</f>
        <v>677.39</v>
      </c>
      <c r="O4715" s="1" t="n">
        <f aca="false">YEAR(B4715)</f>
        <v>2034</v>
      </c>
      <c r="P4715" s="1" t="n">
        <f aca="false">MONTH(B4715)</f>
        <v>11</v>
      </c>
      <c r="Q4715" s="1" t="str">
        <f aca="false">TEXT(B4715,"mmm")</f>
        <v>Nov</v>
      </c>
      <c r="R4715" s="1" t="str">
        <f aca="false">"Q"&amp;ROUNDUP(MONTH(B4715)/3,0)</f>
        <v>Q4</v>
      </c>
    </row>
    <row r="4716" customFormat="false" ht="15" hidden="false" customHeight="true" outlineLevel="0" collapsed="false">
      <c r="A4716" s="1" t="n">
        <v>14715</v>
      </c>
      <c r="B4716" s="14" t="n">
        <v>49276</v>
      </c>
      <c r="C4716" s="1" t="n">
        <v>1826</v>
      </c>
      <c r="D4716" s="1" t="s">
        <v>30</v>
      </c>
      <c r="E4716" s="1" t="s">
        <v>35</v>
      </c>
      <c r="F4716" s="1" t="n">
        <v>4</v>
      </c>
      <c r="G4716" s="15" t="n">
        <v>305.67</v>
      </c>
      <c r="H4716" s="16" t="n">
        <v>0.29</v>
      </c>
      <c r="I4716" s="1" t="s">
        <v>31</v>
      </c>
      <c r="J4716" s="1" t="n">
        <v>7</v>
      </c>
      <c r="K4716" s="1" t="n">
        <v>3.7</v>
      </c>
      <c r="L4716" s="15" t="n">
        <v>868.1</v>
      </c>
      <c r="M4716" s="15" t="n">
        <f aca="false">F4716*G4716</f>
        <v>1222.68</v>
      </c>
      <c r="N4716" s="15" t="n">
        <f aca="false">M4716-L4716</f>
        <v>354.58</v>
      </c>
      <c r="O4716" s="1" t="n">
        <f aca="false">YEAR(B4716)</f>
        <v>2034</v>
      </c>
      <c r="P4716" s="1" t="n">
        <f aca="false">MONTH(B4716)</f>
        <v>11</v>
      </c>
      <c r="Q4716" s="1" t="str">
        <f aca="false">TEXT(B4716,"mmm")</f>
        <v>Nov</v>
      </c>
      <c r="R4716" s="1" t="str">
        <f aca="false">"Q"&amp;ROUNDUP(MONTH(B4716)/3,0)</f>
        <v>Q4</v>
      </c>
    </row>
    <row r="4717" customFormat="false" ht="15" hidden="false" customHeight="true" outlineLevel="0" collapsed="false">
      <c r="A4717" s="1" t="n">
        <v>14716</v>
      </c>
      <c r="B4717" s="14" t="n">
        <v>49277</v>
      </c>
      <c r="C4717" s="1" t="n">
        <v>1124</v>
      </c>
      <c r="D4717" s="1" t="s">
        <v>34</v>
      </c>
      <c r="E4717" s="1" t="s">
        <v>28</v>
      </c>
      <c r="F4717" s="1" t="n">
        <v>3</v>
      </c>
      <c r="G4717" s="15" t="n">
        <v>285.19</v>
      </c>
      <c r="H4717" s="16" t="n">
        <v>0.34</v>
      </c>
      <c r="I4717" s="1" t="s">
        <v>29</v>
      </c>
      <c r="J4717" s="1" t="n">
        <v>6</v>
      </c>
      <c r="K4717" s="1" t="n">
        <v>1.4</v>
      </c>
      <c r="L4717" s="15" t="n">
        <v>564.68</v>
      </c>
      <c r="M4717" s="15" t="n">
        <f aca="false">F4717*G4717</f>
        <v>855.57</v>
      </c>
      <c r="N4717" s="15" t="n">
        <f aca="false">M4717-L4717</f>
        <v>290.89</v>
      </c>
      <c r="O4717" s="1" t="n">
        <f aca="false">YEAR(B4717)</f>
        <v>2034</v>
      </c>
      <c r="P4717" s="1" t="n">
        <f aca="false">MONTH(B4717)</f>
        <v>11</v>
      </c>
      <c r="Q4717" s="1" t="str">
        <f aca="false">TEXT(B4717,"mmm")</f>
        <v>Nov</v>
      </c>
      <c r="R4717" s="1" t="str">
        <f aca="false">"Q"&amp;ROUNDUP(MONTH(B4717)/3,0)</f>
        <v>Q4</v>
      </c>
    </row>
    <row r="4718" customFormat="false" ht="15" hidden="false" customHeight="true" outlineLevel="0" collapsed="false">
      <c r="A4718" s="1" t="n">
        <v>14717</v>
      </c>
      <c r="B4718" s="14" t="n">
        <v>49278</v>
      </c>
      <c r="C4718" s="1" t="n">
        <v>1910</v>
      </c>
      <c r="D4718" s="1" t="s">
        <v>30</v>
      </c>
      <c r="E4718" s="1" t="s">
        <v>32</v>
      </c>
      <c r="F4718" s="1" t="n">
        <v>5</v>
      </c>
      <c r="G4718" s="15" t="n">
        <v>389.17</v>
      </c>
      <c r="H4718" s="16" t="n">
        <v>0.33</v>
      </c>
      <c r="I4718" s="1" t="s">
        <v>31</v>
      </c>
      <c r="J4718" s="1" t="n">
        <v>10</v>
      </c>
      <c r="K4718" s="1" t="n">
        <v>5</v>
      </c>
      <c r="L4718" s="15" t="n">
        <v>1303.72</v>
      </c>
      <c r="M4718" s="15" t="n">
        <f aca="false">F4718*G4718</f>
        <v>1945.85</v>
      </c>
      <c r="N4718" s="15" t="n">
        <f aca="false">M4718-L4718</f>
        <v>642.13</v>
      </c>
      <c r="O4718" s="1" t="n">
        <f aca="false">YEAR(B4718)</f>
        <v>2034</v>
      </c>
      <c r="P4718" s="1" t="n">
        <f aca="false">MONTH(B4718)</f>
        <v>11</v>
      </c>
      <c r="Q4718" s="1" t="str">
        <f aca="false">TEXT(B4718,"mmm")</f>
        <v>Nov</v>
      </c>
      <c r="R4718" s="1" t="str">
        <f aca="false">"Q"&amp;ROUNDUP(MONTH(B4718)/3,0)</f>
        <v>Q4</v>
      </c>
    </row>
    <row r="4719" customFormat="false" ht="15" hidden="false" customHeight="true" outlineLevel="0" collapsed="false">
      <c r="A4719" s="1" t="n">
        <v>14718</v>
      </c>
      <c r="B4719" s="14" t="n">
        <v>49279</v>
      </c>
      <c r="C4719" s="1" t="n">
        <v>1244</v>
      </c>
      <c r="D4719" s="1" t="s">
        <v>30</v>
      </c>
      <c r="E4719" s="1" t="s">
        <v>36</v>
      </c>
      <c r="F4719" s="1" t="n">
        <v>5</v>
      </c>
      <c r="G4719" s="15" t="n">
        <v>281.59</v>
      </c>
      <c r="H4719" s="16" t="n">
        <v>0.12</v>
      </c>
      <c r="I4719" s="1" t="s">
        <v>33</v>
      </c>
      <c r="J4719" s="1" t="n">
        <v>3</v>
      </c>
      <c r="K4719" s="1" t="n">
        <v>1.6</v>
      </c>
      <c r="L4719" s="15" t="n">
        <v>1239</v>
      </c>
      <c r="M4719" s="15" t="n">
        <f aca="false">F4719*G4719</f>
        <v>1407.95</v>
      </c>
      <c r="N4719" s="15" t="n">
        <f aca="false">M4719-L4719</f>
        <v>168.95</v>
      </c>
      <c r="O4719" s="1" t="n">
        <f aca="false">YEAR(B4719)</f>
        <v>2034</v>
      </c>
      <c r="P4719" s="1" t="n">
        <f aca="false">MONTH(B4719)</f>
        <v>12</v>
      </c>
      <c r="Q4719" s="1" t="str">
        <f aca="false">TEXT(B4719,"mmm")</f>
        <v>Dec</v>
      </c>
      <c r="R4719" s="1" t="str">
        <f aca="false">"Q"&amp;ROUNDUP(MONTH(B4719)/3,0)</f>
        <v>Q4</v>
      </c>
    </row>
    <row r="4720" customFormat="false" ht="15" hidden="false" customHeight="true" outlineLevel="0" collapsed="false">
      <c r="A4720" s="1" t="n">
        <v>14719</v>
      </c>
      <c r="B4720" s="14" t="n">
        <v>49280</v>
      </c>
      <c r="C4720" s="1" t="n">
        <v>1541</v>
      </c>
      <c r="D4720" s="1" t="s">
        <v>34</v>
      </c>
      <c r="E4720" s="1" t="s">
        <v>36</v>
      </c>
      <c r="F4720" s="1" t="n">
        <v>5</v>
      </c>
      <c r="G4720" s="15" t="n">
        <v>282.8</v>
      </c>
      <c r="H4720" s="16" t="n">
        <v>0.14</v>
      </c>
      <c r="I4720" s="1" t="s">
        <v>33</v>
      </c>
      <c r="J4720" s="1" t="n">
        <v>11</v>
      </c>
      <c r="K4720" s="1" t="n">
        <v>3.4</v>
      </c>
      <c r="L4720" s="15" t="n">
        <v>1216.04</v>
      </c>
      <c r="M4720" s="15" t="n">
        <f aca="false">F4720*G4720</f>
        <v>1414</v>
      </c>
      <c r="N4720" s="15" t="n">
        <f aca="false">M4720-L4720</f>
        <v>197.96</v>
      </c>
      <c r="O4720" s="1" t="n">
        <f aca="false">YEAR(B4720)</f>
        <v>2034</v>
      </c>
      <c r="P4720" s="1" t="n">
        <f aca="false">MONTH(B4720)</f>
        <v>12</v>
      </c>
      <c r="Q4720" s="1" t="str">
        <f aca="false">TEXT(B4720,"mmm")</f>
        <v>Dec</v>
      </c>
      <c r="R4720" s="1" t="str">
        <f aca="false">"Q"&amp;ROUNDUP(MONTH(B4720)/3,0)</f>
        <v>Q4</v>
      </c>
    </row>
    <row r="4721" customFormat="false" ht="15" hidden="false" customHeight="true" outlineLevel="0" collapsed="false">
      <c r="A4721" s="1" t="n">
        <v>14720</v>
      </c>
      <c r="B4721" s="14" t="n">
        <v>49281</v>
      </c>
      <c r="C4721" s="1" t="n">
        <v>1937</v>
      </c>
      <c r="D4721" s="1" t="s">
        <v>27</v>
      </c>
      <c r="E4721" s="1" t="s">
        <v>35</v>
      </c>
      <c r="F4721" s="1" t="n">
        <v>5</v>
      </c>
      <c r="G4721" s="15" t="n">
        <v>24.54</v>
      </c>
      <c r="H4721" s="16" t="n">
        <v>0.26</v>
      </c>
      <c r="I4721" s="1" t="s">
        <v>31</v>
      </c>
      <c r="J4721" s="1" t="n">
        <v>7</v>
      </c>
      <c r="K4721" s="1" t="n">
        <v>2</v>
      </c>
      <c r="L4721" s="15" t="n">
        <v>90.8</v>
      </c>
      <c r="M4721" s="15" t="n">
        <f aca="false">F4721*G4721</f>
        <v>122.7</v>
      </c>
      <c r="N4721" s="15" t="n">
        <f aca="false">M4721-L4721</f>
        <v>31.9</v>
      </c>
      <c r="O4721" s="1" t="n">
        <f aca="false">YEAR(B4721)</f>
        <v>2034</v>
      </c>
      <c r="P4721" s="1" t="n">
        <f aca="false">MONTH(B4721)</f>
        <v>12</v>
      </c>
      <c r="Q4721" s="1" t="str">
        <f aca="false">TEXT(B4721,"mmm")</f>
        <v>Dec</v>
      </c>
      <c r="R4721" s="1" t="str">
        <f aca="false">"Q"&amp;ROUNDUP(MONTH(B4721)/3,0)</f>
        <v>Q4</v>
      </c>
    </row>
    <row r="4722" customFormat="false" ht="15" hidden="false" customHeight="true" outlineLevel="0" collapsed="false">
      <c r="A4722" s="1" t="n">
        <v>14721</v>
      </c>
      <c r="B4722" s="14" t="n">
        <v>49282</v>
      </c>
      <c r="C4722" s="1" t="n">
        <v>1484</v>
      </c>
      <c r="D4722" s="1" t="s">
        <v>37</v>
      </c>
      <c r="E4722" s="1" t="s">
        <v>32</v>
      </c>
      <c r="F4722" s="1" t="n">
        <v>4</v>
      </c>
      <c r="G4722" s="15" t="n">
        <v>116.83</v>
      </c>
      <c r="H4722" s="16" t="n">
        <v>0.05</v>
      </c>
      <c r="I4722" s="1" t="s">
        <v>31</v>
      </c>
      <c r="J4722" s="1" t="n">
        <v>6</v>
      </c>
      <c r="K4722" s="1" t="n">
        <v>1.7</v>
      </c>
      <c r="L4722" s="15" t="n">
        <v>443.95</v>
      </c>
      <c r="M4722" s="15" t="n">
        <f aca="false">F4722*G4722</f>
        <v>467.32</v>
      </c>
      <c r="N4722" s="15" t="n">
        <f aca="false">M4722-L4722</f>
        <v>23.37</v>
      </c>
      <c r="O4722" s="1" t="n">
        <f aca="false">YEAR(B4722)</f>
        <v>2034</v>
      </c>
      <c r="P4722" s="1" t="n">
        <f aca="false">MONTH(B4722)</f>
        <v>12</v>
      </c>
      <c r="Q4722" s="1" t="str">
        <f aca="false">TEXT(B4722,"mmm")</f>
        <v>Dec</v>
      </c>
      <c r="R4722" s="1" t="str">
        <f aca="false">"Q"&amp;ROUNDUP(MONTH(B4722)/3,0)</f>
        <v>Q4</v>
      </c>
    </row>
    <row r="4723" customFormat="false" ht="15" hidden="false" customHeight="true" outlineLevel="0" collapsed="false">
      <c r="A4723" s="1" t="n">
        <v>14722</v>
      </c>
      <c r="B4723" s="14" t="n">
        <v>49283</v>
      </c>
      <c r="C4723" s="1" t="n">
        <v>1121</v>
      </c>
      <c r="D4723" s="1" t="s">
        <v>37</v>
      </c>
      <c r="E4723" s="1" t="s">
        <v>35</v>
      </c>
      <c r="F4723" s="1" t="n">
        <v>4</v>
      </c>
      <c r="G4723" s="15" t="n">
        <v>300.78</v>
      </c>
      <c r="H4723" s="16" t="n">
        <v>0.11</v>
      </c>
      <c r="I4723" s="1" t="s">
        <v>29</v>
      </c>
      <c r="J4723" s="1" t="n">
        <v>8</v>
      </c>
      <c r="K4723" s="1" t="n">
        <v>3.2</v>
      </c>
      <c r="L4723" s="15" t="n">
        <v>1070.78</v>
      </c>
      <c r="M4723" s="15" t="n">
        <f aca="false">F4723*G4723</f>
        <v>1203.12</v>
      </c>
      <c r="N4723" s="15" t="n">
        <f aca="false">M4723-L4723</f>
        <v>132.34</v>
      </c>
      <c r="O4723" s="1" t="n">
        <f aca="false">YEAR(B4723)</f>
        <v>2034</v>
      </c>
      <c r="P4723" s="1" t="n">
        <f aca="false">MONTH(B4723)</f>
        <v>12</v>
      </c>
      <c r="Q4723" s="1" t="str">
        <f aca="false">TEXT(B4723,"mmm")</f>
        <v>Dec</v>
      </c>
      <c r="R4723" s="1" t="str">
        <f aca="false">"Q"&amp;ROUNDUP(MONTH(B4723)/3,0)</f>
        <v>Q4</v>
      </c>
    </row>
    <row r="4724" customFormat="false" ht="15" hidden="false" customHeight="true" outlineLevel="0" collapsed="false">
      <c r="A4724" s="1" t="n">
        <v>14723</v>
      </c>
      <c r="B4724" s="14" t="n">
        <v>49284</v>
      </c>
      <c r="C4724" s="1" t="n">
        <v>1124</v>
      </c>
      <c r="D4724" s="1" t="s">
        <v>34</v>
      </c>
      <c r="E4724" s="1" t="s">
        <v>35</v>
      </c>
      <c r="F4724" s="1" t="n">
        <v>3</v>
      </c>
      <c r="G4724" s="15" t="n">
        <v>496.25</v>
      </c>
      <c r="H4724" s="16" t="n">
        <v>0.04</v>
      </c>
      <c r="I4724" s="1" t="s">
        <v>29</v>
      </c>
      <c r="J4724" s="1" t="n">
        <v>4</v>
      </c>
      <c r="K4724" s="1" t="n">
        <v>4.3</v>
      </c>
      <c r="L4724" s="15" t="n">
        <v>1429.2</v>
      </c>
      <c r="M4724" s="15" t="n">
        <f aca="false">F4724*G4724</f>
        <v>1488.75</v>
      </c>
      <c r="N4724" s="15" t="n">
        <f aca="false">M4724-L4724</f>
        <v>59.55</v>
      </c>
      <c r="O4724" s="1" t="n">
        <f aca="false">YEAR(B4724)</f>
        <v>2034</v>
      </c>
      <c r="P4724" s="1" t="n">
        <f aca="false">MONTH(B4724)</f>
        <v>12</v>
      </c>
      <c r="Q4724" s="1" t="str">
        <f aca="false">TEXT(B4724,"mmm")</f>
        <v>Dec</v>
      </c>
      <c r="R4724" s="1" t="str">
        <f aca="false">"Q"&amp;ROUNDUP(MONTH(B4724)/3,0)</f>
        <v>Q4</v>
      </c>
    </row>
    <row r="4725" customFormat="false" ht="15" hidden="false" customHeight="true" outlineLevel="0" collapsed="false">
      <c r="A4725" s="1" t="n">
        <v>14724</v>
      </c>
      <c r="B4725" s="14" t="n">
        <v>49285</v>
      </c>
      <c r="C4725" s="1" t="n">
        <v>1548</v>
      </c>
      <c r="D4725" s="1" t="s">
        <v>34</v>
      </c>
      <c r="E4725" s="1" t="s">
        <v>36</v>
      </c>
      <c r="F4725" s="1" t="n">
        <v>4</v>
      </c>
      <c r="G4725" s="15" t="n">
        <v>178.06</v>
      </c>
      <c r="H4725" s="16" t="n">
        <v>0.16</v>
      </c>
      <c r="I4725" s="1" t="s">
        <v>31</v>
      </c>
      <c r="J4725" s="1" t="n">
        <v>9</v>
      </c>
      <c r="K4725" s="1" t="n">
        <v>2.5</v>
      </c>
      <c r="L4725" s="15" t="n">
        <v>598.28</v>
      </c>
      <c r="M4725" s="15" t="n">
        <f aca="false">F4725*G4725</f>
        <v>712.24</v>
      </c>
      <c r="N4725" s="15" t="n">
        <f aca="false">M4725-L4725</f>
        <v>113.96</v>
      </c>
      <c r="O4725" s="1" t="n">
        <f aca="false">YEAR(B4725)</f>
        <v>2034</v>
      </c>
      <c r="P4725" s="1" t="n">
        <f aca="false">MONTH(B4725)</f>
        <v>12</v>
      </c>
      <c r="Q4725" s="1" t="str">
        <f aca="false">TEXT(B4725,"mmm")</f>
        <v>Dec</v>
      </c>
      <c r="R4725" s="1" t="str">
        <f aca="false">"Q"&amp;ROUNDUP(MONTH(B4725)/3,0)</f>
        <v>Q4</v>
      </c>
    </row>
    <row r="4726" customFormat="false" ht="15" hidden="false" customHeight="true" outlineLevel="0" collapsed="false">
      <c r="A4726" s="1" t="n">
        <v>14725</v>
      </c>
      <c r="B4726" s="14" t="n">
        <v>49286</v>
      </c>
      <c r="C4726" s="1" t="n">
        <v>1169</v>
      </c>
      <c r="D4726" s="1" t="s">
        <v>30</v>
      </c>
      <c r="E4726" s="1" t="s">
        <v>36</v>
      </c>
      <c r="F4726" s="1" t="n">
        <v>4</v>
      </c>
      <c r="G4726" s="15" t="n">
        <v>320.75</v>
      </c>
      <c r="H4726" s="16" t="n">
        <v>0.19</v>
      </c>
      <c r="I4726" s="1" t="s">
        <v>31</v>
      </c>
      <c r="J4726" s="1" t="n">
        <v>1</v>
      </c>
      <c r="K4726" s="1" t="n">
        <v>1.3</v>
      </c>
      <c r="L4726" s="15" t="n">
        <v>1039.23</v>
      </c>
      <c r="M4726" s="15" t="n">
        <f aca="false">F4726*G4726</f>
        <v>1283</v>
      </c>
      <c r="N4726" s="15" t="n">
        <f aca="false">M4726-L4726</f>
        <v>243.77</v>
      </c>
      <c r="O4726" s="1" t="n">
        <f aca="false">YEAR(B4726)</f>
        <v>2034</v>
      </c>
      <c r="P4726" s="1" t="n">
        <f aca="false">MONTH(B4726)</f>
        <v>12</v>
      </c>
      <c r="Q4726" s="1" t="str">
        <f aca="false">TEXT(B4726,"mmm")</f>
        <v>Dec</v>
      </c>
      <c r="R4726" s="1" t="str">
        <f aca="false">"Q"&amp;ROUNDUP(MONTH(B4726)/3,0)</f>
        <v>Q4</v>
      </c>
    </row>
    <row r="4727" customFormat="false" ht="15" hidden="false" customHeight="true" outlineLevel="0" collapsed="false">
      <c r="A4727" s="1" t="n">
        <v>14726</v>
      </c>
      <c r="B4727" s="14" t="n">
        <v>49287</v>
      </c>
      <c r="C4727" s="1" t="n">
        <v>1123</v>
      </c>
      <c r="D4727" s="1" t="s">
        <v>34</v>
      </c>
      <c r="E4727" s="1" t="s">
        <v>32</v>
      </c>
      <c r="F4727" s="1" t="n">
        <v>1</v>
      </c>
      <c r="G4727" s="15" t="n">
        <v>216.8</v>
      </c>
      <c r="H4727" s="16" t="n">
        <v>0.07</v>
      </c>
      <c r="I4727" s="1" t="s">
        <v>33</v>
      </c>
      <c r="J4727" s="1" t="n">
        <v>7</v>
      </c>
      <c r="K4727" s="1" t="n">
        <v>3.5</v>
      </c>
      <c r="L4727" s="15" t="n">
        <v>201.62</v>
      </c>
      <c r="M4727" s="15" t="n">
        <f aca="false">F4727*G4727</f>
        <v>216.8</v>
      </c>
      <c r="N4727" s="15" t="n">
        <f aca="false">M4727-L4727</f>
        <v>15.18</v>
      </c>
      <c r="O4727" s="1" t="n">
        <f aca="false">YEAR(B4727)</f>
        <v>2034</v>
      </c>
      <c r="P4727" s="1" t="n">
        <f aca="false">MONTH(B4727)</f>
        <v>12</v>
      </c>
      <c r="Q4727" s="1" t="str">
        <f aca="false">TEXT(B4727,"mmm")</f>
        <v>Dec</v>
      </c>
      <c r="R4727" s="1" t="str">
        <f aca="false">"Q"&amp;ROUNDUP(MONTH(B4727)/3,0)</f>
        <v>Q4</v>
      </c>
    </row>
    <row r="4728" customFormat="false" ht="15" hidden="false" customHeight="true" outlineLevel="0" collapsed="false">
      <c r="A4728" s="1" t="n">
        <v>14727</v>
      </c>
      <c r="B4728" s="14" t="n">
        <v>49288</v>
      </c>
      <c r="C4728" s="1" t="n">
        <v>1868</v>
      </c>
      <c r="D4728" s="1" t="s">
        <v>27</v>
      </c>
      <c r="E4728" s="1" t="s">
        <v>35</v>
      </c>
      <c r="F4728" s="1" t="n">
        <v>7</v>
      </c>
      <c r="G4728" s="15" t="n">
        <v>76.31</v>
      </c>
      <c r="H4728" s="16" t="n">
        <v>0.01</v>
      </c>
      <c r="I4728" s="1" t="s">
        <v>31</v>
      </c>
      <c r="J4728" s="1" t="n">
        <v>9</v>
      </c>
      <c r="K4728" s="1" t="n">
        <v>4.1</v>
      </c>
      <c r="L4728" s="15" t="n">
        <v>528.83</v>
      </c>
      <c r="M4728" s="15" t="n">
        <f aca="false">F4728*G4728</f>
        <v>534.17</v>
      </c>
      <c r="N4728" s="15" t="n">
        <f aca="false">M4728-L4728</f>
        <v>5.34000000000003</v>
      </c>
      <c r="O4728" s="1" t="n">
        <f aca="false">YEAR(B4728)</f>
        <v>2034</v>
      </c>
      <c r="P4728" s="1" t="n">
        <f aca="false">MONTH(B4728)</f>
        <v>12</v>
      </c>
      <c r="Q4728" s="1" t="str">
        <f aca="false">TEXT(B4728,"mmm")</f>
        <v>Dec</v>
      </c>
      <c r="R4728" s="1" t="str">
        <f aca="false">"Q"&amp;ROUNDUP(MONTH(B4728)/3,0)</f>
        <v>Q4</v>
      </c>
    </row>
    <row r="4729" customFormat="false" ht="15" hidden="false" customHeight="true" outlineLevel="0" collapsed="false">
      <c r="A4729" s="1" t="n">
        <v>14728</v>
      </c>
      <c r="B4729" s="14" t="n">
        <v>49289</v>
      </c>
      <c r="C4729" s="1" t="n">
        <v>1034</v>
      </c>
      <c r="D4729" s="1" t="s">
        <v>34</v>
      </c>
      <c r="E4729" s="1" t="s">
        <v>28</v>
      </c>
      <c r="F4729" s="1" t="n">
        <v>1</v>
      </c>
      <c r="G4729" s="15" t="n">
        <v>575.6</v>
      </c>
      <c r="H4729" s="16" t="n">
        <v>0.25</v>
      </c>
      <c r="I4729" s="1" t="s">
        <v>31</v>
      </c>
      <c r="J4729" s="1" t="n">
        <v>10</v>
      </c>
      <c r="K4729" s="1" t="n">
        <v>2.2</v>
      </c>
      <c r="L4729" s="15" t="n">
        <v>431.7</v>
      </c>
      <c r="M4729" s="15" t="n">
        <f aca="false">F4729*G4729</f>
        <v>575.6</v>
      </c>
      <c r="N4729" s="15" t="n">
        <f aca="false">M4729-L4729</f>
        <v>143.9</v>
      </c>
      <c r="O4729" s="1" t="n">
        <f aca="false">YEAR(B4729)</f>
        <v>2034</v>
      </c>
      <c r="P4729" s="1" t="n">
        <f aca="false">MONTH(B4729)</f>
        <v>12</v>
      </c>
      <c r="Q4729" s="1" t="str">
        <f aca="false">TEXT(B4729,"mmm")</f>
        <v>Dec</v>
      </c>
      <c r="R4729" s="1" t="str">
        <f aca="false">"Q"&amp;ROUNDUP(MONTH(B4729)/3,0)</f>
        <v>Q4</v>
      </c>
    </row>
    <row r="4730" customFormat="false" ht="15" hidden="false" customHeight="true" outlineLevel="0" collapsed="false">
      <c r="A4730" s="1" t="n">
        <v>14729</v>
      </c>
      <c r="B4730" s="14" t="n">
        <v>49290</v>
      </c>
      <c r="C4730" s="1" t="n">
        <v>1086</v>
      </c>
      <c r="D4730" s="1" t="s">
        <v>30</v>
      </c>
      <c r="E4730" s="1" t="s">
        <v>32</v>
      </c>
      <c r="F4730" s="1" t="n">
        <v>7</v>
      </c>
      <c r="G4730" s="15" t="n">
        <v>514.98</v>
      </c>
      <c r="H4730" s="16" t="n">
        <v>0.01</v>
      </c>
      <c r="I4730" s="1" t="s">
        <v>31</v>
      </c>
      <c r="J4730" s="1" t="n">
        <v>1</v>
      </c>
      <c r="K4730" s="1" t="n">
        <v>3.8</v>
      </c>
      <c r="L4730" s="15" t="n">
        <v>3568.81</v>
      </c>
      <c r="M4730" s="15" t="n">
        <f aca="false">F4730*G4730</f>
        <v>3604.86</v>
      </c>
      <c r="N4730" s="15" t="n">
        <f aca="false">M4730-L4730</f>
        <v>36.0500000000002</v>
      </c>
      <c r="O4730" s="1" t="n">
        <f aca="false">YEAR(B4730)</f>
        <v>2034</v>
      </c>
      <c r="P4730" s="1" t="n">
        <f aca="false">MONTH(B4730)</f>
        <v>12</v>
      </c>
      <c r="Q4730" s="1" t="str">
        <f aca="false">TEXT(B4730,"mmm")</f>
        <v>Dec</v>
      </c>
      <c r="R4730" s="1" t="str">
        <f aca="false">"Q"&amp;ROUNDUP(MONTH(B4730)/3,0)</f>
        <v>Q4</v>
      </c>
    </row>
    <row r="4731" customFormat="false" ht="15" hidden="false" customHeight="true" outlineLevel="0" collapsed="false">
      <c r="A4731" s="1" t="n">
        <v>14730</v>
      </c>
      <c r="B4731" s="14" t="n">
        <v>49291</v>
      </c>
      <c r="C4731" s="1" t="n">
        <v>1645</v>
      </c>
      <c r="D4731" s="1" t="s">
        <v>30</v>
      </c>
      <c r="E4731" s="1" t="s">
        <v>35</v>
      </c>
      <c r="F4731" s="1" t="n">
        <v>2</v>
      </c>
      <c r="G4731" s="15" t="n">
        <v>60.92</v>
      </c>
      <c r="H4731" s="16" t="n">
        <v>0.34</v>
      </c>
      <c r="I4731" s="1" t="s">
        <v>31</v>
      </c>
      <c r="J4731" s="1" t="n">
        <v>10</v>
      </c>
      <c r="K4731" s="1" t="n">
        <v>1.3</v>
      </c>
      <c r="L4731" s="15" t="n">
        <v>80.41</v>
      </c>
      <c r="M4731" s="15" t="n">
        <f aca="false">F4731*G4731</f>
        <v>121.84</v>
      </c>
      <c r="N4731" s="15" t="n">
        <f aca="false">M4731-L4731</f>
        <v>41.43</v>
      </c>
      <c r="O4731" s="1" t="n">
        <f aca="false">YEAR(B4731)</f>
        <v>2034</v>
      </c>
      <c r="P4731" s="1" t="n">
        <f aca="false">MONTH(B4731)</f>
        <v>12</v>
      </c>
      <c r="Q4731" s="1" t="str">
        <f aca="false">TEXT(B4731,"mmm")</f>
        <v>Dec</v>
      </c>
      <c r="R4731" s="1" t="str">
        <f aca="false">"Q"&amp;ROUNDUP(MONTH(B4731)/3,0)</f>
        <v>Q4</v>
      </c>
    </row>
    <row r="4732" customFormat="false" ht="15" hidden="false" customHeight="true" outlineLevel="0" collapsed="false">
      <c r="A4732" s="1" t="n">
        <v>14731</v>
      </c>
      <c r="B4732" s="14" t="n">
        <v>49292</v>
      </c>
      <c r="C4732" s="1" t="n">
        <v>1707</v>
      </c>
      <c r="D4732" s="1" t="s">
        <v>30</v>
      </c>
      <c r="E4732" s="1" t="s">
        <v>32</v>
      </c>
      <c r="F4732" s="1" t="n">
        <v>3</v>
      </c>
      <c r="G4732" s="15" t="n">
        <v>436.08</v>
      </c>
      <c r="H4732" s="16" t="n">
        <v>0.08</v>
      </c>
      <c r="I4732" s="1" t="s">
        <v>31</v>
      </c>
      <c r="J4732" s="1" t="n">
        <v>3</v>
      </c>
      <c r="K4732" s="1" t="n">
        <v>2.4</v>
      </c>
      <c r="L4732" s="15" t="n">
        <v>1203.58</v>
      </c>
      <c r="M4732" s="15" t="n">
        <f aca="false">F4732*G4732</f>
        <v>1308.24</v>
      </c>
      <c r="N4732" s="15" t="n">
        <f aca="false">M4732-L4732</f>
        <v>104.66</v>
      </c>
      <c r="O4732" s="1" t="n">
        <f aca="false">YEAR(B4732)</f>
        <v>2034</v>
      </c>
      <c r="P4732" s="1" t="n">
        <f aca="false">MONTH(B4732)</f>
        <v>12</v>
      </c>
      <c r="Q4732" s="1" t="str">
        <f aca="false">TEXT(B4732,"mmm")</f>
        <v>Dec</v>
      </c>
      <c r="R4732" s="1" t="str">
        <f aca="false">"Q"&amp;ROUNDUP(MONTH(B4732)/3,0)</f>
        <v>Q4</v>
      </c>
    </row>
    <row r="4733" customFormat="false" ht="15" hidden="false" customHeight="true" outlineLevel="0" collapsed="false">
      <c r="A4733" s="1" t="n">
        <v>14732</v>
      </c>
      <c r="B4733" s="14" t="n">
        <v>49293</v>
      </c>
      <c r="C4733" s="1" t="n">
        <v>1785</v>
      </c>
      <c r="D4733" s="1" t="s">
        <v>34</v>
      </c>
      <c r="E4733" s="1" t="s">
        <v>32</v>
      </c>
      <c r="F4733" s="1" t="n">
        <v>7</v>
      </c>
      <c r="G4733" s="15" t="n">
        <v>218.33</v>
      </c>
      <c r="H4733" s="16" t="n">
        <v>0.23</v>
      </c>
      <c r="I4733" s="1" t="s">
        <v>33</v>
      </c>
      <c r="J4733" s="1" t="n">
        <v>7</v>
      </c>
      <c r="K4733" s="1" t="n">
        <v>2.9</v>
      </c>
      <c r="L4733" s="15" t="n">
        <v>1176.8</v>
      </c>
      <c r="M4733" s="15" t="n">
        <f aca="false">F4733*G4733</f>
        <v>1528.31</v>
      </c>
      <c r="N4733" s="15" t="n">
        <f aca="false">M4733-L4733</f>
        <v>351.51</v>
      </c>
      <c r="O4733" s="1" t="n">
        <f aca="false">YEAR(B4733)</f>
        <v>2034</v>
      </c>
      <c r="P4733" s="1" t="n">
        <f aca="false">MONTH(B4733)</f>
        <v>12</v>
      </c>
      <c r="Q4733" s="1" t="str">
        <f aca="false">TEXT(B4733,"mmm")</f>
        <v>Dec</v>
      </c>
      <c r="R4733" s="1" t="str">
        <f aca="false">"Q"&amp;ROUNDUP(MONTH(B4733)/3,0)</f>
        <v>Q4</v>
      </c>
    </row>
    <row r="4734" customFormat="false" ht="15" hidden="false" customHeight="true" outlineLevel="0" collapsed="false">
      <c r="A4734" s="1" t="n">
        <v>14733</v>
      </c>
      <c r="B4734" s="14" t="n">
        <v>49294</v>
      </c>
      <c r="C4734" s="1" t="n">
        <v>1200</v>
      </c>
      <c r="D4734" s="1" t="s">
        <v>30</v>
      </c>
      <c r="E4734" s="1" t="s">
        <v>32</v>
      </c>
      <c r="F4734" s="1" t="n">
        <v>1</v>
      </c>
      <c r="G4734" s="15" t="n">
        <v>596.99</v>
      </c>
      <c r="H4734" s="16" t="n">
        <v>0.15</v>
      </c>
      <c r="I4734" s="1" t="s">
        <v>33</v>
      </c>
      <c r="J4734" s="1" t="n">
        <v>9</v>
      </c>
      <c r="K4734" s="1" t="n">
        <v>4.1</v>
      </c>
      <c r="L4734" s="15" t="n">
        <v>507.44</v>
      </c>
      <c r="M4734" s="15" t="n">
        <f aca="false">F4734*G4734</f>
        <v>596.99</v>
      </c>
      <c r="N4734" s="15" t="n">
        <f aca="false">M4734-L4734</f>
        <v>89.55</v>
      </c>
      <c r="O4734" s="1" t="n">
        <f aca="false">YEAR(B4734)</f>
        <v>2034</v>
      </c>
      <c r="P4734" s="1" t="n">
        <f aca="false">MONTH(B4734)</f>
        <v>12</v>
      </c>
      <c r="Q4734" s="1" t="str">
        <f aca="false">TEXT(B4734,"mmm")</f>
        <v>Dec</v>
      </c>
      <c r="R4734" s="1" t="str">
        <f aca="false">"Q"&amp;ROUNDUP(MONTH(B4734)/3,0)</f>
        <v>Q4</v>
      </c>
    </row>
    <row r="4735" customFormat="false" ht="15" hidden="false" customHeight="true" outlineLevel="0" collapsed="false">
      <c r="A4735" s="1" t="n">
        <v>14734</v>
      </c>
      <c r="B4735" s="14" t="n">
        <v>49295</v>
      </c>
      <c r="C4735" s="1" t="n">
        <v>1368</v>
      </c>
      <c r="D4735" s="1" t="s">
        <v>34</v>
      </c>
      <c r="E4735" s="1" t="s">
        <v>28</v>
      </c>
      <c r="F4735" s="1" t="n">
        <v>3</v>
      </c>
      <c r="G4735" s="15" t="n">
        <v>191.9</v>
      </c>
      <c r="H4735" s="16" t="n">
        <v>0.02</v>
      </c>
      <c r="I4735" s="1" t="s">
        <v>33</v>
      </c>
      <c r="J4735" s="1" t="n">
        <v>1</v>
      </c>
      <c r="K4735" s="1" t="n">
        <v>2.4</v>
      </c>
      <c r="L4735" s="15" t="n">
        <v>564.19</v>
      </c>
      <c r="M4735" s="15" t="n">
        <f aca="false">F4735*G4735</f>
        <v>575.7</v>
      </c>
      <c r="N4735" s="15" t="n">
        <f aca="false">M4735-L4735</f>
        <v>11.51</v>
      </c>
      <c r="O4735" s="1" t="n">
        <f aca="false">YEAR(B4735)</f>
        <v>2034</v>
      </c>
      <c r="P4735" s="1" t="n">
        <f aca="false">MONTH(B4735)</f>
        <v>12</v>
      </c>
      <c r="Q4735" s="1" t="str">
        <f aca="false">TEXT(B4735,"mmm")</f>
        <v>Dec</v>
      </c>
      <c r="R4735" s="1" t="str">
        <f aca="false">"Q"&amp;ROUNDUP(MONTH(B4735)/3,0)</f>
        <v>Q4</v>
      </c>
    </row>
    <row r="4736" customFormat="false" ht="15" hidden="false" customHeight="true" outlineLevel="0" collapsed="false">
      <c r="A4736" s="1" t="n">
        <v>14735</v>
      </c>
      <c r="B4736" s="14" t="n">
        <v>49296</v>
      </c>
      <c r="C4736" s="1" t="n">
        <v>1796</v>
      </c>
      <c r="D4736" s="1" t="s">
        <v>27</v>
      </c>
      <c r="E4736" s="1" t="s">
        <v>28</v>
      </c>
      <c r="F4736" s="1" t="n">
        <v>3</v>
      </c>
      <c r="G4736" s="15" t="n">
        <v>154.66</v>
      </c>
      <c r="H4736" s="16" t="n">
        <v>0.17</v>
      </c>
      <c r="I4736" s="1" t="s">
        <v>31</v>
      </c>
      <c r="J4736" s="1" t="n">
        <v>6</v>
      </c>
      <c r="K4736" s="1" t="n">
        <v>2.8</v>
      </c>
      <c r="L4736" s="15" t="n">
        <v>385.1</v>
      </c>
      <c r="M4736" s="15" t="n">
        <f aca="false">F4736*G4736</f>
        <v>463.98</v>
      </c>
      <c r="N4736" s="15" t="n">
        <f aca="false">M4736-L4736</f>
        <v>78.88</v>
      </c>
      <c r="O4736" s="1" t="n">
        <f aca="false">YEAR(B4736)</f>
        <v>2034</v>
      </c>
      <c r="P4736" s="1" t="n">
        <f aca="false">MONTH(B4736)</f>
        <v>12</v>
      </c>
      <c r="Q4736" s="1" t="str">
        <f aca="false">TEXT(B4736,"mmm")</f>
        <v>Dec</v>
      </c>
      <c r="R4736" s="1" t="str">
        <f aca="false">"Q"&amp;ROUNDUP(MONTH(B4736)/3,0)</f>
        <v>Q4</v>
      </c>
    </row>
    <row r="4737" customFormat="false" ht="15" hidden="false" customHeight="true" outlineLevel="0" collapsed="false">
      <c r="A4737" s="1" t="n">
        <v>14736</v>
      </c>
      <c r="B4737" s="14" t="n">
        <v>49297</v>
      </c>
      <c r="C4737" s="1" t="n">
        <v>1076</v>
      </c>
      <c r="D4737" s="1" t="s">
        <v>34</v>
      </c>
      <c r="E4737" s="1" t="s">
        <v>36</v>
      </c>
      <c r="F4737" s="1" t="n">
        <v>5</v>
      </c>
      <c r="G4737" s="15" t="n">
        <v>347.22</v>
      </c>
      <c r="H4737" s="16" t="n">
        <v>0.18</v>
      </c>
      <c r="I4737" s="1" t="s">
        <v>31</v>
      </c>
      <c r="J4737" s="1" t="n">
        <v>11</v>
      </c>
      <c r="K4737" s="1" t="n">
        <v>3.5</v>
      </c>
      <c r="L4737" s="15" t="n">
        <v>1423.6</v>
      </c>
      <c r="M4737" s="15" t="n">
        <f aca="false">F4737*G4737</f>
        <v>1736.1</v>
      </c>
      <c r="N4737" s="15" t="n">
        <f aca="false">M4737-L4737</f>
        <v>312.5</v>
      </c>
      <c r="O4737" s="1" t="n">
        <f aca="false">YEAR(B4737)</f>
        <v>2034</v>
      </c>
      <c r="P4737" s="1" t="n">
        <f aca="false">MONTH(B4737)</f>
        <v>12</v>
      </c>
      <c r="Q4737" s="1" t="str">
        <f aca="false">TEXT(B4737,"mmm")</f>
        <v>Dec</v>
      </c>
      <c r="R4737" s="1" t="str">
        <f aca="false">"Q"&amp;ROUNDUP(MONTH(B4737)/3,0)</f>
        <v>Q4</v>
      </c>
    </row>
    <row r="4738" customFormat="false" ht="15" hidden="false" customHeight="true" outlineLevel="0" collapsed="false">
      <c r="A4738" s="1" t="n">
        <v>14737</v>
      </c>
      <c r="B4738" s="14" t="n">
        <v>49298</v>
      </c>
      <c r="C4738" s="1" t="n">
        <v>1058</v>
      </c>
      <c r="D4738" s="1" t="s">
        <v>27</v>
      </c>
      <c r="E4738" s="1" t="s">
        <v>36</v>
      </c>
      <c r="F4738" s="1" t="n">
        <v>6</v>
      </c>
      <c r="G4738" s="15" t="n">
        <v>503.55</v>
      </c>
      <c r="H4738" s="16" t="n">
        <v>0.3</v>
      </c>
      <c r="I4738" s="1" t="s">
        <v>33</v>
      </c>
      <c r="J4738" s="1" t="n">
        <v>2</v>
      </c>
      <c r="K4738" s="1" t="n">
        <v>3.5</v>
      </c>
      <c r="L4738" s="15" t="n">
        <v>2114.91</v>
      </c>
      <c r="M4738" s="15" t="n">
        <f aca="false">F4738*G4738</f>
        <v>3021.3</v>
      </c>
      <c r="N4738" s="15" t="n">
        <f aca="false">M4738-L4738</f>
        <v>906.39</v>
      </c>
      <c r="O4738" s="1" t="n">
        <f aca="false">YEAR(B4738)</f>
        <v>2034</v>
      </c>
      <c r="P4738" s="1" t="n">
        <f aca="false">MONTH(B4738)</f>
        <v>12</v>
      </c>
      <c r="Q4738" s="1" t="str">
        <f aca="false">TEXT(B4738,"mmm")</f>
        <v>Dec</v>
      </c>
      <c r="R4738" s="1" t="str">
        <f aca="false">"Q"&amp;ROUNDUP(MONTH(B4738)/3,0)</f>
        <v>Q4</v>
      </c>
    </row>
    <row r="4739" customFormat="false" ht="15" hidden="false" customHeight="true" outlineLevel="0" collapsed="false">
      <c r="A4739" s="1" t="n">
        <v>14738</v>
      </c>
      <c r="B4739" s="14" t="n">
        <v>49299</v>
      </c>
      <c r="C4739" s="1" t="n">
        <v>1430</v>
      </c>
      <c r="D4739" s="1" t="s">
        <v>37</v>
      </c>
      <c r="E4739" s="1" t="s">
        <v>35</v>
      </c>
      <c r="F4739" s="1" t="n">
        <v>6</v>
      </c>
      <c r="G4739" s="15" t="n">
        <v>127.62</v>
      </c>
      <c r="H4739" s="16" t="n">
        <v>0.26</v>
      </c>
      <c r="I4739" s="1" t="s">
        <v>31</v>
      </c>
      <c r="J4739" s="1" t="n">
        <v>5</v>
      </c>
      <c r="K4739" s="1" t="n">
        <v>3.1</v>
      </c>
      <c r="L4739" s="15" t="n">
        <v>566.63</v>
      </c>
      <c r="M4739" s="15" t="n">
        <f aca="false">F4739*G4739</f>
        <v>765.72</v>
      </c>
      <c r="N4739" s="15" t="n">
        <f aca="false">M4739-L4739</f>
        <v>199.09</v>
      </c>
      <c r="O4739" s="1" t="n">
        <f aca="false">YEAR(B4739)</f>
        <v>2034</v>
      </c>
      <c r="P4739" s="1" t="n">
        <f aca="false">MONTH(B4739)</f>
        <v>12</v>
      </c>
      <c r="Q4739" s="1" t="str">
        <f aca="false">TEXT(B4739,"mmm")</f>
        <v>Dec</v>
      </c>
      <c r="R4739" s="1" t="str">
        <f aca="false">"Q"&amp;ROUNDUP(MONTH(B4739)/3,0)</f>
        <v>Q4</v>
      </c>
    </row>
    <row r="4740" customFormat="false" ht="15" hidden="false" customHeight="true" outlineLevel="0" collapsed="false">
      <c r="A4740" s="1" t="n">
        <v>14739</v>
      </c>
      <c r="B4740" s="14" t="n">
        <v>49300</v>
      </c>
      <c r="C4740" s="1" t="n">
        <v>1637</v>
      </c>
      <c r="D4740" s="1" t="s">
        <v>34</v>
      </c>
      <c r="E4740" s="1" t="s">
        <v>32</v>
      </c>
      <c r="F4740" s="1" t="n">
        <v>6</v>
      </c>
      <c r="G4740" s="15" t="n">
        <v>430</v>
      </c>
      <c r="H4740" s="16" t="n">
        <v>0.03</v>
      </c>
      <c r="I4740" s="1" t="s">
        <v>31</v>
      </c>
      <c r="J4740" s="1" t="n">
        <v>7</v>
      </c>
      <c r="K4740" s="1" t="n">
        <v>2.3</v>
      </c>
      <c r="L4740" s="15" t="n">
        <v>2502.6</v>
      </c>
      <c r="M4740" s="15" t="n">
        <f aca="false">F4740*G4740</f>
        <v>2580</v>
      </c>
      <c r="N4740" s="15" t="n">
        <f aca="false">M4740-L4740</f>
        <v>77.4000000000001</v>
      </c>
      <c r="O4740" s="1" t="n">
        <f aca="false">YEAR(B4740)</f>
        <v>2034</v>
      </c>
      <c r="P4740" s="1" t="n">
        <f aca="false">MONTH(B4740)</f>
        <v>12</v>
      </c>
      <c r="Q4740" s="1" t="str">
        <f aca="false">TEXT(B4740,"mmm")</f>
        <v>Dec</v>
      </c>
      <c r="R4740" s="1" t="str">
        <f aca="false">"Q"&amp;ROUNDUP(MONTH(B4740)/3,0)</f>
        <v>Q4</v>
      </c>
    </row>
    <row r="4741" customFormat="false" ht="15" hidden="false" customHeight="true" outlineLevel="0" collapsed="false">
      <c r="A4741" s="1" t="n">
        <v>14740</v>
      </c>
      <c r="B4741" s="14" t="n">
        <v>49301</v>
      </c>
      <c r="C4741" s="1" t="n">
        <v>1499</v>
      </c>
      <c r="D4741" s="1" t="s">
        <v>37</v>
      </c>
      <c r="E4741" s="1" t="s">
        <v>35</v>
      </c>
      <c r="F4741" s="1" t="n">
        <v>3</v>
      </c>
      <c r="G4741" s="15" t="n">
        <v>50.92</v>
      </c>
      <c r="H4741" s="16" t="n">
        <v>0.07</v>
      </c>
      <c r="I4741" s="1" t="s">
        <v>31</v>
      </c>
      <c r="J4741" s="1" t="n">
        <v>7</v>
      </c>
      <c r="K4741" s="1" t="n">
        <v>3.7</v>
      </c>
      <c r="L4741" s="15" t="n">
        <v>142.07</v>
      </c>
      <c r="M4741" s="15" t="n">
        <f aca="false">F4741*G4741</f>
        <v>152.76</v>
      </c>
      <c r="N4741" s="15" t="n">
        <f aca="false">M4741-L4741</f>
        <v>10.69</v>
      </c>
      <c r="O4741" s="1" t="n">
        <f aca="false">YEAR(B4741)</f>
        <v>2034</v>
      </c>
      <c r="P4741" s="1" t="n">
        <f aca="false">MONTH(B4741)</f>
        <v>12</v>
      </c>
      <c r="Q4741" s="1" t="str">
        <f aca="false">TEXT(B4741,"mmm")</f>
        <v>Dec</v>
      </c>
      <c r="R4741" s="1" t="str">
        <f aca="false">"Q"&amp;ROUNDUP(MONTH(B4741)/3,0)</f>
        <v>Q4</v>
      </c>
    </row>
    <row r="4742" customFormat="false" ht="15" hidden="false" customHeight="true" outlineLevel="0" collapsed="false">
      <c r="A4742" s="1" t="n">
        <v>14741</v>
      </c>
      <c r="B4742" s="14" t="n">
        <v>49302</v>
      </c>
      <c r="C4742" s="1" t="n">
        <v>1912</v>
      </c>
      <c r="D4742" s="1" t="s">
        <v>34</v>
      </c>
      <c r="E4742" s="1" t="s">
        <v>36</v>
      </c>
      <c r="F4742" s="1" t="n">
        <v>5</v>
      </c>
      <c r="G4742" s="15" t="n">
        <v>552.58</v>
      </c>
      <c r="H4742" s="16" t="n">
        <v>0.11</v>
      </c>
      <c r="I4742" s="1" t="s">
        <v>31</v>
      </c>
      <c r="J4742" s="1" t="n">
        <v>10</v>
      </c>
      <c r="K4742" s="1" t="n">
        <v>4.3</v>
      </c>
      <c r="L4742" s="15" t="n">
        <v>2458.98</v>
      </c>
      <c r="M4742" s="15" t="n">
        <f aca="false">F4742*G4742</f>
        <v>2762.9</v>
      </c>
      <c r="N4742" s="15" t="n">
        <f aca="false">M4742-L4742</f>
        <v>303.92</v>
      </c>
      <c r="O4742" s="1" t="n">
        <f aca="false">YEAR(B4742)</f>
        <v>2034</v>
      </c>
      <c r="P4742" s="1" t="n">
        <f aca="false">MONTH(B4742)</f>
        <v>12</v>
      </c>
      <c r="Q4742" s="1" t="str">
        <f aca="false">TEXT(B4742,"mmm")</f>
        <v>Dec</v>
      </c>
      <c r="R4742" s="1" t="str">
        <f aca="false">"Q"&amp;ROUNDUP(MONTH(B4742)/3,0)</f>
        <v>Q4</v>
      </c>
    </row>
    <row r="4743" customFormat="false" ht="15" hidden="false" customHeight="true" outlineLevel="0" collapsed="false">
      <c r="A4743" s="1" t="n">
        <v>14742</v>
      </c>
      <c r="B4743" s="14" t="n">
        <v>49303</v>
      </c>
      <c r="C4743" s="1" t="n">
        <v>1108</v>
      </c>
      <c r="D4743" s="1" t="s">
        <v>27</v>
      </c>
      <c r="E4743" s="1" t="s">
        <v>28</v>
      </c>
      <c r="F4743" s="1" t="n">
        <v>2</v>
      </c>
      <c r="G4743" s="15" t="n">
        <v>62.43</v>
      </c>
      <c r="H4743" s="16" t="n">
        <v>0.04</v>
      </c>
      <c r="I4743" s="1" t="s">
        <v>29</v>
      </c>
      <c r="J4743" s="1" t="n">
        <v>7</v>
      </c>
      <c r="K4743" s="1" t="n">
        <v>1.6</v>
      </c>
      <c r="L4743" s="15" t="n">
        <v>119.87</v>
      </c>
      <c r="M4743" s="15" t="n">
        <f aca="false">F4743*G4743</f>
        <v>124.86</v>
      </c>
      <c r="N4743" s="15" t="n">
        <f aca="false">M4743-L4743</f>
        <v>4.99</v>
      </c>
      <c r="O4743" s="1" t="n">
        <f aca="false">YEAR(B4743)</f>
        <v>2034</v>
      </c>
      <c r="P4743" s="1" t="n">
        <f aca="false">MONTH(B4743)</f>
        <v>12</v>
      </c>
      <c r="Q4743" s="1" t="str">
        <f aca="false">TEXT(B4743,"mmm")</f>
        <v>Dec</v>
      </c>
      <c r="R4743" s="1" t="str">
        <f aca="false">"Q"&amp;ROUNDUP(MONTH(B4743)/3,0)</f>
        <v>Q4</v>
      </c>
    </row>
    <row r="4744" customFormat="false" ht="15" hidden="false" customHeight="true" outlineLevel="0" collapsed="false">
      <c r="A4744" s="1" t="n">
        <v>14743</v>
      </c>
      <c r="B4744" s="14" t="n">
        <v>49304</v>
      </c>
      <c r="C4744" s="1" t="n">
        <v>1735</v>
      </c>
      <c r="D4744" s="1" t="s">
        <v>30</v>
      </c>
      <c r="E4744" s="1" t="s">
        <v>36</v>
      </c>
      <c r="F4744" s="1" t="n">
        <v>2</v>
      </c>
      <c r="G4744" s="15" t="n">
        <v>549.83</v>
      </c>
      <c r="H4744" s="16" t="n">
        <v>0.16</v>
      </c>
      <c r="I4744" s="1" t="s">
        <v>33</v>
      </c>
      <c r="J4744" s="1" t="n">
        <v>4</v>
      </c>
      <c r="K4744" s="1" t="n">
        <v>2.4</v>
      </c>
      <c r="L4744" s="15" t="n">
        <v>923.71</v>
      </c>
      <c r="M4744" s="15" t="n">
        <f aca="false">F4744*G4744</f>
        <v>1099.66</v>
      </c>
      <c r="N4744" s="15" t="n">
        <f aca="false">M4744-L4744</f>
        <v>175.95</v>
      </c>
      <c r="O4744" s="1" t="n">
        <f aca="false">YEAR(B4744)</f>
        <v>2034</v>
      </c>
      <c r="P4744" s="1" t="n">
        <f aca="false">MONTH(B4744)</f>
        <v>12</v>
      </c>
      <c r="Q4744" s="1" t="str">
        <f aca="false">TEXT(B4744,"mmm")</f>
        <v>Dec</v>
      </c>
      <c r="R4744" s="1" t="str">
        <f aca="false">"Q"&amp;ROUNDUP(MONTH(B4744)/3,0)</f>
        <v>Q4</v>
      </c>
    </row>
    <row r="4745" customFormat="false" ht="15" hidden="false" customHeight="true" outlineLevel="0" collapsed="false">
      <c r="A4745" s="1" t="n">
        <v>14744</v>
      </c>
      <c r="B4745" s="14" t="n">
        <v>49305</v>
      </c>
      <c r="C4745" s="1" t="n">
        <v>1277</v>
      </c>
      <c r="D4745" s="1" t="s">
        <v>34</v>
      </c>
      <c r="E4745" s="1" t="s">
        <v>35</v>
      </c>
      <c r="F4745" s="1" t="n">
        <v>6</v>
      </c>
      <c r="G4745" s="15" t="n">
        <v>302.12</v>
      </c>
      <c r="H4745" s="16" t="n">
        <v>0.34</v>
      </c>
      <c r="I4745" s="1" t="s">
        <v>31</v>
      </c>
      <c r="J4745" s="1" t="n">
        <v>6</v>
      </c>
      <c r="K4745" s="1" t="n">
        <v>3.7</v>
      </c>
      <c r="L4745" s="15" t="n">
        <v>1196.4</v>
      </c>
      <c r="M4745" s="15" t="n">
        <f aca="false">F4745*G4745</f>
        <v>1812.72</v>
      </c>
      <c r="N4745" s="15" t="n">
        <f aca="false">M4745-L4745</f>
        <v>616.32</v>
      </c>
      <c r="O4745" s="1" t="n">
        <f aca="false">YEAR(B4745)</f>
        <v>2034</v>
      </c>
      <c r="P4745" s="1" t="n">
        <f aca="false">MONTH(B4745)</f>
        <v>12</v>
      </c>
      <c r="Q4745" s="1" t="str">
        <f aca="false">TEXT(B4745,"mmm")</f>
        <v>Dec</v>
      </c>
      <c r="R4745" s="1" t="str">
        <f aca="false">"Q"&amp;ROUNDUP(MONTH(B4745)/3,0)</f>
        <v>Q4</v>
      </c>
    </row>
    <row r="4746" customFormat="false" ht="15" hidden="false" customHeight="true" outlineLevel="0" collapsed="false">
      <c r="A4746" s="1" t="n">
        <v>14745</v>
      </c>
      <c r="B4746" s="14" t="n">
        <v>49306</v>
      </c>
      <c r="C4746" s="1" t="n">
        <v>1067</v>
      </c>
      <c r="D4746" s="1" t="s">
        <v>30</v>
      </c>
      <c r="E4746" s="1" t="s">
        <v>36</v>
      </c>
      <c r="F4746" s="1" t="n">
        <v>2</v>
      </c>
      <c r="G4746" s="15" t="n">
        <v>277.13</v>
      </c>
      <c r="H4746" s="16" t="n">
        <v>0.18</v>
      </c>
      <c r="I4746" s="1" t="s">
        <v>33</v>
      </c>
      <c r="J4746" s="1" t="n">
        <v>11</v>
      </c>
      <c r="K4746" s="1" t="n">
        <v>4</v>
      </c>
      <c r="L4746" s="15" t="n">
        <v>454.49</v>
      </c>
      <c r="M4746" s="15" t="n">
        <f aca="false">F4746*G4746</f>
        <v>554.26</v>
      </c>
      <c r="N4746" s="15" t="n">
        <f aca="false">M4746-L4746</f>
        <v>99.77</v>
      </c>
      <c r="O4746" s="1" t="n">
        <f aca="false">YEAR(B4746)</f>
        <v>2034</v>
      </c>
      <c r="P4746" s="1" t="n">
        <f aca="false">MONTH(B4746)</f>
        <v>12</v>
      </c>
      <c r="Q4746" s="1" t="str">
        <f aca="false">TEXT(B4746,"mmm")</f>
        <v>Dec</v>
      </c>
      <c r="R4746" s="1" t="str">
        <f aca="false">"Q"&amp;ROUNDUP(MONTH(B4746)/3,0)</f>
        <v>Q4</v>
      </c>
    </row>
    <row r="4747" customFormat="false" ht="15" hidden="false" customHeight="true" outlineLevel="0" collapsed="false">
      <c r="A4747" s="1" t="n">
        <v>14746</v>
      </c>
      <c r="B4747" s="14" t="n">
        <v>49307</v>
      </c>
      <c r="C4747" s="1" t="n">
        <v>1068</v>
      </c>
      <c r="D4747" s="1" t="s">
        <v>34</v>
      </c>
      <c r="E4747" s="1" t="s">
        <v>35</v>
      </c>
      <c r="F4747" s="1" t="n">
        <v>5</v>
      </c>
      <c r="G4747" s="15" t="n">
        <v>584.38</v>
      </c>
      <c r="H4747" s="16" t="n">
        <v>0.26</v>
      </c>
      <c r="I4747" s="1" t="s">
        <v>31</v>
      </c>
      <c r="J4747" s="1" t="n">
        <v>10</v>
      </c>
      <c r="K4747" s="1" t="n">
        <v>4.1</v>
      </c>
      <c r="L4747" s="15" t="n">
        <v>2162.21</v>
      </c>
      <c r="M4747" s="15" t="n">
        <f aca="false">F4747*G4747</f>
        <v>2921.9</v>
      </c>
      <c r="N4747" s="15" t="n">
        <f aca="false">M4747-L4747</f>
        <v>759.69</v>
      </c>
      <c r="O4747" s="1" t="n">
        <f aca="false">YEAR(B4747)</f>
        <v>2034</v>
      </c>
      <c r="P4747" s="1" t="n">
        <f aca="false">MONTH(B4747)</f>
        <v>12</v>
      </c>
      <c r="Q4747" s="1" t="str">
        <f aca="false">TEXT(B4747,"mmm")</f>
        <v>Dec</v>
      </c>
      <c r="R4747" s="1" t="str">
        <f aca="false">"Q"&amp;ROUNDUP(MONTH(B4747)/3,0)</f>
        <v>Q4</v>
      </c>
    </row>
    <row r="4748" customFormat="false" ht="15" hidden="false" customHeight="true" outlineLevel="0" collapsed="false">
      <c r="A4748" s="1" t="n">
        <v>14747</v>
      </c>
      <c r="B4748" s="14" t="n">
        <v>49308</v>
      </c>
      <c r="C4748" s="1" t="n">
        <v>1164</v>
      </c>
      <c r="D4748" s="1" t="s">
        <v>27</v>
      </c>
      <c r="E4748" s="1" t="s">
        <v>35</v>
      </c>
      <c r="F4748" s="1" t="n">
        <v>6</v>
      </c>
      <c r="G4748" s="15" t="n">
        <v>594.37</v>
      </c>
      <c r="H4748" s="16" t="n">
        <v>0.24</v>
      </c>
      <c r="I4748" s="1" t="s">
        <v>31</v>
      </c>
      <c r="J4748" s="1" t="n">
        <v>6</v>
      </c>
      <c r="K4748" s="1" t="n">
        <v>3.6</v>
      </c>
      <c r="L4748" s="15" t="n">
        <v>2710.33</v>
      </c>
      <c r="M4748" s="15" t="n">
        <f aca="false">F4748*G4748</f>
        <v>3566.22</v>
      </c>
      <c r="N4748" s="15" t="n">
        <f aca="false">M4748-L4748</f>
        <v>855.89</v>
      </c>
      <c r="O4748" s="1" t="n">
        <f aca="false">YEAR(B4748)</f>
        <v>2034</v>
      </c>
      <c r="P4748" s="1" t="n">
        <f aca="false">MONTH(B4748)</f>
        <v>12</v>
      </c>
      <c r="Q4748" s="1" t="str">
        <f aca="false">TEXT(B4748,"mmm")</f>
        <v>Dec</v>
      </c>
      <c r="R4748" s="1" t="str">
        <f aca="false">"Q"&amp;ROUNDUP(MONTH(B4748)/3,0)</f>
        <v>Q4</v>
      </c>
    </row>
    <row r="4749" customFormat="false" ht="15" hidden="false" customHeight="true" outlineLevel="0" collapsed="false">
      <c r="A4749" s="1" t="n">
        <v>14748</v>
      </c>
      <c r="B4749" s="14" t="n">
        <v>49309</v>
      </c>
      <c r="C4749" s="1" t="n">
        <v>1488</v>
      </c>
      <c r="D4749" s="1" t="s">
        <v>34</v>
      </c>
      <c r="E4749" s="1" t="s">
        <v>35</v>
      </c>
      <c r="F4749" s="1" t="n">
        <v>7</v>
      </c>
      <c r="G4749" s="15" t="n">
        <v>395.35</v>
      </c>
      <c r="H4749" s="16" t="n">
        <v>0.3</v>
      </c>
      <c r="I4749" s="1" t="s">
        <v>31</v>
      </c>
      <c r="J4749" s="1" t="n">
        <v>7</v>
      </c>
      <c r="K4749" s="1" t="n">
        <v>2.9</v>
      </c>
      <c r="L4749" s="15" t="n">
        <v>1937.22</v>
      </c>
      <c r="M4749" s="15" t="n">
        <f aca="false">F4749*G4749</f>
        <v>2767.45</v>
      </c>
      <c r="N4749" s="15" t="n">
        <f aca="false">M4749-L4749</f>
        <v>830.23</v>
      </c>
      <c r="O4749" s="1" t="n">
        <f aca="false">YEAR(B4749)</f>
        <v>2034</v>
      </c>
      <c r="P4749" s="1" t="n">
        <f aca="false">MONTH(B4749)</f>
        <v>12</v>
      </c>
      <c r="Q4749" s="1" t="str">
        <f aca="false">TEXT(B4749,"mmm")</f>
        <v>Dec</v>
      </c>
      <c r="R4749" s="1" t="str">
        <f aca="false">"Q"&amp;ROUNDUP(MONTH(B4749)/3,0)</f>
        <v>Q4</v>
      </c>
    </row>
    <row r="4750" customFormat="false" ht="15" hidden="false" customHeight="true" outlineLevel="0" collapsed="false">
      <c r="A4750" s="1" t="n">
        <v>14749</v>
      </c>
      <c r="B4750" s="14" t="n">
        <v>49310</v>
      </c>
      <c r="C4750" s="1" t="n">
        <v>1304</v>
      </c>
      <c r="D4750" s="1" t="s">
        <v>37</v>
      </c>
      <c r="E4750" s="1" t="s">
        <v>35</v>
      </c>
      <c r="F4750" s="1" t="n">
        <v>7</v>
      </c>
      <c r="G4750" s="15" t="n">
        <v>89.36</v>
      </c>
      <c r="H4750" s="16" t="n">
        <v>0.08</v>
      </c>
      <c r="I4750" s="1" t="s">
        <v>33</v>
      </c>
      <c r="J4750" s="1" t="n">
        <v>9</v>
      </c>
      <c r="K4750" s="1" t="n">
        <v>3.6</v>
      </c>
      <c r="L4750" s="15" t="n">
        <v>575.48</v>
      </c>
      <c r="M4750" s="15" t="n">
        <f aca="false">F4750*G4750</f>
        <v>625.52</v>
      </c>
      <c r="N4750" s="15" t="n">
        <f aca="false">M4750-L4750</f>
        <v>50.04</v>
      </c>
      <c r="O4750" s="1" t="n">
        <f aca="false">YEAR(B4750)</f>
        <v>2035</v>
      </c>
      <c r="P4750" s="1" t="n">
        <f aca="false">MONTH(B4750)</f>
        <v>1</v>
      </c>
      <c r="Q4750" s="1" t="str">
        <f aca="false">TEXT(B4750,"mmm")</f>
        <v>Jan</v>
      </c>
      <c r="R4750" s="1" t="str">
        <f aca="false">"Q"&amp;ROUNDUP(MONTH(B4750)/3,0)</f>
        <v>Q1</v>
      </c>
    </row>
    <row r="4751" customFormat="false" ht="15" hidden="false" customHeight="true" outlineLevel="0" collapsed="false">
      <c r="A4751" s="1" t="n">
        <v>14750</v>
      </c>
      <c r="B4751" s="14" t="n">
        <v>49311</v>
      </c>
      <c r="C4751" s="1" t="n">
        <v>1908</v>
      </c>
      <c r="D4751" s="1" t="s">
        <v>30</v>
      </c>
      <c r="E4751" s="1" t="s">
        <v>36</v>
      </c>
      <c r="F4751" s="1" t="n">
        <v>5</v>
      </c>
      <c r="G4751" s="15" t="n">
        <v>311.11</v>
      </c>
      <c r="H4751" s="16" t="n">
        <v>0.26</v>
      </c>
      <c r="I4751" s="1" t="s">
        <v>31</v>
      </c>
      <c r="J4751" s="1" t="n">
        <v>6</v>
      </c>
      <c r="K4751" s="1" t="n">
        <v>1.5</v>
      </c>
      <c r="L4751" s="15" t="n">
        <v>1151.11</v>
      </c>
      <c r="M4751" s="15" t="n">
        <f aca="false">F4751*G4751</f>
        <v>1555.55</v>
      </c>
      <c r="N4751" s="15" t="n">
        <f aca="false">M4751-L4751</f>
        <v>404.44</v>
      </c>
      <c r="O4751" s="1" t="n">
        <f aca="false">YEAR(B4751)</f>
        <v>2035</v>
      </c>
      <c r="P4751" s="1" t="n">
        <f aca="false">MONTH(B4751)</f>
        <v>1</v>
      </c>
      <c r="Q4751" s="1" t="str">
        <f aca="false">TEXT(B4751,"mmm")</f>
        <v>Jan</v>
      </c>
      <c r="R4751" s="1" t="str">
        <f aca="false">"Q"&amp;ROUNDUP(MONTH(B4751)/3,0)</f>
        <v>Q1</v>
      </c>
    </row>
    <row r="4752" customFormat="false" ht="15" hidden="false" customHeight="true" outlineLevel="0" collapsed="false">
      <c r="A4752" s="1" t="n">
        <v>14751</v>
      </c>
      <c r="B4752" s="14" t="n">
        <v>49312</v>
      </c>
      <c r="C4752" s="1" t="n">
        <v>1673</v>
      </c>
      <c r="D4752" s="1" t="s">
        <v>27</v>
      </c>
      <c r="E4752" s="1" t="s">
        <v>35</v>
      </c>
      <c r="F4752" s="1" t="n">
        <v>2</v>
      </c>
      <c r="G4752" s="15" t="n">
        <v>324.56</v>
      </c>
      <c r="H4752" s="16" t="n">
        <v>0.31</v>
      </c>
      <c r="I4752" s="1" t="s">
        <v>31</v>
      </c>
      <c r="J4752" s="1" t="n">
        <v>10</v>
      </c>
      <c r="K4752" s="1" t="n">
        <v>1.8</v>
      </c>
      <c r="L4752" s="15" t="n">
        <v>447.89</v>
      </c>
      <c r="M4752" s="15" t="n">
        <f aca="false">F4752*G4752</f>
        <v>649.12</v>
      </c>
      <c r="N4752" s="15" t="n">
        <f aca="false">M4752-L4752</f>
        <v>201.23</v>
      </c>
      <c r="O4752" s="1" t="n">
        <f aca="false">YEAR(B4752)</f>
        <v>2035</v>
      </c>
      <c r="P4752" s="1" t="n">
        <f aca="false">MONTH(B4752)</f>
        <v>1</v>
      </c>
      <c r="Q4752" s="1" t="str">
        <f aca="false">TEXT(B4752,"mmm")</f>
        <v>Jan</v>
      </c>
      <c r="R4752" s="1" t="str">
        <f aca="false">"Q"&amp;ROUNDUP(MONTH(B4752)/3,0)</f>
        <v>Q1</v>
      </c>
    </row>
    <row r="4753" customFormat="false" ht="15" hidden="false" customHeight="true" outlineLevel="0" collapsed="false">
      <c r="A4753" s="1" t="n">
        <v>14752</v>
      </c>
      <c r="B4753" s="14" t="n">
        <v>49313</v>
      </c>
      <c r="C4753" s="1" t="n">
        <v>1364</v>
      </c>
      <c r="D4753" s="1" t="s">
        <v>34</v>
      </c>
      <c r="E4753" s="1" t="s">
        <v>35</v>
      </c>
      <c r="F4753" s="1" t="n">
        <v>6</v>
      </c>
      <c r="G4753" s="15" t="n">
        <v>315.95</v>
      </c>
      <c r="H4753" s="16" t="n">
        <v>0.06</v>
      </c>
      <c r="I4753" s="1" t="s">
        <v>31</v>
      </c>
      <c r="J4753" s="1" t="n">
        <v>1</v>
      </c>
      <c r="K4753" s="1" t="n">
        <v>4.7</v>
      </c>
      <c r="L4753" s="15" t="n">
        <v>1781.96</v>
      </c>
      <c r="M4753" s="15" t="n">
        <f aca="false">F4753*G4753</f>
        <v>1895.7</v>
      </c>
      <c r="N4753" s="15" t="n">
        <f aca="false">M4753-L4753</f>
        <v>113.74</v>
      </c>
      <c r="O4753" s="1" t="n">
        <f aca="false">YEAR(B4753)</f>
        <v>2035</v>
      </c>
      <c r="P4753" s="1" t="n">
        <f aca="false">MONTH(B4753)</f>
        <v>1</v>
      </c>
      <c r="Q4753" s="1" t="str">
        <f aca="false">TEXT(B4753,"mmm")</f>
        <v>Jan</v>
      </c>
      <c r="R4753" s="1" t="str">
        <f aca="false">"Q"&amp;ROUNDUP(MONTH(B4753)/3,0)</f>
        <v>Q1</v>
      </c>
    </row>
    <row r="4754" customFormat="false" ht="15" hidden="false" customHeight="true" outlineLevel="0" collapsed="false">
      <c r="A4754" s="1" t="n">
        <v>14753</v>
      </c>
      <c r="B4754" s="14" t="n">
        <v>49314</v>
      </c>
      <c r="C4754" s="1" t="n">
        <v>1853</v>
      </c>
      <c r="D4754" s="1" t="s">
        <v>30</v>
      </c>
      <c r="E4754" s="1" t="s">
        <v>32</v>
      </c>
      <c r="F4754" s="1" t="n">
        <v>7</v>
      </c>
      <c r="G4754" s="15" t="n">
        <v>348.15</v>
      </c>
      <c r="H4754" s="16" t="n">
        <v>0.12</v>
      </c>
      <c r="I4754" s="1" t="s">
        <v>31</v>
      </c>
      <c r="J4754" s="1" t="n">
        <v>8</v>
      </c>
      <c r="K4754" s="1" t="n">
        <v>4.7</v>
      </c>
      <c r="L4754" s="15" t="n">
        <v>2144.6</v>
      </c>
      <c r="M4754" s="15" t="n">
        <f aca="false">F4754*G4754</f>
        <v>2437.05</v>
      </c>
      <c r="N4754" s="15" t="n">
        <f aca="false">M4754-L4754</f>
        <v>292.45</v>
      </c>
      <c r="O4754" s="1" t="n">
        <f aca="false">YEAR(B4754)</f>
        <v>2035</v>
      </c>
      <c r="P4754" s="1" t="n">
        <f aca="false">MONTH(B4754)</f>
        <v>1</v>
      </c>
      <c r="Q4754" s="1" t="str">
        <f aca="false">TEXT(B4754,"mmm")</f>
        <v>Jan</v>
      </c>
      <c r="R4754" s="1" t="str">
        <f aca="false">"Q"&amp;ROUNDUP(MONTH(B4754)/3,0)</f>
        <v>Q1</v>
      </c>
    </row>
    <row r="4755" customFormat="false" ht="15" hidden="false" customHeight="true" outlineLevel="0" collapsed="false">
      <c r="A4755" s="1" t="n">
        <v>14754</v>
      </c>
      <c r="B4755" s="14" t="n">
        <v>49315</v>
      </c>
      <c r="C4755" s="1" t="n">
        <v>1820</v>
      </c>
      <c r="D4755" s="1" t="s">
        <v>30</v>
      </c>
      <c r="E4755" s="1" t="s">
        <v>35</v>
      </c>
      <c r="F4755" s="1" t="n">
        <v>5</v>
      </c>
      <c r="G4755" s="15" t="n">
        <v>25.95</v>
      </c>
      <c r="H4755" s="16" t="n">
        <v>0.34</v>
      </c>
      <c r="I4755" s="1" t="s">
        <v>33</v>
      </c>
      <c r="J4755" s="1" t="n">
        <v>2</v>
      </c>
      <c r="K4755" s="1" t="n">
        <v>3.9</v>
      </c>
      <c r="L4755" s="15" t="n">
        <v>85.64</v>
      </c>
      <c r="M4755" s="15" t="n">
        <f aca="false">F4755*G4755</f>
        <v>129.75</v>
      </c>
      <c r="N4755" s="15" t="n">
        <f aca="false">M4755-L4755</f>
        <v>44.11</v>
      </c>
      <c r="O4755" s="1" t="n">
        <f aca="false">YEAR(B4755)</f>
        <v>2035</v>
      </c>
      <c r="P4755" s="1" t="n">
        <f aca="false">MONTH(B4755)</f>
        <v>1</v>
      </c>
      <c r="Q4755" s="1" t="str">
        <f aca="false">TEXT(B4755,"mmm")</f>
        <v>Jan</v>
      </c>
      <c r="R4755" s="1" t="str">
        <f aca="false">"Q"&amp;ROUNDUP(MONTH(B4755)/3,0)</f>
        <v>Q1</v>
      </c>
    </row>
    <row r="4756" customFormat="false" ht="15" hidden="false" customHeight="true" outlineLevel="0" collapsed="false">
      <c r="A4756" s="1" t="n">
        <v>14755</v>
      </c>
      <c r="B4756" s="14" t="n">
        <v>49316</v>
      </c>
      <c r="C4756" s="1" t="n">
        <v>1378</v>
      </c>
      <c r="D4756" s="1" t="s">
        <v>37</v>
      </c>
      <c r="E4756" s="1" t="s">
        <v>36</v>
      </c>
      <c r="F4756" s="1" t="n">
        <v>4</v>
      </c>
      <c r="G4756" s="15" t="n">
        <v>431.07</v>
      </c>
      <c r="H4756" s="16" t="n">
        <v>0.27</v>
      </c>
      <c r="I4756" s="1" t="s">
        <v>29</v>
      </c>
      <c r="J4756" s="1" t="n">
        <v>3</v>
      </c>
      <c r="K4756" s="1" t="n">
        <v>2.3</v>
      </c>
      <c r="L4756" s="15" t="n">
        <v>1258.72</v>
      </c>
      <c r="M4756" s="15" t="n">
        <f aca="false">F4756*G4756</f>
        <v>1724.28</v>
      </c>
      <c r="N4756" s="15" t="n">
        <f aca="false">M4756-L4756</f>
        <v>465.56</v>
      </c>
      <c r="O4756" s="1" t="n">
        <f aca="false">YEAR(B4756)</f>
        <v>2035</v>
      </c>
      <c r="P4756" s="1" t="n">
        <f aca="false">MONTH(B4756)</f>
        <v>1</v>
      </c>
      <c r="Q4756" s="1" t="str">
        <f aca="false">TEXT(B4756,"mmm")</f>
        <v>Jan</v>
      </c>
      <c r="R4756" s="1" t="str">
        <f aca="false">"Q"&amp;ROUNDUP(MONTH(B4756)/3,0)</f>
        <v>Q1</v>
      </c>
    </row>
    <row r="4757" customFormat="false" ht="15" hidden="false" customHeight="true" outlineLevel="0" collapsed="false">
      <c r="A4757" s="1" t="n">
        <v>14756</v>
      </c>
      <c r="B4757" s="14" t="n">
        <v>49317</v>
      </c>
      <c r="C4757" s="1" t="n">
        <v>1342</v>
      </c>
      <c r="D4757" s="1" t="s">
        <v>34</v>
      </c>
      <c r="E4757" s="1" t="s">
        <v>35</v>
      </c>
      <c r="F4757" s="1" t="n">
        <v>7</v>
      </c>
      <c r="G4757" s="15" t="n">
        <v>431.75</v>
      </c>
      <c r="H4757" s="16" t="n">
        <v>0.1</v>
      </c>
      <c r="I4757" s="1" t="s">
        <v>33</v>
      </c>
      <c r="J4757" s="1" t="n">
        <v>5</v>
      </c>
      <c r="K4757" s="1" t="n">
        <v>3.6</v>
      </c>
      <c r="L4757" s="15" t="n">
        <v>2720.02</v>
      </c>
      <c r="M4757" s="15" t="n">
        <f aca="false">F4757*G4757</f>
        <v>3022.25</v>
      </c>
      <c r="N4757" s="15" t="n">
        <f aca="false">M4757-L4757</f>
        <v>302.23</v>
      </c>
      <c r="O4757" s="1" t="n">
        <f aca="false">YEAR(B4757)</f>
        <v>2035</v>
      </c>
      <c r="P4757" s="1" t="n">
        <f aca="false">MONTH(B4757)</f>
        <v>1</v>
      </c>
      <c r="Q4757" s="1" t="str">
        <f aca="false">TEXT(B4757,"mmm")</f>
        <v>Jan</v>
      </c>
      <c r="R4757" s="1" t="str">
        <f aca="false">"Q"&amp;ROUNDUP(MONTH(B4757)/3,0)</f>
        <v>Q1</v>
      </c>
    </row>
    <row r="4758" customFormat="false" ht="15" hidden="false" customHeight="true" outlineLevel="0" collapsed="false">
      <c r="A4758" s="1" t="n">
        <v>14757</v>
      </c>
      <c r="B4758" s="14" t="n">
        <v>49318</v>
      </c>
      <c r="C4758" s="1" t="n">
        <v>1946</v>
      </c>
      <c r="D4758" s="1" t="s">
        <v>34</v>
      </c>
      <c r="E4758" s="1" t="s">
        <v>28</v>
      </c>
      <c r="F4758" s="1" t="n">
        <v>4</v>
      </c>
      <c r="G4758" s="15" t="n">
        <v>82.55</v>
      </c>
      <c r="H4758" s="16" t="n">
        <v>0.2</v>
      </c>
      <c r="I4758" s="1" t="s">
        <v>33</v>
      </c>
      <c r="J4758" s="1" t="n">
        <v>6</v>
      </c>
      <c r="K4758" s="1" t="n">
        <v>3.8</v>
      </c>
      <c r="L4758" s="15" t="n">
        <v>264.16</v>
      </c>
      <c r="M4758" s="15" t="n">
        <f aca="false">F4758*G4758</f>
        <v>330.2</v>
      </c>
      <c r="N4758" s="15" t="n">
        <f aca="false">M4758-L4758</f>
        <v>66.04</v>
      </c>
      <c r="O4758" s="1" t="n">
        <f aca="false">YEAR(B4758)</f>
        <v>2035</v>
      </c>
      <c r="P4758" s="1" t="n">
        <f aca="false">MONTH(B4758)</f>
        <v>1</v>
      </c>
      <c r="Q4758" s="1" t="str">
        <f aca="false">TEXT(B4758,"mmm")</f>
        <v>Jan</v>
      </c>
      <c r="R4758" s="1" t="str">
        <f aca="false">"Q"&amp;ROUNDUP(MONTH(B4758)/3,0)</f>
        <v>Q1</v>
      </c>
    </row>
    <row r="4759" customFormat="false" ht="15" hidden="false" customHeight="true" outlineLevel="0" collapsed="false">
      <c r="A4759" s="1" t="n">
        <v>14758</v>
      </c>
      <c r="B4759" s="14" t="n">
        <v>49319</v>
      </c>
      <c r="C4759" s="1" t="n">
        <v>1898</v>
      </c>
      <c r="D4759" s="1" t="s">
        <v>34</v>
      </c>
      <c r="E4759" s="1" t="s">
        <v>28</v>
      </c>
      <c r="F4759" s="1" t="n">
        <v>5</v>
      </c>
      <c r="G4759" s="15" t="n">
        <v>348.59</v>
      </c>
      <c r="H4759" s="16" t="n">
        <v>0.14</v>
      </c>
      <c r="I4759" s="1" t="s">
        <v>29</v>
      </c>
      <c r="J4759" s="1" t="n">
        <v>7</v>
      </c>
      <c r="K4759" s="1" t="n">
        <v>3.1</v>
      </c>
      <c r="L4759" s="15" t="n">
        <v>1498.94</v>
      </c>
      <c r="M4759" s="15" t="n">
        <f aca="false">F4759*G4759</f>
        <v>1742.95</v>
      </c>
      <c r="N4759" s="15" t="n">
        <f aca="false">M4759-L4759</f>
        <v>244.01</v>
      </c>
      <c r="O4759" s="1" t="n">
        <f aca="false">YEAR(B4759)</f>
        <v>2035</v>
      </c>
      <c r="P4759" s="1" t="n">
        <f aca="false">MONTH(B4759)</f>
        <v>1</v>
      </c>
      <c r="Q4759" s="1" t="str">
        <f aca="false">TEXT(B4759,"mmm")</f>
        <v>Jan</v>
      </c>
      <c r="R4759" s="1" t="str">
        <f aca="false">"Q"&amp;ROUNDUP(MONTH(B4759)/3,0)</f>
        <v>Q1</v>
      </c>
    </row>
    <row r="4760" customFormat="false" ht="15" hidden="false" customHeight="true" outlineLevel="0" collapsed="false">
      <c r="A4760" s="1" t="n">
        <v>14759</v>
      </c>
      <c r="B4760" s="14" t="n">
        <v>49320</v>
      </c>
      <c r="C4760" s="1" t="n">
        <v>1553</v>
      </c>
      <c r="D4760" s="1" t="s">
        <v>37</v>
      </c>
      <c r="E4760" s="1" t="s">
        <v>35</v>
      </c>
      <c r="F4760" s="1" t="n">
        <v>5</v>
      </c>
      <c r="G4760" s="15" t="n">
        <v>347.49</v>
      </c>
      <c r="H4760" s="16" t="n">
        <v>0.17</v>
      </c>
      <c r="I4760" s="1" t="s">
        <v>31</v>
      </c>
      <c r="J4760" s="1" t="n">
        <v>4</v>
      </c>
      <c r="K4760" s="1" t="n">
        <v>4</v>
      </c>
      <c r="L4760" s="15" t="n">
        <v>1442.08</v>
      </c>
      <c r="M4760" s="15" t="n">
        <f aca="false">F4760*G4760</f>
        <v>1737.45</v>
      </c>
      <c r="N4760" s="15" t="n">
        <f aca="false">M4760-L4760</f>
        <v>295.37</v>
      </c>
      <c r="O4760" s="1" t="n">
        <f aca="false">YEAR(B4760)</f>
        <v>2035</v>
      </c>
      <c r="P4760" s="1" t="n">
        <f aca="false">MONTH(B4760)</f>
        <v>1</v>
      </c>
      <c r="Q4760" s="1" t="str">
        <f aca="false">TEXT(B4760,"mmm")</f>
        <v>Jan</v>
      </c>
      <c r="R4760" s="1" t="str">
        <f aca="false">"Q"&amp;ROUNDUP(MONTH(B4760)/3,0)</f>
        <v>Q1</v>
      </c>
    </row>
    <row r="4761" customFormat="false" ht="15" hidden="false" customHeight="true" outlineLevel="0" collapsed="false">
      <c r="A4761" s="1" t="n">
        <v>14760</v>
      </c>
      <c r="B4761" s="14" t="n">
        <v>49321</v>
      </c>
      <c r="C4761" s="1" t="n">
        <v>1353</v>
      </c>
      <c r="D4761" s="1" t="s">
        <v>34</v>
      </c>
      <c r="E4761" s="1" t="s">
        <v>28</v>
      </c>
      <c r="F4761" s="1" t="n">
        <v>1</v>
      </c>
      <c r="G4761" s="15" t="n">
        <v>414.23</v>
      </c>
      <c r="H4761" s="16" t="n">
        <v>0.12</v>
      </c>
      <c r="I4761" s="1" t="s">
        <v>31</v>
      </c>
      <c r="J4761" s="1" t="n">
        <v>3</v>
      </c>
      <c r="K4761" s="1" t="n">
        <v>1.1</v>
      </c>
      <c r="L4761" s="15" t="n">
        <v>364.52</v>
      </c>
      <c r="M4761" s="15" t="n">
        <f aca="false">F4761*G4761</f>
        <v>414.23</v>
      </c>
      <c r="N4761" s="15" t="n">
        <f aca="false">M4761-L4761</f>
        <v>49.71</v>
      </c>
      <c r="O4761" s="1" t="n">
        <f aca="false">YEAR(B4761)</f>
        <v>2035</v>
      </c>
      <c r="P4761" s="1" t="n">
        <f aca="false">MONTH(B4761)</f>
        <v>1</v>
      </c>
      <c r="Q4761" s="1" t="str">
        <f aca="false">TEXT(B4761,"mmm")</f>
        <v>Jan</v>
      </c>
      <c r="R4761" s="1" t="str">
        <f aca="false">"Q"&amp;ROUNDUP(MONTH(B4761)/3,0)</f>
        <v>Q1</v>
      </c>
    </row>
    <row r="4762" customFormat="false" ht="15" hidden="false" customHeight="true" outlineLevel="0" collapsed="false">
      <c r="A4762" s="1" t="n">
        <v>14761</v>
      </c>
      <c r="B4762" s="14" t="n">
        <v>49322</v>
      </c>
      <c r="C4762" s="1" t="n">
        <v>1415</v>
      </c>
      <c r="D4762" s="1" t="s">
        <v>30</v>
      </c>
      <c r="E4762" s="1" t="s">
        <v>28</v>
      </c>
      <c r="F4762" s="1" t="n">
        <v>7</v>
      </c>
      <c r="G4762" s="15" t="n">
        <v>64.96</v>
      </c>
      <c r="H4762" s="16" t="n">
        <v>0.1</v>
      </c>
      <c r="I4762" s="1" t="s">
        <v>31</v>
      </c>
      <c r="J4762" s="1" t="n">
        <v>9</v>
      </c>
      <c r="K4762" s="1" t="n">
        <v>2</v>
      </c>
      <c r="L4762" s="15" t="n">
        <v>409.25</v>
      </c>
      <c r="M4762" s="15" t="n">
        <f aca="false">F4762*G4762</f>
        <v>454.72</v>
      </c>
      <c r="N4762" s="15" t="n">
        <f aca="false">M4762-L4762</f>
        <v>45.47</v>
      </c>
      <c r="O4762" s="1" t="n">
        <f aca="false">YEAR(B4762)</f>
        <v>2035</v>
      </c>
      <c r="P4762" s="1" t="n">
        <f aca="false">MONTH(B4762)</f>
        <v>1</v>
      </c>
      <c r="Q4762" s="1" t="str">
        <f aca="false">TEXT(B4762,"mmm")</f>
        <v>Jan</v>
      </c>
      <c r="R4762" s="1" t="str">
        <f aca="false">"Q"&amp;ROUNDUP(MONTH(B4762)/3,0)</f>
        <v>Q1</v>
      </c>
    </row>
    <row r="4763" customFormat="false" ht="15" hidden="false" customHeight="true" outlineLevel="0" collapsed="false">
      <c r="A4763" s="1" t="n">
        <v>14762</v>
      </c>
      <c r="B4763" s="14" t="n">
        <v>49323</v>
      </c>
      <c r="C4763" s="1" t="n">
        <v>1108</v>
      </c>
      <c r="D4763" s="1" t="s">
        <v>34</v>
      </c>
      <c r="E4763" s="1" t="s">
        <v>36</v>
      </c>
      <c r="F4763" s="1" t="n">
        <v>1</v>
      </c>
      <c r="G4763" s="15" t="n">
        <v>381.5</v>
      </c>
      <c r="H4763" s="16" t="n">
        <v>0.24</v>
      </c>
      <c r="I4763" s="1" t="s">
        <v>31</v>
      </c>
      <c r="J4763" s="1" t="n">
        <v>4</v>
      </c>
      <c r="K4763" s="1" t="n">
        <v>4.2</v>
      </c>
      <c r="L4763" s="15" t="n">
        <v>289.94</v>
      </c>
      <c r="M4763" s="15" t="n">
        <f aca="false">F4763*G4763</f>
        <v>381.5</v>
      </c>
      <c r="N4763" s="15" t="n">
        <f aca="false">M4763-L4763</f>
        <v>91.56</v>
      </c>
      <c r="O4763" s="1" t="n">
        <f aca="false">YEAR(B4763)</f>
        <v>2035</v>
      </c>
      <c r="P4763" s="1" t="n">
        <f aca="false">MONTH(B4763)</f>
        <v>1</v>
      </c>
      <c r="Q4763" s="1" t="str">
        <f aca="false">TEXT(B4763,"mmm")</f>
        <v>Jan</v>
      </c>
      <c r="R4763" s="1" t="str">
        <f aca="false">"Q"&amp;ROUNDUP(MONTH(B4763)/3,0)</f>
        <v>Q1</v>
      </c>
    </row>
    <row r="4764" customFormat="false" ht="15" hidden="false" customHeight="true" outlineLevel="0" collapsed="false">
      <c r="A4764" s="1" t="n">
        <v>14763</v>
      </c>
      <c r="B4764" s="14" t="n">
        <v>49324</v>
      </c>
      <c r="C4764" s="1" t="n">
        <v>1562</v>
      </c>
      <c r="D4764" s="1" t="s">
        <v>27</v>
      </c>
      <c r="E4764" s="1" t="s">
        <v>32</v>
      </c>
      <c r="F4764" s="1" t="n">
        <v>3</v>
      </c>
      <c r="G4764" s="15" t="n">
        <v>179.24</v>
      </c>
      <c r="H4764" s="16" t="n">
        <v>0.27</v>
      </c>
      <c r="I4764" s="1" t="s">
        <v>31</v>
      </c>
      <c r="J4764" s="1" t="n">
        <v>9</v>
      </c>
      <c r="K4764" s="1" t="n">
        <v>4.8</v>
      </c>
      <c r="L4764" s="15" t="n">
        <v>392.54</v>
      </c>
      <c r="M4764" s="15" t="n">
        <f aca="false">F4764*G4764</f>
        <v>537.72</v>
      </c>
      <c r="N4764" s="15" t="n">
        <f aca="false">M4764-L4764</f>
        <v>145.18</v>
      </c>
      <c r="O4764" s="1" t="n">
        <f aca="false">YEAR(B4764)</f>
        <v>2035</v>
      </c>
      <c r="P4764" s="1" t="n">
        <f aca="false">MONTH(B4764)</f>
        <v>1</v>
      </c>
      <c r="Q4764" s="1" t="str">
        <f aca="false">TEXT(B4764,"mmm")</f>
        <v>Jan</v>
      </c>
      <c r="R4764" s="1" t="str">
        <f aca="false">"Q"&amp;ROUNDUP(MONTH(B4764)/3,0)</f>
        <v>Q1</v>
      </c>
    </row>
    <row r="4765" customFormat="false" ht="15" hidden="false" customHeight="true" outlineLevel="0" collapsed="false">
      <c r="A4765" s="1" t="n">
        <v>14764</v>
      </c>
      <c r="B4765" s="14" t="n">
        <v>49325</v>
      </c>
      <c r="C4765" s="1" t="n">
        <v>1761</v>
      </c>
      <c r="D4765" s="1" t="s">
        <v>27</v>
      </c>
      <c r="E4765" s="1" t="s">
        <v>28</v>
      </c>
      <c r="F4765" s="1" t="n">
        <v>7</v>
      </c>
      <c r="G4765" s="15" t="n">
        <v>311.6</v>
      </c>
      <c r="H4765" s="16" t="n">
        <v>0.31</v>
      </c>
      <c r="I4765" s="1" t="s">
        <v>31</v>
      </c>
      <c r="J4765" s="1" t="n">
        <v>9</v>
      </c>
      <c r="K4765" s="1" t="n">
        <v>4.5</v>
      </c>
      <c r="L4765" s="15" t="n">
        <v>1505.03</v>
      </c>
      <c r="M4765" s="15" t="n">
        <f aca="false">F4765*G4765</f>
        <v>2181.2</v>
      </c>
      <c r="N4765" s="15" t="n">
        <f aca="false">M4765-L4765</f>
        <v>676.17</v>
      </c>
      <c r="O4765" s="1" t="n">
        <f aca="false">YEAR(B4765)</f>
        <v>2035</v>
      </c>
      <c r="P4765" s="1" t="n">
        <f aca="false">MONTH(B4765)</f>
        <v>1</v>
      </c>
      <c r="Q4765" s="1" t="str">
        <f aca="false">TEXT(B4765,"mmm")</f>
        <v>Jan</v>
      </c>
      <c r="R4765" s="1" t="str">
        <f aca="false">"Q"&amp;ROUNDUP(MONTH(B4765)/3,0)</f>
        <v>Q1</v>
      </c>
    </row>
    <row r="4766" customFormat="false" ht="15" hidden="false" customHeight="true" outlineLevel="0" collapsed="false">
      <c r="A4766" s="1" t="n">
        <v>14765</v>
      </c>
      <c r="B4766" s="14" t="n">
        <v>49326</v>
      </c>
      <c r="C4766" s="1" t="n">
        <v>1496</v>
      </c>
      <c r="D4766" s="1" t="s">
        <v>30</v>
      </c>
      <c r="E4766" s="1" t="s">
        <v>28</v>
      </c>
      <c r="F4766" s="1" t="n">
        <v>6</v>
      </c>
      <c r="G4766" s="15" t="n">
        <v>467.39</v>
      </c>
      <c r="H4766" s="16" t="n">
        <v>0.05</v>
      </c>
      <c r="I4766" s="1" t="s">
        <v>31</v>
      </c>
      <c r="J4766" s="1" t="n">
        <v>11</v>
      </c>
      <c r="K4766" s="1" t="n">
        <v>3.9</v>
      </c>
      <c r="L4766" s="15" t="n">
        <v>2664.12</v>
      </c>
      <c r="M4766" s="15" t="n">
        <f aca="false">F4766*G4766</f>
        <v>2804.34</v>
      </c>
      <c r="N4766" s="15" t="n">
        <f aca="false">M4766-L4766</f>
        <v>140.22</v>
      </c>
      <c r="O4766" s="1" t="n">
        <f aca="false">YEAR(B4766)</f>
        <v>2035</v>
      </c>
      <c r="P4766" s="1" t="n">
        <f aca="false">MONTH(B4766)</f>
        <v>1</v>
      </c>
      <c r="Q4766" s="1" t="str">
        <f aca="false">TEXT(B4766,"mmm")</f>
        <v>Jan</v>
      </c>
      <c r="R4766" s="1" t="str">
        <f aca="false">"Q"&amp;ROUNDUP(MONTH(B4766)/3,0)</f>
        <v>Q1</v>
      </c>
    </row>
    <row r="4767" customFormat="false" ht="15" hidden="false" customHeight="true" outlineLevel="0" collapsed="false">
      <c r="A4767" s="1" t="n">
        <v>14766</v>
      </c>
      <c r="B4767" s="14" t="n">
        <v>49327</v>
      </c>
      <c r="C4767" s="1" t="n">
        <v>1340</v>
      </c>
      <c r="D4767" s="1" t="s">
        <v>30</v>
      </c>
      <c r="E4767" s="1" t="s">
        <v>32</v>
      </c>
      <c r="F4767" s="1" t="n">
        <v>3</v>
      </c>
      <c r="G4767" s="15" t="n">
        <v>427.8</v>
      </c>
      <c r="H4767" s="16" t="n">
        <v>0.29</v>
      </c>
      <c r="I4767" s="1" t="s">
        <v>33</v>
      </c>
      <c r="J4767" s="1" t="n">
        <v>3</v>
      </c>
      <c r="K4767" s="1" t="n">
        <v>1.7</v>
      </c>
      <c r="L4767" s="15" t="n">
        <v>911.21</v>
      </c>
      <c r="M4767" s="15" t="n">
        <f aca="false">F4767*G4767</f>
        <v>1283.4</v>
      </c>
      <c r="N4767" s="15" t="n">
        <f aca="false">M4767-L4767</f>
        <v>372.19</v>
      </c>
      <c r="O4767" s="1" t="n">
        <f aca="false">YEAR(B4767)</f>
        <v>2035</v>
      </c>
      <c r="P4767" s="1" t="n">
        <f aca="false">MONTH(B4767)</f>
        <v>1</v>
      </c>
      <c r="Q4767" s="1" t="str">
        <f aca="false">TEXT(B4767,"mmm")</f>
        <v>Jan</v>
      </c>
      <c r="R4767" s="1" t="str">
        <f aca="false">"Q"&amp;ROUNDUP(MONTH(B4767)/3,0)</f>
        <v>Q1</v>
      </c>
    </row>
    <row r="4768" customFormat="false" ht="15" hidden="false" customHeight="true" outlineLevel="0" collapsed="false">
      <c r="A4768" s="1" t="n">
        <v>14767</v>
      </c>
      <c r="B4768" s="14" t="n">
        <v>49328</v>
      </c>
      <c r="C4768" s="1" t="n">
        <v>1941</v>
      </c>
      <c r="D4768" s="1" t="s">
        <v>34</v>
      </c>
      <c r="E4768" s="1" t="s">
        <v>32</v>
      </c>
      <c r="F4768" s="1" t="n">
        <v>3</v>
      </c>
      <c r="G4768" s="15" t="n">
        <v>84.56</v>
      </c>
      <c r="H4768" s="16" t="n">
        <v>0.09</v>
      </c>
      <c r="I4768" s="1" t="s">
        <v>29</v>
      </c>
      <c r="J4768" s="1" t="n">
        <v>3</v>
      </c>
      <c r="K4768" s="1" t="n">
        <v>2.5</v>
      </c>
      <c r="L4768" s="15" t="n">
        <v>230.85</v>
      </c>
      <c r="M4768" s="15" t="n">
        <f aca="false">F4768*G4768</f>
        <v>253.68</v>
      </c>
      <c r="N4768" s="15" t="n">
        <f aca="false">M4768-L4768</f>
        <v>22.83</v>
      </c>
      <c r="O4768" s="1" t="n">
        <f aca="false">YEAR(B4768)</f>
        <v>2035</v>
      </c>
      <c r="P4768" s="1" t="n">
        <f aca="false">MONTH(B4768)</f>
        <v>1</v>
      </c>
      <c r="Q4768" s="1" t="str">
        <f aca="false">TEXT(B4768,"mmm")</f>
        <v>Jan</v>
      </c>
      <c r="R4768" s="1" t="str">
        <f aca="false">"Q"&amp;ROUNDUP(MONTH(B4768)/3,0)</f>
        <v>Q1</v>
      </c>
    </row>
    <row r="4769" customFormat="false" ht="15" hidden="false" customHeight="true" outlineLevel="0" collapsed="false">
      <c r="A4769" s="1" t="n">
        <v>14768</v>
      </c>
      <c r="B4769" s="14" t="n">
        <v>49329</v>
      </c>
      <c r="C4769" s="1" t="n">
        <v>1382</v>
      </c>
      <c r="D4769" s="1" t="s">
        <v>34</v>
      </c>
      <c r="E4769" s="1" t="s">
        <v>28</v>
      </c>
      <c r="F4769" s="1" t="n">
        <v>2</v>
      </c>
      <c r="G4769" s="15" t="n">
        <v>360.84</v>
      </c>
      <c r="H4769" s="16" t="n">
        <v>0.15</v>
      </c>
      <c r="I4769" s="1" t="s">
        <v>31</v>
      </c>
      <c r="J4769" s="1" t="n">
        <v>11</v>
      </c>
      <c r="K4769" s="1" t="n">
        <v>1.2</v>
      </c>
      <c r="L4769" s="15" t="n">
        <v>613.43</v>
      </c>
      <c r="M4769" s="15" t="n">
        <f aca="false">F4769*G4769</f>
        <v>721.68</v>
      </c>
      <c r="N4769" s="15" t="n">
        <f aca="false">M4769-L4769</f>
        <v>108.25</v>
      </c>
      <c r="O4769" s="1" t="n">
        <f aca="false">YEAR(B4769)</f>
        <v>2035</v>
      </c>
      <c r="P4769" s="1" t="n">
        <f aca="false">MONTH(B4769)</f>
        <v>1</v>
      </c>
      <c r="Q4769" s="1" t="str">
        <f aca="false">TEXT(B4769,"mmm")</f>
        <v>Jan</v>
      </c>
      <c r="R4769" s="1" t="str">
        <f aca="false">"Q"&amp;ROUNDUP(MONTH(B4769)/3,0)</f>
        <v>Q1</v>
      </c>
    </row>
    <row r="4770" customFormat="false" ht="15" hidden="false" customHeight="true" outlineLevel="0" collapsed="false">
      <c r="A4770" s="1" t="n">
        <v>14769</v>
      </c>
      <c r="B4770" s="14" t="n">
        <v>49330</v>
      </c>
      <c r="C4770" s="1" t="n">
        <v>1532</v>
      </c>
      <c r="D4770" s="1" t="s">
        <v>34</v>
      </c>
      <c r="E4770" s="1" t="s">
        <v>35</v>
      </c>
      <c r="F4770" s="1" t="n">
        <v>4</v>
      </c>
      <c r="G4770" s="15" t="n">
        <v>581.93</v>
      </c>
      <c r="H4770" s="16" t="n">
        <v>0.32</v>
      </c>
      <c r="I4770" s="1" t="s">
        <v>31</v>
      </c>
      <c r="J4770" s="1" t="n">
        <v>8</v>
      </c>
      <c r="K4770" s="1" t="n">
        <v>3.6</v>
      </c>
      <c r="L4770" s="15" t="n">
        <v>1582.85</v>
      </c>
      <c r="M4770" s="15" t="n">
        <f aca="false">F4770*G4770</f>
        <v>2327.72</v>
      </c>
      <c r="N4770" s="15" t="n">
        <f aca="false">M4770-L4770</f>
        <v>744.87</v>
      </c>
      <c r="O4770" s="1" t="n">
        <f aca="false">YEAR(B4770)</f>
        <v>2035</v>
      </c>
      <c r="P4770" s="1" t="n">
        <f aca="false">MONTH(B4770)</f>
        <v>1</v>
      </c>
      <c r="Q4770" s="1" t="str">
        <f aca="false">TEXT(B4770,"mmm")</f>
        <v>Jan</v>
      </c>
      <c r="R4770" s="1" t="str">
        <f aca="false">"Q"&amp;ROUNDUP(MONTH(B4770)/3,0)</f>
        <v>Q1</v>
      </c>
    </row>
    <row r="4771" customFormat="false" ht="15" hidden="false" customHeight="true" outlineLevel="0" collapsed="false">
      <c r="A4771" s="1" t="n">
        <v>14770</v>
      </c>
      <c r="B4771" s="14" t="n">
        <v>49331</v>
      </c>
      <c r="C4771" s="1" t="n">
        <v>1299</v>
      </c>
      <c r="D4771" s="1" t="s">
        <v>37</v>
      </c>
      <c r="E4771" s="1" t="s">
        <v>28</v>
      </c>
      <c r="F4771" s="1" t="n">
        <v>2</v>
      </c>
      <c r="G4771" s="15" t="n">
        <v>106.71</v>
      </c>
      <c r="H4771" s="16" t="n">
        <v>0.16</v>
      </c>
      <c r="I4771" s="1" t="s">
        <v>33</v>
      </c>
      <c r="J4771" s="1" t="n">
        <v>1</v>
      </c>
      <c r="K4771" s="1" t="n">
        <v>2.8</v>
      </c>
      <c r="L4771" s="15" t="n">
        <v>179.27</v>
      </c>
      <c r="M4771" s="15" t="n">
        <f aca="false">F4771*G4771</f>
        <v>213.42</v>
      </c>
      <c r="N4771" s="15" t="n">
        <f aca="false">M4771-L4771</f>
        <v>34.15</v>
      </c>
      <c r="O4771" s="1" t="n">
        <f aca="false">YEAR(B4771)</f>
        <v>2035</v>
      </c>
      <c r="P4771" s="1" t="n">
        <f aca="false">MONTH(B4771)</f>
        <v>1</v>
      </c>
      <c r="Q4771" s="1" t="str">
        <f aca="false">TEXT(B4771,"mmm")</f>
        <v>Jan</v>
      </c>
      <c r="R4771" s="1" t="str">
        <f aca="false">"Q"&amp;ROUNDUP(MONTH(B4771)/3,0)</f>
        <v>Q1</v>
      </c>
    </row>
    <row r="4772" customFormat="false" ht="15" hidden="false" customHeight="true" outlineLevel="0" collapsed="false">
      <c r="A4772" s="1" t="n">
        <v>14771</v>
      </c>
      <c r="B4772" s="14" t="n">
        <v>49332</v>
      </c>
      <c r="C4772" s="1" t="n">
        <v>1138</v>
      </c>
      <c r="D4772" s="1" t="s">
        <v>30</v>
      </c>
      <c r="E4772" s="1" t="s">
        <v>35</v>
      </c>
      <c r="F4772" s="1" t="n">
        <v>6</v>
      </c>
      <c r="G4772" s="15" t="n">
        <v>513.95</v>
      </c>
      <c r="H4772" s="16" t="n">
        <v>0.07</v>
      </c>
      <c r="I4772" s="1" t="s">
        <v>31</v>
      </c>
      <c r="J4772" s="1" t="n">
        <v>6</v>
      </c>
      <c r="K4772" s="1" t="n">
        <v>3.3</v>
      </c>
      <c r="L4772" s="15" t="n">
        <v>2867.84</v>
      </c>
      <c r="M4772" s="15" t="n">
        <f aca="false">F4772*G4772</f>
        <v>3083.7</v>
      </c>
      <c r="N4772" s="15" t="n">
        <f aca="false">M4772-L4772</f>
        <v>215.86</v>
      </c>
      <c r="O4772" s="1" t="n">
        <f aca="false">YEAR(B4772)</f>
        <v>2035</v>
      </c>
      <c r="P4772" s="1" t="n">
        <f aca="false">MONTH(B4772)</f>
        <v>1</v>
      </c>
      <c r="Q4772" s="1" t="str">
        <f aca="false">TEXT(B4772,"mmm")</f>
        <v>Jan</v>
      </c>
      <c r="R4772" s="1" t="str">
        <f aca="false">"Q"&amp;ROUNDUP(MONTH(B4772)/3,0)</f>
        <v>Q1</v>
      </c>
    </row>
    <row r="4773" customFormat="false" ht="15" hidden="false" customHeight="true" outlineLevel="0" collapsed="false">
      <c r="A4773" s="1" t="n">
        <v>14772</v>
      </c>
      <c r="B4773" s="14" t="n">
        <v>49333</v>
      </c>
      <c r="C4773" s="1" t="n">
        <v>1358</v>
      </c>
      <c r="D4773" s="1" t="s">
        <v>27</v>
      </c>
      <c r="E4773" s="1" t="s">
        <v>35</v>
      </c>
      <c r="F4773" s="1" t="n">
        <v>5</v>
      </c>
      <c r="G4773" s="15" t="n">
        <v>425.99</v>
      </c>
      <c r="H4773" s="16" t="n">
        <v>0.06</v>
      </c>
      <c r="I4773" s="1" t="s">
        <v>31</v>
      </c>
      <c r="J4773" s="1" t="n">
        <v>6</v>
      </c>
      <c r="K4773" s="1" t="n">
        <v>4.9</v>
      </c>
      <c r="L4773" s="15" t="n">
        <v>2002.15</v>
      </c>
      <c r="M4773" s="15" t="n">
        <f aca="false">F4773*G4773</f>
        <v>2129.95</v>
      </c>
      <c r="N4773" s="15" t="n">
        <f aca="false">M4773-L4773</f>
        <v>127.8</v>
      </c>
      <c r="O4773" s="1" t="n">
        <f aca="false">YEAR(B4773)</f>
        <v>2035</v>
      </c>
      <c r="P4773" s="1" t="n">
        <f aca="false">MONTH(B4773)</f>
        <v>1</v>
      </c>
      <c r="Q4773" s="1" t="str">
        <f aca="false">TEXT(B4773,"mmm")</f>
        <v>Jan</v>
      </c>
      <c r="R4773" s="1" t="str">
        <f aca="false">"Q"&amp;ROUNDUP(MONTH(B4773)/3,0)</f>
        <v>Q1</v>
      </c>
    </row>
    <row r="4774" customFormat="false" ht="15" hidden="false" customHeight="true" outlineLevel="0" collapsed="false">
      <c r="A4774" s="1" t="n">
        <v>14773</v>
      </c>
      <c r="B4774" s="14" t="n">
        <v>49334</v>
      </c>
      <c r="C4774" s="1" t="n">
        <v>1835</v>
      </c>
      <c r="D4774" s="1" t="s">
        <v>30</v>
      </c>
      <c r="E4774" s="1" t="s">
        <v>35</v>
      </c>
      <c r="F4774" s="1" t="n">
        <v>1</v>
      </c>
      <c r="G4774" s="15" t="n">
        <v>467.79</v>
      </c>
      <c r="H4774" s="16" t="n">
        <v>0.17</v>
      </c>
      <c r="I4774" s="1" t="s">
        <v>31</v>
      </c>
      <c r="J4774" s="1" t="n">
        <v>9</v>
      </c>
      <c r="K4774" s="1" t="n">
        <v>2.6</v>
      </c>
      <c r="L4774" s="15" t="n">
        <v>388.27</v>
      </c>
      <c r="M4774" s="15" t="n">
        <f aca="false">F4774*G4774</f>
        <v>467.79</v>
      </c>
      <c r="N4774" s="15" t="n">
        <f aca="false">M4774-L4774</f>
        <v>79.52</v>
      </c>
      <c r="O4774" s="1" t="n">
        <f aca="false">YEAR(B4774)</f>
        <v>2035</v>
      </c>
      <c r="P4774" s="1" t="n">
        <f aca="false">MONTH(B4774)</f>
        <v>1</v>
      </c>
      <c r="Q4774" s="1" t="str">
        <f aca="false">TEXT(B4774,"mmm")</f>
        <v>Jan</v>
      </c>
      <c r="R4774" s="1" t="str">
        <f aca="false">"Q"&amp;ROUNDUP(MONTH(B4774)/3,0)</f>
        <v>Q1</v>
      </c>
    </row>
    <row r="4775" customFormat="false" ht="15" hidden="false" customHeight="true" outlineLevel="0" collapsed="false">
      <c r="A4775" s="1" t="n">
        <v>14774</v>
      </c>
      <c r="B4775" s="14" t="n">
        <v>49335</v>
      </c>
      <c r="C4775" s="1" t="n">
        <v>1498</v>
      </c>
      <c r="D4775" s="1" t="s">
        <v>37</v>
      </c>
      <c r="E4775" s="1" t="s">
        <v>32</v>
      </c>
      <c r="F4775" s="1" t="n">
        <v>6</v>
      </c>
      <c r="G4775" s="15" t="n">
        <v>179.95</v>
      </c>
      <c r="H4775" s="16" t="n">
        <v>0.27</v>
      </c>
      <c r="I4775" s="1" t="s">
        <v>33</v>
      </c>
      <c r="J4775" s="1" t="n">
        <v>2</v>
      </c>
      <c r="K4775" s="1" t="n">
        <v>2.2</v>
      </c>
      <c r="L4775" s="15" t="n">
        <v>788.18</v>
      </c>
      <c r="M4775" s="15" t="n">
        <f aca="false">F4775*G4775</f>
        <v>1079.7</v>
      </c>
      <c r="N4775" s="15" t="n">
        <f aca="false">M4775-L4775</f>
        <v>291.52</v>
      </c>
      <c r="O4775" s="1" t="n">
        <f aca="false">YEAR(B4775)</f>
        <v>2035</v>
      </c>
      <c r="P4775" s="1" t="n">
        <f aca="false">MONTH(B4775)</f>
        <v>1</v>
      </c>
      <c r="Q4775" s="1" t="str">
        <f aca="false">TEXT(B4775,"mmm")</f>
        <v>Jan</v>
      </c>
      <c r="R4775" s="1" t="str">
        <f aca="false">"Q"&amp;ROUNDUP(MONTH(B4775)/3,0)</f>
        <v>Q1</v>
      </c>
    </row>
    <row r="4776" customFormat="false" ht="15" hidden="false" customHeight="true" outlineLevel="0" collapsed="false">
      <c r="A4776" s="1" t="n">
        <v>14775</v>
      </c>
      <c r="B4776" s="14" t="n">
        <v>49336</v>
      </c>
      <c r="C4776" s="1" t="n">
        <v>1384</v>
      </c>
      <c r="D4776" s="1" t="s">
        <v>30</v>
      </c>
      <c r="E4776" s="1" t="s">
        <v>28</v>
      </c>
      <c r="F4776" s="1" t="n">
        <v>5</v>
      </c>
      <c r="G4776" s="15" t="n">
        <v>183.42</v>
      </c>
      <c r="H4776" s="16" t="n">
        <v>0.35</v>
      </c>
      <c r="I4776" s="1" t="s">
        <v>29</v>
      </c>
      <c r="J4776" s="1" t="n">
        <v>8</v>
      </c>
      <c r="K4776" s="1" t="n">
        <v>1.6</v>
      </c>
      <c r="L4776" s="15" t="n">
        <v>596.12</v>
      </c>
      <c r="M4776" s="15" t="n">
        <f aca="false">F4776*G4776</f>
        <v>917.1</v>
      </c>
      <c r="N4776" s="15" t="n">
        <f aca="false">M4776-L4776</f>
        <v>320.98</v>
      </c>
      <c r="O4776" s="1" t="n">
        <f aca="false">YEAR(B4776)</f>
        <v>2035</v>
      </c>
      <c r="P4776" s="1" t="n">
        <f aca="false">MONTH(B4776)</f>
        <v>1</v>
      </c>
      <c r="Q4776" s="1" t="str">
        <f aca="false">TEXT(B4776,"mmm")</f>
        <v>Jan</v>
      </c>
      <c r="R4776" s="1" t="str">
        <f aca="false">"Q"&amp;ROUNDUP(MONTH(B4776)/3,0)</f>
        <v>Q1</v>
      </c>
    </row>
    <row r="4777" customFormat="false" ht="15" hidden="false" customHeight="true" outlineLevel="0" collapsed="false">
      <c r="A4777" s="1" t="n">
        <v>14776</v>
      </c>
      <c r="B4777" s="14" t="n">
        <v>49337</v>
      </c>
      <c r="C4777" s="1" t="n">
        <v>1603</v>
      </c>
      <c r="D4777" s="1" t="s">
        <v>30</v>
      </c>
      <c r="E4777" s="1" t="s">
        <v>28</v>
      </c>
      <c r="F4777" s="1" t="n">
        <v>6</v>
      </c>
      <c r="G4777" s="15" t="n">
        <v>545.02</v>
      </c>
      <c r="H4777" s="16" t="n">
        <v>0.28</v>
      </c>
      <c r="I4777" s="1" t="s">
        <v>33</v>
      </c>
      <c r="J4777" s="1" t="n">
        <v>7</v>
      </c>
      <c r="K4777" s="1" t="n">
        <v>1.6</v>
      </c>
      <c r="L4777" s="15" t="n">
        <v>2354.49</v>
      </c>
      <c r="M4777" s="15" t="n">
        <f aca="false">F4777*G4777</f>
        <v>3270.12</v>
      </c>
      <c r="N4777" s="15" t="n">
        <f aca="false">M4777-L4777</f>
        <v>915.63</v>
      </c>
      <c r="O4777" s="1" t="n">
        <f aca="false">YEAR(B4777)</f>
        <v>2035</v>
      </c>
      <c r="P4777" s="1" t="n">
        <f aca="false">MONTH(B4777)</f>
        <v>1</v>
      </c>
      <c r="Q4777" s="1" t="str">
        <f aca="false">TEXT(B4777,"mmm")</f>
        <v>Jan</v>
      </c>
      <c r="R4777" s="1" t="str">
        <f aca="false">"Q"&amp;ROUNDUP(MONTH(B4777)/3,0)</f>
        <v>Q1</v>
      </c>
    </row>
    <row r="4778" customFormat="false" ht="15" hidden="false" customHeight="true" outlineLevel="0" collapsed="false">
      <c r="A4778" s="1" t="n">
        <v>14777</v>
      </c>
      <c r="B4778" s="14" t="n">
        <v>49338</v>
      </c>
      <c r="C4778" s="1" t="n">
        <v>1958</v>
      </c>
      <c r="D4778" s="1" t="s">
        <v>34</v>
      </c>
      <c r="E4778" s="1" t="s">
        <v>36</v>
      </c>
      <c r="F4778" s="1" t="n">
        <v>5</v>
      </c>
      <c r="G4778" s="15" t="n">
        <v>225.5</v>
      </c>
      <c r="H4778" s="16" t="n">
        <v>0.31</v>
      </c>
      <c r="I4778" s="1" t="s">
        <v>31</v>
      </c>
      <c r="J4778" s="1" t="n">
        <v>2</v>
      </c>
      <c r="K4778" s="1" t="n">
        <v>3.1</v>
      </c>
      <c r="L4778" s="15" t="n">
        <v>777.97</v>
      </c>
      <c r="M4778" s="15" t="n">
        <f aca="false">F4778*G4778</f>
        <v>1127.5</v>
      </c>
      <c r="N4778" s="15" t="n">
        <f aca="false">M4778-L4778</f>
        <v>349.53</v>
      </c>
      <c r="O4778" s="1" t="n">
        <f aca="false">YEAR(B4778)</f>
        <v>2035</v>
      </c>
      <c r="P4778" s="1" t="n">
        <f aca="false">MONTH(B4778)</f>
        <v>1</v>
      </c>
      <c r="Q4778" s="1" t="str">
        <f aca="false">TEXT(B4778,"mmm")</f>
        <v>Jan</v>
      </c>
      <c r="R4778" s="1" t="str">
        <f aca="false">"Q"&amp;ROUNDUP(MONTH(B4778)/3,0)</f>
        <v>Q1</v>
      </c>
    </row>
    <row r="4779" customFormat="false" ht="15" hidden="false" customHeight="true" outlineLevel="0" collapsed="false">
      <c r="A4779" s="1" t="n">
        <v>14778</v>
      </c>
      <c r="B4779" s="14" t="n">
        <v>49339</v>
      </c>
      <c r="C4779" s="1" t="n">
        <v>1279</v>
      </c>
      <c r="D4779" s="1" t="s">
        <v>30</v>
      </c>
      <c r="E4779" s="1" t="s">
        <v>32</v>
      </c>
      <c r="F4779" s="1" t="n">
        <v>7</v>
      </c>
      <c r="G4779" s="15" t="n">
        <v>51.86</v>
      </c>
      <c r="H4779" s="16" t="n">
        <v>0.26</v>
      </c>
      <c r="I4779" s="1" t="s">
        <v>31</v>
      </c>
      <c r="J4779" s="1" t="n">
        <v>1</v>
      </c>
      <c r="K4779" s="1" t="n">
        <v>4</v>
      </c>
      <c r="L4779" s="15" t="n">
        <v>268.63</v>
      </c>
      <c r="M4779" s="15" t="n">
        <f aca="false">F4779*G4779</f>
        <v>363.02</v>
      </c>
      <c r="N4779" s="15" t="n">
        <f aca="false">M4779-L4779</f>
        <v>94.39</v>
      </c>
      <c r="O4779" s="1" t="n">
        <f aca="false">YEAR(B4779)</f>
        <v>2035</v>
      </c>
      <c r="P4779" s="1" t="n">
        <f aca="false">MONTH(B4779)</f>
        <v>1</v>
      </c>
      <c r="Q4779" s="1" t="str">
        <f aca="false">TEXT(B4779,"mmm")</f>
        <v>Jan</v>
      </c>
      <c r="R4779" s="1" t="str">
        <f aca="false">"Q"&amp;ROUNDUP(MONTH(B4779)/3,0)</f>
        <v>Q1</v>
      </c>
    </row>
    <row r="4780" customFormat="false" ht="15" hidden="false" customHeight="true" outlineLevel="0" collapsed="false">
      <c r="A4780" s="1" t="n">
        <v>14779</v>
      </c>
      <c r="B4780" s="14" t="n">
        <v>49340</v>
      </c>
      <c r="C4780" s="1" t="n">
        <v>1636</v>
      </c>
      <c r="D4780" s="1" t="s">
        <v>30</v>
      </c>
      <c r="E4780" s="1" t="s">
        <v>36</v>
      </c>
      <c r="F4780" s="1" t="n">
        <v>1</v>
      </c>
      <c r="G4780" s="15" t="n">
        <v>366.35</v>
      </c>
      <c r="H4780" s="16" t="n">
        <v>0.31</v>
      </c>
      <c r="I4780" s="1" t="s">
        <v>31</v>
      </c>
      <c r="J4780" s="1" t="n">
        <v>4</v>
      </c>
      <c r="K4780" s="1" t="n">
        <v>3.3</v>
      </c>
      <c r="L4780" s="15" t="n">
        <v>252.78</v>
      </c>
      <c r="M4780" s="15" t="n">
        <f aca="false">F4780*G4780</f>
        <v>366.35</v>
      </c>
      <c r="N4780" s="15" t="n">
        <f aca="false">M4780-L4780</f>
        <v>113.57</v>
      </c>
      <c r="O4780" s="1" t="n">
        <f aca="false">YEAR(B4780)</f>
        <v>2035</v>
      </c>
      <c r="P4780" s="1" t="n">
        <f aca="false">MONTH(B4780)</f>
        <v>1</v>
      </c>
      <c r="Q4780" s="1" t="str">
        <f aca="false">TEXT(B4780,"mmm")</f>
        <v>Jan</v>
      </c>
      <c r="R4780" s="1" t="str">
        <f aca="false">"Q"&amp;ROUNDUP(MONTH(B4780)/3,0)</f>
        <v>Q1</v>
      </c>
    </row>
    <row r="4781" customFormat="false" ht="15" hidden="false" customHeight="true" outlineLevel="0" collapsed="false">
      <c r="A4781" s="1" t="n">
        <v>14780</v>
      </c>
      <c r="B4781" s="14" t="n">
        <v>49341</v>
      </c>
      <c r="C4781" s="1" t="n">
        <v>1482</v>
      </c>
      <c r="D4781" s="1" t="s">
        <v>37</v>
      </c>
      <c r="E4781" s="1" t="s">
        <v>36</v>
      </c>
      <c r="F4781" s="1" t="n">
        <v>5</v>
      </c>
      <c r="G4781" s="15" t="n">
        <v>88.02</v>
      </c>
      <c r="H4781" s="16" t="n">
        <v>0.03</v>
      </c>
      <c r="I4781" s="1" t="s">
        <v>29</v>
      </c>
      <c r="J4781" s="1" t="n">
        <v>2</v>
      </c>
      <c r="K4781" s="1" t="n">
        <v>4.5</v>
      </c>
      <c r="L4781" s="15" t="n">
        <v>426.9</v>
      </c>
      <c r="M4781" s="15" t="n">
        <f aca="false">F4781*G4781</f>
        <v>440.1</v>
      </c>
      <c r="N4781" s="15" t="n">
        <f aca="false">M4781-L4781</f>
        <v>13.2</v>
      </c>
      <c r="O4781" s="1" t="n">
        <f aca="false">YEAR(B4781)</f>
        <v>2035</v>
      </c>
      <c r="P4781" s="1" t="n">
        <f aca="false">MONTH(B4781)</f>
        <v>2</v>
      </c>
      <c r="Q4781" s="1" t="str">
        <f aca="false">TEXT(B4781,"mmm")</f>
        <v>Feb</v>
      </c>
      <c r="R4781" s="1" t="str">
        <f aca="false">"Q"&amp;ROUNDUP(MONTH(B4781)/3,0)</f>
        <v>Q1</v>
      </c>
    </row>
    <row r="4782" customFormat="false" ht="15" hidden="false" customHeight="true" outlineLevel="0" collapsed="false">
      <c r="A4782" s="1" t="n">
        <v>14781</v>
      </c>
      <c r="B4782" s="14" t="n">
        <v>49342</v>
      </c>
      <c r="C4782" s="1" t="n">
        <v>1908</v>
      </c>
      <c r="D4782" s="1" t="s">
        <v>27</v>
      </c>
      <c r="E4782" s="1" t="s">
        <v>35</v>
      </c>
      <c r="F4782" s="1" t="n">
        <v>3</v>
      </c>
      <c r="G4782" s="15" t="n">
        <v>481.01</v>
      </c>
      <c r="H4782" s="16" t="n">
        <v>0.33</v>
      </c>
      <c r="I4782" s="1" t="s">
        <v>33</v>
      </c>
      <c r="J4782" s="1" t="n">
        <v>3</v>
      </c>
      <c r="K4782" s="1" t="n">
        <v>2.3</v>
      </c>
      <c r="L4782" s="15" t="n">
        <v>966.83</v>
      </c>
      <c r="M4782" s="15" t="n">
        <f aca="false">F4782*G4782</f>
        <v>1443.03</v>
      </c>
      <c r="N4782" s="15" t="n">
        <f aca="false">M4782-L4782</f>
        <v>476.2</v>
      </c>
      <c r="O4782" s="1" t="n">
        <f aca="false">YEAR(B4782)</f>
        <v>2035</v>
      </c>
      <c r="P4782" s="1" t="n">
        <f aca="false">MONTH(B4782)</f>
        <v>2</v>
      </c>
      <c r="Q4782" s="1" t="str">
        <f aca="false">TEXT(B4782,"mmm")</f>
        <v>Feb</v>
      </c>
      <c r="R4782" s="1" t="str">
        <f aca="false">"Q"&amp;ROUNDUP(MONTH(B4782)/3,0)</f>
        <v>Q1</v>
      </c>
    </row>
    <row r="4783" customFormat="false" ht="15" hidden="false" customHeight="true" outlineLevel="0" collapsed="false">
      <c r="A4783" s="1" t="n">
        <v>14782</v>
      </c>
      <c r="B4783" s="14" t="n">
        <v>49343</v>
      </c>
      <c r="C4783" s="1" t="n">
        <v>1110</v>
      </c>
      <c r="D4783" s="1" t="s">
        <v>34</v>
      </c>
      <c r="E4783" s="1" t="s">
        <v>32</v>
      </c>
      <c r="F4783" s="1" t="n">
        <v>6</v>
      </c>
      <c r="G4783" s="15" t="n">
        <v>390.42</v>
      </c>
      <c r="H4783" s="16" t="n">
        <v>0.14</v>
      </c>
      <c r="I4783" s="1" t="s">
        <v>31</v>
      </c>
      <c r="J4783" s="1" t="n">
        <v>2</v>
      </c>
      <c r="K4783" s="1" t="n">
        <v>3.4</v>
      </c>
      <c r="L4783" s="15" t="n">
        <v>2014.57</v>
      </c>
      <c r="M4783" s="15" t="n">
        <f aca="false">F4783*G4783</f>
        <v>2342.52</v>
      </c>
      <c r="N4783" s="15" t="n">
        <f aca="false">M4783-L4783</f>
        <v>327.95</v>
      </c>
      <c r="O4783" s="1" t="n">
        <f aca="false">YEAR(B4783)</f>
        <v>2035</v>
      </c>
      <c r="P4783" s="1" t="n">
        <f aca="false">MONTH(B4783)</f>
        <v>2</v>
      </c>
      <c r="Q4783" s="1" t="str">
        <f aca="false">TEXT(B4783,"mmm")</f>
        <v>Feb</v>
      </c>
      <c r="R4783" s="1" t="str">
        <f aca="false">"Q"&amp;ROUNDUP(MONTH(B4783)/3,0)</f>
        <v>Q1</v>
      </c>
    </row>
    <row r="4784" customFormat="false" ht="15" hidden="false" customHeight="true" outlineLevel="0" collapsed="false">
      <c r="A4784" s="1" t="n">
        <v>14783</v>
      </c>
      <c r="B4784" s="14" t="n">
        <v>49344</v>
      </c>
      <c r="C4784" s="1" t="n">
        <v>1865</v>
      </c>
      <c r="D4784" s="1" t="s">
        <v>34</v>
      </c>
      <c r="E4784" s="1" t="s">
        <v>36</v>
      </c>
      <c r="F4784" s="1" t="n">
        <v>1</v>
      </c>
      <c r="G4784" s="15" t="n">
        <v>526.72</v>
      </c>
      <c r="H4784" s="16" t="n">
        <v>0.32</v>
      </c>
      <c r="I4784" s="1" t="s">
        <v>33</v>
      </c>
      <c r="J4784" s="1" t="n">
        <v>9</v>
      </c>
      <c r="K4784" s="1" t="n">
        <v>3.6</v>
      </c>
      <c r="L4784" s="15" t="n">
        <v>358.17</v>
      </c>
      <c r="M4784" s="15" t="n">
        <f aca="false">F4784*G4784</f>
        <v>526.72</v>
      </c>
      <c r="N4784" s="15" t="n">
        <f aca="false">M4784-L4784</f>
        <v>168.55</v>
      </c>
      <c r="O4784" s="1" t="n">
        <f aca="false">YEAR(B4784)</f>
        <v>2035</v>
      </c>
      <c r="P4784" s="1" t="n">
        <f aca="false">MONTH(B4784)</f>
        <v>2</v>
      </c>
      <c r="Q4784" s="1" t="str">
        <f aca="false">TEXT(B4784,"mmm")</f>
        <v>Feb</v>
      </c>
      <c r="R4784" s="1" t="str">
        <f aca="false">"Q"&amp;ROUNDUP(MONTH(B4784)/3,0)</f>
        <v>Q1</v>
      </c>
    </row>
    <row r="4785" customFormat="false" ht="15" hidden="false" customHeight="true" outlineLevel="0" collapsed="false">
      <c r="A4785" s="1" t="n">
        <v>14784</v>
      </c>
      <c r="B4785" s="14" t="n">
        <v>49345</v>
      </c>
      <c r="C4785" s="1" t="n">
        <v>1138</v>
      </c>
      <c r="D4785" s="1" t="s">
        <v>30</v>
      </c>
      <c r="E4785" s="1" t="s">
        <v>28</v>
      </c>
      <c r="F4785" s="1" t="n">
        <v>5</v>
      </c>
      <c r="G4785" s="15" t="n">
        <v>474.13</v>
      </c>
      <c r="H4785" s="16" t="n">
        <v>0.03</v>
      </c>
      <c r="I4785" s="1" t="s">
        <v>31</v>
      </c>
      <c r="J4785" s="1" t="n">
        <v>4</v>
      </c>
      <c r="K4785" s="1" t="n">
        <v>2.1</v>
      </c>
      <c r="L4785" s="15" t="n">
        <v>2299.53</v>
      </c>
      <c r="M4785" s="15" t="n">
        <f aca="false">F4785*G4785</f>
        <v>2370.65</v>
      </c>
      <c r="N4785" s="15" t="n">
        <f aca="false">M4785-L4785</f>
        <v>71.1199999999999</v>
      </c>
      <c r="O4785" s="1" t="n">
        <f aca="false">YEAR(B4785)</f>
        <v>2035</v>
      </c>
      <c r="P4785" s="1" t="n">
        <f aca="false">MONTH(B4785)</f>
        <v>2</v>
      </c>
      <c r="Q4785" s="1" t="str">
        <f aca="false">TEXT(B4785,"mmm")</f>
        <v>Feb</v>
      </c>
      <c r="R4785" s="1" t="str">
        <f aca="false">"Q"&amp;ROUNDUP(MONTH(B4785)/3,0)</f>
        <v>Q1</v>
      </c>
    </row>
    <row r="4786" customFormat="false" ht="15" hidden="false" customHeight="true" outlineLevel="0" collapsed="false">
      <c r="A4786" s="1" t="n">
        <v>14785</v>
      </c>
      <c r="B4786" s="14" t="n">
        <v>49346</v>
      </c>
      <c r="C4786" s="1" t="n">
        <v>1995</v>
      </c>
      <c r="D4786" s="1" t="s">
        <v>30</v>
      </c>
      <c r="E4786" s="1" t="s">
        <v>36</v>
      </c>
      <c r="F4786" s="1" t="n">
        <v>3</v>
      </c>
      <c r="G4786" s="15" t="n">
        <v>80.59</v>
      </c>
      <c r="H4786" s="16" t="n">
        <v>0.25</v>
      </c>
      <c r="I4786" s="1" t="s">
        <v>29</v>
      </c>
      <c r="J4786" s="1" t="n">
        <v>1</v>
      </c>
      <c r="K4786" s="1" t="n">
        <v>2.6</v>
      </c>
      <c r="L4786" s="15" t="n">
        <v>181.33</v>
      </c>
      <c r="M4786" s="15" t="n">
        <f aca="false">F4786*G4786</f>
        <v>241.77</v>
      </c>
      <c r="N4786" s="15" t="n">
        <f aca="false">M4786-L4786</f>
        <v>60.44</v>
      </c>
      <c r="O4786" s="1" t="n">
        <f aca="false">YEAR(B4786)</f>
        <v>2035</v>
      </c>
      <c r="P4786" s="1" t="n">
        <f aca="false">MONTH(B4786)</f>
        <v>2</v>
      </c>
      <c r="Q4786" s="1" t="str">
        <f aca="false">TEXT(B4786,"mmm")</f>
        <v>Feb</v>
      </c>
      <c r="R4786" s="1" t="str">
        <f aca="false">"Q"&amp;ROUNDUP(MONTH(B4786)/3,0)</f>
        <v>Q1</v>
      </c>
    </row>
    <row r="4787" customFormat="false" ht="15" hidden="false" customHeight="true" outlineLevel="0" collapsed="false">
      <c r="A4787" s="1" t="n">
        <v>14786</v>
      </c>
      <c r="B4787" s="14" t="n">
        <v>49347</v>
      </c>
      <c r="C4787" s="1" t="n">
        <v>1434</v>
      </c>
      <c r="D4787" s="1" t="s">
        <v>34</v>
      </c>
      <c r="E4787" s="1" t="s">
        <v>32</v>
      </c>
      <c r="F4787" s="1" t="n">
        <v>3</v>
      </c>
      <c r="G4787" s="15" t="n">
        <v>237.93</v>
      </c>
      <c r="H4787" s="16" t="n">
        <v>0.26</v>
      </c>
      <c r="I4787" s="1" t="s">
        <v>29</v>
      </c>
      <c r="J4787" s="1" t="n">
        <v>8</v>
      </c>
      <c r="K4787" s="1" t="n">
        <v>3.4</v>
      </c>
      <c r="L4787" s="15" t="n">
        <v>528.2</v>
      </c>
      <c r="M4787" s="15" t="n">
        <f aca="false">F4787*G4787</f>
        <v>713.79</v>
      </c>
      <c r="N4787" s="15" t="n">
        <f aca="false">M4787-L4787</f>
        <v>185.59</v>
      </c>
      <c r="O4787" s="1" t="n">
        <f aca="false">YEAR(B4787)</f>
        <v>2035</v>
      </c>
      <c r="P4787" s="1" t="n">
        <f aca="false">MONTH(B4787)</f>
        <v>2</v>
      </c>
      <c r="Q4787" s="1" t="str">
        <f aca="false">TEXT(B4787,"mmm")</f>
        <v>Feb</v>
      </c>
      <c r="R4787" s="1" t="str">
        <f aca="false">"Q"&amp;ROUNDUP(MONTH(B4787)/3,0)</f>
        <v>Q1</v>
      </c>
    </row>
    <row r="4788" customFormat="false" ht="15" hidden="false" customHeight="true" outlineLevel="0" collapsed="false">
      <c r="A4788" s="1" t="n">
        <v>14787</v>
      </c>
      <c r="B4788" s="14" t="n">
        <v>49348</v>
      </c>
      <c r="C4788" s="1" t="n">
        <v>1508</v>
      </c>
      <c r="D4788" s="1" t="s">
        <v>37</v>
      </c>
      <c r="E4788" s="1" t="s">
        <v>28</v>
      </c>
      <c r="F4788" s="1" t="n">
        <v>7</v>
      </c>
      <c r="G4788" s="15" t="n">
        <v>468.12</v>
      </c>
      <c r="H4788" s="16" t="n">
        <v>0.35</v>
      </c>
      <c r="I4788" s="1" t="s">
        <v>31</v>
      </c>
      <c r="J4788" s="1" t="n">
        <v>4</v>
      </c>
      <c r="K4788" s="1" t="n">
        <v>1.1</v>
      </c>
      <c r="L4788" s="15" t="n">
        <v>2129.95</v>
      </c>
      <c r="M4788" s="15" t="n">
        <f aca="false">F4788*G4788</f>
        <v>3276.84</v>
      </c>
      <c r="N4788" s="15" t="n">
        <f aca="false">M4788-L4788</f>
        <v>1146.89</v>
      </c>
      <c r="O4788" s="1" t="n">
        <f aca="false">YEAR(B4788)</f>
        <v>2035</v>
      </c>
      <c r="P4788" s="1" t="n">
        <f aca="false">MONTH(B4788)</f>
        <v>2</v>
      </c>
      <c r="Q4788" s="1" t="str">
        <f aca="false">TEXT(B4788,"mmm")</f>
        <v>Feb</v>
      </c>
      <c r="R4788" s="1" t="str">
        <f aca="false">"Q"&amp;ROUNDUP(MONTH(B4788)/3,0)</f>
        <v>Q1</v>
      </c>
    </row>
    <row r="4789" customFormat="false" ht="15" hidden="false" customHeight="true" outlineLevel="0" collapsed="false">
      <c r="A4789" s="1" t="n">
        <v>14788</v>
      </c>
      <c r="B4789" s="14" t="n">
        <v>49349</v>
      </c>
      <c r="C4789" s="1" t="n">
        <v>1272</v>
      </c>
      <c r="D4789" s="1" t="s">
        <v>27</v>
      </c>
      <c r="E4789" s="1" t="s">
        <v>28</v>
      </c>
      <c r="F4789" s="1" t="n">
        <v>4</v>
      </c>
      <c r="G4789" s="15" t="n">
        <v>259.14</v>
      </c>
      <c r="H4789" s="16" t="n">
        <v>0.27</v>
      </c>
      <c r="I4789" s="1" t="s">
        <v>33</v>
      </c>
      <c r="J4789" s="1" t="n">
        <v>10</v>
      </c>
      <c r="K4789" s="1" t="n">
        <v>4.5</v>
      </c>
      <c r="L4789" s="15" t="n">
        <v>756.69</v>
      </c>
      <c r="M4789" s="15" t="n">
        <f aca="false">F4789*G4789</f>
        <v>1036.56</v>
      </c>
      <c r="N4789" s="15" t="n">
        <f aca="false">M4789-L4789</f>
        <v>279.87</v>
      </c>
      <c r="O4789" s="1" t="n">
        <f aca="false">YEAR(B4789)</f>
        <v>2035</v>
      </c>
      <c r="P4789" s="1" t="n">
        <f aca="false">MONTH(B4789)</f>
        <v>2</v>
      </c>
      <c r="Q4789" s="1" t="str">
        <f aca="false">TEXT(B4789,"mmm")</f>
        <v>Feb</v>
      </c>
      <c r="R4789" s="1" t="str">
        <f aca="false">"Q"&amp;ROUNDUP(MONTH(B4789)/3,0)</f>
        <v>Q1</v>
      </c>
    </row>
    <row r="4790" customFormat="false" ht="15" hidden="false" customHeight="true" outlineLevel="0" collapsed="false">
      <c r="A4790" s="1" t="n">
        <v>14789</v>
      </c>
      <c r="B4790" s="14" t="n">
        <v>49350</v>
      </c>
      <c r="C4790" s="1" t="n">
        <v>1098</v>
      </c>
      <c r="D4790" s="1" t="s">
        <v>27</v>
      </c>
      <c r="E4790" s="1" t="s">
        <v>28</v>
      </c>
      <c r="F4790" s="1" t="n">
        <v>3</v>
      </c>
      <c r="G4790" s="15" t="n">
        <v>583.83</v>
      </c>
      <c r="H4790" s="16" t="n">
        <v>0.13</v>
      </c>
      <c r="I4790" s="1" t="s">
        <v>33</v>
      </c>
      <c r="J4790" s="1" t="n">
        <v>11</v>
      </c>
      <c r="K4790" s="1" t="n">
        <v>1.4</v>
      </c>
      <c r="L4790" s="15" t="n">
        <v>1523.8</v>
      </c>
      <c r="M4790" s="15" t="n">
        <f aca="false">F4790*G4790</f>
        <v>1751.49</v>
      </c>
      <c r="N4790" s="15" t="n">
        <f aca="false">M4790-L4790</f>
        <v>227.69</v>
      </c>
      <c r="O4790" s="1" t="n">
        <f aca="false">YEAR(B4790)</f>
        <v>2035</v>
      </c>
      <c r="P4790" s="1" t="n">
        <f aca="false">MONTH(B4790)</f>
        <v>2</v>
      </c>
      <c r="Q4790" s="1" t="str">
        <f aca="false">TEXT(B4790,"mmm")</f>
        <v>Feb</v>
      </c>
      <c r="R4790" s="1" t="str">
        <f aca="false">"Q"&amp;ROUNDUP(MONTH(B4790)/3,0)</f>
        <v>Q1</v>
      </c>
    </row>
    <row r="4791" customFormat="false" ht="15" hidden="false" customHeight="true" outlineLevel="0" collapsed="false">
      <c r="A4791" s="1" t="n">
        <v>14790</v>
      </c>
      <c r="B4791" s="14" t="n">
        <v>49351</v>
      </c>
      <c r="C4791" s="1" t="n">
        <v>1763</v>
      </c>
      <c r="D4791" s="1" t="s">
        <v>34</v>
      </c>
      <c r="E4791" s="1" t="s">
        <v>35</v>
      </c>
      <c r="F4791" s="1" t="n">
        <v>2</v>
      </c>
      <c r="G4791" s="15" t="n">
        <v>445.41</v>
      </c>
      <c r="H4791" s="16" t="n">
        <v>0.2</v>
      </c>
      <c r="I4791" s="1" t="s">
        <v>31</v>
      </c>
      <c r="J4791" s="1" t="n">
        <v>11</v>
      </c>
      <c r="K4791" s="1" t="n">
        <v>1.2</v>
      </c>
      <c r="L4791" s="15" t="n">
        <v>712.66</v>
      </c>
      <c r="M4791" s="15" t="n">
        <f aca="false">F4791*G4791</f>
        <v>890.82</v>
      </c>
      <c r="N4791" s="15" t="n">
        <f aca="false">M4791-L4791</f>
        <v>178.16</v>
      </c>
      <c r="O4791" s="1" t="n">
        <f aca="false">YEAR(B4791)</f>
        <v>2035</v>
      </c>
      <c r="P4791" s="1" t="n">
        <f aca="false">MONTH(B4791)</f>
        <v>2</v>
      </c>
      <c r="Q4791" s="1" t="str">
        <f aca="false">TEXT(B4791,"mmm")</f>
        <v>Feb</v>
      </c>
      <c r="R4791" s="1" t="str">
        <f aca="false">"Q"&amp;ROUNDUP(MONTH(B4791)/3,0)</f>
        <v>Q1</v>
      </c>
    </row>
    <row r="4792" customFormat="false" ht="15" hidden="false" customHeight="true" outlineLevel="0" collapsed="false">
      <c r="A4792" s="1" t="n">
        <v>14791</v>
      </c>
      <c r="B4792" s="14" t="n">
        <v>49352</v>
      </c>
      <c r="C4792" s="1" t="n">
        <v>1849</v>
      </c>
      <c r="D4792" s="1" t="s">
        <v>27</v>
      </c>
      <c r="E4792" s="1" t="s">
        <v>28</v>
      </c>
      <c r="F4792" s="1" t="n">
        <v>1</v>
      </c>
      <c r="G4792" s="15" t="n">
        <v>24.07</v>
      </c>
      <c r="H4792" s="16" t="n">
        <v>0.13</v>
      </c>
      <c r="I4792" s="1" t="s">
        <v>33</v>
      </c>
      <c r="J4792" s="1" t="n">
        <v>8</v>
      </c>
      <c r="K4792" s="1" t="n">
        <v>1.9</v>
      </c>
      <c r="L4792" s="15" t="n">
        <v>20.94</v>
      </c>
      <c r="M4792" s="15" t="n">
        <f aca="false">F4792*G4792</f>
        <v>24.07</v>
      </c>
      <c r="N4792" s="15" t="n">
        <f aca="false">M4792-L4792</f>
        <v>3.13</v>
      </c>
      <c r="O4792" s="1" t="n">
        <f aca="false">YEAR(B4792)</f>
        <v>2035</v>
      </c>
      <c r="P4792" s="1" t="n">
        <f aca="false">MONTH(B4792)</f>
        <v>2</v>
      </c>
      <c r="Q4792" s="1" t="str">
        <f aca="false">TEXT(B4792,"mmm")</f>
        <v>Feb</v>
      </c>
      <c r="R4792" s="1" t="str">
        <f aca="false">"Q"&amp;ROUNDUP(MONTH(B4792)/3,0)</f>
        <v>Q1</v>
      </c>
    </row>
    <row r="4793" customFormat="false" ht="15" hidden="false" customHeight="true" outlineLevel="0" collapsed="false">
      <c r="A4793" s="1" t="n">
        <v>14792</v>
      </c>
      <c r="B4793" s="14" t="n">
        <v>49353</v>
      </c>
      <c r="C4793" s="1" t="n">
        <v>1103</v>
      </c>
      <c r="D4793" s="1" t="s">
        <v>37</v>
      </c>
      <c r="E4793" s="1" t="s">
        <v>35</v>
      </c>
      <c r="F4793" s="1" t="n">
        <v>1</v>
      </c>
      <c r="G4793" s="15" t="n">
        <v>529.79</v>
      </c>
      <c r="H4793" s="16" t="n">
        <v>0.07</v>
      </c>
      <c r="I4793" s="1" t="s">
        <v>33</v>
      </c>
      <c r="J4793" s="1" t="n">
        <v>8</v>
      </c>
      <c r="K4793" s="1" t="n">
        <v>3</v>
      </c>
      <c r="L4793" s="15" t="n">
        <v>492.7</v>
      </c>
      <c r="M4793" s="15" t="n">
        <f aca="false">F4793*G4793</f>
        <v>529.79</v>
      </c>
      <c r="N4793" s="15" t="n">
        <f aca="false">M4793-L4793</f>
        <v>37.09</v>
      </c>
      <c r="O4793" s="1" t="n">
        <f aca="false">YEAR(B4793)</f>
        <v>2035</v>
      </c>
      <c r="P4793" s="1" t="n">
        <f aca="false">MONTH(B4793)</f>
        <v>2</v>
      </c>
      <c r="Q4793" s="1" t="str">
        <f aca="false">TEXT(B4793,"mmm")</f>
        <v>Feb</v>
      </c>
      <c r="R4793" s="1" t="str">
        <f aca="false">"Q"&amp;ROUNDUP(MONTH(B4793)/3,0)</f>
        <v>Q1</v>
      </c>
    </row>
    <row r="4794" customFormat="false" ht="15" hidden="false" customHeight="true" outlineLevel="0" collapsed="false">
      <c r="A4794" s="1" t="n">
        <v>14793</v>
      </c>
      <c r="B4794" s="14" t="n">
        <v>49354</v>
      </c>
      <c r="C4794" s="1" t="n">
        <v>1213</v>
      </c>
      <c r="D4794" s="1" t="s">
        <v>30</v>
      </c>
      <c r="E4794" s="1" t="s">
        <v>35</v>
      </c>
      <c r="F4794" s="1" t="n">
        <v>1</v>
      </c>
      <c r="G4794" s="15" t="n">
        <v>73.97</v>
      </c>
      <c r="H4794" s="16" t="n">
        <v>0.09</v>
      </c>
      <c r="I4794" s="1" t="s">
        <v>31</v>
      </c>
      <c r="J4794" s="1" t="n">
        <v>9</v>
      </c>
      <c r="K4794" s="1" t="n">
        <v>2.3</v>
      </c>
      <c r="L4794" s="15" t="n">
        <v>67.31</v>
      </c>
      <c r="M4794" s="15" t="n">
        <f aca="false">F4794*G4794</f>
        <v>73.97</v>
      </c>
      <c r="N4794" s="15" t="n">
        <f aca="false">M4794-L4794</f>
        <v>6.66</v>
      </c>
      <c r="O4794" s="1" t="n">
        <f aca="false">YEAR(B4794)</f>
        <v>2035</v>
      </c>
      <c r="P4794" s="1" t="n">
        <f aca="false">MONTH(B4794)</f>
        <v>2</v>
      </c>
      <c r="Q4794" s="1" t="str">
        <f aca="false">TEXT(B4794,"mmm")</f>
        <v>Feb</v>
      </c>
      <c r="R4794" s="1" t="str">
        <f aca="false">"Q"&amp;ROUNDUP(MONTH(B4794)/3,0)</f>
        <v>Q1</v>
      </c>
    </row>
    <row r="4795" customFormat="false" ht="15" hidden="false" customHeight="true" outlineLevel="0" collapsed="false">
      <c r="A4795" s="1" t="n">
        <v>14794</v>
      </c>
      <c r="B4795" s="14" t="n">
        <v>49355</v>
      </c>
      <c r="C4795" s="1" t="n">
        <v>1760</v>
      </c>
      <c r="D4795" s="1" t="s">
        <v>30</v>
      </c>
      <c r="E4795" s="1" t="s">
        <v>36</v>
      </c>
      <c r="F4795" s="1" t="n">
        <v>5</v>
      </c>
      <c r="G4795" s="15" t="n">
        <v>97.21</v>
      </c>
      <c r="H4795" s="16" t="n">
        <v>0.08</v>
      </c>
      <c r="I4795" s="1" t="s">
        <v>33</v>
      </c>
      <c r="J4795" s="1" t="n">
        <v>10</v>
      </c>
      <c r="K4795" s="1" t="n">
        <v>2.8</v>
      </c>
      <c r="L4795" s="15" t="n">
        <v>447.17</v>
      </c>
      <c r="M4795" s="15" t="n">
        <f aca="false">F4795*G4795</f>
        <v>486.05</v>
      </c>
      <c r="N4795" s="15" t="n">
        <f aca="false">M4795-L4795</f>
        <v>38.8799999999999</v>
      </c>
      <c r="O4795" s="1" t="n">
        <f aca="false">YEAR(B4795)</f>
        <v>2035</v>
      </c>
      <c r="P4795" s="1" t="n">
        <f aca="false">MONTH(B4795)</f>
        <v>2</v>
      </c>
      <c r="Q4795" s="1" t="str">
        <f aca="false">TEXT(B4795,"mmm")</f>
        <v>Feb</v>
      </c>
      <c r="R4795" s="1" t="str">
        <f aca="false">"Q"&amp;ROUNDUP(MONTH(B4795)/3,0)</f>
        <v>Q1</v>
      </c>
    </row>
    <row r="4796" customFormat="false" ht="15" hidden="false" customHeight="true" outlineLevel="0" collapsed="false">
      <c r="A4796" s="1" t="n">
        <v>14795</v>
      </c>
      <c r="B4796" s="14" t="n">
        <v>49356</v>
      </c>
      <c r="C4796" s="1" t="n">
        <v>1663</v>
      </c>
      <c r="D4796" s="1" t="s">
        <v>37</v>
      </c>
      <c r="E4796" s="1" t="s">
        <v>36</v>
      </c>
      <c r="F4796" s="1" t="n">
        <v>6</v>
      </c>
      <c r="G4796" s="15" t="n">
        <v>444.68</v>
      </c>
      <c r="H4796" s="16" t="n">
        <v>0.19</v>
      </c>
      <c r="I4796" s="1" t="s">
        <v>33</v>
      </c>
      <c r="J4796" s="1" t="n">
        <v>7</v>
      </c>
      <c r="K4796" s="1" t="n">
        <v>1.3</v>
      </c>
      <c r="L4796" s="15" t="n">
        <v>2161.14</v>
      </c>
      <c r="M4796" s="15" t="n">
        <f aca="false">F4796*G4796</f>
        <v>2668.08</v>
      </c>
      <c r="N4796" s="15" t="n">
        <f aca="false">M4796-L4796</f>
        <v>506.94</v>
      </c>
      <c r="O4796" s="1" t="n">
        <f aca="false">YEAR(B4796)</f>
        <v>2035</v>
      </c>
      <c r="P4796" s="1" t="n">
        <f aca="false">MONTH(B4796)</f>
        <v>2</v>
      </c>
      <c r="Q4796" s="1" t="str">
        <f aca="false">TEXT(B4796,"mmm")</f>
        <v>Feb</v>
      </c>
      <c r="R4796" s="1" t="str">
        <f aca="false">"Q"&amp;ROUNDUP(MONTH(B4796)/3,0)</f>
        <v>Q1</v>
      </c>
    </row>
    <row r="4797" customFormat="false" ht="15" hidden="false" customHeight="true" outlineLevel="0" collapsed="false">
      <c r="A4797" s="1" t="n">
        <v>14796</v>
      </c>
      <c r="B4797" s="14" t="n">
        <v>49357</v>
      </c>
      <c r="C4797" s="1" t="n">
        <v>1761</v>
      </c>
      <c r="D4797" s="1" t="s">
        <v>30</v>
      </c>
      <c r="E4797" s="1" t="s">
        <v>28</v>
      </c>
      <c r="F4797" s="1" t="n">
        <v>5</v>
      </c>
      <c r="G4797" s="15" t="n">
        <v>521.01</v>
      </c>
      <c r="H4797" s="16" t="n">
        <v>0.32</v>
      </c>
      <c r="I4797" s="1" t="s">
        <v>31</v>
      </c>
      <c r="J4797" s="1" t="n">
        <v>4</v>
      </c>
      <c r="K4797" s="1" t="n">
        <v>1.9</v>
      </c>
      <c r="L4797" s="15" t="n">
        <v>1771.43</v>
      </c>
      <c r="M4797" s="15" t="n">
        <f aca="false">F4797*G4797</f>
        <v>2605.05</v>
      </c>
      <c r="N4797" s="15" t="n">
        <f aca="false">M4797-L4797</f>
        <v>833.62</v>
      </c>
      <c r="O4797" s="1" t="n">
        <f aca="false">YEAR(B4797)</f>
        <v>2035</v>
      </c>
      <c r="P4797" s="1" t="n">
        <f aca="false">MONTH(B4797)</f>
        <v>2</v>
      </c>
      <c r="Q4797" s="1" t="str">
        <f aca="false">TEXT(B4797,"mmm")</f>
        <v>Feb</v>
      </c>
      <c r="R4797" s="1" t="str">
        <f aca="false">"Q"&amp;ROUNDUP(MONTH(B4797)/3,0)</f>
        <v>Q1</v>
      </c>
    </row>
    <row r="4798" customFormat="false" ht="15" hidden="false" customHeight="true" outlineLevel="0" collapsed="false">
      <c r="A4798" s="1" t="n">
        <v>14797</v>
      </c>
      <c r="B4798" s="14" t="n">
        <v>49358</v>
      </c>
      <c r="C4798" s="1" t="n">
        <v>1786</v>
      </c>
      <c r="D4798" s="1" t="s">
        <v>30</v>
      </c>
      <c r="E4798" s="1" t="s">
        <v>32</v>
      </c>
      <c r="F4798" s="1" t="n">
        <v>2</v>
      </c>
      <c r="G4798" s="15" t="n">
        <v>328.76</v>
      </c>
      <c r="H4798" s="16" t="n">
        <v>0.32</v>
      </c>
      <c r="I4798" s="1" t="s">
        <v>31</v>
      </c>
      <c r="J4798" s="1" t="n">
        <v>2</v>
      </c>
      <c r="K4798" s="1" t="n">
        <v>1.4</v>
      </c>
      <c r="L4798" s="15" t="n">
        <v>447.11</v>
      </c>
      <c r="M4798" s="15" t="n">
        <f aca="false">F4798*G4798</f>
        <v>657.52</v>
      </c>
      <c r="N4798" s="15" t="n">
        <f aca="false">M4798-L4798</f>
        <v>210.41</v>
      </c>
      <c r="O4798" s="1" t="n">
        <f aca="false">YEAR(B4798)</f>
        <v>2035</v>
      </c>
      <c r="P4798" s="1" t="n">
        <f aca="false">MONTH(B4798)</f>
        <v>2</v>
      </c>
      <c r="Q4798" s="1" t="str">
        <f aca="false">TEXT(B4798,"mmm")</f>
        <v>Feb</v>
      </c>
      <c r="R4798" s="1" t="str">
        <f aca="false">"Q"&amp;ROUNDUP(MONTH(B4798)/3,0)</f>
        <v>Q1</v>
      </c>
    </row>
    <row r="4799" customFormat="false" ht="15" hidden="false" customHeight="true" outlineLevel="0" collapsed="false">
      <c r="A4799" s="1" t="n">
        <v>14798</v>
      </c>
      <c r="B4799" s="14" t="n">
        <v>49359</v>
      </c>
      <c r="C4799" s="1" t="n">
        <v>1164</v>
      </c>
      <c r="D4799" s="1" t="s">
        <v>30</v>
      </c>
      <c r="E4799" s="1" t="s">
        <v>28</v>
      </c>
      <c r="F4799" s="1" t="n">
        <v>6</v>
      </c>
      <c r="G4799" s="15" t="n">
        <v>184.09</v>
      </c>
      <c r="H4799" s="16" t="n">
        <v>0.02</v>
      </c>
      <c r="I4799" s="1" t="s">
        <v>33</v>
      </c>
      <c r="J4799" s="1" t="n">
        <v>6</v>
      </c>
      <c r="K4799" s="1" t="n">
        <v>1.9</v>
      </c>
      <c r="L4799" s="15" t="n">
        <v>1082.45</v>
      </c>
      <c r="M4799" s="15" t="n">
        <f aca="false">F4799*G4799</f>
        <v>1104.54</v>
      </c>
      <c r="N4799" s="15" t="n">
        <f aca="false">M4799-L4799</f>
        <v>22.0899999999999</v>
      </c>
      <c r="O4799" s="1" t="n">
        <f aca="false">YEAR(B4799)</f>
        <v>2035</v>
      </c>
      <c r="P4799" s="1" t="n">
        <f aca="false">MONTH(B4799)</f>
        <v>2</v>
      </c>
      <c r="Q4799" s="1" t="str">
        <f aca="false">TEXT(B4799,"mmm")</f>
        <v>Feb</v>
      </c>
      <c r="R4799" s="1" t="str">
        <f aca="false">"Q"&amp;ROUNDUP(MONTH(B4799)/3,0)</f>
        <v>Q1</v>
      </c>
    </row>
    <row r="4800" customFormat="false" ht="15" hidden="false" customHeight="true" outlineLevel="0" collapsed="false">
      <c r="A4800" s="1" t="n">
        <v>14799</v>
      </c>
      <c r="B4800" s="14" t="n">
        <v>49360</v>
      </c>
      <c r="C4800" s="1" t="n">
        <v>1998</v>
      </c>
      <c r="D4800" s="1" t="s">
        <v>30</v>
      </c>
      <c r="E4800" s="1" t="s">
        <v>36</v>
      </c>
      <c r="F4800" s="1" t="n">
        <v>7</v>
      </c>
      <c r="G4800" s="15" t="n">
        <v>220.52</v>
      </c>
      <c r="H4800" s="16" t="n">
        <v>0.03</v>
      </c>
      <c r="I4800" s="1" t="s">
        <v>31</v>
      </c>
      <c r="J4800" s="1" t="n">
        <v>4</v>
      </c>
      <c r="K4800" s="1" t="n">
        <v>3.8</v>
      </c>
      <c r="L4800" s="15" t="n">
        <v>1497.33</v>
      </c>
      <c r="M4800" s="15" t="n">
        <f aca="false">F4800*G4800</f>
        <v>1543.64</v>
      </c>
      <c r="N4800" s="15" t="n">
        <f aca="false">M4800-L4800</f>
        <v>46.3100000000002</v>
      </c>
      <c r="O4800" s="1" t="n">
        <f aca="false">YEAR(B4800)</f>
        <v>2035</v>
      </c>
      <c r="P4800" s="1" t="n">
        <f aca="false">MONTH(B4800)</f>
        <v>2</v>
      </c>
      <c r="Q4800" s="1" t="str">
        <f aca="false">TEXT(B4800,"mmm")</f>
        <v>Feb</v>
      </c>
      <c r="R4800" s="1" t="str">
        <f aca="false">"Q"&amp;ROUNDUP(MONTH(B4800)/3,0)</f>
        <v>Q1</v>
      </c>
    </row>
    <row r="4801" customFormat="false" ht="15" hidden="false" customHeight="true" outlineLevel="0" collapsed="false">
      <c r="A4801" s="1" t="n">
        <v>14800</v>
      </c>
      <c r="B4801" s="14" t="n">
        <v>49361</v>
      </c>
      <c r="C4801" s="1" t="n">
        <v>1852</v>
      </c>
      <c r="D4801" s="1" t="s">
        <v>34</v>
      </c>
      <c r="E4801" s="1" t="s">
        <v>28</v>
      </c>
      <c r="F4801" s="1" t="n">
        <v>3</v>
      </c>
      <c r="G4801" s="15" t="n">
        <v>215.59</v>
      </c>
      <c r="H4801" s="16" t="n">
        <v>0.09</v>
      </c>
      <c r="I4801" s="1" t="s">
        <v>29</v>
      </c>
      <c r="J4801" s="1" t="n">
        <v>6</v>
      </c>
      <c r="K4801" s="1" t="n">
        <v>3.3</v>
      </c>
      <c r="L4801" s="15" t="n">
        <v>588.56</v>
      </c>
      <c r="M4801" s="15" t="n">
        <f aca="false">F4801*G4801</f>
        <v>646.77</v>
      </c>
      <c r="N4801" s="15" t="n">
        <f aca="false">M4801-L4801</f>
        <v>58.21</v>
      </c>
      <c r="O4801" s="1" t="n">
        <f aca="false">YEAR(B4801)</f>
        <v>2035</v>
      </c>
      <c r="P4801" s="1" t="n">
        <f aca="false">MONTH(B4801)</f>
        <v>2</v>
      </c>
      <c r="Q4801" s="1" t="str">
        <f aca="false">TEXT(B4801,"mmm")</f>
        <v>Feb</v>
      </c>
      <c r="R4801" s="1" t="str">
        <f aca="false">"Q"&amp;ROUNDUP(MONTH(B4801)/3,0)</f>
        <v>Q1</v>
      </c>
    </row>
    <row r="4802" customFormat="false" ht="15" hidden="false" customHeight="true" outlineLevel="0" collapsed="false">
      <c r="A4802" s="1" t="n">
        <v>14801</v>
      </c>
      <c r="B4802" s="14" t="n">
        <v>49362</v>
      </c>
      <c r="C4802" s="1" t="n">
        <v>1519</v>
      </c>
      <c r="D4802" s="1" t="s">
        <v>27</v>
      </c>
      <c r="E4802" s="1" t="s">
        <v>36</v>
      </c>
      <c r="F4802" s="1" t="n">
        <v>5</v>
      </c>
      <c r="G4802" s="15" t="n">
        <v>206.11</v>
      </c>
      <c r="H4802" s="16" t="n">
        <v>0.09</v>
      </c>
      <c r="I4802" s="1" t="s">
        <v>31</v>
      </c>
      <c r="J4802" s="1" t="n">
        <v>8</v>
      </c>
      <c r="K4802" s="1" t="n">
        <v>2.3</v>
      </c>
      <c r="L4802" s="15" t="n">
        <v>937.8</v>
      </c>
      <c r="M4802" s="15" t="n">
        <f aca="false">F4802*G4802</f>
        <v>1030.55</v>
      </c>
      <c r="N4802" s="15" t="n">
        <f aca="false">M4802-L4802</f>
        <v>92.7500000000002</v>
      </c>
      <c r="O4802" s="1" t="n">
        <f aca="false">YEAR(B4802)</f>
        <v>2035</v>
      </c>
      <c r="P4802" s="1" t="n">
        <f aca="false">MONTH(B4802)</f>
        <v>2</v>
      </c>
      <c r="Q4802" s="1" t="str">
        <f aca="false">TEXT(B4802,"mmm")</f>
        <v>Feb</v>
      </c>
      <c r="R4802" s="1" t="str">
        <f aca="false">"Q"&amp;ROUNDUP(MONTH(B4802)/3,0)</f>
        <v>Q1</v>
      </c>
    </row>
    <row r="4803" customFormat="false" ht="15" hidden="false" customHeight="true" outlineLevel="0" collapsed="false">
      <c r="A4803" s="1" t="n">
        <v>14802</v>
      </c>
      <c r="B4803" s="14" t="n">
        <v>49363</v>
      </c>
      <c r="C4803" s="1" t="n">
        <v>1283</v>
      </c>
      <c r="D4803" s="1" t="s">
        <v>37</v>
      </c>
      <c r="E4803" s="1" t="s">
        <v>28</v>
      </c>
      <c r="F4803" s="1" t="n">
        <v>6</v>
      </c>
      <c r="G4803" s="15" t="n">
        <v>157.1</v>
      </c>
      <c r="H4803" s="16" t="n">
        <v>0.03</v>
      </c>
      <c r="I4803" s="1" t="s">
        <v>31</v>
      </c>
      <c r="J4803" s="1" t="n">
        <v>3</v>
      </c>
      <c r="K4803" s="1" t="n">
        <v>2</v>
      </c>
      <c r="L4803" s="15" t="n">
        <v>914.32</v>
      </c>
      <c r="M4803" s="15" t="n">
        <f aca="false">F4803*G4803</f>
        <v>942.6</v>
      </c>
      <c r="N4803" s="15" t="n">
        <f aca="false">M4803-L4803</f>
        <v>28.2799999999999</v>
      </c>
      <c r="O4803" s="1" t="n">
        <f aca="false">YEAR(B4803)</f>
        <v>2035</v>
      </c>
      <c r="P4803" s="1" t="n">
        <f aca="false">MONTH(B4803)</f>
        <v>2</v>
      </c>
      <c r="Q4803" s="1" t="str">
        <f aca="false">TEXT(B4803,"mmm")</f>
        <v>Feb</v>
      </c>
      <c r="R4803" s="1" t="str">
        <f aca="false">"Q"&amp;ROUNDUP(MONTH(B4803)/3,0)</f>
        <v>Q1</v>
      </c>
    </row>
    <row r="4804" customFormat="false" ht="15" hidden="false" customHeight="true" outlineLevel="0" collapsed="false">
      <c r="A4804" s="1" t="n">
        <v>14803</v>
      </c>
      <c r="B4804" s="14" t="n">
        <v>49364</v>
      </c>
      <c r="C4804" s="1" t="n">
        <v>1516</v>
      </c>
      <c r="D4804" s="1" t="s">
        <v>30</v>
      </c>
      <c r="E4804" s="1" t="s">
        <v>32</v>
      </c>
      <c r="F4804" s="1" t="n">
        <v>3</v>
      </c>
      <c r="G4804" s="15" t="n">
        <v>371.19</v>
      </c>
      <c r="H4804" s="16" t="n">
        <v>0.14</v>
      </c>
      <c r="I4804" s="1" t="s">
        <v>31</v>
      </c>
      <c r="J4804" s="1" t="n">
        <v>1</v>
      </c>
      <c r="K4804" s="1" t="n">
        <v>5</v>
      </c>
      <c r="L4804" s="15" t="n">
        <v>957.67</v>
      </c>
      <c r="M4804" s="15" t="n">
        <f aca="false">F4804*G4804</f>
        <v>1113.57</v>
      </c>
      <c r="N4804" s="15" t="n">
        <f aca="false">M4804-L4804</f>
        <v>155.9</v>
      </c>
      <c r="O4804" s="1" t="n">
        <f aca="false">YEAR(B4804)</f>
        <v>2035</v>
      </c>
      <c r="P4804" s="1" t="n">
        <f aca="false">MONTH(B4804)</f>
        <v>2</v>
      </c>
      <c r="Q4804" s="1" t="str">
        <f aca="false">TEXT(B4804,"mmm")</f>
        <v>Feb</v>
      </c>
      <c r="R4804" s="1" t="str">
        <f aca="false">"Q"&amp;ROUNDUP(MONTH(B4804)/3,0)</f>
        <v>Q1</v>
      </c>
    </row>
    <row r="4805" customFormat="false" ht="15" hidden="false" customHeight="true" outlineLevel="0" collapsed="false">
      <c r="A4805" s="1" t="n">
        <v>14804</v>
      </c>
      <c r="B4805" s="14" t="n">
        <v>49365</v>
      </c>
      <c r="C4805" s="1" t="n">
        <v>1656</v>
      </c>
      <c r="D4805" s="1" t="s">
        <v>34</v>
      </c>
      <c r="E4805" s="1" t="s">
        <v>28</v>
      </c>
      <c r="F4805" s="1" t="n">
        <v>6</v>
      </c>
      <c r="G4805" s="15" t="n">
        <v>541.74</v>
      </c>
      <c r="H4805" s="16" t="n">
        <v>0.21</v>
      </c>
      <c r="I4805" s="1" t="s">
        <v>33</v>
      </c>
      <c r="J4805" s="1" t="n">
        <v>5</v>
      </c>
      <c r="K4805" s="1" t="n">
        <v>4.1</v>
      </c>
      <c r="L4805" s="15" t="n">
        <v>2567.85</v>
      </c>
      <c r="M4805" s="15" t="n">
        <f aca="false">F4805*G4805</f>
        <v>3250.44</v>
      </c>
      <c r="N4805" s="15" t="n">
        <f aca="false">M4805-L4805</f>
        <v>682.59</v>
      </c>
      <c r="O4805" s="1" t="n">
        <f aca="false">YEAR(B4805)</f>
        <v>2035</v>
      </c>
      <c r="P4805" s="1" t="n">
        <f aca="false">MONTH(B4805)</f>
        <v>2</v>
      </c>
      <c r="Q4805" s="1" t="str">
        <f aca="false">TEXT(B4805,"mmm")</f>
        <v>Feb</v>
      </c>
      <c r="R4805" s="1" t="str">
        <f aca="false">"Q"&amp;ROUNDUP(MONTH(B4805)/3,0)</f>
        <v>Q1</v>
      </c>
    </row>
    <row r="4806" customFormat="false" ht="15" hidden="false" customHeight="true" outlineLevel="0" collapsed="false">
      <c r="A4806" s="1" t="n">
        <v>14805</v>
      </c>
      <c r="B4806" s="14" t="n">
        <v>49366</v>
      </c>
      <c r="C4806" s="1" t="n">
        <v>1612</v>
      </c>
      <c r="D4806" s="1" t="s">
        <v>30</v>
      </c>
      <c r="E4806" s="1" t="s">
        <v>32</v>
      </c>
      <c r="F4806" s="1" t="n">
        <v>3</v>
      </c>
      <c r="G4806" s="15" t="n">
        <v>194.64</v>
      </c>
      <c r="H4806" s="16" t="n">
        <v>0.2</v>
      </c>
      <c r="I4806" s="1" t="s">
        <v>33</v>
      </c>
      <c r="J4806" s="1" t="n">
        <v>3</v>
      </c>
      <c r="K4806" s="1" t="n">
        <v>4.3</v>
      </c>
      <c r="L4806" s="15" t="n">
        <v>467.14</v>
      </c>
      <c r="M4806" s="15" t="n">
        <f aca="false">F4806*G4806</f>
        <v>583.92</v>
      </c>
      <c r="N4806" s="15" t="n">
        <f aca="false">M4806-L4806</f>
        <v>116.78</v>
      </c>
      <c r="O4806" s="1" t="n">
        <f aca="false">YEAR(B4806)</f>
        <v>2035</v>
      </c>
      <c r="P4806" s="1" t="n">
        <f aca="false">MONTH(B4806)</f>
        <v>2</v>
      </c>
      <c r="Q4806" s="1" t="str">
        <f aca="false">TEXT(B4806,"mmm")</f>
        <v>Feb</v>
      </c>
      <c r="R4806" s="1" t="str">
        <f aca="false">"Q"&amp;ROUNDUP(MONTH(B4806)/3,0)</f>
        <v>Q1</v>
      </c>
    </row>
    <row r="4807" customFormat="false" ht="15" hidden="false" customHeight="true" outlineLevel="0" collapsed="false">
      <c r="A4807" s="1" t="n">
        <v>14806</v>
      </c>
      <c r="B4807" s="14" t="n">
        <v>49367</v>
      </c>
      <c r="C4807" s="1" t="n">
        <v>1163</v>
      </c>
      <c r="D4807" s="1" t="s">
        <v>34</v>
      </c>
      <c r="E4807" s="1" t="s">
        <v>32</v>
      </c>
      <c r="F4807" s="1" t="n">
        <v>6</v>
      </c>
      <c r="G4807" s="15" t="n">
        <v>124.22</v>
      </c>
      <c r="H4807" s="16" t="n">
        <v>0.19</v>
      </c>
      <c r="I4807" s="1" t="s">
        <v>31</v>
      </c>
      <c r="J4807" s="1" t="n">
        <v>6</v>
      </c>
      <c r="K4807" s="1" t="n">
        <v>1.1</v>
      </c>
      <c r="L4807" s="15" t="n">
        <v>603.71</v>
      </c>
      <c r="M4807" s="15" t="n">
        <f aca="false">F4807*G4807</f>
        <v>745.32</v>
      </c>
      <c r="N4807" s="15" t="n">
        <f aca="false">M4807-L4807</f>
        <v>141.61</v>
      </c>
      <c r="O4807" s="1" t="n">
        <f aca="false">YEAR(B4807)</f>
        <v>2035</v>
      </c>
      <c r="P4807" s="1" t="n">
        <f aca="false">MONTH(B4807)</f>
        <v>2</v>
      </c>
      <c r="Q4807" s="1" t="str">
        <f aca="false">TEXT(B4807,"mmm")</f>
        <v>Feb</v>
      </c>
      <c r="R4807" s="1" t="str">
        <f aca="false">"Q"&amp;ROUNDUP(MONTH(B4807)/3,0)</f>
        <v>Q1</v>
      </c>
    </row>
    <row r="4808" customFormat="false" ht="15" hidden="false" customHeight="true" outlineLevel="0" collapsed="false">
      <c r="A4808" s="1" t="n">
        <v>14807</v>
      </c>
      <c r="B4808" s="14" t="n">
        <v>49368</v>
      </c>
      <c r="C4808" s="1" t="n">
        <v>1885</v>
      </c>
      <c r="D4808" s="1" t="s">
        <v>34</v>
      </c>
      <c r="E4808" s="1" t="s">
        <v>28</v>
      </c>
      <c r="F4808" s="1" t="n">
        <v>5</v>
      </c>
      <c r="G4808" s="15" t="n">
        <v>505.57</v>
      </c>
      <c r="H4808" s="16" t="n">
        <v>0.12</v>
      </c>
      <c r="I4808" s="1" t="s">
        <v>31</v>
      </c>
      <c r="J4808" s="1" t="n">
        <v>3</v>
      </c>
      <c r="K4808" s="1" t="n">
        <v>1.2</v>
      </c>
      <c r="L4808" s="15" t="n">
        <v>2224.51</v>
      </c>
      <c r="M4808" s="15" t="n">
        <f aca="false">F4808*G4808</f>
        <v>2527.85</v>
      </c>
      <c r="N4808" s="15" t="n">
        <f aca="false">M4808-L4808</f>
        <v>303.34</v>
      </c>
      <c r="O4808" s="1" t="n">
        <f aca="false">YEAR(B4808)</f>
        <v>2035</v>
      </c>
      <c r="P4808" s="1" t="n">
        <f aca="false">MONTH(B4808)</f>
        <v>2</v>
      </c>
      <c r="Q4808" s="1" t="str">
        <f aca="false">TEXT(B4808,"mmm")</f>
        <v>Feb</v>
      </c>
      <c r="R4808" s="1" t="str">
        <f aca="false">"Q"&amp;ROUNDUP(MONTH(B4808)/3,0)</f>
        <v>Q1</v>
      </c>
    </row>
    <row r="4809" customFormat="false" ht="15" hidden="false" customHeight="true" outlineLevel="0" collapsed="false">
      <c r="A4809" s="1" t="n">
        <v>14808</v>
      </c>
      <c r="B4809" s="14" t="n">
        <v>49369</v>
      </c>
      <c r="C4809" s="1" t="n">
        <v>1658</v>
      </c>
      <c r="D4809" s="1" t="s">
        <v>30</v>
      </c>
      <c r="E4809" s="1" t="s">
        <v>32</v>
      </c>
      <c r="F4809" s="1" t="n">
        <v>5</v>
      </c>
      <c r="G4809" s="15" t="n">
        <v>448.94</v>
      </c>
      <c r="H4809" s="16" t="n">
        <v>0.25</v>
      </c>
      <c r="I4809" s="1" t="s">
        <v>29</v>
      </c>
      <c r="J4809" s="1" t="n">
        <v>1</v>
      </c>
      <c r="K4809" s="1" t="n">
        <v>3.9</v>
      </c>
      <c r="L4809" s="15" t="n">
        <v>1683.52</v>
      </c>
      <c r="M4809" s="15" t="n">
        <f aca="false">F4809*G4809</f>
        <v>2244.7</v>
      </c>
      <c r="N4809" s="15" t="n">
        <f aca="false">M4809-L4809</f>
        <v>561.18</v>
      </c>
      <c r="O4809" s="1" t="n">
        <f aca="false">YEAR(B4809)</f>
        <v>2035</v>
      </c>
      <c r="P4809" s="1" t="n">
        <f aca="false">MONTH(B4809)</f>
        <v>3</v>
      </c>
      <c r="Q4809" s="1" t="str">
        <f aca="false">TEXT(B4809,"mmm")</f>
        <v>Mar</v>
      </c>
      <c r="R4809" s="1" t="str">
        <f aca="false">"Q"&amp;ROUNDUP(MONTH(B4809)/3,0)</f>
        <v>Q1</v>
      </c>
    </row>
    <row r="4810" customFormat="false" ht="15" hidden="false" customHeight="true" outlineLevel="0" collapsed="false">
      <c r="A4810" s="1" t="n">
        <v>14809</v>
      </c>
      <c r="B4810" s="14" t="n">
        <v>49370</v>
      </c>
      <c r="C4810" s="1" t="n">
        <v>1063</v>
      </c>
      <c r="D4810" s="1" t="s">
        <v>30</v>
      </c>
      <c r="E4810" s="1" t="s">
        <v>32</v>
      </c>
      <c r="F4810" s="1" t="n">
        <v>2</v>
      </c>
      <c r="G4810" s="15" t="n">
        <v>559.54</v>
      </c>
      <c r="H4810" s="16" t="n">
        <v>0.29</v>
      </c>
      <c r="I4810" s="1" t="s">
        <v>31</v>
      </c>
      <c r="J4810" s="1" t="n">
        <v>9</v>
      </c>
      <c r="K4810" s="1" t="n">
        <v>1.8</v>
      </c>
      <c r="L4810" s="15" t="n">
        <v>794.55</v>
      </c>
      <c r="M4810" s="15" t="n">
        <f aca="false">F4810*G4810</f>
        <v>1119.08</v>
      </c>
      <c r="N4810" s="15" t="n">
        <f aca="false">M4810-L4810</f>
        <v>324.53</v>
      </c>
      <c r="O4810" s="1" t="n">
        <f aca="false">YEAR(B4810)</f>
        <v>2035</v>
      </c>
      <c r="P4810" s="1" t="n">
        <f aca="false">MONTH(B4810)</f>
        <v>3</v>
      </c>
      <c r="Q4810" s="1" t="str">
        <f aca="false">TEXT(B4810,"mmm")</f>
        <v>Mar</v>
      </c>
      <c r="R4810" s="1" t="str">
        <f aca="false">"Q"&amp;ROUNDUP(MONTH(B4810)/3,0)</f>
        <v>Q1</v>
      </c>
    </row>
    <row r="4811" customFormat="false" ht="15" hidden="false" customHeight="true" outlineLevel="0" collapsed="false">
      <c r="A4811" s="1" t="n">
        <v>14810</v>
      </c>
      <c r="B4811" s="14" t="n">
        <v>49371</v>
      </c>
      <c r="C4811" s="1" t="n">
        <v>1090</v>
      </c>
      <c r="D4811" s="1" t="s">
        <v>30</v>
      </c>
      <c r="E4811" s="1" t="s">
        <v>36</v>
      </c>
      <c r="F4811" s="1" t="n">
        <v>7</v>
      </c>
      <c r="G4811" s="15" t="n">
        <v>111.83</v>
      </c>
      <c r="H4811" s="16" t="n">
        <v>0.12</v>
      </c>
      <c r="I4811" s="1" t="s">
        <v>31</v>
      </c>
      <c r="J4811" s="1" t="n">
        <v>5</v>
      </c>
      <c r="K4811" s="1" t="n">
        <v>2.7</v>
      </c>
      <c r="L4811" s="15" t="n">
        <v>688.87</v>
      </c>
      <c r="M4811" s="15" t="n">
        <f aca="false">F4811*G4811</f>
        <v>782.81</v>
      </c>
      <c r="N4811" s="15" t="n">
        <f aca="false">M4811-L4811</f>
        <v>93.9399999999999</v>
      </c>
      <c r="O4811" s="1" t="n">
        <f aca="false">YEAR(B4811)</f>
        <v>2035</v>
      </c>
      <c r="P4811" s="1" t="n">
        <f aca="false">MONTH(B4811)</f>
        <v>3</v>
      </c>
      <c r="Q4811" s="1" t="str">
        <f aca="false">TEXT(B4811,"mmm")</f>
        <v>Mar</v>
      </c>
      <c r="R4811" s="1" t="str">
        <f aca="false">"Q"&amp;ROUNDUP(MONTH(B4811)/3,0)</f>
        <v>Q1</v>
      </c>
    </row>
    <row r="4812" customFormat="false" ht="15" hidden="false" customHeight="true" outlineLevel="0" collapsed="false">
      <c r="A4812" s="1" t="n">
        <v>14811</v>
      </c>
      <c r="B4812" s="14" t="n">
        <v>49372</v>
      </c>
      <c r="C4812" s="1" t="n">
        <v>1116</v>
      </c>
      <c r="D4812" s="1" t="s">
        <v>34</v>
      </c>
      <c r="E4812" s="1" t="s">
        <v>36</v>
      </c>
      <c r="F4812" s="1" t="n">
        <v>7</v>
      </c>
      <c r="G4812" s="15" t="n">
        <v>99.39</v>
      </c>
      <c r="H4812" s="16" t="n">
        <v>0.03</v>
      </c>
      <c r="I4812" s="1" t="s">
        <v>31</v>
      </c>
      <c r="J4812" s="1" t="n">
        <v>2</v>
      </c>
      <c r="K4812" s="1" t="n">
        <v>1.7</v>
      </c>
      <c r="L4812" s="15" t="n">
        <v>674.86</v>
      </c>
      <c r="M4812" s="15" t="n">
        <f aca="false">F4812*G4812</f>
        <v>695.73</v>
      </c>
      <c r="N4812" s="15" t="n">
        <f aca="false">M4812-L4812</f>
        <v>20.87</v>
      </c>
      <c r="O4812" s="1" t="n">
        <f aca="false">YEAR(B4812)</f>
        <v>2035</v>
      </c>
      <c r="P4812" s="1" t="n">
        <f aca="false">MONTH(B4812)</f>
        <v>3</v>
      </c>
      <c r="Q4812" s="1" t="str">
        <f aca="false">TEXT(B4812,"mmm")</f>
        <v>Mar</v>
      </c>
      <c r="R4812" s="1" t="str">
        <f aca="false">"Q"&amp;ROUNDUP(MONTH(B4812)/3,0)</f>
        <v>Q1</v>
      </c>
    </row>
    <row r="4813" customFormat="false" ht="15" hidden="false" customHeight="true" outlineLevel="0" collapsed="false">
      <c r="A4813" s="1" t="n">
        <v>14812</v>
      </c>
      <c r="B4813" s="14" t="n">
        <v>49373</v>
      </c>
      <c r="C4813" s="1" t="n">
        <v>1865</v>
      </c>
      <c r="D4813" s="1" t="s">
        <v>30</v>
      </c>
      <c r="E4813" s="1" t="s">
        <v>32</v>
      </c>
      <c r="F4813" s="1" t="n">
        <v>4</v>
      </c>
      <c r="G4813" s="15" t="n">
        <v>331.74</v>
      </c>
      <c r="H4813" s="16" t="n">
        <v>0.1</v>
      </c>
      <c r="I4813" s="1" t="s">
        <v>31</v>
      </c>
      <c r="J4813" s="1" t="n">
        <v>2</v>
      </c>
      <c r="K4813" s="1" t="n">
        <v>1.7</v>
      </c>
      <c r="L4813" s="15" t="n">
        <v>1194.26</v>
      </c>
      <c r="M4813" s="15" t="n">
        <f aca="false">F4813*G4813</f>
        <v>1326.96</v>
      </c>
      <c r="N4813" s="15" t="n">
        <f aca="false">M4813-L4813</f>
        <v>132.7</v>
      </c>
      <c r="O4813" s="1" t="n">
        <f aca="false">YEAR(B4813)</f>
        <v>2035</v>
      </c>
      <c r="P4813" s="1" t="n">
        <f aca="false">MONTH(B4813)</f>
        <v>3</v>
      </c>
      <c r="Q4813" s="1" t="str">
        <f aca="false">TEXT(B4813,"mmm")</f>
        <v>Mar</v>
      </c>
      <c r="R4813" s="1" t="str">
        <f aca="false">"Q"&amp;ROUNDUP(MONTH(B4813)/3,0)</f>
        <v>Q1</v>
      </c>
    </row>
    <row r="4814" customFormat="false" ht="15" hidden="false" customHeight="true" outlineLevel="0" collapsed="false">
      <c r="A4814" s="1" t="n">
        <v>14813</v>
      </c>
      <c r="B4814" s="14" t="n">
        <v>49374</v>
      </c>
      <c r="C4814" s="1" t="n">
        <v>1266</v>
      </c>
      <c r="D4814" s="1" t="s">
        <v>34</v>
      </c>
      <c r="E4814" s="1" t="s">
        <v>35</v>
      </c>
      <c r="F4814" s="1" t="n">
        <v>1</v>
      </c>
      <c r="G4814" s="15" t="n">
        <v>374.44</v>
      </c>
      <c r="H4814" s="16" t="n">
        <v>0.05</v>
      </c>
      <c r="I4814" s="1" t="s">
        <v>31</v>
      </c>
      <c r="J4814" s="1" t="n">
        <v>11</v>
      </c>
      <c r="K4814" s="1" t="n">
        <v>1.4</v>
      </c>
      <c r="L4814" s="15" t="n">
        <v>355.72</v>
      </c>
      <c r="M4814" s="15" t="n">
        <f aca="false">F4814*G4814</f>
        <v>374.44</v>
      </c>
      <c r="N4814" s="15" t="n">
        <f aca="false">M4814-L4814</f>
        <v>18.72</v>
      </c>
      <c r="O4814" s="1" t="n">
        <f aca="false">YEAR(B4814)</f>
        <v>2035</v>
      </c>
      <c r="P4814" s="1" t="n">
        <f aca="false">MONTH(B4814)</f>
        <v>3</v>
      </c>
      <c r="Q4814" s="1" t="str">
        <f aca="false">TEXT(B4814,"mmm")</f>
        <v>Mar</v>
      </c>
      <c r="R4814" s="1" t="str">
        <f aca="false">"Q"&amp;ROUNDUP(MONTH(B4814)/3,0)</f>
        <v>Q1</v>
      </c>
    </row>
    <row r="4815" customFormat="false" ht="15" hidden="false" customHeight="true" outlineLevel="0" collapsed="false">
      <c r="A4815" s="1" t="n">
        <v>14814</v>
      </c>
      <c r="B4815" s="14" t="n">
        <v>49375</v>
      </c>
      <c r="C4815" s="1" t="n">
        <v>1821</v>
      </c>
      <c r="D4815" s="1" t="s">
        <v>27</v>
      </c>
      <c r="E4815" s="1" t="s">
        <v>28</v>
      </c>
      <c r="F4815" s="1" t="n">
        <v>5</v>
      </c>
      <c r="G4815" s="15" t="n">
        <v>295.9</v>
      </c>
      <c r="H4815" s="16" t="n">
        <v>0.16</v>
      </c>
      <c r="I4815" s="1" t="s">
        <v>31</v>
      </c>
      <c r="J4815" s="1" t="n">
        <v>9</v>
      </c>
      <c r="K4815" s="1" t="n">
        <v>3.4</v>
      </c>
      <c r="L4815" s="15" t="n">
        <v>1242.78</v>
      </c>
      <c r="M4815" s="15" t="n">
        <f aca="false">F4815*G4815</f>
        <v>1479.5</v>
      </c>
      <c r="N4815" s="15" t="n">
        <f aca="false">M4815-L4815</f>
        <v>236.72</v>
      </c>
      <c r="O4815" s="1" t="n">
        <f aca="false">YEAR(B4815)</f>
        <v>2035</v>
      </c>
      <c r="P4815" s="1" t="n">
        <f aca="false">MONTH(B4815)</f>
        <v>3</v>
      </c>
      <c r="Q4815" s="1" t="str">
        <f aca="false">TEXT(B4815,"mmm")</f>
        <v>Mar</v>
      </c>
      <c r="R4815" s="1" t="str">
        <f aca="false">"Q"&amp;ROUNDUP(MONTH(B4815)/3,0)</f>
        <v>Q1</v>
      </c>
    </row>
    <row r="4816" customFormat="false" ht="15" hidden="false" customHeight="true" outlineLevel="0" collapsed="false">
      <c r="A4816" s="1" t="n">
        <v>14815</v>
      </c>
      <c r="B4816" s="14" t="n">
        <v>49376</v>
      </c>
      <c r="C4816" s="1" t="n">
        <v>1684</v>
      </c>
      <c r="D4816" s="1" t="s">
        <v>30</v>
      </c>
      <c r="E4816" s="1" t="s">
        <v>32</v>
      </c>
      <c r="F4816" s="1" t="n">
        <v>5</v>
      </c>
      <c r="G4816" s="15" t="n">
        <v>365.4</v>
      </c>
      <c r="H4816" s="16" t="n">
        <v>0.05</v>
      </c>
      <c r="I4816" s="1" t="s">
        <v>31</v>
      </c>
      <c r="J4816" s="1" t="n">
        <v>1</v>
      </c>
      <c r="K4816" s="1" t="n">
        <v>4</v>
      </c>
      <c r="L4816" s="15" t="n">
        <v>1735.65</v>
      </c>
      <c r="M4816" s="15" t="n">
        <f aca="false">F4816*G4816</f>
        <v>1827</v>
      </c>
      <c r="N4816" s="15" t="n">
        <f aca="false">M4816-L4816</f>
        <v>91.3499999999999</v>
      </c>
      <c r="O4816" s="1" t="n">
        <f aca="false">YEAR(B4816)</f>
        <v>2035</v>
      </c>
      <c r="P4816" s="1" t="n">
        <f aca="false">MONTH(B4816)</f>
        <v>3</v>
      </c>
      <c r="Q4816" s="1" t="str">
        <f aca="false">TEXT(B4816,"mmm")</f>
        <v>Mar</v>
      </c>
      <c r="R4816" s="1" t="str">
        <f aca="false">"Q"&amp;ROUNDUP(MONTH(B4816)/3,0)</f>
        <v>Q1</v>
      </c>
    </row>
    <row r="4817" customFormat="false" ht="15" hidden="false" customHeight="true" outlineLevel="0" collapsed="false">
      <c r="A4817" s="1" t="n">
        <v>14816</v>
      </c>
      <c r="B4817" s="14" t="n">
        <v>49377</v>
      </c>
      <c r="C4817" s="1" t="n">
        <v>1558</v>
      </c>
      <c r="D4817" s="1" t="s">
        <v>37</v>
      </c>
      <c r="E4817" s="1" t="s">
        <v>28</v>
      </c>
      <c r="F4817" s="1" t="n">
        <v>3</v>
      </c>
      <c r="G4817" s="15" t="n">
        <v>120.52</v>
      </c>
      <c r="H4817" s="16" t="n">
        <v>0.16</v>
      </c>
      <c r="I4817" s="1" t="s">
        <v>29</v>
      </c>
      <c r="J4817" s="1" t="n">
        <v>10</v>
      </c>
      <c r="K4817" s="1" t="n">
        <v>1.2</v>
      </c>
      <c r="L4817" s="15" t="n">
        <v>303.71</v>
      </c>
      <c r="M4817" s="15" t="n">
        <f aca="false">F4817*G4817</f>
        <v>361.56</v>
      </c>
      <c r="N4817" s="15" t="n">
        <f aca="false">M4817-L4817</f>
        <v>57.85</v>
      </c>
      <c r="O4817" s="1" t="n">
        <f aca="false">YEAR(B4817)</f>
        <v>2035</v>
      </c>
      <c r="P4817" s="1" t="n">
        <f aca="false">MONTH(B4817)</f>
        <v>3</v>
      </c>
      <c r="Q4817" s="1" t="str">
        <f aca="false">TEXT(B4817,"mmm")</f>
        <v>Mar</v>
      </c>
      <c r="R4817" s="1" t="str">
        <f aca="false">"Q"&amp;ROUNDUP(MONTH(B4817)/3,0)</f>
        <v>Q1</v>
      </c>
    </row>
    <row r="4818" customFormat="false" ht="15" hidden="false" customHeight="true" outlineLevel="0" collapsed="false">
      <c r="A4818" s="1" t="n">
        <v>14817</v>
      </c>
      <c r="B4818" s="14" t="n">
        <v>49378</v>
      </c>
      <c r="C4818" s="1" t="n">
        <v>1139</v>
      </c>
      <c r="D4818" s="1" t="s">
        <v>34</v>
      </c>
      <c r="E4818" s="1" t="s">
        <v>36</v>
      </c>
      <c r="F4818" s="1" t="n">
        <v>4</v>
      </c>
      <c r="G4818" s="15" t="n">
        <v>295.57</v>
      </c>
      <c r="H4818" s="16" t="n">
        <v>0.08</v>
      </c>
      <c r="I4818" s="1" t="s">
        <v>31</v>
      </c>
      <c r="J4818" s="1" t="n">
        <v>3</v>
      </c>
      <c r="K4818" s="1" t="n">
        <v>2.1</v>
      </c>
      <c r="L4818" s="15" t="n">
        <v>1087.7</v>
      </c>
      <c r="M4818" s="15" t="n">
        <f aca="false">F4818*G4818</f>
        <v>1182.28</v>
      </c>
      <c r="N4818" s="15" t="n">
        <f aca="false">M4818-L4818</f>
        <v>94.5799999999999</v>
      </c>
      <c r="O4818" s="1" t="n">
        <f aca="false">YEAR(B4818)</f>
        <v>2035</v>
      </c>
      <c r="P4818" s="1" t="n">
        <f aca="false">MONTH(B4818)</f>
        <v>3</v>
      </c>
      <c r="Q4818" s="1" t="str">
        <f aca="false">TEXT(B4818,"mmm")</f>
        <v>Mar</v>
      </c>
      <c r="R4818" s="1" t="str">
        <f aca="false">"Q"&amp;ROUNDUP(MONTH(B4818)/3,0)</f>
        <v>Q1</v>
      </c>
    </row>
    <row r="4819" customFormat="false" ht="15" hidden="false" customHeight="true" outlineLevel="0" collapsed="false">
      <c r="A4819" s="1" t="n">
        <v>14818</v>
      </c>
      <c r="B4819" s="14" t="n">
        <v>49379</v>
      </c>
      <c r="C4819" s="1" t="n">
        <v>1245</v>
      </c>
      <c r="D4819" s="1" t="s">
        <v>34</v>
      </c>
      <c r="E4819" s="1" t="s">
        <v>28</v>
      </c>
      <c r="F4819" s="1" t="n">
        <v>7</v>
      </c>
      <c r="G4819" s="15" t="n">
        <v>399.98</v>
      </c>
      <c r="H4819" s="16" t="n">
        <v>0.26</v>
      </c>
      <c r="I4819" s="1" t="s">
        <v>33</v>
      </c>
      <c r="J4819" s="1" t="n">
        <v>10</v>
      </c>
      <c r="K4819" s="1" t="n">
        <v>3.6</v>
      </c>
      <c r="L4819" s="15" t="n">
        <v>2071.9</v>
      </c>
      <c r="M4819" s="15" t="n">
        <f aca="false">F4819*G4819</f>
        <v>2799.86</v>
      </c>
      <c r="N4819" s="15" t="n">
        <f aca="false">M4819-L4819</f>
        <v>727.96</v>
      </c>
      <c r="O4819" s="1" t="n">
        <f aca="false">YEAR(B4819)</f>
        <v>2035</v>
      </c>
      <c r="P4819" s="1" t="n">
        <f aca="false">MONTH(B4819)</f>
        <v>3</v>
      </c>
      <c r="Q4819" s="1" t="str">
        <f aca="false">TEXT(B4819,"mmm")</f>
        <v>Mar</v>
      </c>
      <c r="R4819" s="1" t="str">
        <f aca="false">"Q"&amp;ROUNDUP(MONTH(B4819)/3,0)</f>
        <v>Q1</v>
      </c>
    </row>
    <row r="4820" customFormat="false" ht="15" hidden="false" customHeight="true" outlineLevel="0" collapsed="false">
      <c r="A4820" s="1" t="n">
        <v>14819</v>
      </c>
      <c r="B4820" s="14" t="n">
        <v>49380</v>
      </c>
      <c r="C4820" s="1" t="n">
        <v>1660</v>
      </c>
      <c r="D4820" s="1" t="s">
        <v>27</v>
      </c>
      <c r="E4820" s="1" t="s">
        <v>32</v>
      </c>
      <c r="F4820" s="1" t="n">
        <v>5</v>
      </c>
      <c r="G4820" s="15" t="n">
        <v>268.13</v>
      </c>
      <c r="H4820" s="16" t="n">
        <v>0.01</v>
      </c>
      <c r="I4820" s="1" t="s">
        <v>33</v>
      </c>
      <c r="J4820" s="1" t="n">
        <v>11</v>
      </c>
      <c r="K4820" s="1" t="n">
        <v>2.6</v>
      </c>
      <c r="L4820" s="15" t="n">
        <v>1327.24</v>
      </c>
      <c r="M4820" s="15" t="n">
        <f aca="false">F4820*G4820</f>
        <v>1340.65</v>
      </c>
      <c r="N4820" s="15" t="n">
        <f aca="false">M4820-L4820</f>
        <v>13.4100000000001</v>
      </c>
      <c r="O4820" s="1" t="n">
        <f aca="false">YEAR(B4820)</f>
        <v>2035</v>
      </c>
      <c r="P4820" s="1" t="n">
        <f aca="false">MONTH(B4820)</f>
        <v>3</v>
      </c>
      <c r="Q4820" s="1" t="str">
        <f aca="false">TEXT(B4820,"mmm")</f>
        <v>Mar</v>
      </c>
      <c r="R4820" s="1" t="str">
        <f aca="false">"Q"&amp;ROUNDUP(MONTH(B4820)/3,0)</f>
        <v>Q1</v>
      </c>
    </row>
    <row r="4821" customFormat="false" ht="15" hidden="false" customHeight="true" outlineLevel="0" collapsed="false">
      <c r="A4821" s="1" t="n">
        <v>14820</v>
      </c>
      <c r="B4821" s="14" t="n">
        <v>49381</v>
      </c>
      <c r="C4821" s="1" t="n">
        <v>1757</v>
      </c>
      <c r="D4821" s="1" t="s">
        <v>34</v>
      </c>
      <c r="E4821" s="1" t="s">
        <v>32</v>
      </c>
      <c r="F4821" s="1" t="n">
        <v>6</v>
      </c>
      <c r="G4821" s="15" t="n">
        <v>412.48</v>
      </c>
      <c r="H4821" s="16" t="n">
        <v>0.19</v>
      </c>
      <c r="I4821" s="1" t="s">
        <v>31</v>
      </c>
      <c r="J4821" s="1" t="n">
        <v>7</v>
      </c>
      <c r="K4821" s="1" t="n">
        <v>3.8</v>
      </c>
      <c r="L4821" s="15" t="n">
        <v>2004.65</v>
      </c>
      <c r="M4821" s="15" t="n">
        <f aca="false">F4821*G4821</f>
        <v>2474.88</v>
      </c>
      <c r="N4821" s="15" t="n">
        <f aca="false">M4821-L4821</f>
        <v>470.23</v>
      </c>
      <c r="O4821" s="1" t="n">
        <f aca="false">YEAR(B4821)</f>
        <v>2035</v>
      </c>
      <c r="P4821" s="1" t="n">
        <f aca="false">MONTH(B4821)</f>
        <v>3</v>
      </c>
      <c r="Q4821" s="1" t="str">
        <f aca="false">TEXT(B4821,"mmm")</f>
        <v>Mar</v>
      </c>
      <c r="R4821" s="1" t="str">
        <f aca="false">"Q"&amp;ROUNDUP(MONTH(B4821)/3,0)</f>
        <v>Q1</v>
      </c>
    </row>
    <row r="4822" customFormat="false" ht="15" hidden="false" customHeight="true" outlineLevel="0" collapsed="false">
      <c r="A4822" s="1" t="n">
        <v>14821</v>
      </c>
      <c r="B4822" s="14" t="n">
        <v>49382</v>
      </c>
      <c r="C4822" s="1" t="n">
        <v>1394</v>
      </c>
      <c r="D4822" s="1" t="s">
        <v>30</v>
      </c>
      <c r="E4822" s="1" t="s">
        <v>32</v>
      </c>
      <c r="F4822" s="1" t="n">
        <v>7</v>
      </c>
      <c r="G4822" s="15" t="n">
        <v>278.95</v>
      </c>
      <c r="H4822" s="16" t="n">
        <v>0.06</v>
      </c>
      <c r="I4822" s="1" t="s">
        <v>33</v>
      </c>
      <c r="J4822" s="1" t="n">
        <v>1</v>
      </c>
      <c r="K4822" s="1" t="n">
        <v>4</v>
      </c>
      <c r="L4822" s="15" t="n">
        <v>1835.49</v>
      </c>
      <c r="M4822" s="15" t="n">
        <f aca="false">F4822*G4822</f>
        <v>1952.65</v>
      </c>
      <c r="N4822" s="15" t="n">
        <f aca="false">M4822-L4822</f>
        <v>117.16</v>
      </c>
      <c r="O4822" s="1" t="n">
        <f aca="false">YEAR(B4822)</f>
        <v>2035</v>
      </c>
      <c r="P4822" s="1" t="n">
        <f aca="false">MONTH(B4822)</f>
        <v>3</v>
      </c>
      <c r="Q4822" s="1" t="str">
        <f aca="false">TEXT(B4822,"mmm")</f>
        <v>Mar</v>
      </c>
      <c r="R4822" s="1" t="str">
        <f aca="false">"Q"&amp;ROUNDUP(MONTH(B4822)/3,0)</f>
        <v>Q1</v>
      </c>
    </row>
    <row r="4823" customFormat="false" ht="15" hidden="false" customHeight="true" outlineLevel="0" collapsed="false">
      <c r="A4823" s="1" t="n">
        <v>14822</v>
      </c>
      <c r="B4823" s="14" t="n">
        <v>49383</v>
      </c>
      <c r="C4823" s="1" t="n">
        <v>1486</v>
      </c>
      <c r="D4823" s="1" t="s">
        <v>30</v>
      </c>
      <c r="E4823" s="1" t="s">
        <v>32</v>
      </c>
      <c r="F4823" s="1" t="n">
        <v>4</v>
      </c>
      <c r="G4823" s="15" t="n">
        <v>210.16</v>
      </c>
      <c r="H4823" s="16" t="n">
        <v>0</v>
      </c>
      <c r="I4823" s="1" t="s">
        <v>31</v>
      </c>
      <c r="J4823" s="1" t="n">
        <v>2</v>
      </c>
      <c r="K4823" s="1" t="n">
        <v>1.1</v>
      </c>
      <c r="L4823" s="15" t="n">
        <v>840.64</v>
      </c>
      <c r="M4823" s="15" t="n">
        <f aca="false">F4823*G4823</f>
        <v>840.64</v>
      </c>
      <c r="N4823" s="15" t="n">
        <f aca="false">M4823-L4823</f>
        <v>0</v>
      </c>
      <c r="O4823" s="1" t="n">
        <f aca="false">YEAR(B4823)</f>
        <v>2035</v>
      </c>
      <c r="P4823" s="1" t="n">
        <f aca="false">MONTH(B4823)</f>
        <v>3</v>
      </c>
      <c r="Q4823" s="1" t="str">
        <f aca="false">TEXT(B4823,"mmm")</f>
        <v>Mar</v>
      </c>
      <c r="R4823" s="1" t="str">
        <f aca="false">"Q"&amp;ROUNDUP(MONTH(B4823)/3,0)</f>
        <v>Q1</v>
      </c>
    </row>
    <row r="4824" customFormat="false" ht="15" hidden="false" customHeight="true" outlineLevel="0" collapsed="false">
      <c r="A4824" s="1" t="n">
        <v>14823</v>
      </c>
      <c r="B4824" s="14" t="n">
        <v>49384</v>
      </c>
      <c r="C4824" s="1" t="n">
        <v>1475</v>
      </c>
      <c r="D4824" s="1" t="s">
        <v>34</v>
      </c>
      <c r="E4824" s="1" t="s">
        <v>35</v>
      </c>
      <c r="F4824" s="1" t="n">
        <v>1</v>
      </c>
      <c r="G4824" s="15" t="n">
        <v>192.61</v>
      </c>
      <c r="H4824" s="16" t="n">
        <v>0.3</v>
      </c>
      <c r="I4824" s="1" t="s">
        <v>31</v>
      </c>
      <c r="J4824" s="1" t="n">
        <v>6</v>
      </c>
      <c r="K4824" s="1" t="n">
        <v>2.5</v>
      </c>
      <c r="L4824" s="15" t="n">
        <v>134.83</v>
      </c>
      <c r="M4824" s="15" t="n">
        <f aca="false">F4824*G4824</f>
        <v>192.61</v>
      </c>
      <c r="N4824" s="15" t="n">
        <f aca="false">M4824-L4824</f>
        <v>57.78</v>
      </c>
      <c r="O4824" s="1" t="n">
        <f aca="false">YEAR(B4824)</f>
        <v>2035</v>
      </c>
      <c r="P4824" s="1" t="n">
        <f aca="false">MONTH(B4824)</f>
        <v>3</v>
      </c>
      <c r="Q4824" s="1" t="str">
        <f aca="false">TEXT(B4824,"mmm")</f>
        <v>Mar</v>
      </c>
      <c r="R4824" s="1" t="str">
        <f aca="false">"Q"&amp;ROUNDUP(MONTH(B4824)/3,0)</f>
        <v>Q1</v>
      </c>
    </row>
    <row r="4825" customFormat="false" ht="15" hidden="false" customHeight="true" outlineLevel="0" collapsed="false">
      <c r="A4825" s="1" t="n">
        <v>14824</v>
      </c>
      <c r="B4825" s="14" t="n">
        <v>49385</v>
      </c>
      <c r="C4825" s="1" t="n">
        <v>1516</v>
      </c>
      <c r="D4825" s="1" t="s">
        <v>37</v>
      </c>
      <c r="E4825" s="1" t="s">
        <v>35</v>
      </c>
      <c r="F4825" s="1" t="n">
        <v>6</v>
      </c>
      <c r="G4825" s="15" t="n">
        <v>255.38</v>
      </c>
      <c r="H4825" s="16" t="n">
        <v>0.24</v>
      </c>
      <c r="I4825" s="1" t="s">
        <v>29</v>
      </c>
      <c r="J4825" s="1" t="n">
        <v>9</v>
      </c>
      <c r="K4825" s="1" t="n">
        <v>3.9</v>
      </c>
      <c r="L4825" s="15" t="n">
        <v>1164.53</v>
      </c>
      <c r="M4825" s="15" t="n">
        <f aca="false">F4825*G4825</f>
        <v>1532.28</v>
      </c>
      <c r="N4825" s="15" t="n">
        <f aca="false">M4825-L4825</f>
        <v>367.75</v>
      </c>
      <c r="O4825" s="1" t="n">
        <f aca="false">YEAR(B4825)</f>
        <v>2035</v>
      </c>
      <c r="P4825" s="1" t="n">
        <f aca="false">MONTH(B4825)</f>
        <v>3</v>
      </c>
      <c r="Q4825" s="1" t="str">
        <f aca="false">TEXT(B4825,"mmm")</f>
        <v>Mar</v>
      </c>
      <c r="R4825" s="1" t="str">
        <f aca="false">"Q"&amp;ROUNDUP(MONTH(B4825)/3,0)</f>
        <v>Q1</v>
      </c>
    </row>
    <row r="4826" customFormat="false" ht="15" hidden="false" customHeight="true" outlineLevel="0" collapsed="false">
      <c r="A4826" s="1" t="n">
        <v>14825</v>
      </c>
      <c r="B4826" s="14" t="n">
        <v>49386</v>
      </c>
      <c r="C4826" s="1" t="n">
        <v>1976</v>
      </c>
      <c r="D4826" s="1" t="s">
        <v>30</v>
      </c>
      <c r="E4826" s="1" t="s">
        <v>35</v>
      </c>
      <c r="F4826" s="1" t="n">
        <v>3</v>
      </c>
      <c r="G4826" s="15" t="n">
        <v>28.51</v>
      </c>
      <c r="H4826" s="16" t="n">
        <v>0.03</v>
      </c>
      <c r="I4826" s="1" t="s">
        <v>33</v>
      </c>
      <c r="J4826" s="1" t="n">
        <v>9</v>
      </c>
      <c r="K4826" s="1" t="n">
        <v>2.5</v>
      </c>
      <c r="L4826" s="15" t="n">
        <v>82.96</v>
      </c>
      <c r="M4826" s="15" t="n">
        <f aca="false">F4826*G4826</f>
        <v>85.53</v>
      </c>
      <c r="N4826" s="15" t="n">
        <f aca="false">M4826-L4826</f>
        <v>2.57000000000001</v>
      </c>
      <c r="O4826" s="1" t="n">
        <f aca="false">YEAR(B4826)</f>
        <v>2035</v>
      </c>
      <c r="P4826" s="1" t="n">
        <f aca="false">MONTH(B4826)</f>
        <v>3</v>
      </c>
      <c r="Q4826" s="1" t="str">
        <f aca="false">TEXT(B4826,"mmm")</f>
        <v>Mar</v>
      </c>
      <c r="R4826" s="1" t="str">
        <f aca="false">"Q"&amp;ROUNDUP(MONTH(B4826)/3,0)</f>
        <v>Q1</v>
      </c>
    </row>
    <row r="4827" customFormat="false" ht="15" hidden="false" customHeight="true" outlineLevel="0" collapsed="false">
      <c r="A4827" s="1" t="n">
        <v>14826</v>
      </c>
      <c r="B4827" s="14" t="n">
        <v>49387</v>
      </c>
      <c r="C4827" s="1" t="n">
        <v>1183</v>
      </c>
      <c r="D4827" s="1" t="s">
        <v>34</v>
      </c>
      <c r="E4827" s="1" t="s">
        <v>32</v>
      </c>
      <c r="F4827" s="1" t="n">
        <v>2</v>
      </c>
      <c r="G4827" s="15" t="n">
        <v>406.09</v>
      </c>
      <c r="H4827" s="16" t="n">
        <v>0.23</v>
      </c>
      <c r="I4827" s="1" t="s">
        <v>29</v>
      </c>
      <c r="J4827" s="1" t="n">
        <v>8</v>
      </c>
      <c r="K4827" s="1" t="n">
        <v>1</v>
      </c>
      <c r="L4827" s="15" t="n">
        <v>625.38</v>
      </c>
      <c r="M4827" s="15" t="n">
        <f aca="false">F4827*G4827</f>
        <v>812.18</v>
      </c>
      <c r="N4827" s="15" t="n">
        <f aca="false">M4827-L4827</f>
        <v>186.8</v>
      </c>
      <c r="O4827" s="1" t="n">
        <f aca="false">YEAR(B4827)</f>
        <v>2035</v>
      </c>
      <c r="P4827" s="1" t="n">
        <f aca="false">MONTH(B4827)</f>
        <v>3</v>
      </c>
      <c r="Q4827" s="1" t="str">
        <f aca="false">TEXT(B4827,"mmm")</f>
        <v>Mar</v>
      </c>
      <c r="R4827" s="1" t="str">
        <f aca="false">"Q"&amp;ROUNDUP(MONTH(B4827)/3,0)</f>
        <v>Q1</v>
      </c>
    </row>
    <row r="4828" customFormat="false" ht="15" hidden="false" customHeight="true" outlineLevel="0" collapsed="false">
      <c r="A4828" s="1" t="n">
        <v>14827</v>
      </c>
      <c r="B4828" s="14" t="n">
        <v>49388</v>
      </c>
      <c r="C4828" s="1" t="n">
        <v>1019</v>
      </c>
      <c r="D4828" s="1" t="s">
        <v>34</v>
      </c>
      <c r="E4828" s="1" t="s">
        <v>35</v>
      </c>
      <c r="F4828" s="1" t="n">
        <v>6</v>
      </c>
      <c r="G4828" s="15" t="n">
        <v>509.39</v>
      </c>
      <c r="H4828" s="16" t="n">
        <v>0.21</v>
      </c>
      <c r="I4828" s="1" t="s">
        <v>29</v>
      </c>
      <c r="J4828" s="1" t="n">
        <v>3</v>
      </c>
      <c r="K4828" s="1" t="n">
        <v>2.3</v>
      </c>
      <c r="L4828" s="15" t="n">
        <v>2414.51</v>
      </c>
      <c r="M4828" s="15" t="n">
        <f aca="false">F4828*G4828</f>
        <v>3056.34</v>
      </c>
      <c r="N4828" s="15" t="n">
        <f aca="false">M4828-L4828</f>
        <v>641.83</v>
      </c>
      <c r="O4828" s="1" t="n">
        <f aca="false">YEAR(B4828)</f>
        <v>2035</v>
      </c>
      <c r="P4828" s="1" t="n">
        <f aca="false">MONTH(B4828)</f>
        <v>3</v>
      </c>
      <c r="Q4828" s="1" t="str">
        <f aca="false">TEXT(B4828,"mmm")</f>
        <v>Mar</v>
      </c>
      <c r="R4828" s="1" t="str">
        <f aca="false">"Q"&amp;ROUNDUP(MONTH(B4828)/3,0)</f>
        <v>Q1</v>
      </c>
    </row>
    <row r="4829" customFormat="false" ht="15" hidden="false" customHeight="true" outlineLevel="0" collapsed="false">
      <c r="A4829" s="1" t="n">
        <v>14828</v>
      </c>
      <c r="B4829" s="14" t="n">
        <v>49389</v>
      </c>
      <c r="C4829" s="1" t="n">
        <v>1936</v>
      </c>
      <c r="D4829" s="1" t="s">
        <v>34</v>
      </c>
      <c r="E4829" s="1" t="s">
        <v>28</v>
      </c>
      <c r="F4829" s="1" t="n">
        <v>7</v>
      </c>
      <c r="G4829" s="15" t="n">
        <v>222.46</v>
      </c>
      <c r="H4829" s="16" t="n">
        <v>0.17</v>
      </c>
      <c r="I4829" s="1" t="s">
        <v>31</v>
      </c>
      <c r="J4829" s="1" t="n">
        <v>2</v>
      </c>
      <c r="K4829" s="1" t="n">
        <v>4.5</v>
      </c>
      <c r="L4829" s="15" t="n">
        <v>1292.49</v>
      </c>
      <c r="M4829" s="15" t="n">
        <f aca="false">F4829*G4829</f>
        <v>1557.22</v>
      </c>
      <c r="N4829" s="15" t="n">
        <f aca="false">M4829-L4829</f>
        <v>264.73</v>
      </c>
      <c r="O4829" s="1" t="n">
        <f aca="false">YEAR(B4829)</f>
        <v>2035</v>
      </c>
      <c r="P4829" s="1" t="n">
        <f aca="false">MONTH(B4829)</f>
        <v>3</v>
      </c>
      <c r="Q4829" s="1" t="str">
        <f aca="false">TEXT(B4829,"mmm")</f>
        <v>Mar</v>
      </c>
      <c r="R4829" s="1" t="str">
        <f aca="false">"Q"&amp;ROUNDUP(MONTH(B4829)/3,0)</f>
        <v>Q1</v>
      </c>
    </row>
    <row r="4830" customFormat="false" ht="15" hidden="false" customHeight="true" outlineLevel="0" collapsed="false">
      <c r="A4830" s="1" t="n">
        <v>14829</v>
      </c>
      <c r="B4830" s="14" t="n">
        <v>49390</v>
      </c>
      <c r="C4830" s="1" t="n">
        <v>1557</v>
      </c>
      <c r="D4830" s="1" t="s">
        <v>27</v>
      </c>
      <c r="E4830" s="1" t="s">
        <v>32</v>
      </c>
      <c r="F4830" s="1" t="n">
        <v>1</v>
      </c>
      <c r="G4830" s="15" t="n">
        <v>41.93</v>
      </c>
      <c r="H4830" s="16" t="n">
        <v>0.15</v>
      </c>
      <c r="I4830" s="1" t="s">
        <v>31</v>
      </c>
      <c r="J4830" s="1" t="n">
        <v>1</v>
      </c>
      <c r="K4830" s="1" t="n">
        <v>4.8</v>
      </c>
      <c r="L4830" s="15" t="n">
        <v>35.64</v>
      </c>
      <c r="M4830" s="15" t="n">
        <f aca="false">F4830*G4830</f>
        <v>41.93</v>
      </c>
      <c r="N4830" s="15" t="n">
        <f aca="false">M4830-L4830</f>
        <v>6.29</v>
      </c>
      <c r="O4830" s="1" t="n">
        <f aca="false">YEAR(B4830)</f>
        <v>2035</v>
      </c>
      <c r="P4830" s="1" t="n">
        <f aca="false">MONTH(B4830)</f>
        <v>3</v>
      </c>
      <c r="Q4830" s="1" t="str">
        <f aca="false">TEXT(B4830,"mmm")</f>
        <v>Mar</v>
      </c>
      <c r="R4830" s="1" t="str">
        <f aca="false">"Q"&amp;ROUNDUP(MONTH(B4830)/3,0)</f>
        <v>Q1</v>
      </c>
    </row>
    <row r="4831" customFormat="false" ht="15" hidden="false" customHeight="true" outlineLevel="0" collapsed="false">
      <c r="A4831" s="1" t="n">
        <v>14830</v>
      </c>
      <c r="B4831" s="14" t="n">
        <v>49391</v>
      </c>
      <c r="C4831" s="1" t="n">
        <v>1523</v>
      </c>
      <c r="D4831" s="1" t="s">
        <v>37</v>
      </c>
      <c r="E4831" s="1" t="s">
        <v>36</v>
      </c>
      <c r="F4831" s="1" t="n">
        <v>6</v>
      </c>
      <c r="G4831" s="15" t="n">
        <v>592.26</v>
      </c>
      <c r="H4831" s="16" t="n">
        <v>0.31</v>
      </c>
      <c r="I4831" s="1" t="s">
        <v>31</v>
      </c>
      <c r="J4831" s="1" t="n">
        <v>11</v>
      </c>
      <c r="K4831" s="1" t="n">
        <v>3.2</v>
      </c>
      <c r="L4831" s="15" t="n">
        <v>2451.96</v>
      </c>
      <c r="M4831" s="15" t="n">
        <f aca="false">F4831*G4831</f>
        <v>3553.56</v>
      </c>
      <c r="N4831" s="15" t="n">
        <f aca="false">M4831-L4831</f>
        <v>1101.6</v>
      </c>
      <c r="O4831" s="1" t="n">
        <f aca="false">YEAR(B4831)</f>
        <v>2035</v>
      </c>
      <c r="P4831" s="1" t="n">
        <f aca="false">MONTH(B4831)</f>
        <v>3</v>
      </c>
      <c r="Q4831" s="1" t="str">
        <f aca="false">TEXT(B4831,"mmm")</f>
        <v>Mar</v>
      </c>
      <c r="R4831" s="1" t="str">
        <f aca="false">"Q"&amp;ROUNDUP(MONTH(B4831)/3,0)</f>
        <v>Q1</v>
      </c>
    </row>
    <row r="4832" customFormat="false" ht="15" hidden="false" customHeight="true" outlineLevel="0" collapsed="false">
      <c r="A4832" s="1" t="n">
        <v>14831</v>
      </c>
      <c r="B4832" s="14" t="n">
        <v>49392</v>
      </c>
      <c r="C4832" s="1" t="n">
        <v>1581</v>
      </c>
      <c r="D4832" s="1" t="s">
        <v>34</v>
      </c>
      <c r="E4832" s="1" t="s">
        <v>32</v>
      </c>
      <c r="F4832" s="1" t="n">
        <v>4</v>
      </c>
      <c r="G4832" s="15" t="n">
        <v>169.26</v>
      </c>
      <c r="H4832" s="16" t="n">
        <v>0.09</v>
      </c>
      <c r="I4832" s="1" t="s">
        <v>29</v>
      </c>
      <c r="J4832" s="1" t="n">
        <v>11</v>
      </c>
      <c r="K4832" s="1" t="n">
        <v>2.2</v>
      </c>
      <c r="L4832" s="15" t="n">
        <v>616.11</v>
      </c>
      <c r="M4832" s="15" t="n">
        <f aca="false">F4832*G4832</f>
        <v>677.04</v>
      </c>
      <c r="N4832" s="15" t="n">
        <f aca="false">M4832-L4832</f>
        <v>60.93</v>
      </c>
      <c r="O4832" s="1" t="n">
        <f aca="false">YEAR(B4832)</f>
        <v>2035</v>
      </c>
      <c r="P4832" s="1" t="n">
        <f aca="false">MONTH(B4832)</f>
        <v>3</v>
      </c>
      <c r="Q4832" s="1" t="str">
        <f aca="false">TEXT(B4832,"mmm")</f>
        <v>Mar</v>
      </c>
      <c r="R4832" s="1" t="str">
        <f aca="false">"Q"&amp;ROUNDUP(MONTH(B4832)/3,0)</f>
        <v>Q1</v>
      </c>
    </row>
    <row r="4833" customFormat="false" ht="15" hidden="false" customHeight="true" outlineLevel="0" collapsed="false">
      <c r="A4833" s="1" t="n">
        <v>14832</v>
      </c>
      <c r="B4833" s="14" t="n">
        <v>49393</v>
      </c>
      <c r="C4833" s="1" t="n">
        <v>1528</v>
      </c>
      <c r="D4833" s="1" t="s">
        <v>34</v>
      </c>
      <c r="E4833" s="1" t="s">
        <v>28</v>
      </c>
      <c r="F4833" s="1" t="n">
        <v>4</v>
      </c>
      <c r="G4833" s="15" t="n">
        <v>89.07</v>
      </c>
      <c r="H4833" s="16" t="n">
        <v>0.14</v>
      </c>
      <c r="I4833" s="1" t="s">
        <v>29</v>
      </c>
      <c r="J4833" s="1" t="n">
        <v>9</v>
      </c>
      <c r="K4833" s="1" t="n">
        <v>2.9</v>
      </c>
      <c r="L4833" s="15" t="n">
        <v>306.4</v>
      </c>
      <c r="M4833" s="15" t="n">
        <f aca="false">F4833*G4833</f>
        <v>356.28</v>
      </c>
      <c r="N4833" s="15" t="n">
        <f aca="false">M4833-L4833</f>
        <v>49.88</v>
      </c>
      <c r="O4833" s="1" t="n">
        <f aca="false">YEAR(B4833)</f>
        <v>2035</v>
      </c>
      <c r="P4833" s="1" t="n">
        <f aca="false">MONTH(B4833)</f>
        <v>3</v>
      </c>
      <c r="Q4833" s="1" t="str">
        <f aca="false">TEXT(B4833,"mmm")</f>
        <v>Mar</v>
      </c>
      <c r="R4833" s="1" t="str">
        <f aca="false">"Q"&amp;ROUNDUP(MONTH(B4833)/3,0)</f>
        <v>Q1</v>
      </c>
    </row>
    <row r="4834" customFormat="false" ht="15" hidden="false" customHeight="true" outlineLevel="0" collapsed="false">
      <c r="A4834" s="1" t="n">
        <v>14833</v>
      </c>
      <c r="B4834" s="14" t="n">
        <v>49394</v>
      </c>
      <c r="C4834" s="1" t="n">
        <v>1882</v>
      </c>
      <c r="D4834" s="1" t="s">
        <v>37</v>
      </c>
      <c r="E4834" s="1" t="s">
        <v>35</v>
      </c>
      <c r="F4834" s="1" t="n">
        <v>1</v>
      </c>
      <c r="G4834" s="15" t="n">
        <v>231.31</v>
      </c>
      <c r="H4834" s="16" t="n">
        <v>0.12</v>
      </c>
      <c r="I4834" s="1" t="s">
        <v>33</v>
      </c>
      <c r="J4834" s="1" t="n">
        <v>5</v>
      </c>
      <c r="K4834" s="1" t="n">
        <v>1.9</v>
      </c>
      <c r="L4834" s="15" t="n">
        <v>203.55</v>
      </c>
      <c r="M4834" s="15" t="n">
        <f aca="false">F4834*G4834</f>
        <v>231.31</v>
      </c>
      <c r="N4834" s="15" t="n">
        <f aca="false">M4834-L4834</f>
        <v>27.76</v>
      </c>
      <c r="O4834" s="1" t="n">
        <f aca="false">YEAR(B4834)</f>
        <v>2035</v>
      </c>
      <c r="P4834" s="1" t="n">
        <f aca="false">MONTH(B4834)</f>
        <v>3</v>
      </c>
      <c r="Q4834" s="1" t="str">
        <f aca="false">TEXT(B4834,"mmm")</f>
        <v>Mar</v>
      </c>
      <c r="R4834" s="1" t="str">
        <f aca="false">"Q"&amp;ROUNDUP(MONTH(B4834)/3,0)</f>
        <v>Q1</v>
      </c>
    </row>
    <row r="4835" customFormat="false" ht="15" hidden="false" customHeight="true" outlineLevel="0" collapsed="false">
      <c r="A4835" s="1" t="n">
        <v>14834</v>
      </c>
      <c r="B4835" s="14" t="n">
        <v>49395</v>
      </c>
      <c r="C4835" s="1" t="n">
        <v>1146</v>
      </c>
      <c r="D4835" s="1" t="s">
        <v>30</v>
      </c>
      <c r="E4835" s="1" t="s">
        <v>32</v>
      </c>
      <c r="F4835" s="1" t="n">
        <v>7</v>
      </c>
      <c r="G4835" s="15" t="n">
        <v>447.06</v>
      </c>
      <c r="H4835" s="16" t="n">
        <v>0.27</v>
      </c>
      <c r="I4835" s="1" t="s">
        <v>31</v>
      </c>
      <c r="J4835" s="1" t="n">
        <v>3</v>
      </c>
      <c r="K4835" s="1" t="n">
        <v>1.7</v>
      </c>
      <c r="L4835" s="15" t="n">
        <v>2284.48</v>
      </c>
      <c r="M4835" s="15" t="n">
        <f aca="false">F4835*G4835</f>
        <v>3129.42</v>
      </c>
      <c r="N4835" s="15" t="n">
        <f aca="false">M4835-L4835</f>
        <v>844.94</v>
      </c>
      <c r="O4835" s="1" t="n">
        <f aca="false">YEAR(B4835)</f>
        <v>2035</v>
      </c>
      <c r="P4835" s="1" t="n">
        <f aca="false">MONTH(B4835)</f>
        <v>3</v>
      </c>
      <c r="Q4835" s="1" t="str">
        <f aca="false">TEXT(B4835,"mmm")</f>
        <v>Mar</v>
      </c>
      <c r="R4835" s="1" t="str">
        <f aca="false">"Q"&amp;ROUNDUP(MONTH(B4835)/3,0)</f>
        <v>Q1</v>
      </c>
    </row>
    <row r="4836" customFormat="false" ht="15" hidden="false" customHeight="true" outlineLevel="0" collapsed="false">
      <c r="A4836" s="1" t="n">
        <v>14835</v>
      </c>
      <c r="B4836" s="14" t="n">
        <v>49396</v>
      </c>
      <c r="C4836" s="1" t="n">
        <v>1665</v>
      </c>
      <c r="D4836" s="1" t="s">
        <v>30</v>
      </c>
      <c r="E4836" s="1" t="s">
        <v>35</v>
      </c>
      <c r="F4836" s="1" t="n">
        <v>4</v>
      </c>
      <c r="G4836" s="15" t="n">
        <v>186.94</v>
      </c>
      <c r="H4836" s="16" t="n">
        <v>0.32</v>
      </c>
      <c r="I4836" s="1" t="s">
        <v>31</v>
      </c>
      <c r="J4836" s="1" t="n">
        <v>10</v>
      </c>
      <c r="K4836" s="1" t="n">
        <v>3</v>
      </c>
      <c r="L4836" s="15" t="n">
        <v>508.48</v>
      </c>
      <c r="M4836" s="15" t="n">
        <f aca="false">F4836*G4836</f>
        <v>747.76</v>
      </c>
      <c r="N4836" s="15" t="n">
        <f aca="false">M4836-L4836</f>
        <v>239.28</v>
      </c>
      <c r="O4836" s="1" t="n">
        <f aca="false">YEAR(B4836)</f>
        <v>2035</v>
      </c>
      <c r="P4836" s="1" t="n">
        <f aca="false">MONTH(B4836)</f>
        <v>3</v>
      </c>
      <c r="Q4836" s="1" t="str">
        <f aca="false">TEXT(B4836,"mmm")</f>
        <v>Mar</v>
      </c>
      <c r="R4836" s="1" t="str">
        <f aca="false">"Q"&amp;ROUNDUP(MONTH(B4836)/3,0)</f>
        <v>Q1</v>
      </c>
    </row>
    <row r="4837" customFormat="false" ht="15" hidden="false" customHeight="true" outlineLevel="0" collapsed="false">
      <c r="A4837" s="1" t="n">
        <v>14836</v>
      </c>
      <c r="B4837" s="14" t="n">
        <v>49397</v>
      </c>
      <c r="C4837" s="1" t="n">
        <v>1303</v>
      </c>
      <c r="D4837" s="1" t="s">
        <v>30</v>
      </c>
      <c r="E4837" s="1" t="s">
        <v>32</v>
      </c>
      <c r="F4837" s="1" t="n">
        <v>6</v>
      </c>
      <c r="G4837" s="15" t="n">
        <v>351.2</v>
      </c>
      <c r="H4837" s="16" t="n">
        <v>0.3</v>
      </c>
      <c r="I4837" s="1" t="s">
        <v>29</v>
      </c>
      <c r="J4837" s="1" t="n">
        <v>10</v>
      </c>
      <c r="K4837" s="1" t="n">
        <v>3.9</v>
      </c>
      <c r="L4837" s="15" t="n">
        <v>1475.04</v>
      </c>
      <c r="M4837" s="15" t="n">
        <f aca="false">F4837*G4837</f>
        <v>2107.2</v>
      </c>
      <c r="N4837" s="15" t="n">
        <f aca="false">M4837-L4837</f>
        <v>632.16</v>
      </c>
      <c r="O4837" s="1" t="n">
        <f aca="false">YEAR(B4837)</f>
        <v>2035</v>
      </c>
      <c r="P4837" s="1" t="n">
        <f aca="false">MONTH(B4837)</f>
        <v>3</v>
      </c>
      <c r="Q4837" s="1" t="str">
        <f aca="false">TEXT(B4837,"mmm")</f>
        <v>Mar</v>
      </c>
      <c r="R4837" s="1" t="str">
        <f aca="false">"Q"&amp;ROUNDUP(MONTH(B4837)/3,0)</f>
        <v>Q1</v>
      </c>
    </row>
    <row r="4838" customFormat="false" ht="15" hidden="false" customHeight="true" outlineLevel="0" collapsed="false">
      <c r="A4838" s="1" t="n">
        <v>14837</v>
      </c>
      <c r="B4838" s="14" t="n">
        <v>49398</v>
      </c>
      <c r="C4838" s="1" t="n">
        <v>1619</v>
      </c>
      <c r="D4838" s="1" t="s">
        <v>34</v>
      </c>
      <c r="E4838" s="1" t="s">
        <v>28</v>
      </c>
      <c r="F4838" s="1" t="n">
        <v>2</v>
      </c>
      <c r="G4838" s="15" t="n">
        <v>258.1</v>
      </c>
      <c r="H4838" s="16" t="n">
        <v>0.28</v>
      </c>
      <c r="I4838" s="1" t="s">
        <v>29</v>
      </c>
      <c r="J4838" s="1" t="n">
        <v>11</v>
      </c>
      <c r="K4838" s="1" t="n">
        <v>1.9</v>
      </c>
      <c r="L4838" s="15" t="n">
        <v>371.66</v>
      </c>
      <c r="M4838" s="15" t="n">
        <f aca="false">F4838*G4838</f>
        <v>516.2</v>
      </c>
      <c r="N4838" s="15" t="n">
        <f aca="false">M4838-L4838</f>
        <v>144.54</v>
      </c>
      <c r="O4838" s="1" t="n">
        <f aca="false">YEAR(B4838)</f>
        <v>2035</v>
      </c>
      <c r="P4838" s="1" t="n">
        <f aca="false">MONTH(B4838)</f>
        <v>3</v>
      </c>
      <c r="Q4838" s="1" t="str">
        <f aca="false">TEXT(B4838,"mmm")</f>
        <v>Mar</v>
      </c>
      <c r="R4838" s="1" t="str">
        <f aca="false">"Q"&amp;ROUNDUP(MONTH(B4838)/3,0)</f>
        <v>Q1</v>
      </c>
    </row>
    <row r="4839" customFormat="false" ht="15" hidden="false" customHeight="true" outlineLevel="0" collapsed="false">
      <c r="A4839" s="1" t="n">
        <v>14838</v>
      </c>
      <c r="B4839" s="14" t="n">
        <v>49399</v>
      </c>
      <c r="C4839" s="1" t="n">
        <v>1747</v>
      </c>
      <c r="D4839" s="1" t="s">
        <v>37</v>
      </c>
      <c r="E4839" s="1" t="s">
        <v>32</v>
      </c>
      <c r="F4839" s="1" t="n">
        <v>6</v>
      </c>
      <c r="G4839" s="15" t="n">
        <v>83.89</v>
      </c>
      <c r="H4839" s="16" t="n">
        <v>0.35</v>
      </c>
      <c r="I4839" s="1" t="s">
        <v>31</v>
      </c>
      <c r="J4839" s="1" t="n">
        <v>5</v>
      </c>
      <c r="K4839" s="1" t="n">
        <v>4.6</v>
      </c>
      <c r="L4839" s="15" t="n">
        <v>327.17</v>
      </c>
      <c r="M4839" s="15" t="n">
        <f aca="false">F4839*G4839</f>
        <v>503.34</v>
      </c>
      <c r="N4839" s="15" t="n">
        <f aca="false">M4839-L4839</f>
        <v>176.17</v>
      </c>
      <c r="O4839" s="1" t="n">
        <f aca="false">YEAR(B4839)</f>
        <v>2035</v>
      </c>
      <c r="P4839" s="1" t="n">
        <f aca="false">MONTH(B4839)</f>
        <v>3</v>
      </c>
      <c r="Q4839" s="1" t="str">
        <f aca="false">TEXT(B4839,"mmm")</f>
        <v>Mar</v>
      </c>
      <c r="R4839" s="1" t="str">
        <f aca="false">"Q"&amp;ROUNDUP(MONTH(B4839)/3,0)</f>
        <v>Q1</v>
      </c>
    </row>
    <row r="4840" customFormat="false" ht="15" hidden="false" customHeight="true" outlineLevel="0" collapsed="false">
      <c r="A4840" s="1" t="n">
        <v>14839</v>
      </c>
      <c r="B4840" s="14" t="n">
        <v>49400</v>
      </c>
      <c r="C4840" s="1" t="n">
        <v>1819</v>
      </c>
      <c r="D4840" s="1" t="s">
        <v>27</v>
      </c>
      <c r="E4840" s="1" t="s">
        <v>35</v>
      </c>
      <c r="F4840" s="1" t="n">
        <v>2</v>
      </c>
      <c r="G4840" s="15" t="n">
        <v>208.22</v>
      </c>
      <c r="H4840" s="16" t="n">
        <v>0.24</v>
      </c>
      <c r="I4840" s="1" t="s">
        <v>31</v>
      </c>
      <c r="J4840" s="1" t="n">
        <v>11</v>
      </c>
      <c r="K4840" s="1" t="n">
        <v>1.7</v>
      </c>
      <c r="L4840" s="15" t="n">
        <v>316.49</v>
      </c>
      <c r="M4840" s="15" t="n">
        <f aca="false">F4840*G4840</f>
        <v>416.44</v>
      </c>
      <c r="N4840" s="15" t="n">
        <f aca="false">M4840-L4840</f>
        <v>99.95</v>
      </c>
      <c r="O4840" s="1" t="n">
        <f aca="false">YEAR(B4840)</f>
        <v>2035</v>
      </c>
      <c r="P4840" s="1" t="n">
        <f aca="false">MONTH(B4840)</f>
        <v>4</v>
      </c>
      <c r="Q4840" s="1" t="str">
        <f aca="false">TEXT(B4840,"mmm")</f>
        <v>Apr</v>
      </c>
      <c r="R4840" s="1" t="str">
        <f aca="false">"Q"&amp;ROUNDUP(MONTH(B4840)/3,0)</f>
        <v>Q2</v>
      </c>
    </row>
    <row r="4841" customFormat="false" ht="15" hidden="false" customHeight="true" outlineLevel="0" collapsed="false">
      <c r="A4841" s="1" t="n">
        <v>14840</v>
      </c>
      <c r="B4841" s="14" t="n">
        <v>49401</v>
      </c>
      <c r="C4841" s="1" t="n">
        <v>1863</v>
      </c>
      <c r="D4841" s="1" t="s">
        <v>34</v>
      </c>
      <c r="E4841" s="1" t="s">
        <v>35</v>
      </c>
      <c r="F4841" s="1" t="n">
        <v>4</v>
      </c>
      <c r="G4841" s="15" t="n">
        <v>439.05</v>
      </c>
      <c r="H4841" s="16" t="n">
        <v>0.26</v>
      </c>
      <c r="I4841" s="1" t="s">
        <v>31</v>
      </c>
      <c r="J4841" s="1" t="n">
        <v>3</v>
      </c>
      <c r="K4841" s="1" t="n">
        <v>3.2</v>
      </c>
      <c r="L4841" s="15" t="n">
        <v>1299.59</v>
      </c>
      <c r="M4841" s="15" t="n">
        <f aca="false">F4841*G4841</f>
        <v>1756.2</v>
      </c>
      <c r="N4841" s="15" t="n">
        <f aca="false">M4841-L4841</f>
        <v>456.61</v>
      </c>
      <c r="O4841" s="1" t="n">
        <f aca="false">YEAR(B4841)</f>
        <v>2035</v>
      </c>
      <c r="P4841" s="1" t="n">
        <f aca="false">MONTH(B4841)</f>
        <v>4</v>
      </c>
      <c r="Q4841" s="1" t="str">
        <f aca="false">TEXT(B4841,"mmm")</f>
        <v>Apr</v>
      </c>
      <c r="R4841" s="1" t="str">
        <f aca="false">"Q"&amp;ROUNDUP(MONTH(B4841)/3,0)</f>
        <v>Q2</v>
      </c>
    </row>
    <row r="4842" customFormat="false" ht="15" hidden="false" customHeight="true" outlineLevel="0" collapsed="false">
      <c r="A4842" s="1" t="n">
        <v>14841</v>
      </c>
      <c r="B4842" s="14" t="n">
        <v>49402</v>
      </c>
      <c r="C4842" s="1" t="n">
        <v>1581</v>
      </c>
      <c r="D4842" s="1" t="s">
        <v>30</v>
      </c>
      <c r="E4842" s="1" t="s">
        <v>28</v>
      </c>
      <c r="F4842" s="1" t="n">
        <v>6</v>
      </c>
      <c r="G4842" s="15" t="n">
        <v>373.02</v>
      </c>
      <c r="H4842" s="16" t="n">
        <v>0.34</v>
      </c>
      <c r="I4842" s="1" t="s">
        <v>31</v>
      </c>
      <c r="J4842" s="1" t="n">
        <v>9</v>
      </c>
      <c r="K4842" s="1" t="n">
        <v>4.1</v>
      </c>
      <c r="L4842" s="15" t="n">
        <v>1477.16</v>
      </c>
      <c r="M4842" s="15" t="n">
        <f aca="false">F4842*G4842</f>
        <v>2238.12</v>
      </c>
      <c r="N4842" s="15" t="n">
        <f aca="false">M4842-L4842</f>
        <v>760.96</v>
      </c>
      <c r="O4842" s="1" t="n">
        <f aca="false">YEAR(B4842)</f>
        <v>2035</v>
      </c>
      <c r="P4842" s="1" t="n">
        <f aca="false">MONTH(B4842)</f>
        <v>4</v>
      </c>
      <c r="Q4842" s="1" t="str">
        <f aca="false">TEXT(B4842,"mmm")</f>
        <v>Apr</v>
      </c>
      <c r="R4842" s="1" t="str">
        <f aca="false">"Q"&amp;ROUNDUP(MONTH(B4842)/3,0)</f>
        <v>Q2</v>
      </c>
    </row>
    <row r="4843" customFormat="false" ht="15" hidden="false" customHeight="true" outlineLevel="0" collapsed="false">
      <c r="A4843" s="1" t="n">
        <v>14842</v>
      </c>
      <c r="B4843" s="14" t="n">
        <v>49403</v>
      </c>
      <c r="C4843" s="1" t="n">
        <v>1694</v>
      </c>
      <c r="D4843" s="1" t="s">
        <v>30</v>
      </c>
      <c r="E4843" s="1" t="s">
        <v>32</v>
      </c>
      <c r="F4843" s="1" t="n">
        <v>4</v>
      </c>
      <c r="G4843" s="15" t="n">
        <v>85.07</v>
      </c>
      <c r="H4843" s="16" t="n">
        <v>0</v>
      </c>
      <c r="I4843" s="1" t="s">
        <v>29</v>
      </c>
      <c r="J4843" s="1" t="n">
        <v>1</v>
      </c>
      <c r="K4843" s="1" t="n">
        <v>1.9</v>
      </c>
      <c r="L4843" s="15" t="n">
        <v>340.28</v>
      </c>
      <c r="M4843" s="15" t="n">
        <f aca="false">F4843*G4843</f>
        <v>340.28</v>
      </c>
      <c r="N4843" s="15" t="n">
        <f aca="false">M4843-L4843</f>
        <v>0</v>
      </c>
      <c r="O4843" s="1" t="n">
        <f aca="false">YEAR(B4843)</f>
        <v>2035</v>
      </c>
      <c r="P4843" s="1" t="n">
        <f aca="false">MONTH(B4843)</f>
        <v>4</v>
      </c>
      <c r="Q4843" s="1" t="str">
        <f aca="false">TEXT(B4843,"mmm")</f>
        <v>Apr</v>
      </c>
      <c r="R4843" s="1" t="str">
        <f aca="false">"Q"&amp;ROUNDUP(MONTH(B4843)/3,0)</f>
        <v>Q2</v>
      </c>
    </row>
    <row r="4844" customFormat="false" ht="15" hidden="false" customHeight="true" outlineLevel="0" collapsed="false">
      <c r="A4844" s="1" t="n">
        <v>14843</v>
      </c>
      <c r="B4844" s="14" t="n">
        <v>49404</v>
      </c>
      <c r="C4844" s="1" t="n">
        <v>1761</v>
      </c>
      <c r="D4844" s="1" t="s">
        <v>30</v>
      </c>
      <c r="E4844" s="1" t="s">
        <v>36</v>
      </c>
      <c r="F4844" s="1" t="n">
        <v>7</v>
      </c>
      <c r="G4844" s="15" t="n">
        <v>110.54</v>
      </c>
      <c r="H4844" s="16" t="n">
        <v>0.22</v>
      </c>
      <c r="I4844" s="1" t="s">
        <v>33</v>
      </c>
      <c r="J4844" s="1" t="n">
        <v>1</v>
      </c>
      <c r="K4844" s="1" t="n">
        <v>2.2</v>
      </c>
      <c r="L4844" s="15" t="n">
        <v>603.55</v>
      </c>
      <c r="M4844" s="15" t="n">
        <f aca="false">F4844*G4844</f>
        <v>773.78</v>
      </c>
      <c r="N4844" s="15" t="n">
        <f aca="false">M4844-L4844</f>
        <v>170.23</v>
      </c>
      <c r="O4844" s="1" t="n">
        <f aca="false">YEAR(B4844)</f>
        <v>2035</v>
      </c>
      <c r="P4844" s="1" t="n">
        <f aca="false">MONTH(B4844)</f>
        <v>4</v>
      </c>
      <c r="Q4844" s="1" t="str">
        <f aca="false">TEXT(B4844,"mmm")</f>
        <v>Apr</v>
      </c>
      <c r="R4844" s="1" t="str">
        <f aca="false">"Q"&amp;ROUNDUP(MONTH(B4844)/3,0)</f>
        <v>Q2</v>
      </c>
    </row>
    <row r="4845" customFormat="false" ht="15" hidden="false" customHeight="true" outlineLevel="0" collapsed="false">
      <c r="A4845" s="1" t="n">
        <v>14844</v>
      </c>
      <c r="B4845" s="14" t="n">
        <v>49405</v>
      </c>
      <c r="C4845" s="1" t="n">
        <v>1227</v>
      </c>
      <c r="D4845" s="1" t="s">
        <v>34</v>
      </c>
      <c r="E4845" s="1" t="s">
        <v>32</v>
      </c>
      <c r="F4845" s="1" t="n">
        <v>2</v>
      </c>
      <c r="G4845" s="15" t="n">
        <v>389.83</v>
      </c>
      <c r="H4845" s="16" t="n">
        <v>0.26</v>
      </c>
      <c r="I4845" s="1" t="s">
        <v>33</v>
      </c>
      <c r="J4845" s="1" t="n">
        <v>3</v>
      </c>
      <c r="K4845" s="1" t="n">
        <v>1.2</v>
      </c>
      <c r="L4845" s="15" t="n">
        <v>576.95</v>
      </c>
      <c r="M4845" s="15" t="n">
        <f aca="false">F4845*G4845</f>
        <v>779.66</v>
      </c>
      <c r="N4845" s="15" t="n">
        <f aca="false">M4845-L4845</f>
        <v>202.71</v>
      </c>
      <c r="O4845" s="1" t="n">
        <f aca="false">YEAR(B4845)</f>
        <v>2035</v>
      </c>
      <c r="P4845" s="1" t="n">
        <f aca="false">MONTH(B4845)</f>
        <v>4</v>
      </c>
      <c r="Q4845" s="1" t="str">
        <f aca="false">TEXT(B4845,"mmm")</f>
        <v>Apr</v>
      </c>
      <c r="R4845" s="1" t="str">
        <f aca="false">"Q"&amp;ROUNDUP(MONTH(B4845)/3,0)</f>
        <v>Q2</v>
      </c>
    </row>
    <row r="4846" customFormat="false" ht="15" hidden="false" customHeight="true" outlineLevel="0" collapsed="false">
      <c r="A4846" s="1" t="n">
        <v>14845</v>
      </c>
      <c r="B4846" s="14" t="n">
        <v>49406</v>
      </c>
      <c r="C4846" s="1" t="n">
        <v>1101</v>
      </c>
      <c r="D4846" s="1" t="s">
        <v>37</v>
      </c>
      <c r="E4846" s="1" t="s">
        <v>28</v>
      </c>
      <c r="F4846" s="1" t="n">
        <v>7</v>
      </c>
      <c r="G4846" s="15" t="n">
        <v>490.85</v>
      </c>
      <c r="H4846" s="16" t="n">
        <v>0.32</v>
      </c>
      <c r="I4846" s="1" t="s">
        <v>31</v>
      </c>
      <c r="J4846" s="1" t="n">
        <v>6</v>
      </c>
      <c r="K4846" s="1" t="n">
        <v>4.8</v>
      </c>
      <c r="L4846" s="15" t="n">
        <v>2336.45</v>
      </c>
      <c r="M4846" s="15" t="n">
        <f aca="false">F4846*G4846</f>
        <v>3435.95</v>
      </c>
      <c r="N4846" s="15" t="n">
        <f aca="false">M4846-L4846</f>
        <v>1099.5</v>
      </c>
      <c r="O4846" s="1" t="n">
        <f aca="false">YEAR(B4846)</f>
        <v>2035</v>
      </c>
      <c r="P4846" s="1" t="n">
        <f aca="false">MONTH(B4846)</f>
        <v>4</v>
      </c>
      <c r="Q4846" s="1" t="str">
        <f aca="false">TEXT(B4846,"mmm")</f>
        <v>Apr</v>
      </c>
      <c r="R4846" s="1" t="str">
        <f aca="false">"Q"&amp;ROUNDUP(MONTH(B4846)/3,0)</f>
        <v>Q2</v>
      </c>
    </row>
    <row r="4847" customFormat="false" ht="15" hidden="false" customHeight="true" outlineLevel="0" collapsed="false">
      <c r="A4847" s="1" t="n">
        <v>14846</v>
      </c>
      <c r="B4847" s="14" t="n">
        <v>49407</v>
      </c>
      <c r="C4847" s="1" t="n">
        <v>1586</v>
      </c>
      <c r="D4847" s="1" t="s">
        <v>30</v>
      </c>
      <c r="E4847" s="1" t="s">
        <v>36</v>
      </c>
      <c r="F4847" s="1" t="n">
        <v>4</v>
      </c>
      <c r="G4847" s="15" t="n">
        <v>219.44</v>
      </c>
      <c r="H4847" s="16" t="n">
        <v>0.31</v>
      </c>
      <c r="I4847" s="1" t="s">
        <v>31</v>
      </c>
      <c r="J4847" s="1" t="n">
        <v>11</v>
      </c>
      <c r="K4847" s="1" t="n">
        <v>2.9</v>
      </c>
      <c r="L4847" s="15" t="n">
        <v>605.65</v>
      </c>
      <c r="M4847" s="15" t="n">
        <f aca="false">F4847*G4847</f>
        <v>877.76</v>
      </c>
      <c r="N4847" s="15" t="n">
        <f aca="false">M4847-L4847</f>
        <v>272.11</v>
      </c>
      <c r="O4847" s="1" t="n">
        <f aca="false">YEAR(B4847)</f>
        <v>2035</v>
      </c>
      <c r="P4847" s="1" t="n">
        <f aca="false">MONTH(B4847)</f>
        <v>4</v>
      </c>
      <c r="Q4847" s="1" t="str">
        <f aca="false">TEXT(B4847,"mmm")</f>
        <v>Apr</v>
      </c>
      <c r="R4847" s="1" t="str">
        <f aca="false">"Q"&amp;ROUNDUP(MONTH(B4847)/3,0)</f>
        <v>Q2</v>
      </c>
    </row>
    <row r="4848" customFormat="false" ht="15" hidden="false" customHeight="true" outlineLevel="0" collapsed="false">
      <c r="A4848" s="1" t="n">
        <v>14847</v>
      </c>
      <c r="B4848" s="14" t="n">
        <v>49408</v>
      </c>
      <c r="C4848" s="1" t="n">
        <v>1416</v>
      </c>
      <c r="D4848" s="1" t="s">
        <v>30</v>
      </c>
      <c r="E4848" s="1" t="s">
        <v>28</v>
      </c>
      <c r="F4848" s="1" t="n">
        <v>5</v>
      </c>
      <c r="G4848" s="15" t="n">
        <v>363.26</v>
      </c>
      <c r="H4848" s="16" t="n">
        <v>0.29</v>
      </c>
      <c r="I4848" s="1" t="s">
        <v>31</v>
      </c>
      <c r="J4848" s="1" t="n">
        <v>2</v>
      </c>
      <c r="K4848" s="1" t="n">
        <v>1.3</v>
      </c>
      <c r="L4848" s="15" t="n">
        <v>1289.57</v>
      </c>
      <c r="M4848" s="15" t="n">
        <f aca="false">F4848*G4848</f>
        <v>1816.3</v>
      </c>
      <c r="N4848" s="15" t="n">
        <f aca="false">M4848-L4848</f>
        <v>526.73</v>
      </c>
      <c r="O4848" s="1" t="n">
        <f aca="false">YEAR(B4848)</f>
        <v>2035</v>
      </c>
      <c r="P4848" s="1" t="n">
        <f aca="false">MONTH(B4848)</f>
        <v>4</v>
      </c>
      <c r="Q4848" s="1" t="str">
        <f aca="false">TEXT(B4848,"mmm")</f>
        <v>Apr</v>
      </c>
      <c r="R4848" s="1" t="str">
        <f aca="false">"Q"&amp;ROUNDUP(MONTH(B4848)/3,0)</f>
        <v>Q2</v>
      </c>
    </row>
    <row r="4849" customFormat="false" ht="15" hidden="false" customHeight="true" outlineLevel="0" collapsed="false">
      <c r="A4849" s="1" t="n">
        <v>14848</v>
      </c>
      <c r="B4849" s="14" t="n">
        <v>49409</v>
      </c>
      <c r="C4849" s="1" t="n">
        <v>1957</v>
      </c>
      <c r="D4849" s="1" t="s">
        <v>34</v>
      </c>
      <c r="E4849" s="1" t="s">
        <v>32</v>
      </c>
      <c r="F4849" s="1" t="n">
        <v>3</v>
      </c>
      <c r="G4849" s="15" t="n">
        <v>114.83</v>
      </c>
      <c r="H4849" s="16" t="n">
        <v>0.33</v>
      </c>
      <c r="I4849" s="1" t="s">
        <v>33</v>
      </c>
      <c r="J4849" s="1" t="n">
        <v>1</v>
      </c>
      <c r="K4849" s="1" t="n">
        <v>4.3</v>
      </c>
      <c r="L4849" s="15" t="n">
        <v>230.81</v>
      </c>
      <c r="M4849" s="15" t="n">
        <f aca="false">F4849*G4849</f>
        <v>344.49</v>
      </c>
      <c r="N4849" s="15" t="n">
        <f aca="false">M4849-L4849</f>
        <v>113.68</v>
      </c>
      <c r="O4849" s="1" t="n">
        <f aca="false">YEAR(B4849)</f>
        <v>2035</v>
      </c>
      <c r="P4849" s="1" t="n">
        <f aca="false">MONTH(B4849)</f>
        <v>4</v>
      </c>
      <c r="Q4849" s="1" t="str">
        <f aca="false">TEXT(B4849,"mmm")</f>
        <v>Apr</v>
      </c>
      <c r="R4849" s="1" t="str">
        <f aca="false">"Q"&amp;ROUNDUP(MONTH(B4849)/3,0)</f>
        <v>Q2</v>
      </c>
    </row>
    <row r="4850" customFormat="false" ht="15" hidden="false" customHeight="true" outlineLevel="0" collapsed="false">
      <c r="A4850" s="1" t="n">
        <v>14849</v>
      </c>
      <c r="B4850" s="14" t="n">
        <v>49410</v>
      </c>
      <c r="C4850" s="1" t="n">
        <v>1215</v>
      </c>
      <c r="D4850" s="1" t="s">
        <v>34</v>
      </c>
      <c r="E4850" s="1" t="s">
        <v>36</v>
      </c>
      <c r="F4850" s="1" t="n">
        <v>6</v>
      </c>
      <c r="G4850" s="15" t="n">
        <v>197.16</v>
      </c>
      <c r="H4850" s="16" t="n">
        <v>0.19</v>
      </c>
      <c r="I4850" s="1" t="s">
        <v>33</v>
      </c>
      <c r="J4850" s="1" t="n">
        <v>8</v>
      </c>
      <c r="K4850" s="1" t="n">
        <v>3.3</v>
      </c>
      <c r="L4850" s="15" t="n">
        <v>958.2</v>
      </c>
      <c r="M4850" s="15" t="n">
        <f aca="false">F4850*G4850</f>
        <v>1182.96</v>
      </c>
      <c r="N4850" s="15" t="n">
        <f aca="false">M4850-L4850</f>
        <v>224.76</v>
      </c>
      <c r="O4850" s="1" t="n">
        <f aca="false">YEAR(B4850)</f>
        <v>2035</v>
      </c>
      <c r="P4850" s="1" t="n">
        <f aca="false">MONTH(B4850)</f>
        <v>4</v>
      </c>
      <c r="Q4850" s="1" t="str">
        <f aca="false">TEXT(B4850,"mmm")</f>
        <v>Apr</v>
      </c>
      <c r="R4850" s="1" t="str">
        <f aca="false">"Q"&amp;ROUNDUP(MONTH(B4850)/3,0)</f>
        <v>Q2</v>
      </c>
    </row>
    <row r="4851" customFormat="false" ht="15" hidden="false" customHeight="true" outlineLevel="0" collapsed="false">
      <c r="A4851" s="1" t="n">
        <v>14850</v>
      </c>
      <c r="B4851" s="14" t="n">
        <v>49411</v>
      </c>
      <c r="C4851" s="1" t="n">
        <v>1406</v>
      </c>
      <c r="D4851" s="1" t="s">
        <v>34</v>
      </c>
      <c r="E4851" s="1" t="s">
        <v>28</v>
      </c>
      <c r="F4851" s="1" t="n">
        <v>5</v>
      </c>
      <c r="G4851" s="15" t="n">
        <v>26.86</v>
      </c>
      <c r="H4851" s="16" t="n">
        <v>0</v>
      </c>
      <c r="I4851" s="1" t="s">
        <v>31</v>
      </c>
      <c r="J4851" s="1" t="n">
        <v>11</v>
      </c>
      <c r="K4851" s="1" t="n">
        <v>1.2</v>
      </c>
      <c r="L4851" s="15" t="n">
        <v>134.3</v>
      </c>
      <c r="M4851" s="15" t="n">
        <f aca="false">F4851*G4851</f>
        <v>134.3</v>
      </c>
      <c r="N4851" s="15" t="n">
        <f aca="false">M4851-L4851</f>
        <v>0</v>
      </c>
      <c r="O4851" s="1" t="n">
        <f aca="false">YEAR(B4851)</f>
        <v>2035</v>
      </c>
      <c r="P4851" s="1" t="n">
        <f aca="false">MONTH(B4851)</f>
        <v>4</v>
      </c>
      <c r="Q4851" s="1" t="str">
        <f aca="false">TEXT(B4851,"mmm")</f>
        <v>Apr</v>
      </c>
      <c r="R4851" s="1" t="str">
        <f aca="false">"Q"&amp;ROUNDUP(MONTH(B4851)/3,0)</f>
        <v>Q2</v>
      </c>
    </row>
    <row r="4852" customFormat="false" ht="15" hidden="false" customHeight="true" outlineLevel="0" collapsed="false">
      <c r="A4852" s="1" t="n">
        <v>14851</v>
      </c>
      <c r="B4852" s="14" t="n">
        <v>49412</v>
      </c>
      <c r="C4852" s="1" t="n">
        <v>1398</v>
      </c>
      <c r="D4852" s="1" t="s">
        <v>37</v>
      </c>
      <c r="E4852" s="1" t="s">
        <v>35</v>
      </c>
      <c r="F4852" s="1" t="n">
        <v>7</v>
      </c>
      <c r="G4852" s="15" t="n">
        <v>464.44</v>
      </c>
      <c r="H4852" s="16" t="n">
        <v>0</v>
      </c>
      <c r="I4852" s="1" t="s">
        <v>31</v>
      </c>
      <c r="J4852" s="1" t="n">
        <v>10</v>
      </c>
      <c r="K4852" s="1" t="n">
        <v>2.8</v>
      </c>
      <c r="L4852" s="15" t="n">
        <v>3251.08</v>
      </c>
      <c r="M4852" s="15" t="n">
        <f aca="false">F4852*G4852</f>
        <v>3251.08</v>
      </c>
      <c r="N4852" s="15" t="n">
        <f aca="false">M4852-L4852</f>
        <v>0</v>
      </c>
      <c r="O4852" s="1" t="n">
        <f aca="false">YEAR(B4852)</f>
        <v>2035</v>
      </c>
      <c r="P4852" s="1" t="n">
        <f aca="false">MONTH(B4852)</f>
        <v>4</v>
      </c>
      <c r="Q4852" s="1" t="str">
        <f aca="false">TEXT(B4852,"mmm")</f>
        <v>Apr</v>
      </c>
      <c r="R4852" s="1" t="str">
        <f aca="false">"Q"&amp;ROUNDUP(MONTH(B4852)/3,0)</f>
        <v>Q2</v>
      </c>
    </row>
    <row r="4853" customFormat="false" ht="15" hidden="false" customHeight="true" outlineLevel="0" collapsed="false">
      <c r="A4853" s="1" t="n">
        <v>14852</v>
      </c>
      <c r="B4853" s="14" t="n">
        <v>49413</v>
      </c>
      <c r="C4853" s="1" t="n">
        <v>1922</v>
      </c>
      <c r="D4853" s="1" t="s">
        <v>34</v>
      </c>
      <c r="E4853" s="1" t="s">
        <v>36</v>
      </c>
      <c r="F4853" s="1" t="n">
        <v>4</v>
      </c>
      <c r="G4853" s="15" t="n">
        <v>249.59</v>
      </c>
      <c r="H4853" s="16" t="n">
        <v>0.19</v>
      </c>
      <c r="I4853" s="1" t="s">
        <v>31</v>
      </c>
      <c r="J4853" s="1" t="n">
        <v>9</v>
      </c>
      <c r="K4853" s="1" t="n">
        <v>2.7</v>
      </c>
      <c r="L4853" s="15" t="n">
        <v>808.67</v>
      </c>
      <c r="M4853" s="15" t="n">
        <f aca="false">F4853*G4853</f>
        <v>998.36</v>
      </c>
      <c r="N4853" s="15" t="n">
        <f aca="false">M4853-L4853</f>
        <v>189.69</v>
      </c>
      <c r="O4853" s="1" t="n">
        <f aca="false">YEAR(B4853)</f>
        <v>2035</v>
      </c>
      <c r="P4853" s="1" t="n">
        <f aca="false">MONTH(B4853)</f>
        <v>4</v>
      </c>
      <c r="Q4853" s="1" t="str">
        <f aca="false">TEXT(B4853,"mmm")</f>
        <v>Apr</v>
      </c>
      <c r="R4853" s="1" t="str">
        <f aca="false">"Q"&amp;ROUNDUP(MONTH(B4853)/3,0)</f>
        <v>Q2</v>
      </c>
    </row>
    <row r="4854" customFormat="false" ht="15" hidden="false" customHeight="true" outlineLevel="0" collapsed="false">
      <c r="A4854" s="1" t="n">
        <v>14853</v>
      </c>
      <c r="B4854" s="14" t="n">
        <v>49414</v>
      </c>
      <c r="C4854" s="1" t="n">
        <v>1714</v>
      </c>
      <c r="D4854" s="1" t="s">
        <v>37</v>
      </c>
      <c r="E4854" s="1" t="s">
        <v>36</v>
      </c>
      <c r="F4854" s="1" t="n">
        <v>4</v>
      </c>
      <c r="G4854" s="15" t="n">
        <v>492.43</v>
      </c>
      <c r="H4854" s="16" t="n">
        <v>0.15</v>
      </c>
      <c r="I4854" s="1" t="s">
        <v>31</v>
      </c>
      <c r="J4854" s="1" t="n">
        <v>10</v>
      </c>
      <c r="K4854" s="1" t="n">
        <v>1.6</v>
      </c>
      <c r="L4854" s="15" t="n">
        <v>1674.26</v>
      </c>
      <c r="M4854" s="15" t="n">
        <f aca="false">F4854*G4854</f>
        <v>1969.72</v>
      </c>
      <c r="N4854" s="15" t="n">
        <f aca="false">M4854-L4854</f>
        <v>295.46</v>
      </c>
      <c r="O4854" s="1" t="n">
        <f aca="false">YEAR(B4854)</f>
        <v>2035</v>
      </c>
      <c r="P4854" s="1" t="n">
        <f aca="false">MONTH(B4854)</f>
        <v>4</v>
      </c>
      <c r="Q4854" s="1" t="str">
        <f aca="false">TEXT(B4854,"mmm")</f>
        <v>Apr</v>
      </c>
      <c r="R4854" s="1" t="str">
        <f aca="false">"Q"&amp;ROUNDUP(MONTH(B4854)/3,0)</f>
        <v>Q2</v>
      </c>
    </row>
    <row r="4855" customFormat="false" ht="15" hidden="false" customHeight="true" outlineLevel="0" collapsed="false">
      <c r="A4855" s="1" t="n">
        <v>14854</v>
      </c>
      <c r="B4855" s="14" t="n">
        <v>49415</v>
      </c>
      <c r="C4855" s="1" t="n">
        <v>1703</v>
      </c>
      <c r="D4855" s="1" t="s">
        <v>30</v>
      </c>
      <c r="E4855" s="1" t="s">
        <v>28</v>
      </c>
      <c r="F4855" s="1" t="n">
        <v>3</v>
      </c>
      <c r="G4855" s="15" t="n">
        <v>429.4</v>
      </c>
      <c r="H4855" s="16" t="n">
        <v>0.16</v>
      </c>
      <c r="I4855" s="1" t="s">
        <v>33</v>
      </c>
      <c r="J4855" s="1" t="n">
        <v>1</v>
      </c>
      <c r="K4855" s="1" t="n">
        <v>2.7</v>
      </c>
      <c r="L4855" s="15" t="n">
        <v>1082.09</v>
      </c>
      <c r="M4855" s="15" t="n">
        <f aca="false">F4855*G4855</f>
        <v>1288.2</v>
      </c>
      <c r="N4855" s="15" t="n">
        <f aca="false">M4855-L4855</f>
        <v>206.11</v>
      </c>
      <c r="O4855" s="1" t="n">
        <f aca="false">YEAR(B4855)</f>
        <v>2035</v>
      </c>
      <c r="P4855" s="1" t="n">
        <f aca="false">MONTH(B4855)</f>
        <v>4</v>
      </c>
      <c r="Q4855" s="1" t="str">
        <f aca="false">TEXT(B4855,"mmm")</f>
        <v>Apr</v>
      </c>
      <c r="R4855" s="1" t="str">
        <f aca="false">"Q"&amp;ROUNDUP(MONTH(B4855)/3,0)</f>
        <v>Q2</v>
      </c>
    </row>
    <row r="4856" customFormat="false" ht="15" hidden="false" customHeight="true" outlineLevel="0" collapsed="false">
      <c r="A4856" s="1" t="n">
        <v>14855</v>
      </c>
      <c r="B4856" s="14" t="n">
        <v>49416</v>
      </c>
      <c r="C4856" s="1" t="n">
        <v>1760</v>
      </c>
      <c r="D4856" s="1" t="s">
        <v>30</v>
      </c>
      <c r="E4856" s="1" t="s">
        <v>35</v>
      </c>
      <c r="F4856" s="1" t="n">
        <v>4</v>
      </c>
      <c r="G4856" s="15" t="n">
        <v>499.82</v>
      </c>
      <c r="H4856" s="16" t="n">
        <v>0.14</v>
      </c>
      <c r="I4856" s="1" t="s">
        <v>33</v>
      </c>
      <c r="J4856" s="1" t="n">
        <v>3</v>
      </c>
      <c r="K4856" s="1" t="n">
        <v>2.1</v>
      </c>
      <c r="L4856" s="15" t="n">
        <v>1719.38</v>
      </c>
      <c r="M4856" s="15" t="n">
        <f aca="false">F4856*G4856</f>
        <v>1999.28</v>
      </c>
      <c r="N4856" s="15" t="n">
        <f aca="false">M4856-L4856</f>
        <v>279.9</v>
      </c>
      <c r="O4856" s="1" t="n">
        <f aca="false">YEAR(B4856)</f>
        <v>2035</v>
      </c>
      <c r="P4856" s="1" t="n">
        <f aca="false">MONTH(B4856)</f>
        <v>4</v>
      </c>
      <c r="Q4856" s="1" t="str">
        <f aca="false">TEXT(B4856,"mmm")</f>
        <v>Apr</v>
      </c>
      <c r="R4856" s="1" t="str">
        <f aca="false">"Q"&amp;ROUNDUP(MONTH(B4856)/3,0)</f>
        <v>Q2</v>
      </c>
    </row>
    <row r="4857" customFormat="false" ht="15" hidden="false" customHeight="true" outlineLevel="0" collapsed="false">
      <c r="A4857" s="1" t="n">
        <v>14856</v>
      </c>
      <c r="B4857" s="14" t="n">
        <v>49417</v>
      </c>
      <c r="C4857" s="1" t="n">
        <v>1498</v>
      </c>
      <c r="D4857" s="1" t="s">
        <v>30</v>
      </c>
      <c r="E4857" s="1" t="s">
        <v>36</v>
      </c>
      <c r="F4857" s="1" t="n">
        <v>3</v>
      </c>
      <c r="G4857" s="15" t="n">
        <v>182.11</v>
      </c>
      <c r="H4857" s="16" t="n">
        <v>0.32</v>
      </c>
      <c r="I4857" s="1" t="s">
        <v>31</v>
      </c>
      <c r="J4857" s="1" t="n">
        <v>5</v>
      </c>
      <c r="K4857" s="1" t="n">
        <v>3.8</v>
      </c>
      <c r="L4857" s="15" t="n">
        <v>371.5</v>
      </c>
      <c r="M4857" s="15" t="n">
        <f aca="false">F4857*G4857</f>
        <v>546.33</v>
      </c>
      <c r="N4857" s="15" t="n">
        <f aca="false">M4857-L4857</f>
        <v>174.83</v>
      </c>
      <c r="O4857" s="1" t="n">
        <f aca="false">YEAR(B4857)</f>
        <v>2035</v>
      </c>
      <c r="P4857" s="1" t="n">
        <f aca="false">MONTH(B4857)</f>
        <v>4</v>
      </c>
      <c r="Q4857" s="1" t="str">
        <f aca="false">TEXT(B4857,"mmm")</f>
        <v>Apr</v>
      </c>
      <c r="R4857" s="1" t="str">
        <f aca="false">"Q"&amp;ROUNDUP(MONTH(B4857)/3,0)</f>
        <v>Q2</v>
      </c>
    </row>
    <row r="4858" customFormat="false" ht="15" hidden="false" customHeight="true" outlineLevel="0" collapsed="false">
      <c r="A4858" s="1" t="n">
        <v>14857</v>
      </c>
      <c r="B4858" s="14" t="n">
        <v>49418</v>
      </c>
      <c r="C4858" s="1" t="n">
        <v>1753</v>
      </c>
      <c r="D4858" s="1" t="s">
        <v>30</v>
      </c>
      <c r="E4858" s="1" t="s">
        <v>28</v>
      </c>
      <c r="F4858" s="1" t="n">
        <v>6</v>
      </c>
      <c r="G4858" s="15" t="n">
        <v>123.29</v>
      </c>
      <c r="H4858" s="16" t="n">
        <v>0.13</v>
      </c>
      <c r="I4858" s="1" t="s">
        <v>29</v>
      </c>
      <c r="J4858" s="1" t="n">
        <v>7</v>
      </c>
      <c r="K4858" s="1" t="n">
        <v>1</v>
      </c>
      <c r="L4858" s="15" t="n">
        <v>643.57</v>
      </c>
      <c r="M4858" s="15" t="n">
        <f aca="false">F4858*G4858</f>
        <v>739.74</v>
      </c>
      <c r="N4858" s="15" t="n">
        <f aca="false">M4858-L4858</f>
        <v>96.17</v>
      </c>
      <c r="O4858" s="1" t="n">
        <f aca="false">YEAR(B4858)</f>
        <v>2035</v>
      </c>
      <c r="P4858" s="1" t="n">
        <f aca="false">MONTH(B4858)</f>
        <v>4</v>
      </c>
      <c r="Q4858" s="1" t="str">
        <f aca="false">TEXT(B4858,"mmm")</f>
        <v>Apr</v>
      </c>
      <c r="R4858" s="1" t="str">
        <f aca="false">"Q"&amp;ROUNDUP(MONTH(B4858)/3,0)</f>
        <v>Q2</v>
      </c>
    </row>
    <row r="4859" customFormat="false" ht="15" hidden="false" customHeight="true" outlineLevel="0" collapsed="false">
      <c r="A4859" s="1" t="n">
        <v>14858</v>
      </c>
      <c r="B4859" s="14" t="n">
        <v>49419</v>
      </c>
      <c r="C4859" s="1" t="n">
        <v>1464</v>
      </c>
      <c r="D4859" s="1" t="s">
        <v>34</v>
      </c>
      <c r="E4859" s="1" t="s">
        <v>36</v>
      </c>
      <c r="F4859" s="1" t="n">
        <v>2</v>
      </c>
      <c r="G4859" s="15" t="n">
        <v>583.56</v>
      </c>
      <c r="H4859" s="16" t="n">
        <v>0.3</v>
      </c>
      <c r="I4859" s="1" t="s">
        <v>33</v>
      </c>
      <c r="J4859" s="1" t="n">
        <v>10</v>
      </c>
      <c r="K4859" s="1" t="n">
        <v>1.4</v>
      </c>
      <c r="L4859" s="15" t="n">
        <v>816.98</v>
      </c>
      <c r="M4859" s="15" t="n">
        <f aca="false">F4859*G4859</f>
        <v>1167.12</v>
      </c>
      <c r="N4859" s="15" t="n">
        <f aca="false">M4859-L4859</f>
        <v>350.14</v>
      </c>
      <c r="O4859" s="1" t="n">
        <f aca="false">YEAR(B4859)</f>
        <v>2035</v>
      </c>
      <c r="P4859" s="1" t="n">
        <f aca="false">MONTH(B4859)</f>
        <v>4</v>
      </c>
      <c r="Q4859" s="1" t="str">
        <f aca="false">TEXT(B4859,"mmm")</f>
        <v>Apr</v>
      </c>
      <c r="R4859" s="1" t="str">
        <f aca="false">"Q"&amp;ROUNDUP(MONTH(B4859)/3,0)</f>
        <v>Q2</v>
      </c>
    </row>
    <row r="4860" customFormat="false" ht="15" hidden="false" customHeight="true" outlineLevel="0" collapsed="false">
      <c r="A4860" s="1" t="n">
        <v>14859</v>
      </c>
      <c r="B4860" s="14" t="n">
        <v>49420</v>
      </c>
      <c r="C4860" s="1" t="n">
        <v>1690</v>
      </c>
      <c r="D4860" s="1" t="s">
        <v>34</v>
      </c>
      <c r="E4860" s="1" t="s">
        <v>36</v>
      </c>
      <c r="F4860" s="1" t="n">
        <v>3</v>
      </c>
      <c r="G4860" s="15" t="n">
        <v>434.64</v>
      </c>
      <c r="H4860" s="16" t="n">
        <v>0.32</v>
      </c>
      <c r="I4860" s="1" t="s">
        <v>31</v>
      </c>
      <c r="J4860" s="1" t="n">
        <v>4</v>
      </c>
      <c r="K4860" s="1" t="n">
        <v>4.7</v>
      </c>
      <c r="L4860" s="15" t="n">
        <v>886.67</v>
      </c>
      <c r="M4860" s="15" t="n">
        <f aca="false">F4860*G4860</f>
        <v>1303.92</v>
      </c>
      <c r="N4860" s="15" t="n">
        <f aca="false">M4860-L4860</f>
        <v>417.25</v>
      </c>
      <c r="O4860" s="1" t="n">
        <f aca="false">YEAR(B4860)</f>
        <v>2035</v>
      </c>
      <c r="P4860" s="1" t="n">
        <f aca="false">MONTH(B4860)</f>
        <v>4</v>
      </c>
      <c r="Q4860" s="1" t="str">
        <f aca="false">TEXT(B4860,"mmm")</f>
        <v>Apr</v>
      </c>
      <c r="R4860" s="1" t="str">
        <f aca="false">"Q"&amp;ROUNDUP(MONTH(B4860)/3,0)</f>
        <v>Q2</v>
      </c>
    </row>
    <row r="4861" customFormat="false" ht="15" hidden="false" customHeight="true" outlineLevel="0" collapsed="false">
      <c r="A4861" s="1" t="n">
        <v>14860</v>
      </c>
      <c r="B4861" s="14" t="n">
        <v>49421</v>
      </c>
      <c r="C4861" s="1" t="n">
        <v>1948</v>
      </c>
      <c r="D4861" s="1" t="s">
        <v>37</v>
      </c>
      <c r="E4861" s="1" t="s">
        <v>36</v>
      </c>
      <c r="F4861" s="1" t="n">
        <v>3</v>
      </c>
      <c r="G4861" s="15" t="n">
        <v>502.91</v>
      </c>
      <c r="H4861" s="16" t="n">
        <v>0.17</v>
      </c>
      <c r="I4861" s="1" t="s">
        <v>31</v>
      </c>
      <c r="J4861" s="1" t="n">
        <v>6</v>
      </c>
      <c r="K4861" s="1" t="n">
        <v>2.7</v>
      </c>
      <c r="L4861" s="15" t="n">
        <v>1252.25</v>
      </c>
      <c r="M4861" s="15" t="n">
        <f aca="false">F4861*G4861</f>
        <v>1508.73</v>
      </c>
      <c r="N4861" s="15" t="n">
        <f aca="false">M4861-L4861</f>
        <v>256.48</v>
      </c>
      <c r="O4861" s="1" t="n">
        <f aca="false">YEAR(B4861)</f>
        <v>2035</v>
      </c>
      <c r="P4861" s="1" t="n">
        <f aca="false">MONTH(B4861)</f>
        <v>4</v>
      </c>
      <c r="Q4861" s="1" t="str">
        <f aca="false">TEXT(B4861,"mmm")</f>
        <v>Apr</v>
      </c>
      <c r="R4861" s="1" t="str">
        <f aca="false">"Q"&amp;ROUNDUP(MONTH(B4861)/3,0)</f>
        <v>Q2</v>
      </c>
    </row>
    <row r="4862" customFormat="false" ht="15" hidden="false" customHeight="true" outlineLevel="0" collapsed="false">
      <c r="A4862" s="1" t="n">
        <v>14861</v>
      </c>
      <c r="B4862" s="14" t="n">
        <v>49422</v>
      </c>
      <c r="C4862" s="1" t="n">
        <v>1973</v>
      </c>
      <c r="D4862" s="1" t="s">
        <v>37</v>
      </c>
      <c r="E4862" s="1" t="s">
        <v>35</v>
      </c>
      <c r="F4862" s="1" t="n">
        <v>5</v>
      </c>
      <c r="G4862" s="15" t="n">
        <v>22.68</v>
      </c>
      <c r="H4862" s="16" t="n">
        <v>0.16</v>
      </c>
      <c r="I4862" s="1" t="s">
        <v>29</v>
      </c>
      <c r="J4862" s="1" t="n">
        <v>1</v>
      </c>
      <c r="K4862" s="1" t="n">
        <v>1.7</v>
      </c>
      <c r="L4862" s="15" t="n">
        <v>95.26</v>
      </c>
      <c r="M4862" s="15" t="n">
        <f aca="false">F4862*G4862</f>
        <v>113.4</v>
      </c>
      <c r="N4862" s="15" t="n">
        <f aca="false">M4862-L4862</f>
        <v>18.14</v>
      </c>
      <c r="O4862" s="1" t="n">
        <f aca="false">YEAR(B4862)</f>
        <v>2035</v>
      </c>
      <c r="P4862" s="1" t="n">
        <f aca="false">MONTH(B4862)</f>
        <v>4</v>
      </c>
      <c r="Q4862" s="1" t="str">
        <f aca="false">TEXT(B4862,"mmm")</f>
        <v>Apr</v>
      </c>
      <c r="R4862" s="1" t="str">
        <f aca="false">"Q"&amp;ROUNDUP(MONTH(B4862)/3,0)</f>
        <v>Q2</v>
      </c>
    </row>
    <row r="4863" customFormat="false" ht="15" hidden="false" customHeight="true" outlineLevel="0" collapsed="false">
      <c r="A4863" s="1" t="n">
        <v>14862</v>
      </c>
      <c r="B4863" s="14" t="n">
        <v>49423</v>
      </c>
      <c r="C4863" s="1" t="n">
        <v>1730</v>
      </c>
      <c r="D4863" s="1" t="s">
        <v>34</v>
      </c>
      <c r="E4863" s="1" t="s">
        <v>32</v>
      </c>
      <c r="F4863" s="1" t="n">
        <v>4</v>
      </c>
      <c r="G4863" s="15" t="n">
        <v>222.36</v>
      </c>
      <c r="H4863" s="16" t="n">
        <v>0.27</v>
      </c>
      <c r="I4863" s="1" t="s">
        <v>33</v>
      </c>
      <c r="J4863" s="1" t="n">
        <v>4</v>
      </c>
      <c r="K4863" s="1" t="n">
        <v>4.2</v>
      </c>
      <c r="L4863" s="15" t="n">
        <v>649.29</v>
      </c>
      <c r="M4863" s="15" t="n">
        <f aca="false">F4863*G4863</f>
        <v>889.44</v>
      </c>
      <c r="N4863" s="15" t="n">
        <f aca="false">M4863-L4863</f>
        <v>240.15</v>
      </c>
      <c r="O4863" s="1" t="n">
        <f aca="false">YEAR(B4863)</f>
        <v>2035</v>
      </c>
      <c r="P4863" s="1" t="n">
        <f aca="false">MONTH(B4863)</f>
        <v>4</v>
      </c>
      <c r="Q4863" s="1" t="str">
        <f aca="false">TEXT(B4863,"mmm")</f>
        <v>Apr</v>
      </c>
      <c r="R4863" s="1" t="str">
        <f aca="false">"Q"&amp;ROUNDUP(MONTH(B4863)/3,0)</f>
        <v>Q2</v>
      </c>
    </row>
    <row r="4864" customFormat="false" ht="15" hidden="false" customHeight="true" outlineLevel="0" collapsed="false">
      <c r="A4864" s="1" t="n">
        <v>14863</v>
      </c>
      <c r="B4864" s="14" t="n">
        <v>49424</v>
      </c>
      <c r="C4864" s="1" t="n">
        <v>1081</v>
      </c>
      <c r="D4864" s="1" t="s">
        <v>30</v>
      </c>
      <c r="E4864" s="1" t="s">
        <v>32</v>
      </c>
      <c r="F4864" s="1" t="n">
        <v>6</v>
      </c>
      <c r="G4864" s="15" t="n">
        <v>449.55</v>
      </c>
      <c r="H4864" s="16" t="n">
        <v>0.25</v>
      </c>
      <c r="I4864" s="1" t="s">
        <v>31</v>
      </c>
      <c r="J4864" s="1" t="n">
        <v>8</v>
      </c>
      <c r="K4864" s="1" t="n">
        <v>4.4</v>
      </c>
      <c r="L4864" s="15" t="n">
        <v>2022.98</v>
      </c>
      <c r="M4864" s="15" t="n">
        <f aca="false">F4864*G4864</f>
        <v>2697.3</v>
      </c>
      <c r="N4864" s="15" t="n">
        <f aca="false">M4864-L4864</f>
        <v>674.32</v>
      </c>
      <c r="O4864" s="1" t="n">
        <f aca="false">YEAR(B4864)</f>
        <v>2035</v>
      </c>
      <c r="P4864" s="1" t="n">
        <f aca="false">MONTH(B4864)</f>
        <v>4</v>
      </c>
      <c r="Q4864" s="1" t="str">
        <f aca="false">TEXT(B4864,"mmm")</f>
        <v>Apr</v>
      </c>
      <c r="R4864" s="1" t="str">
        <f aca="false">"Q"&amp;ROUNDUP(MONTH(B4864)/3,0)</f>
        <v>Q2</v>
      </c>
    </row>
    <row r="4865" customFormat="false" ht="15" hidden="false" customHeight="true" outlineLevel="0" collapsed="false">
      <c r="A4865" s="1" t="n">
        <v>14864</v>
      </c>
      <c r="B4865" s="14" t="n">
        <v>49425</v>
      </c>
      <c r="C4865" s="1" t="n">
        <v>1603</v>
      </c>
      <c r="D4865" s="1" t="s">
        <v>34</v>
      </c>
      <c r="E4865" s="1" t="s">
        <v>35</v>
      </c>
      <c r="F4865" s="1" t="n">
        <v>2</v>
      </c>
      <c r="G4865" s="15" t="n">
        <v>60.62</v>
      </c>
      <c r="H4865" s="16" t="n">
        <v>0.11</v>
      </c>
      <c r="I4865" s="1" t="s">
        <v>33</v>
      </c>
      <c r="J4865" s="1" t="n">
        <v>5</v>
      </c>
      <c r="K4865" s="1" t="n">
        <v>1.8</v>
      </c>
      <c r="L4865" s="15" t="n">
        <v>107.9</v>
      </c>
      <c r="M4865" s="15" t="n">
        <f aca="false">F4865*G4865</f>
        <v>121.24</v>
      </c>
      <c r="N4865" s="15" t="n">
        <f aca="false">M4865-L4865</f>
        <v>13.34</v>
      </c>
      <c r="O4865" s="1" t="n">
        <f aca="false">YEAR(B4865)</f>
        <v>2035</v>
      </c>
      <c r="P4865" s="1" t="n">
        <f aca="false">MONTH(B4865)</f>
        <v>4</v>
      </c>
      <c r="Q4865" s="1" t="str">
        <f aca="false">TEXT(B4865,"mmm")</f>
        <v>Apr</v>
      </c>
      <c r="R4865" s="1" t="str">
        <f aca="false">"Q"&amp;ROUNDUP(MONTH(B4865)/3,0)</f>
        <v>Q2</v>
      </c>
    </row>
    <row r="4866" customFormat="false" ht="15" hidden="false" customHeight="true" outlineLevel="0" collapsed="false">
      <c r="A4866" s="1" t="n">
        <v>14865</v>
      </c>
      <c r="B4866" s="14" t="n">
        <v>49426</v>
      </c>
      <c r="C4866" s="1" t="n">
        <v>1946</v>
      </c>
      <c r="D4866" s="1" t="s">
        <v>34</v>
      </c>
      <c r="E4866" s="1" t="s">
        <v>35</v>
      </c>
      <c r="F4866" s="1" t="n">
        <v>1</v>
      </c>
      <c r="G4866" s="15" t="n">
        <v>346.89</v>
      </c>
      <c r="H4866" s="16" t="n">
        <v>0.04</v>
      </c>
      <c r="I4866" s="1" t="s">
        <v>31</v>
      </c>
      <c r="J4866" s="1" t="n">
        <v>8</v>
      </c>
      <c r="K4866" s="1" t="n">
        <v>3.9</v>
      </c>
      <c r="L4866" s="15" t="n">
        <v>333.01</v>
      </c>
      <c r="M4866" s="15" t="n">
        <f aca="false">F4866*G4866</f>
        <v>346.89</v>
      </c>
      <c r="N4866" s="15" t="n">
        <f aca="false">M4866-L4866</f>
        <v>13.88</v>
      </c>
      <c r="O4866" s="1" t="n">
        <f aca="false">YEAR(B4866)</f>
        <v>2035</v>
      </c>
      <c r="P4866" s="1" t="n">
        <f aca="false">MONTH(B4866)</f>
        <v>4</v>
      </c>
      <c r="Q4866" s="1" t="str">
        <f aca="false">TEXT(B4866,"mmm")</f>
        <v>Apr</v>
      </c>
      <c r="R4866" s="1" t="str">
        <f aca="false">"Q"&amp;ROUNDUP(MONTH(B4866)/3,0)</f>
        <v>Q2</v>
      </c>
    </row>
    <row r="4867" customFormat="false" ht="15" hidden="false" customHeight="true" outlineLevel="0" collapsed="false">
      <c r="A4867" s="1" t="n">
        <v>14866</v>
      </c>
      <c r="B4867" s="14" t="n">
        <v>49427</v>
      </c>
      <c r="C4867" s="1" t="n">
        <v>1686</v>
      </c>
      <c r="D4867" s="1" t="s">
        <v>34</v>
      </c>
      <c r="E4867" s="1" t="s">
        <v>28</v>
      </c>
      <c r="F4867" s="1" t="n">
        <v>7</v>
      </c>
      <c r="G4867" s="15" t="n">
        <v>266.01</v>
      </c>
      <c r="H4867" s="16" t="n">
        <v>0.09</v>
      </c>
      <c r="I4867" s="1" t="s">
        <v>29</v>
      </c>
      <c r="J4867" s="1" t="n">
        <v>1</v>
      </c>
      <c r="K4867" s="1" t="n">
        <v>3.5</v>
      </c>
      <c r="L4867" s="15" t="n">
        <v>1694.48</v>
      </c>
      <c r="M4867" s="15" t="n">
        <f aca="false">F4867*G4867</f>
        <v>1862.07</v>
      </c>
      <c r="N4867" s="15" t="n">
        <f aca="false">M4867-L4867</f>
        <v>167.59</v>
      </c>
      <c r="O4867" s="1" t="n">
        <f aca="false">YEAR(B4867)</f>
        <v>2035</v>
      </c>
      <c r="P4867" s="1" t="n">
        <f aca="false">MONTH(B4867)</f>
        <v>4</v>
      </c>
      <c r="Q4867" s="1" t="str">
        <f aca="false">TEXT(B4867,"mmm")</f>
        <v>Apr</v>
      </c>
      <c r="R4867" s="1" t="str">
        <f aca="false">"Q"&amp;ROUNDUP(MONTH(B4867)/3,0)</f>
        <v>Q2</v>
      </c>
    </row>
    <row r="4868" customFormat="false" ht="15" hidden="false" customHeight="true" outlineLevel="0" collapsed="false">
      <c r="A4868" s="1" t="n">
        <v>14867</v>
      </c>
      <c r="B4868" s="14" t="n">
        <v>49428</v>
      </c>
      <c r="C4868" s="1" t="n">
        <v>1750</v>
      </c>
      <c r="D4868" s="1" t="s">
        <v>27</v>
      </c>
      <c r="E4868" s="1" t="s">
        <v>36</v>
      </c>
      <c r="F4868" s="1" t="n">
        <v>3</v>
      </c>
      <c r="G4868" s="15" t="n">
        <v>25.31</v>
      </c>
      <c r="H4868" s="16" t="n">
        <v>0.05</v>
      </c>
      <c r="I4868" s="1" t="s">
        <v>29</v>
      </c>
      <c r="J4868" s="1" t="n">
        <v>10</v>
      </c>
      <c r="K4868" s="1" t="n">
        <v>4</v>
      </c>
      <c r="L4868" s="15" t="n">
        <v>72.13</v>
      </c>
      <c r="M4868" s="15" t="n">
        <f aca="false">F4868*G4868</f>
        <v>75.93</v>
      </c>
      <c r="N4868" s="15" t="n">
        <f aca="false">M4868-L4868</f>
        <v>3.8</v>
      </c>
      <c r="O4868" s="1" t="n">
        <f aca="false">YEAR(B4868)</f>
        <v>2035</v>
      </c>
      <c r="P4868" s="1" t="n">
        <f aca="false">MONTH(B4868)</f>
        <v>4</v>
      </c>
      <c r="Q4868" s="1" t="str">
        <f aca="false">TEXT(B4868,"mmm")</f>
        <v>Apr</v>
      </c>
      <c r="R4868" s="1" t="str">
        <f aca="false">"Q"&amp;ROUNDUP(MONTH(B4868)/3,0)</f>
        <v>Q2</v>
      </c>
    </row>
    <row r="4869" customFormat="false" ht="15" hidden="false" customHeight="true" outlineLevel="0" collapsed="false">
      <c r="A4869" s="1" t="n">
        <v>14868</v>
      </c>
      <c r="B4869" s="14" t="n">
        <v>49429</v>
      </c>
      <c r="C4869" s="1" t="n">
        <v>1771</v>
      </c>
      <c r="D4869" s="1" t="s">
        <v>34</v>
      </c>
      <c r="E4869" s="1" t="s">
        <v>35</v>
      </c>
      <c r="F4869" s="1" t="n">
        <v>1</v>
      </c>
      <c r="G4869" s="15" t="n">
        <v>153.05</v>
      </c>
      <c r="H4869" s="16" t="n">
        <v>0.1</v>
      </c>
      <c r="I4869" s="1" t="s">
        <v>33</v>
      </c>
      <c r="J4869" s="1" t="n">
        <v>9</v>
      </c>
      <c r="K4869" s="1" t="n">
        <v>4.2</v>
      </c>
      <c r="L4869" s="15" t="n">
        <v>137.74</v>
      </c>
      <c r="M4869" s="15" t="n">
        <f aca="false">F4869*G4869</f>
        <v>153.05</v>
      </c>
      <c r="N4869" s="15" t="n">
        <f aca="false">M4869-L4869</f>
        <v>15.31</v>
      </c>
      <c r="O4869" s="1" t="n">
        <f aca="false">YEAR(B4869)</f>
        <v>2035</v>
      </c>
      <c r="P4869" s="1" t="n">
        <f aca="false">MONTH(B4869)</f>
        <v>4</v>
      </c>
      <c r="Q4869" s="1" t="str">
        <f aca="false">TEXT(B4869,"mmm")</f>
        <v>Apr</v>
      </c>
      <c r="R4869" s="1" t="str">
        <f aca="false">"Q"&amp;ROUNDUP(MONTH(B4869)/3,0)</f>
        <v>Q2</v>
      </c>
    </row>
    <row r="4870" customFormat="false" ht="15" hidden="false" customHeight="true" outlineLevel="0" collapsed="false">
      <c r="A4870" s="1" t="n">
        <v>14869</v>
      </c>
      <c r="B4870" s="14" t="n">
        <v>49430</v>
      </c>
      <c r="C4870" s="1" t="n">
        <v>1902</v>
      </c>
      <c r="D4870" s="1" t="s">
        <v>34</v>
      </c>
      <c r="E4870" s="1" t="s">
        <v>28</v>
      </c>
      <c r="F4870" s="1" t="n">
        <v>4</v>
      </c>
      <c r="G4870" s="15" t="n">
        <v>181.6</v>
      </c>
      <c r="H4870" s="16" t="n">
        <v>0.09</v>
      </c>
      <c r="I4870" s="1" t="s">
        <v>33</v>
      </c>
      <c r="J4870" s="1" t="n">
        <v>4</v>
      </c>
      <c r="K4870" s="1" t="n">
        <v>3.6</v>
      </c>
      <c r="L4870" s="15" t="n">
        <v>661.02</v>
      </c>
      <c r="M4870" s="15" t="n">
        <f aca="false">F4870*G4870</f>
        <v>726.4</v>
      </c>
      <c r="N4870" s="15" t="n">
        <f aca="false">M4870-L4870</f>
        <v>65.38</v>
      </c>
      <c r="O4870" s="1" t="n">
        <f aca="false">YEAR(B4870)</f>
        <v>2035</v>
      </c>
      <c r="P4870" s="1" t="n">
        <f aca="false">MONTH(B4870)</f>
        <v>5</v>
      </c>
      <c r="Q4870" s="1" t="str">
        <f aca="false">TEXT(B4870,"mmm")</f>
        <v>May</v>
      </c>
      <c r="R4870" s="1" t="str">
        <f aca="false">"Q"&amp;ROUNDUP(MONTH(B4870)/3,0)</f>
        <v>Q2</v>
      </c>
    </row>
    <row r="4871" customFormat="false" ht="15" hidden="false" customHeight="true" outlineLevel="0" collapsed="false">
      <c r="A4871" s="1" t="n">
        <v>14870</v>
      </c>
      <c r="B4871" s="14" t="n">
        <v>49431</v>
      </c>
      <c r="C4871" s="1" t="n">
        <v>1364</v>
      </c>
      <c r="D4871" s="1" t="s">
        <v>34</v>
      </c>
      <c r="E4871" s="1" t="s">
        <v>32</v>
      </c>
      <c r="F4871" s="1" t="n">
        <v>7</v>
      </c>
      <c r="G4871" s="15" t="n">
        <v>80.44</v>
      </c>
      <c r="H4871" s="16" t="n">
        <v>0.22</v>
      </c>
      <c r="I4871" s="1" t="s">
        <v>31</v>
      </c>
      <c r="J4871" s="1" t="n">
        <v>9</v>
      </c>
      <c r="K4871" s="1" t="n">
        <v>4.8</v>
      </c>
      <c r="L4871" s="15" t="n">
        <v>439.2</v>
      </c>
      <c r="M4871" s="15" t="n">
        <f aca="false">F4871*G4871</f>
        <v>563.08</v>
      </c>
      <c r="N4871" s="15" t="n">
        <f aca="false">M4871-L4871</f>
        <v>123.88</v>
      </c>
      <c r="O4871" s="1" t="n">
        <f aca="false">YEAR(B4871)</f>
        <v>2035</v>
      </c>
      <c r="P4871" s="1" t="n">
        <f aca="false">MONTH(B4871)</f>
        <v>5</v>
      </c>
      <c r="Q4871" s="1" t="str">
        <f aca="false">TEXT(B4871,"mmm")</f>
        <v>May</v>
      </c>
      <c r="R4871" s="1" t="str">
        <f aca="false">"Q"&amp;ROUNDUP(MONTH(B4871)/3,0)</f>
        <v>Q2</v>
      </c>
    </row>
    <row r="4872" customFormat="false" ht="15" hidden="false" customHeight="true" outlineLevel="0" collapsed="false">
      <c r="A4872" s="1" t="n">
        <v>14871</v>
      </c>
      <c r="B4872" s="14" t="n">
        <v>49432</v>
      </c>
      <c r="C4872" s="1" t="n">
        <v>1162</v>
      </c>
      <c r="D4872" s="1" t="s">
        <v>34</v>
      </c>
      <c r="E4872" s="1" t="s">
        <v>32</v>
      </c>
      <c r="F4872" s="1" t="n">
        <v>3</v>
      </c>
      <c r="G4872" s="15" t="n">
        <v>384.45</v>
      </c>
      <c r="H4872" s="16" t="n">
        <v>0.33</v>
      </c>
      <c r="I4872" s="1" t="s">
        <v>33</v>
      </c>
      <c r="J4872" s="1" t="n">
        <v>8</v>
      </c>
      <c r="K4872" s="1" t="n">
        <v>4.5</v>
      </c>
      <c r="L4872" s="15" t="n">
        <v>772.74</v>
      </c>
      <c r="M4872" s="15" t="n">
        <f aca="false">F4872*G4872</f>
        <v>1153.35</v>
      </c>
      <c r="N4872" s="15" t="n">
        <f aca="false">M4872-L4872</f>
        <v>380.61</v>
      </c>
      <c r="O4872" s="1" t="n">
        <f aca="false">YEAR(B4872)</f>
        <v>2035</v>
      </c>
      <c r="P4872" s="1" t="n">
        <f aca="false">MONTH(B4872)</f>
        <v>5</v>
      </c>
      <c r="Q4872" s="1" t="str">
        <f aca="false">TEXT(B4872,"mmm")</f>
        <v>May</v>
      </c>
      <c r="R4872" s="1" t="str">
        <f aca="false">"Q"&amp;ROUNDUP(MONTH(B4872)/3,0)</f>
        <v>Q2</v>
      </c>
    </row>
    <row r="4873" customFormat="false" ht="15" hidden="false" customHeight="true" outlineLevel="0" collapsed="false">
      <c r="A4873" s="1" t="n">
        <v>14872</v>
      </c>
      <c r="B4873" s="14" t="n">
        <v>49433</v>
      </c>
      <c r="C4873" s="1" t="n">
        <v>1047</v>
      </c>
      <c r="D4873" s="1" t="s">
        <v>30</v>
      </c>
      <c r="E4873" s="1" t="s">
        <v>32</v>
      </c>
      <c r="F4873" s="1" t="n">
        <v>1</v>
      </c>
      <c r="G4873" s="15" t="n">
        <v>156.8</v>
      </c>
      <c r="H4873" s="16" t="n">
        <v>0.24</v>
      </c>
      <c r="I4873" s="1" t="s">
        <v>33</v>
      </c>
      <c r="J4873" s="1" t="n">
        <v>8</v>
      </c>
      <c r="K4873" s="1" t="n">
        <v>1.9</v>
      </c>
      <c r="L4873" s="15" t="n">
        <v>119.17</v>
      </c>
      <c r="M4873" s="15" t="n">
        <f aca="false">F4873*G4873</f>
        <v>156.8</v>
      </c>
      <c r="N4873" s="15" t="n">
        <f aca="false">M4873-L4873</f>
        <v>37.63</v>
      </c>
      <c r="O4873" s="1" t="n">
        <f aca="false">YEAR(B4873)</f>
        <v>2035</v>
      </c>
      <c r="P4873" s="1" t="n">
        <f aca="false">MONTH(B4873)</f>
        <v>5</v>
      </c>
      <c r="Q4873" s="1" t="str">
        <f aca="false">TEXT(B4873,"mmm")</f>
        <v>May</v>
      </c>
      <c r="R4873" s="1" t="str">
        <f aca="false">"Q"&amp;ROUNDUP(MONTH(B4873)/3,0)</f>
        <v>Q2</v>
      </c>
    </row>
    <row r="4874" customFormat="false" ht="15" hidden="false" customHeight="true" outlineLevel="0" collapsed="false">
      <c r="A4874" s="1" t="n">
        <v>14873</v>
      </c>
      <c r="B4874" s="14" t="n">
        <v>49434</v>
      </c>
      <c r="C4874" s="1" t="n">
        <v>1510</v>
      </c>
      <c r="D4874" s="1" t="s">
        <v>34</v>
      </c>
      <c r="E4874" s="1" t="s">
        <v>32</v>
      </c>
      <c r="F4874" s="1" t="n">
        <v>5</v>
      </c>
      <c r="G4874" s="15" t="n">
        <v>177.41</v>
      </c>
      <c r="H4874" s="16" t="n">
        <v>0.32</v>
      </c>
      <c r="I4874" s="1" t="s">
        <v>33</v>
      </c>
      <c r="J4874" s="1" t="n">
        <v>2</v>
      </c>
      <c r="K4874" s="1" t="n">
        <v>4.7</v>
      </c>
      <c r="L4874" s="15" t="n">
        <v>603.19</v>
      </c>
      <c r="M4874" s="15" t="n">
        <f aca="false">F4874*G4874</f>
        <v>887.05</v>
      </c>
      <c r="N4874" s="15" t="n">
        <f aca="false">M4874-L4874</f>
        <v>283.86</v>
      </c>
      <c r="O4874" s="1" t="n">
        <f aca="false">YEAR(B4874)</f>
        <v>2035</v>
      </c>
      <c r="P4874" s="1" t="n">
        <f aca="false">MONTH(B4874)</f>
        <v>5</v>
      </c>
      <c r="Q4874" s="1" t="str">
        <f aca="false">TEXT(B4874,"mmm")</f>
        <v>May</v>
      </c>
      <c r="R4874" s="1" t="str">
        <f aca="false">"Q"&amp;ROUNDUP(MONTH(B4874)/3,0)</f>
        <v>Q2</v>
      </c>
    </row>
    <row r="4875" customFormat="false" ht="15" hidden="false" customHeight="true" outlineLevel="0" collapsed="false">
      <c r="A4875" s="1" t="n">
        <v>14874</v>
      </c>
      <c r="B4875" s="14" t="n">
        <v>49435</v>
      </c>
      <c r="C4875" s="1" t="n">
        <v>1328</v>
      </c>
      <c r="D4875" s="1" t="s">
        <v>34</v>
      </c>
      <c r="E4875" s="1" t="s">
        <v>28</v>
      </c>
      <c r="F4875" s="1" t="n">
        <v>1</v>
      </c>
      <c r="G4875" s="15" t="n">
        <v>540.47</v>
      </c>
      <c r="H4875" s="16" t="n">
        <v>0.27</v>
      </c>
      <c r="I4875" s="1" t="s">
        <v>33</v>
      </c>
      <c r="J4875" s="1" t="n">
        <v>3</v>
      </c>
      <c r="K4875" s="1" t="n">
        <v>2.4</v>
      </c>
      <c r="L4875" s="15" t="n">
        <v>394.54</v>
      </c>
      <c r="M4875" s="15" t="n">
        <f aca="false">F4875*G4875</f>
        <v>540.47</v>
      </c>
      <c r="N4875" s="15" t="n">
        <f aca="false">M4875-L4875</f>
        <v>145.93</v>
      </c>
      <c r="O4875" s="1" t="n">
        <f aca="false">YEAR(B4875)</f>
        <v>2035</v>
      </c>
      <c r="P4875" s="1" t="n">
        <f aca="false">MONTH(B4875)</f>
        <v>5</v>
      </c>
      <c r="Q4875" s="1" t="str">
        <f aca="false">TEXT(B4875,"mmm")</f>
        <v>May</v>
      </c>
      <c r="R4875" s="1" t="str">
        <f aca="false">"Q"&amp;ROUNDUP(MONTH(B4875)/3,0)</f>
        <v>Q2</v>
      </c>
    </row>
    <row r="4876" customFormat="false" ht="15" hidden="false" customHeight="true" outlineLevel="0" collapsed="false">
      <c r="A4876" s="1" t="n">
        <v>14875</v>
      </c>
      <c r="B4876" s="14" t="n">
        <v>49436</v>
      </c>
      <c r="C4876" s="1" t="n">
        <v>1839</v>
      </c>
      <c r="D4876" s="1" t="s">
        <v>30</v>
      </c>
      <c r="E4876" s="1" t="s">
        <v>36</v>
      </c>
      <c r="F4876" s="1" t="n">
        <v>7</v>
      </c>
      <c r="G4876" s="15" t="n">
        <v>288.27</v>
      </c>
      <c r="H4876" s="16" t="n">
        <v>0.25</v>
      </c>
      <c r="I4876" s="1" t="s">
        <v>29</v>
      </c>
      <c r="J4876" s="1" t="n">
        <v>10</v>
      </c>
      <c r="K4876" s="1" t="n">
        <v>3.9</v>
      </c>
      <c r="L4876" s="15" t="n">
        <v>1513.42</v>
      </c>
      <c r="M4876" s="15" t="n">
        <f aca="false">F4876*G4876</f>
        <v>2017.89</v>
      </c>
      <c r="N4876" s="15" t="n">
        <f aca="false">M4876-L4876</f>
        <v>504.47</v>
      </c>
      <c r="O4876" s="1" t="n">
        <f aca="false">YEAR(B4876)</f>
        <v>2035</v>
      </c>
      <c r="P4876" s="1" t="n">
        <f aca="false">MONTH(B4876)</f>
        <v>5</v>
      </c>
      <c r="Q4876" s="1" t="str">
        <f aca="false">TEXT(B4876,"mmm")</f>
        <v>May</v>
      </c>
      <c r="R4876" s="1" t="str">
        <f aca="false">"Q"&amp;ROUNDUP(MONTH(B4876)/3,0)</f>
        <v>Q2</v>
      </c>
    </row>
    <row r="4877" customFormat="false" ht="15" hidden="false" customHeight="true" outlineLevel="0" collapsed="false">
      <c r="A4877" s="1" t="n">
        <v>14876</v>
      </c>
      <c r="B4877" s="14" t="n">
        <v>49437</v>
      </c>
      <c r="C4877" s="1" t="n">
        <v>1115</v>
      </c>
      <c r="D4877" s="1" t="s">
        <v>34</v>
      </c>
      <c r="E4877" s="1" t="s">
        <v>28</v>
      </c>
      <c r="F4877" s="1" t="n">
        <v>5</v>
      </c>
      <c r="G4877" s="15" t="n">
        <v>244.39</v>
      </c>
      <c r="H4877" s="16" t="n">
        <v>0.14</v>
      </c>
      <c r="I4877" s="1" t="s">
        <v>31</v>
      </c>
      <c r="J4877" s="1" t="n">
        <v>9</v>
      </c>
      <c r="K4877" s="1" t="n">
        <v>4.4</v>
      </c>
      <c r="L4877" s="15" t="n">
        <v>1050.88</v>
      </c>
      <c r="M4877" s="15" t="n">
        <f aca="false">F4877*G4877</f>
        <v>1221.95</v>
      </c>
      <c r="N4877" s="15" t="n">
        <f aca="false">M4877-L4877</f>
        <v>171.07</v>
      </c>
      <c r="O4877" s="1" t="n">
        <f aca="false">YEAR(B4877)</f>
        <v>2035</v>
      </c>
      <c r="P4877" s="1" t="n">
        <f aca="false">MONTH(B4877)</f>
        <v>5</v>
      </c>
      <c r="Q4877" s="1" t="str">
        <f aca="false">TEXT(B4877,"mmm")</f>
        <v>May</v>
      </c>
      <c r="R4877" s="1" t="str">
        <f aca="false">"Q"&amp;ROUNDUP(MONTH(B4877)/3,0)</f>
        <v>Q2</v>
      </c>
    </row>
    <row r="4878" customFormat="false" ht="15" hidden="false" customHeight="true" outlineLevel="0" collapsed="false">
      <c r="A4878" s="1" t="n">
        <v>14877</v>
      </c>
      <c r="B4878" s="14" t="n">
        <v>49438</v>
      </c>
      <c r="C4878" s="1" t="n">
        <v>1940</v>
      </c>
      <c r="D4878" s="1" t="s">
        <v>37</v>
      </c>
      <c r="E4878" s="1" t="s">
        <v>36</v>
      </c>
      <c r="F4878" s="1" t="n">
        <v>7</v>
      </c>
      <c r="G4878" s="15" t="n">
        <v>438.46</v>
      </c>
      <c r="H4878" s="16" t="n">
        <v>0.11</v>
      </c>
      <c r="I4878" s="1" t="s">
        <v>31</v>
      </c>
      <c r="J4878" s="1" t="n">
        <v>3</v>
      </c>
      <c r="K4878" s="1" t="n">
        <v>2.7</v>
      </c>
      <c r="L4878" s="15" t="n">
        <v>2731.61</v>
      </c>
      <c r="M4878" s="15" t="n">
        <f aca="false">F4878*G4878</f>
        <v>3069.22</v>
      </c>
      <c r="N4878" s="15" t="n">
        <f aca="false">M4878-L4878</f>
        <v>337.61</v>
      </c>
      <c r="O4878" s="1" t="n">
        <f aca="false">YEAR(B4878)</f>
        <v>2035</v>
      </c>
      <c r="P4878" s="1" t="n">
        <f aca="false">MONTH(B4878)</f>
        <v>5</v>
      </c>
      <c r="Q4878" s="1" t="str">
        <f aca="false">TEXT(B4878,"mmm")</f>
        <v>May</v>
      </c>
      <c r="R4878" s="1" t="str">
        <f aca="false">"Q"&amp;ROUNDUP(MONTH(B4878)/3,0)</f>
        <v>Q2</v>
      </c>
    </row>
    <row r="4879" customFormat="false" ht="15" hidden="false" customHeight="true" outlineLevel="0" collapsed="false">
      <c r="A4879" s="1" t="n">
        <v>14878</v>
      </c>
      <c r="B4879" s="14" t="n">
        <v>49439</v>
      </c>
      <c r="C4879" s="1" t="n">
        <v>1848</v>
      </c>
      <c r="D4879" s="1" t="s">
        <v>30</v>
      </c>
      <c r="E4879" s="1" t="s">
        <v>32</v>
      </c>
      <c r="F4879" s="1" t="n">
        <v>2</v>
      </c>
      <c r="G4879" s="15" t="n">
        <v>547.12</v>
      </c>
      <c r="H4879" s="16" t="n">
        <v>0.3</v>
      </c>
      <c r="I4879" s="1" t="s">
        <v>33</v>
      </c>
      <c r="J4879" s="1" t="n">
        <v>8</v>
      </c>
      <c r="K4879" s="1" t="n">
        <v>1.2</v>
      </c>
      <c r="L4879" s="15" t="n">
        <v>765.97</v>
      </c>
      <c r="M4879" s="15" t="n">
        <f aca="false">F4879*G4879</f>
        <v>1094.24</v>
      </c>
      <c r="N4879" s="15" t="n">
        <f aca="false">M4879-L4879</f>
        <v>328.27</v>
      </c>
      <c r="O4879" s="1" t="n">
        <f aca="false">YEAR(B4879)</f>
        <v>2035</v>
      </c>
      <c r="P4879" s="1" t="n">
        <f aca="false">MONTH(B4879)</f>
        <v>5</v>
      </c>
      <c r="Q4879" s="1" t="str">
        <f aca="false">TEXT(B4879,"mmm")</f>
        <v>May</v>
      </c>
      <c r="R4879" s="1" t="str">
        <f aca="false">"Q"&amp;ROUNDUP(MONTH(B4879)/3,0)</f>
        <v>Q2</v>
      </c>
    </row>
    <row r="4880" customFormat="false" ht="15" hidden="false" customHeight="true" outlineLevel="0" collapsed="false">
      <c r="A4880" s="1" t="n">
        <v>14879</v>
      </c>
      <c r="B4880" s="14" t="n">
        <v>49440</v>
      </c>
      <c r="C4880" s="1" t="n">
        <v>1336</v>
      </c>
      <c r="D4880" s="1" t="s">
        <v>34</v>
      </c>
      <c r="E4880" s="1" t="s">
        <v>35</v>
      </c>
      <c r="F4880" s="1" t="n">
        <v>4</v>
      </c>
      <c r="G4880" s="15" t="n">
        <v>29.65</v>
      </c>
      <c r="H4880" s="16" t="n">
        <v>0.32</v>
      </c>
      <c r="I4880" s="1" t="s">
        <v>29</v>
      </c>
      <c r="J4880" s="1" t="n">
        <v>5</v>
      </c>
      <c r="K4880" s="1" t="n">
        <v>4.8</v>
      </c>
      <c r="L4880" s="15" t="n">
        <v>80.65</v>
      </c>
      <c r="M4880" s="15" t="n">
        <f aca="false">F4880*G4880</f>
        <v>118.6</v>
      </c>
      <c r="N4880" s="15" t="n">
        <f aca="false">M4880-L4880</f>
        <v>37.95</v>
      </c>
      <c r="O4880" s="1" t="n">
        <f aca="false">YEAR(B4880)</f>
        <v>2035</v>
      </c>
      <c r="P4880" s="1" t="n">
        <f aca="false">MONTH(B4880)</f>
        <v>5</v>
      </c>
      <c r="Q4880" s="1" t="str">
        <f aca="false">TEXT(B4880,"mmm")</f>
        <v>May</v>
      </c>
      <c r="R4880" s="1" t="str">
        <f aca="false">"Q"&amp;ROUNDUP(MONTH(B4880)/3,0)</f>
        <v>Q2</v>
      </c>
    </row>
    <row r="4881" customFormat="false" ht="15" hidden="false" customHeight="true" outlineLevel="0" collapsed="false">
      <c r="A4881" s="1" t="n">
        <v>14880</v>
      </c>
      <c r="B4881" s="14" t="n">
        <v>49441</v>
      </c>
      <c r="C4881" s="1" t="n">
        <v>1880</v>
      </c>
      <c r="D4881" s="1" t="s">
        <v>37</v>
      </c>
      <c r="E4881" s="1" t="s">
        <v>35</v>
      </c>
      <c r="F4881" s="1" t="n">
        <v>6</v>
      </c>
      <c r="G4881" s="15" t="n">
        <v>277.22</v>
      </c>
      <c r="H4881" s="16" t="n">
        <v>0.16</v>
      </c>
      <c r="I4881" s="1" t="s">
        <v>29</v>
      </c>
      <c r="J4881" s="1" t="n">
        <v>7</v>
      </c>
      <c r="K4881" s="1" t="n">
        <v>1.3</v>
      </c>
      <c r="L4881" s="15" t="n">
        <v>1397.19</v>
      </c>
      <c r="M4881" s="15" t="n">
        <f aca="false">F4881*G4881</f>
        <v>1663.32</v>
      </c>
      <c r="N4881" s="15" t="n">
        <f aca="false">M4881-L4881</f>
        <v>266.13</v>
      </c>
      <c r="O4881" s="1" t="n">
        <f aca="false">YEAR(B4881)</f>
        <v>2035</v>
      </c>
      <c r="P4881" s="1" t="n">
        <f aca="false">MONTH(B4881)</f>
        <v>5</v>
      </c>
      <c r="Q4881" s="1" t="str">
        <f aca="false">TEXT(B4881,"mmm")</f>
        <v>May</v>
      </c>
      <c r="R4881" s="1" t="str">
        <f aca="false">"Q"&amp;ROUNDUP(MONTH(B4881)/3,0)</f>
        <v>Q2</v>
      </c>
    </row>
    <row r="4882" customFormat="false" ht="15" hidden="false" customHeight="true" outlineLevel="0" collapsed="false">
      <c r="A4882" s="1" t="n">
        <v>14881</v>
      </c>
      <c r="B4882" s="14" t="n">
        <v>49442</v>
      </c>
      <c r="C4882" s="1" t="n">
        <v>1736</v>
      </c>
      <c r="D4882" s="1" t="s">
        <v>34</v>
      </c>
      <c r="E4882" s="1" t="s">
        <v>35</v>
      </c>
      <c r="F4882" s="1" t="n">
        <v>1</v>
      </c>
      <c r="G4882" s="15" t="n">
        <v>372.31</v>
      </c>
      <c r="H4882" s="16" t="n">
        <v>0</v>
      </c>
      <c r="I4882" s="1" t="s">
        <v>33</v>
      </c>
      <c r="J4882" s="1" t="n">
        <v>4</v>
      </c>
      <c r="K4882" s="1" t="n">
        <v>2.4</v>
      </c>
      <c r="L4882" s="15" t="n">
        <v>372.31</v>
      </c>
      <c r="M4882" s="15" t="n">
        <f aca="false">F4882*G4882</f>
        <v>372.31</v>
      </c>
      <c r="N4882" s="15" t="n">
        <f aca="false">M4882-L4882</f>
        <v>0</v>
      </c>
      <c r="O4882" s="1" t="n">
        <f aca="false">YEAR(B4882)</f>
        <v>2035</v>
      </c>
      <c r="P4882" s="1" t="n">
        <f aca="false">MONTH(B4882)</f>
        <v>5</v>
      </c>
      <c r="Q4882" s="1" t="str">
        <f aca="false">TEXT(B4882,"mmm")</f>
        <v>May</v>
      </c>
      <c r="R4882" s="1" t="str">
        <f aca="false">"Q"&amp;ROUNDUP(MONTH(B4882)/3,0)</f>
        <v>Q2</v>
      </c>
    </row>
    <row r="4883" customFormat="false" ht="15" hidden="false" customHeight="true" outlineLevel="0" collapsed="false">
      <c r="A4883" s="1" t="n">
        <v>14882</v>
      </c>
      <c r="B4883" s="14" t="n">
        <v>49443</v>
      </c>
      <c r="C4883" s="1" t="n">
        <v>1863</v>
      </c>
      <c r="D4883" s="1" t="s">
        <v>30</v>
      </c>
      <c r="E4883" s="1" t="s">
        <v>36</v>
      </c>
      <c r="F4883" s="1" t="n">
        <v>3</v>
      </c>
      <c r="G4883" s="15" t="n">
        <v>201.36</v>
      </c>
      <c r="H4883" s="16" t="n">
        <v>0.28</v>
      </c>
      <c r="I4883" s="1" t="s">
        <v>29</v>
      </c>
      <c r="J4883" s="1" t="n">
        <v>8</v>
      </c>
      <c r="K4883" s="1" t="n">
        <v>3.4</v>
      </c>
      <c r="L4883" s="15" t="n">
        <v>434.94</v>
      </c>
      <c r="M4883" s="15" t="n">
        <f aca="false">F4883*G4883</f>
        <v>604.08</v>
      </c>
      <c r="N4883" s="15" t="n">
        <f aca="false">M4883-L4883</f>
        <v>169.14</v>
      </c>
      <c r="O4883" s="1" t="n">
        <f aca="false">YEAR(B4883)</f>
        <v>2035</v>
      </c>
      <c r="P4883" s="1" t="n">
        <f aca="false">MONTH(B4883)</f>
        <v>5</v>
      </c>
      <c r="Q4883" s="1" t="str">
        <f aca="false">TEXT(B4883,"mmm")</f>
        <v>May</v>
      </c>
      <c r="R4883" s="1" t="str">
        <f aca="false">"Q"&amp;ROUNDUP(MONTH(B4883)/3,0)</f>
        <v>Q2</v>
      </c>
    </row>
    <row r="4884" customFormat="false" ht="15" hidden="false" customHeight="true" outlineLevel="0" collapsed="false">
      <c r="A4884" s="1" t="n">
        <v>14883</v>
      </c>
      <c r="B4884" s="14" t="n">
        <v>49444</v>
      </c>
      <c r="C4884" s="1" t="n">
        <v>1839</v>
      </c>
      <c r="D4884" s="1" t="s">
        <v>30</v>
      </c>
      <c r="E4884" s="1" t="s">
        <v>32</v>
      </c>
      <c r="F4884" s="1" t="n">
        <v>7</v>
      </c>
      <c r="G4884" s="15" t="n">
        <v>466.86</v>
      </c>
      <c r="H4884" s="16" t="n">
        <v>0.1</v>
      </c>
      <c r="I4884" s="1" t="s">
        <v>33</v>
      </c>
      <c r="J4884" s="1" t="n">
        <v>4</v>
      </c>
      <c r="K4884" s="1" t="n">
        <v>1.5</v>
      </c>
      <c r="L4884" s="15" t="n">
        <v>2941.22</v>
      </c>
      <c r="M4884" s="15" t="n">
        <f aca="false">F4884*G4884</f>
        <v>3268.02</v>
      </c>
      <c r="N4884" s="15" t="n">
        <f aca="false">M4884-L4884</f>
        <v>326.8</v>
      </c>
      <c r="O4884" s="1" t="n">
        <f aca="false">YEAR(B4884)</f>
        <v>2035</v>
      </c>
      <c r="P4884" s="1" t="n">
        <f aca="false">MONTH(B4884)</f>
        <v>5</v>
      </c>
      <c r="Q4884" s="1" t="str">
        <f aca="false">TEXT(B4884,"mmm")</f>
        <v>May</v>
      </c>
      <c r="R4884" s="1" t="str">
        <f aca="false">"Q"&amp;ROUNDUP(MONTH(B4884)/3,0)</f>
        <v>Q2</v>
      </c>
    </row>
    <row r="4885" customFormat="false" ht="15" hidden="false" customHeight="true" outlineLevel="0" collapsed="false">
      <c r="A4885" s="1" t="n">
        <v>14884</v>
      </c>
      <c r="B4885" s="14" t="n">
        <v>49445</v>
      </c>
      <c r="C4885" s="1" t="n">
        <v>1146</v>
      </c>
      <c r="D4885" s="1" t="s">
        <v>34</v>
      </c>
      <c r="E4885" s="1" t="s">
        <v>28</v>
      </c>
      <c r="F4885" s="1" t="n">
        <v>7</v>
      </c>
      <c r="G4885" s="15" t="n">
        <v>583.31</v>
      </c>
      <c r="H4885" s="16" t="n">
        <v>0</v>
      </c>
      <c r="I4885" s="1" t="s">
        <v>31</v>
      </c>
      <c r="J4885" s="1" t="n">
        <v>5</v>
      </c>
      <c r="K4885" s="1" t="n">
        <v>4.4</v>
      </c>
      <c r="L4885" s="15" t="n">
        <v>4083.17</v>
      </c>
      <c r="M4885" s="15" t="n">
        <f aca="false">F4885*G4885</f>
        <v>4083.17</v>
      </c>
      <c r="N4885" s="15" t="n">
        <f aca="false">M4885-L4885</f>
        <v>0</v>
      </c>
      <c r="O4885" s="1" t="n">
        <f aca="false">YEAR(B4885)</f>
        <v>2035</v>
      </c>
      <c r="P4885" s="1" t="n">
        <f aca="false">MONTH(B4885)</f>
        <v>5</v>
      </c>
      <c r="Q4885" s="1" t="str">
        <f aca="false">TEXT(B4885,"mmm")</f>
        <v>May</v>
      </c>
      <c r="R4885" s="1" t="str">
        <f aca="false">"Q"&amp;ROUNDUP(MONTH(B4885)/3,0)</f>
        <v>Q2</v>
      </c>
    </row>
    <row r="4886" customFormat="false" ht="15" hidden="false" customHeight="true" outlineLevel="0" collapsed="false">
      <c r="A4886" s="1" t="n">
        <v>14885</v>
      </c>
      <c r="B4886" s="14" t="n">
        <v>49446</v>
      </c>
      <c r="C4886" s="1" t="n">
        <v>1574</v>
      </c>
      <c r="D4886" s="1" t="s">
        <v>30</v>
      </c>
      <c r="E4886" s="1" t="s">
        <v>35</v>
      </c>
      <c r="F4886" s="1" t="n">
        <v>4</v>
      </c>
      <c r="G4886" s="15" t="n">
        <v>566.91</v>
      </c>
      <c r="H4886" s="16" t="n">
        <v>0.28</v>
      </c>
      <c r="I4886" s="1" t="s">
        <v>33</v>
      </c>
      <c r="J4886" s="1" t="n">
        <v>1</v>
      </c>
      <c r="K4886" s="1" t="n">
        <v>1.8</v>
      </c>
      <c r="L4886" s="15" t="n">
        <v>1632.7</v>
      </c>
      <c r="M4886" s="15" t="n">
        <f aca="false">F4886*G4886</f>
        <v>2267.64</v>
      </c>
      <c r="N4886" s="15" t="n">
        <f aca="false">M4886-L4886</f>
        <v>634.94</v>
      </c>
      <c r="O4886" s="1" t="n">
        <f aca="false">YEAR(B4886)</f>
        <v>2035</v>
      </c>
      <c r="P4886" s="1" t="n">
        <f aca="false">MONTH(B4886)</f>
        <v>5</v>
      </c>
      <c r="Q4886" s="1" t="str">
        <f aca="false">TEXT(B4886,"mmm")</f>
        <v>May</v>
      </c>
      <c r="R4886" s="1" t="str">
        <f aca="false">"Q"&amp;ROUNDUP(MONTH(B4886)/3,0)</f>
        <v>Q2</v>
      </c>
    </row>
    <row r="4887" customFormat="false" ht="15" hidden="false" customHeight="true" outlineLevel="0" collapsed="false">
      <c r="A4887" s="1" t="n">
        <v>14886</v>
      </c>
      <c r="B4887" s="14" t="n">
        <v>49447</v>
      </c>
      <c r="C4887" s="1" t="n">
        <v>1805</v>
      </c>
      <c r="D4887" s="1" t="s">
        <v>27</v>
      </c>
      <c r="E4887" s="1" t="s">
        <v>36</v>
      </c>
      <c r="F4887" s="1" t="n">
        <v>1</v>
      </c>
      <c r="G4887" s="15" t="n">
        <v>170.6</v>
      </c>
      <c r="H4887" s="16" t="n">
        <v>0.18</v>
      </c>
      <c r="I4887" s="1" t="s">
        <v>31</v>
      </c>
      <c r="J4887" s="1" t="n">
        <v>10</v>
      </c>
      <c r="K4887" s="1" t="n">
        <v>4.9</v>
      </c>
      <c r="L4887" s="15" t="n">
        <v>139.89</v>
      </c>
      <c r="M4887" s="15" t="n">
        <f aca="false">F4887*G4887</f>
        <v>170.6</v>
      </c>
      <c r="N4887" s="15" t="n">
        <f aca="false">M4887-L4887</f>
        <v>30.71</v>
      </c>
      <c r="O4887" s="1" t="n">
        <f aca="false">YEAR(B4887)</f>
        <v>2035</v>
      </c>
      <c r="P4887" s="1" t="n">
        <f aca="false">MONTH(B4887)</f>
        <v>5</v>
      </c>
      <c r="Q4887" s="1" t="str">
        <f aca="false">TEXT(B4887,"mmm")</f>
        <v>May</v>
      </c>
      <c r="R4887" s="1" t="str">
        <f aca="false">"Q"&amp;ROUNDUP(MONTH(B4887)/3,0)</f>
        <v>Q2</v>
      </c>
    </row>
    <row r="4888" customFormat="false" ht="15" hidden="false" customHeight="true" outlineLevel="0" collapsed="false">
      <c r="A4888" s="1" t="n">
        <v>14887</v>
      </c>
      <c r="B4888" s="14" t="n">
        <v>49448</v>
      </c>
      <c r="C4888" s="1" t="n">
        <v>1322</v>
      </c>
      <c r="D4888" s="1" t="s">
        <v>27</v>
      </c>
      <c r="E4888" s="1" t="s">
        <v>35</v>
      </c>
      <c r="F4888" s="1" t="n">
        <v>3</v>
      </c>
      <c r="G4888" s="15" t="n">
        <v>147.41</v>
      </c>
      <c r="H4888" s="16" t="n">
        <v>0.24</v>
      </c>
      <c r="I4888" s="1" t="s">
        <v>31</v>
      </c>
      <c r="J4888" s="1" t="n">
        <v>8</v>
      </c>
      <c r="K4888" s="1" t="n">
        <v>4.7</v>
      </c>
      <c r="L4888" s="15" t="n">
        <v>336.09</v>
      </c>
      <c r="M4888" s="15" t="n">
        <f aca="false">F4888*G4888</f>
        <v>442.23</v>
      </c>
      <c r="N4888" s="15" t="n">
        <f aca="false">M4888-L4888</f>
        <v>106.14</v>
      </c>
      <c r="O4888" s="1" t="n">
        <f aca="false">YEAR(B4888)</f>
        <v>2035</v>
      </c>
      <c r="P4888" s="1" t="n">
        <f aca="false">MONTH(B4888)</f>
        <v>5</v>
      </c>
      <c r="Q4888" s="1" t="str">
        <f aca="false">TEXT(B4888,"mmm")</f>
        <v>May</v>
      </c>
      <c r="R4888" s="1" t="str">
        <f aca="false">"Q"&amp;ROUNDUP(MONTH(B4888)/3,0)</f>
        <v>Q2</v>
      </c>
    </row>
    <row r="4889" customFormat="false" ht="15" hidden="false" customHeight="true" outlineLevel="0" collapsed="false">
      <c r="A4889" s="1" t="n">
        <v>14888</v>
      </c>
      <c r="B4889" s="14" t="n">
        <v>49449</v>
      </c>
      <c r="C4889" s="1" t="n">
        <v>1442</v>
      </c>
      <c r="D4889" s="1" t="s">
        <v>30</v>
      </c>
      <c r="E4889" s="1" t="s">
        <v>28</v>
      </c>
      <c r="F4889" s="1" t="n">
        <v>3</v>
      </c>
      <c r="G4889" s="15" t="n">
        <v>575.13</v>
      </c>
      <c r="H4889" s="16" t="n">
        <v>0.32</v>
      </c>
      <c r="I4889" s="1" t="s">
        <v>31</v>
      </c>
      <c r="J4889" s="1" t="n">
        <v>7</v>
      </c>
      <c r="K4889" s="1" t="n">
        <v>3.4</v>
      </c>
      <c r="L4889" s="15" t="n">
        <v>1173.27</v>
      </c>
      <c r="M4889" s="15" t="n">
        <f aca="false">F4889*G4889</f>
        <v>1725.39</v>
      </c>
      <c r="N4889" s="15" t="n">
        <f aca="false">M4889-L4889</f>
        <v>552.12</v>
      </c>
      <c r="O4889" s="1" t="n">
        <f aca="false">YEAR(B4889)</f>
        <v>2035</v>
      </c>
      <c r="P4889" s="1" t="n">
        <f aca="false">MONTH(B4889)</f>
        <v>5</v>
      </c>
      <c r="Q4889" s="1" t="str">
        <f aca="false">TEXT(B4889,"mmm")</f>
        <v>May</v>
      </c>
      <c r="R4889" s="1" t="str">
        <f aca="false">"Q"&amp;ROUNDUP(MONTH(B4889)/3,0)</f>
        <v>Q2</v>
      </c>
    </row>
    <row r="4890" customFormat="false" ht="15" hidden="false" customHeight="true" outlineLevel="0" collapsed="false">
      <c r="A4890" s="1" t="n">
        <v>14889</v>
      </c>
      <c r="B4890" s="14" t="n">
        <v>49450</v>
      </c>
      <c r="C4890" s="1" t="n">
        <v>1836</v>
      </c>
      <c r="D4890" s="1" t="s">
        <v>30</v>
      </c>
      <c r="E4890" s="1" t="s">
        <v>32</v>
      </c>
      <c r="F4890" s="1" t="n">
        <v>7</v>
      </c>
      <c r="G4890" s="15" t="n">
        <v>283.3</v>
      </c>
      <c r="H4890" s="16" t="n">
        <v>0.19</v>
      </c>
      <c r="I4890" s="1" t="s">
        <v>31</v>
      </c>
      <c r="J4890" s="1" t="n">
        <v>11</v>
      </c>
      <c r="K4890" s="1" t="n">
        <v>3.6</v>
      </c>
      <c r="L4890" s="15" t="n">
        <v>1606.31</v>
      </c>
      <c r="M4890" s="15" t="n">
        <f aca="false">F4890*G4890</f>
        <v>1983.1</v>
      </c>
      <c r="N4890" s="15" t="n">
        <f aca="false">M4890-L4890</f>
        <v>376.79</v>
      </c>
      <c r="O4890" s="1" t="n">
        <f aca="false">YEAR(B4890)</f>
        <v>2035</v>
      </c>
      <c r="P4890" s="1" t="n">
        <f aca="false">MONTH(B4890)</f>
        <v>5</v>
      </c>
      <c r="Q4890" s="1" t="str">
        <f aca="false">TEXT(B4890,"mmm")</f>
        <v>May</v>
      </c>
      <c r="R4890" s="1" t="str">
        <f aca="false">"Q"&amp;ROUNDUP(MONTH(B4890)/3,0)</f>
        <v>Q2</v>
      </c>
    </row>
    <row r="4891" customFormat="false" ht="15" hidden="false" customHeight="true" outlineLevel="0" collapsed="false">
      <c r="A4891" s="1" t="n">
        <v>14890</v>
      </c>
      <c r="B4891" s="14" t="n">
        <v>49451</v>
      </c>
      <c r="C4891" s="1" t="n">
        <v>1012</v>
      </c>
      <c r="D4891" s="1" t="s">
        <v>34</v>
      </c>
      <c r="E4891" s="1" t="s">
        <v>28</v>
      </c>
      <c r="F4891" s="1" t="n">
        <v>6</v>
      </c>
      <c r="G4891" s="15" t="n">
        <v>136.85</v>
      </c>
      <c r="H4891" s="16" t="n">
        <v>0.18</v>
      </c>
      <c r="I4891" s="1" t="s">
        <v>31</v>
      </c>
      <c r="J4891" s="1" t="n">
        <v>5</v>
      </c>
      <c r="K4891" s="1" t="n">
        <v>3.1</v>
      </c>
      <c r="L4891" s="15" t="n">
        <v>673.3</v>
      </c>
      <c r="M4891" s="15" t="n">
        <f aca="false">F4891*G4891</f>
        <v>821.1</v>
      </c>
      <c r="N4891" s="15" t="n">
        <f aca="false">M4891-L4891</f>
        <v>147.8</v>
      </c>
      <c r="O4891" s="1" t="n">
        <f aca="false">YEAR(B4891)</f>
        <v>2035</v>
      </c>
      <c r="P4891" s="1" t="n">
        <f aca="false">MONTH(B4891)</f>
        <v>5</v>
      </c>
      <c r="Q4891" s="1" t="str">
        <f aca="false">TEXT(B4891,"mmm")</f>
        <v>May</v>
      </c>
      <c r="R4891" s="1" t="str">
        <f aca="false">"Q"&amp;ROUNDUP(MONTH(B4891)/3,0)</f>
        <v>Q2</v>
      </c>
    </row>
    <row r="4892" customFormat="false" ht="15" hidden="false" customHeight="true" outlineLevel="0" collapsed="false">
      <c r="A4892" s="1" t="n">
        <v>14891</v>
      </c>
      <c r="B4892" s="14" t="n">
        <v>49452</v>
      </c>
      <c r="C4892" s="1" t="n">
        <v>1942</v>
      </c>
      <c r="D4892" s="1" t="s">
        <v>34</v>
      </c>
      <c r="E4892" s="1" t="s">
        <v>32</v>
      </c>
      <c r="F4892" s="1" t="n">
        <v>7</v>
      </c>
      <c r="G4892" s="15" t="n">
        <v>428.59</v>
      </c>
      <c r="H4892" s="16" t="n">
        <v>0.1</v>
      </c>
      <c r="I4892" s="1" t="s">
        <v>31</v>
      </c>
      <c r="J4892" s="1" t="n">
        <v>6</v>
      </c>
      <c r="K4892" s="1" t="n">
        <v>2.6</v>
      </c>
      <c r="L4892" s="15" t="n">
        <v>2700.12</v>
      </c>
      <c r="M4892" s="15" t="n">
        <f aca="false">F4892*G4892</f>
        <v>3000.13</v>
      </c>
      <c r="N4892" s="15" t="n">
        <f aca="false">M4892-L4892</f>
        <v>300.01</v>
      </c>
      <c r="O4892" s="1" t="n">
        <f aca="false">YEAR(B4892)</f>
        <v>2035</v>
      </c>
      <c r="P4892" s="1" t="n">
        <f aca="false">MONTH(B4892)</f>
        <v>5</v>
      </c>
      <c r="Q4892" s="1" t="str">
        <f aca="false">TEXT(B4892,"mmm")</f>
        <v>May</v>
      </c>
      <c r="R4892" s="1" t="str">
        <f aca="false">"Q"&amp;ROUNDUP(MONTH(B4892)/3,0)</f>
        <v>Q2</v>
      </c>
    </row>
    <row r="4893" customFormat="false" ht="15" hidden="false" customHeight="true" outlineLevel="0" collapsed="false">
      <c r="A4893" s="1" t="n">
        <v>14892</v>
      </c>
      <c r="B4893" s="14" t="n">
        <v>49453</v>
      </c>
      <c r="C4893" s="1" t="n">
        <v>1493</v>
      </c>
      <c r="D4893" s="1" t="s">
        <v>30</v>
      </c>
      <c r="E4893" s="1" t="s">
        <v>32</v>
      </c>
      <c r="F4893" s="1" t="n">
        <v>6</v>
      </c>
      <c r="G4893" s="15" t="n">
        <v>181.39</v>
      </c>
      <c r="H4893" s="16" t="n">
        <v>0.11</v>
      </c>
      <c r="I4893" s="1" t="s">
        <v>31</v>
      </c>
      <c r="J4893" s="1" t="n">
        <v>1</v>
      </c>
      <c r="K4893" s="1" t="n">
        <v>2.4</v>
      </c>
      <c r="L4893" s="15" t="n">
        <v>968.62</v>
      </c>
      <c r="M4893" s="15" t="n">
        <f aca="false">F4893*G4893</f>
        <v>1088.34</v>
      </c>
      <c r="N4893" s="15" t="n">
        <f aca="false">M4893-L4893</f>
        <v>119.72</v>
      </c>
      <c r="O4893" s="1" t="n">
        <f aca="false">YEAR(B4893)</f>
        <v>2035</v>
      </c>
      <c r="P4893" s="1" t="n">
        <f aca="false">MONTH(B4893)</f>
        <v>5</v>
      </c>
      <c r="Q4893" s="1" t="str">
        <f aca="false">TEXT(B4893,"mmm")</f>
        <v>May</v>
      </c>
      <c r="R4893" s="1" t="str">
        <f aca="false">"Q"&amp;ROUNDUP(MONTH(B4893)/3,0)</f>
        <v>Q2</v>
      </c>
    </row>
    <row r="4894" customFormat="false" ht="15" hidden="false" customHeight="true" outlineLevel="0" collapsed="false">
      <c r="A4894" s="1" t="n">
        <v>14893</v>
      </c>
      <c r="B4894" s="14" t="n">
        <v>49454</v>
      </c>
      <c r="C4894" s="1" t="n">
        <v>1700</v>
      </c>
      <c r="D4894" s="1" t="s">
        <v>30</v>
      </c>
      <c r="E4894" s="1" t="s">
        <v>32</v>
      </c>
      <c r="F4894" s="1" t="n">
        <v>7</v>
      </c>
      <c r="G4894" s="15" t="n">
        <v>171.34</v>
      </c>
      <c r="H4894" s="16" t="n">
        <v>0.28</v>
      </c>
      <c r="I4894" s="1" t="s">
        <v>31</v>
      </c>
      <c r="J4894" s="1" t="n">
        <v>8</v>
      </c>
      <c r="K4894" s="1" t="n">
        <v>4.6</v>
      </c>
      <c r="L4894" s="15" t="n">
        <v>863.55</v>
      </c>
      <c r="M4894" s="15" t="n">
        <f aca="false">F4894*G4894</f>
        <v>1199.38</v>
      </c>
      <c r="N4894" s="15" t="n">
        <f aca="false">M4894-L4894</f>
        <v>335.83</v>
      </c>
      <c r="O4894" s="1" t="n">
        <f aca="false">YEAR(B4894)</f>
        <v>2035</v>
      </c>
      <c r="P4894" s="1" t="n">
        <f aca="false">MONTH(B4894)</f>
        <v>5</v>
      </c>
      <c r="Q4894" s="1" t="str">
        <f aca="false">TEXT(B4894,"mmm")</f>
        <v>May</v>
      </c>
      <c r="R4894" s="1" t="str">
        <f aca="false">"Q"&amp;ROUNDUP(MONTH(B4894)/3,0)</f>
        <v>Q2</v>
      </c>
    </row>
    <row r="4895" customFormat="false" ht="15" hidden="false" customHeight="true" outlineLevel="0" collapsed="false">
      <c r="A4895" s="1" t="n">
        <v>14894</v>
      </c>
      <c r="B4895" s="14" t="n">
        <v>49455</v>
      </c>
      <c r="C4895" s="1" t="n">
        <v>1286</v>
      </c>
      <c r="D4895" s="1" t="s">
        <v>27</v>
      </c>
      <c r="E4895" s="1" t="s">
        <v>35</v>
      </c>
      <c r="F4895" s="1" t="n">
        <v>7</v>
      </c>
      <c r="G4895" s="15" t="n">
        <v>529.36</v>
      </c>
      <c r="H4895" s="16" t="n">
        <v>0.16</v>
      </c>
      <c r="I4895" s="1" t="s">
        <v>33</v>
      </c>
      <c r="J4895" s="1" t="n">
        <v>9</v>
      </c>
      <c r="K4895" s="1" t="n">
        <v>3.3</v>
      </c>
      <c r="L4895" s="15" t="n">
        <v>3112.64</v>
      </c>
      <c r="M4895" s="15" t="n">
        <f aca="false">F4895*G4895</f>
        <v>3705.52</v>
      </c>
      <c r="N4895" s="15" t="n">
        <f aca="false">M4895-L4895</f>
        <v>592.88</v>
      </c>
      <c r="O4895" s="1" t="n">
        <f aca="false">YEAR(B4895)</f>
        <v>2035</v>
      </c>
      <c r="P4895" s="1" t="n">
        <f aca="false">MONTH(B4895)</f>
        <v>5</v>
      </c>
      <c r="Q4895" s="1" t="str">
        <f aca="false">TEXT(B4895,"mmm")</f>
        <v>May</v>
      </c>
      <c r="R4895" s="1" t="str">
        <f aca="false">"Q"&amp;ROUNDUP(MONTH(B4895)/3,0)</f>
        <v>Q2</v>
      </c>
    </row>
    <row r="4896" customFormat="false" ht="15" hidden="false" customHeight="true" outlineLevel="0" collapsed="false">
      <c r="A4896" s="1" t="n">
        <v>14895</v>
      </c>
      <c r="B4896" s="14" t="n">
        <v>49456</v>
      </c>
      <c r="C4896" s="1" t="n">
        <v>1719</v>
      </c>
      <c r="D4896" s="1" t="s">
        <v>30</v>
      </c>
      <c r="E4896" s="1" t="s">
        <v>28</v>
      </c>
      <c r="F4896" s="1" t="n">
        <v>3</v>
      </c>
      <c r="G4896" s="15" t="n">
        <v>110.05</v>
      </c>
      <c r="H4896" s="16" t="n">
        <v>0.06</v>
      </c>
      <c r="I4896" s="1" t="s">
        <v>33</v>
      </c>
      <c r="J4896" s="1" t="n">
        <v>11</v>
      </c>
      <c r="K4896" s="1" t="n">
        <v>4.3</v>
      </c>
      <c r="L4896" s="15" t="n">
        <v>310.34</v>
      </c>
      <c r="M4896" s="15" t="n">
        <f aca="false">F4896*G4896</f>
        <v>330.15</v>
      </c>
      <c r="N4896" s="15" t="n">
        <f aca="false">M4896-L4896</f>
        <v>19.81</v>
      </c>
      <c r="O4896" s="1" t="n">
        <f aca="false">YEAR(B4896)</f>
        <v>2035</v>
      </c>
      <c r="P4896" s="1" t="n">
        <f aca="false">MONTH(B4896)</f>
        <v>5</v>
      </c>
      <c r="Q4896" s="1" t="str">
        <f aca="false">TEXT(B4896,"mmm")</f>
        <v>May</v>
      </c>
      <c r="R4896" s="1" t="str">
        <f aca="false">"Q"&amp;ROUNDUP(MONTH(B4896)/3,0)</f>
        <v>Q2</v>
      </c>
    </row>
    <row r="4897" customFormat="false" ht="15" hidden="false" customHeight="true" outlineLevel="0" collapsed="false">
      <c r="A4897" s="1" t="n">
        <v>14896</v>
      </c>
      <c r="B4897" s="14" t="n">
        <v>49457</v>
      </c>
      <c r="C4897" s="1" t="n">
        <v>1113</v>
      </c>
      <c r="D4897" s="1" t="s">
        <v>30</v>
      </c>
      <c r="E4897" s="1" t="s">
        <v>35</v>
      </c>
      <c r="F4897" s="1" t="n">
        <v>6</v>
      </c>
      <c r="G4897" s="15" t="n">
        <v>52.67</v>
      </c>
      <c r="H4897" s="16" t="n">
        <v>0.03</v>
      </c>
      <c r="I4897" s="1" t="s">
        <v>29</v>
      </c>
      <c r="J4897" s="1" t="n">
        <v>5</v>
      </c>
      <c r="K4897" s="1" t="n">
        <v>3.1</v>
      </c>
      <c r="L4897" s="15" t="n">
        <v>306.54</v>
      </c>
      <c r="M4897" s="15" t="n">
        <f aca="false">F4897*G4897</f>
        <v>316.02</v>
      </c>
      <c r="N4897" s="15" t="n">
        <f aca="false">M4897-L4897</f>
        <v>9.47999999999996</v>
      </c>
      <c r="O4897" s="1" t="n">
        <f aca="false">YEAR(B4897)</f>
        <v>2035</v>
      </c>
      <c r="P4897" s="1" t="n">
        <f aca="false">MONTH(B4897)</f>
        <v>5</v>
      </c>
      <c r="Q4897" s="1" t="str">
        <f aca="false">TEXT(B4897,"mmm")</f>
        <v>May</v>
      </c>
      <c r="R4897" s="1" t="str">
        <f aca="false">"Q"&amp;ROUNDUP(MONTH(B4897)/3,0)</f>
        <v>Q2</v>
      </c>
    </row>
    <row r="4898" customFormat="false" ht="15" hidden="false" customHeight="true" outlineLevel="0" collapsed="false">
      <c r="A4898" s="1" t="n">
        <v>14897</v>
      </c>
      <c r="B4898" s="14" t="n">
        <v>49458</v>
      </c>
      <c r="C4898" s="1" t="n">
        <v>1479</v>
      </c>
      <c r="D4898" s="1" t="s">
        <v>30</v>
      </c>
      <c r="E4898" s="1" t="s">
        <v>28</v>
      </c>
      <c r="F4898" s="1" t="n">
        <v>3</v>
      </c>
      <c r="G4898" s="15" t="n">
        <v>172.47</v>
      </c>
      <c r="H4898" s="16" t="n">
        <v>0.17</v>
      </c>
      <c r="I4898" s="1" t="s">
        <v>29</v>
      </c>
      <c r="J4898" s="1" t="n">
        <v>10</v>
      </c>
      <c r="K4898" s="1" t="n">
        <v>2.2</v>
      </c>
      <c r="L4898" s="15" t="n">
        <v>429.45</v>
      </c>
      <c r="M4898" s="15" t="n">
        <f aca="false">F4898*G4898</f>
        <v>517.41</v>
      </c>
      <c r="N4898" s="15" t="n">
        <f aca="false">M4898-L4898</f>
        <v>87.96</v>
      </c>
      <c r="O4898" s="1" t="n">
        <f aca="false">YEAR(B4898)</f>
        <v>2035</v>
      </c>
      <c r="P4898" s="1" t="n">
        <f aca="false">MONTH(B4898)</f>
        <v>5</v>
      </c>
      <c r="Q4898" s="1" t="str">
        <f aca="false">TEXT(B4898,"mmm")</f>
        <v>May</v>
      </c>
      <c r="R4898" s="1" t="str">
        <f aca="false">"Q"&amp;ROUNDUP(MONTH(B4898)/3,0)</f>
        <v>Q2</v>
      </c>
    </row>
    <row r="4899" customFormat="false" ht="15" hidden="false" customHeight="true" outlineLevel="0" collapsed="false">
      <c r="A4899" s="1" t="n">
        <v>14898</v>
      </c>
      <c r="B4899" s="14" t="n">
        <v>49459</v>
      </c>
      <c r="C4899" s="1" t="n">
        <v>1021</v>
      </c>
      <c r="D4899" s="1" t="s">
        <v>37</v>
      </c>
      <c r="E4899" s="1" t="s">
        <v>36</v>
      </c>
      <c r="F4899" s="1" t="n">
        <v>1</v>
      </c>
      <c r="G4899" s="15" t="n">
        <v>370.06</v>
      </c>
      <c r="H4899" s="16" t="n">
        <v>0.16</v>
      </c>
      <c r="I4899" s="1" t="s">
        <v>31</v>
      </c>
      <c r="J4899" s="1" t="n">
        <v>7</v>
      </c>
      <c r="K4899" s="1" t="n">
        <v>1.4</v>
      </c>
      <c r="L4899" s="15" t="n">
        <v>310.85</v>
      </c>
      <c r="M4899" s="15" t="n">
        <f aca="false">F4899*G4899</f>
        <v>370.06</v>
      </c>
      <c r="N4899" s="15" t="n">
        <f aca="false">M4899-L4899</f>
        <v>59.21</v>
      </c>
      <c r="O4899" s="1" t="n">
        <f aca="false">YEAR(B4899)</f>
        <v>2035</v>
      </c>
      <c r="P4899" s="1" t="n">
        <f aca="false">MONTH(B4899)</f>
        <v>5</v>
      </c>
      <c r="Q4899" s="1" t="str">
        <f aca="false">TEXT(B4899,"mmm")</f>
        <v>May</v>
      </c>
      <c r="R4899" s="1" t="str">
        <f aca="false">"Q"&amp;ROUNDUP(MONTH(B4899)/3,0)</f>
        <v>Q2</v>
      </c>
    </row>
    <row r="4900" customFormat="false" ht="15" hidden="false" customHeight="true" outlineLevel="0" collapsed="false">
      <c r="A4900" s="1" t="n">
        <v>14899</v>
      </c>
      <c r="B4900" s="14" t="n">
        <v>49460</v>
      </c>
      <c r="C4900" s="1" t="n">
        <v>1348</v>
      </c>
      <c r="D4900" s="1" t="s">
        <v>37</v>
      </c>
      <c r="E4900" s="1" t="s">
        <v>36</v>
      </c>
      <c r="F4900" s="1" t="n">
        <v>7</v>
      </c>
      <c r="G4900" s="15" t="n">
        <v>87.01</v>
      </c>
      <c r="H4900" s="16" t="n">
        <v>0.23</v>
      </c>
      <c r="I4900" s="1" t="s">
        <v>33</v>
      </c>
      <c r="J4900" s="1" t="n">
        <v>10</v>
      </c>
      <c r="K4900" s="1" t="n">
        <v>2.3</v>
      </c>
      <c r="L4900" s="15" t="n">
        <v>468.98</v>
      </c>
      <c r="M4900" s="15" t="n">
        <f aca="false">F4900*G4900</f>
        <v>609.07</v>
      </c>
      <c r="N4900" s="15" t="n">
        <f aca="false">M4900-L4900</f>
        <v>140.09</v>
      </c>
      <c r="O4900" s="1" t="n">
        <f aca="false">YEAR(B4900)</f>
        <v>2035</v>
      </c>
      <c r="P4900" s="1" t="n">
        <f aca="false">MONTH(B4900)</f>
        <v>5</v>
      </c>
      <c r="Q4900" s="1" t="str">
        <f aca="false">TEXT(B4900,"mmm")</f>
        <v>May</v>
      </c>
      <c r="R4900" s="1" t="str">
        <f aca="false">"Q"&amp;ROUNDUP(MONTH(B4900)/3,0)</f>
        <v>Q2</v>
      </c>
    </row>
    <row r="4901" customFormat="false" ht="15" hidden="false" customHeight="true" outlineLevel="0" collapsed="false">
      <c r="A4901" s="1" t="n">
        <v>14900</v>
      </c>
      <c r="B4901" s="14" t="n">
        <v>49461</v>
      </c>
      <c r="C4901" s="1" t="n">
        <v>1725</v>
      </c>
      <c r="D4901" s="1" t="s">
        <v>30</v>
      </c>
      <c r="E4901" s="1" t="s">
        <v>28</v>
      </c>
      <c r="F4901" s="1" t="n">
        <v>2</v>
      </c>
      <c r="G4901" s="15" t="n">
        <v>290.88</v>
      </c>
      <c r="H4901" s="16" t="n">
        <v>0.16</v>
      </c>
      <c r="I4901" s="1" t="s">
        <v>31</v>
      </c>
      <c r="J4901" s="1" t="n">
        <v>4</v>
      </c>
      <c r="K4901" s="1" t="n">
        <v>4.5</v>
      </c>
      <c r="L4901" s="15" t="n">
        <v>488.68</v>
      </c>
      <c r="M4901" s="15" t="n">
        <f aca="false">F4901*G4901</f>
        <v>581.76</v>
      </c>
      <c r="N4901" s="15" t="n">
        <f aca="false">M4901-L4901</f>
        <v>93.08</v>
      </c>
      <c r="O4901" s="1" t="n">
        <f aca="false">YEAR(B4901)</f>
        <v>2035</v>
      </c>
      <c r="P4901" s="1" t="n">
        <f aca="false">MONTH(B4901)</f>
        <v>6</v>
      </c>
      <c r="Q4901" s="1" t="str">
        <f aca="false">TEXT(B4901,"mmm")</f>
        <v>Jun</v>
      </c>
      <c r="R4901" s="1" t="str">
        <f aca="false">"Q"&amp;ROUNDUP(MONTH(B4901)/3,0)</f>
        <v>Q2</v>
      </c>
    </row>
    <row r="4902" customFormat="false" ht="15" hidden="false" customHeight="true" outlineLevel="0" collapsed="false">
      <c r="A4902" s="1" t="n">
        <v>14901</v>
      </c>
      <c r="B4902" s="14" t="n">
        <v>49462</v>
      </c>
      <c r="C4902" s="1" t="n">
        <v>1682</v>
      </c>
      <c r="D4902" s="1" t="s">
        <v>34</v>
      </c>
      <c r="E4902" s="1" t="s">
        <v>28</v>
      </c>
      <c r="F4902" s="1" t="n">
        <v>6</v>
      </c>
      <c r="G4902" s="15" t="n">
        <v>381.99</v>
      </c>
      <c r="H4902" s="16" t="n">
        <v>0.05</v>
      </c>
      <c r="I4902" s="1" t="s">
        <v>31</v>
      </c>
      <c r="J4902" s="1" t="n">
        <v>6</v>
      </c>
      <c r="K4902" s="1" t="n">
        <v>3.8</v>
      </c>
      <c r="L4902" s="15" t="n">
        <v>2177.34</v>
      </c>
      <c r="M4902" s="15" t="n">
        <f aca="false">F4902*G4902</f>
        <v>2291.94</v>
      </c>
      <c r="N4902" s="15" t="n">
        <f aca="false">M4902-L4902</f>
        <v>114.6</v>
      </c>
      <c r="O4902" s="1" t="n">
        <f aca="false">YEAR(B4902)</f>
        <v>2035</v>
      </c>
      <c r="P4902" s="1" t="n">
        <f aca="false">MONTH(B4902)</f>
        <v>6</v>
      </c>
      <c r="Q4902" s="1" t="str">
        <f aca="false">TEXT(B4902,"mmm")</f>
        <v>Jun</v>
      </c>
      <c r="R4902" s="1" t="str">
        <f aca="false">"Q"&amp;ROUNDUP(MONTH(B4902)/3,0)</f>
        <v>Q2</v>
      </c>
    </row>
    <row r="4903" customFormat="false" ht="15" hidden="false" customHeight="true" outlineLevel="0" collapsed="false">
      <c r="A4903" s="1" t="n">
        <v>14902</v>
      </c>
      <c r="B4903" s="14" t="n">
        <v>49463</v>
      </c>
      <c r="C4903" s="1" t="n">
        <v>1834</v>
      </c>
      <c r="D4903" s="1" t="s">
        <v>37</v>
      </c>
      <c r="E4903" s="1" t="s">
        <v>28</v>
      </c>
      <c r="F4903" s="1" t="n">
        <v>5</v>
      </c>
      <c r="G4903" s="15" t="n">
        <v>511.51</v>
      </c>
      <c r="H4903" s="16" t="n">
        <v>0.18</v>
      </c>
      <c r="I4903" s="1" t="s">
        <v>33</v>
      </c>
      <c r="J4903" s="1" t="n">
        <v>2</v>
      </c>
      <c r="K4903" s="1" t="n">
        <v>4.1</v>
      </c>
      <c r="L4903" s="15" t="n">
        <v>2097.19</v>
      </c>
      <c r="M4903" s="15" t="n">
        <f aca="false">F4903*G4903</f>
        <v>2557.55</v>
      </c>
      <c r="N4903" s="15" t="n">
        <f aca="false">M4903-L4903</f>
        <v>460.36</v>
      </c>
      <c r="O4903" s="1" t="n">
        <f aca="false">YEAR(B4903)</f>
        <v>2035</v>
      </c>
      <c r="P4903" s="1" t="n">
        <f aca="false">MONTH(B4903)</f>
        <v>6</v>
      </c>
      <c r="Q4903" s="1" t="str">
        <f aca="false">TEXT(B4903,"mmm")</f>
        <v>Jun</v>
      </c>
      <c r="R4903" s="1" t="str">
        <f aca="false">"Q"&amp;ROUNDUP(MONTH(B4903)/3,0)</f>
        <v>Q2</v>
      </c>
    </row>
    <row r="4904" customFormat="false" ht="15" hidden="false" customHeight="true" outlineLevel="0" collapsed="false">
      <c r="A4904" s="1" t="n">
        <v>14903</v>
      </c>
      <c r="B4904" s="14" t="n">
        <v>49464</v>
      </c>
      <c r="C4904" s="1" t="n">
        <v>1565</v>
      </c>
      <c r="D4904" s="1" t="s">
        <v>34</v>
      </c>
      <c r="E4904" s="1" t="s">
        <v>28</v>
      </c>
      <c r="F4904" s="1" t="n">
        <v>5</v>
      </c>
      <c r="G4904" s="15" t="n">
        <v>149.47</v>
      </c>
      <c r="H4904" s="16" t="n">
        <v>0.32</v>
      </c>
      <c r="I4904" s="1" t="s">
        <v>33</v>
      </c>
      <c r="J4904" s="1" t="n">
        <v>4</v>
      </c>
      <c r="K4904" s="1" t="n">
        <v>4.1</v>
      </c>
      <c r="L4904" s="15" t="n">
        <v>508.2</v>
      </c>
      <c r="M4904" s="15" t="n">
        <f aca="false">F4904*G4904</f>
        <v>747.35</v>
      </c>
      <c r="N4904" s="15" t="n">
        <f aca="false">M4904-L4904</f>
        <v>239.15</v>
      </c>
      <c r="O4904" s="1" t="n">
        <f aca="false">YEAR(B4904)</f>
        <v>2035</v>
      </c>
      <c r="P4904" s="1" t="n">
        <f aca="false">MONTH(B4904)</f>
        <v>6</v>
      </c>
      <c r="Q4904" s="1" t="str">
        <f aca="false">TEXT(B4904,"mmm")</f>
        <v>Jun</v>
      </c>
      <c r="R4904" s="1" t="str">
        <f aca="false">"Q"&amp;ROUNDUP(MONTH(B4904)/3,0)</f>
        <v>Q2</v>
      </c>
    </row>
    <row r="4905" customFormat="false" ht="15" hidden="false" customHeight="true" outlineLevel="0" collapsed="false">
      <c r="A4905" s="1" t="n">
        <v>14904</v>
      </c>
      <c r="B4905" s="14" t="n">
        <v>49465</v>
      </c>
      <c r="C4905" s="1" t="n">
        <v>1905</v>
      </c>
      <c r="D4905" s="1" t="s">
        <v>27</v>
      </c>
      <c r="E4905" s="1" t="s">
        <v>32</v>
      </c>
      <c r="F4905" s="1" t="n">
        <v>5</v>
      </c>
      <c r="G4905" s="15" t="n">
        <v>493.15</v>
      </c>
      <c r="H4905" s="16" t="n">
        <v>0.06</v>
      </c>
      <c r="I4905" s="1" t="s">
        <v>29</v>
      </c>
      <c r="J4905" s="1" t="n">
        <v>5</v>
      </c>
      <c r="K4905" s="1" t="n">
        <v>1.5</v>
      </c>
      <c r="L4905" s="15" t="n">
        <v>2317.8</v>
      </c>
      <c r="M4905" s="15" t="n">
        <f aca="false">F4905*G4905</f>
        <v>2465.75</v>
      </c>
      <c r="N4905" s="15" t="n">
        <f aca="false">M4905-L4905</f>
        <v>147.95</v>
      </c>
      <c r="O4905" s="1" t="n">
        <f aca="false">YEAR(B4905)</f>
        <v>2035</v>
      </c>
      <c r="P4905" s="1" t="n">
        <f aca="false">MONTH(B4905)</f>
        <v>6</v>
      </c>
      <c r="Q4905" s="1" t="str">
        <f aca="false">TEXT(B4905,"mmm")</f>
        <v>Jun</v>
      </c>
      <c r="R4905" s="1" t="str">
        <f aca="false">"Q"&amp;ROUNDUP(MONTH(B4905)/3,0)</f>
        <v>Q2</v>
      </c>
    </row>
    <row r="4906" customFormat="false" ht="15" hidden="false" customHeight="true" outlineLevel="0" collapsed="false">
      <c r="A4906" s="1" t="n">
        <v>14905</v>
      </c>
      <c r="B4906" s="14" t="n">
        <v>49466</v>
      </c>
      <c r="C4906" s="1" t="n">
        <v>1809</v>
      </c>
      <c r="D4906" s="1" t="s">
        <v>30</v>
      </c>
      <c r="E4906" s="1" t="s">
        <v>35</v>
      </c>
      <c r="F4906" s="1" t="n">
        <v>2</v>
      </c>
      <c r="G4906" s="15" t="n">
        <v>152.42</v>
      </c>
      <c r="H4906" s="16" t="n">
        <v>0.24</v>
      </c>
      <c r="I4906" s="1" t="s">
        <v>33</v>
      </c>
      <c r="J4906" s="1" t="n">
        <v>9</v>
      </c>
      <c r="K4906" s="1" t="n">
        <v>1.6</v>
      </c>
      <c r="L4906" s="15" t="n">
        <v>231.68</v>
      </c>
      <c r="M4906" s="15" t="n">
        <f aca="false">F4906*G4906</f>
        <v>304.84</v>
      </c>
      <c r="N4906" s="15" t="n">
        <f aca="false">M4906-L4906</f>
        <v>73.16</v>
      </c>
      <c r="O4906" s="1" t="n">
        <f aca="false">YEAR(B4906)</f>
        <v>2035</v>
      </c>
      <c r="P4906" s="1" t="n">
        <f aca="false">MONTH(B4906)</f>
        <v>6</v>
      </c>
      <c r="Q4906" s="1" t="str">
        <f aca="false">TEXT(B4906,"mmm")</f>
        <v>Jun</v>
      </c>
      <c r="R4906" s="1" t="str">
        <f aca="false">"Q"&amp;ROUNDUP(MONTH(B4906)/3,0)</f>
        <v>Q2</v>
      </c>
    </row>
    <row r="4907" customFormat="false" ht="15" hidden="false" customHeight="true" outlineLevel="0" collapsed="false">
      <c r="A4907" s="1" t="n">
        <v>14906</v>
      </c>
      <c r="B4907" s="14" t="n">
        <v>49467</v>
      </c>
      <c r="C4907" s="1" t="n">
        <v>1319</v>
      </c>
      <c r="D4907" s="1" t="s">
        <v>30</v>
      </c>
      <c r="E4907" s="1" t="s">
        <v>32</v>
      </c>
      <c r="F4907" s="1" t="n">
        <v>3</v>
      </c>
      <c r="G4907" s="15" t="n">
        <v>410.91</v>
      </c>
      <c r="H4907" s="16" t="n">
        <v>0.21</v>
      </c>
      <c r="I4907" s="1" t="s">
        <v>31</v>
      </c>
      <c r="J4907" s="1" t="n">
        <v>9</v>
      </c>
      <c r="K4907" s="1" t="n">
        <v>2.3</v>
      </c>
      <c r="L4907" s="15" t="n">
        <v>973.86</v>
      </c>
      <c r="M4907" s="15" t="n">
        <f aca="false">F4907*G4907</f>
        <v>1232.73</v>
      </c>
      <c r="N4907" s="15" t="n">
        <f aca="false">M4907-L4907</f>
        <v>258.87</v>
      </c>
      <c r="O4907" s="1" t="n">
        <f aca="false">YEAR(B4907)</f>
        <v>2035</v>
      </c>
      <c r="P4907" s="1" t="n">
        <f aca="false">MONTH(B4907)</f>
        <v>6</v>
      </c>
      <c r="Q4907" s="1" t="str">
        <f aca="false">TEXT(B4907,"mmm")</f>
        <v>Jun</v>
      </c>
      <c r="R4907" s="1" t="str">
        <f aca="false">"Q"&amp;ROUNDUP(MONTH(B4907)/3,0)</f>
        <v>Q2</v>
      </c>
    </row>
    <row r="4908" customFormat="false" ht="15" hidden="false" customHeight="true" outlineLevel="0" collapsed="false">
      <c r="A4908" s="1" t="n">
        <v>14907</v>
      </c>
      <c r="B4908" s="14" t="n">
        <v>49468</v>
      </c>
      <c r="C4908" s="1" t="n">
        <v>1125</v>
      </c>
      <c r="D4908" s="1" t="s">
        <v>30</v>
      </c>
      <c r="E4908" s="1" t="s">
        <v>35</v>
      </c>
      <c r="F4908" s="1" t="n">
        <v>3</v>
      </c>
      <c r="G4908" s="15" t="n">
        <v>266.94</v>
      </c>
      <c r="H4908" s="16" t="n">
        <v>0.26</v>
      </c>
      <c r="I4908" s="1" t="s">
        <v>29</v>
      </c>
      <c r="J4908" s="1" t="n">
        <v>8</v>
      </c>
      <c r="K4908" s="1" t="n">
        <v>2.2</v>
      </c>
      <c r="L4908" s="15" t="n">
        <v>592.61</v>
      </c>
      <c r="M4908" s="15" t="n">
        <f aca="false">F4908*G4908</f>
        <v>800.82</v>
      </c>
      <c r="N4908" s="15" t="n">
        <f aca="false">M4908-L4908</f>
        <v>208.21</v>
      </c>
      <c r="O4908" s="1" t="n">
        <f aca="false">YEAR(B4908)</f>
        <v>2035</v>
      </c>
      <c r="P4908" s="1" t="n">
        <f aca="false">MONTH(B4908)</f>
        <v>6</v>
      </c>
      <c r="Q4908" s="1" t="str">
        <f aca="false">TEXT(B4908,"mmm")</f>
        <v>Jun</v>
      </c>
      <c r="R4908" s="1" t="str">
        <f aca="false">"Q"&amp;ROUNDUP(MONTH(B4908)/3,0)</f>
        <v>Q2</v>
      </c>
    </row>
    <row r="4909" customFormat="false" ht="15" hidden="false" customHeight="true" outlineLevel="0" collapsed="false">
      <c r="A4909" s="1" t="n">
        <v>14908</v>
      </c>
      <c r="B4909" s="14" t="n">
        <v>49469</v>
      </c>
      <c r="C4909" s="1" t="n">
        <v>1276</v>
      </c>
      <c r="D4909" s="1" t="s">
        <v>37</v>
      </c>
      <c r="E4909" s="1" t="s">
        <v>35</v>
      </c>
      <c r="F4909" s="1" t="n">
        <v>4</v>
      </c>
      <c r="G4909" s="15" t="n">
        <v>82.09</v>
      </c>
      <c r="H4909" s="16" t="n">
        <v>0.05</v>
      </c>
      <c r="I4909" s="1" t="s">
        <v>33</v>
      </c>
      <c r="J4909" s="1" t="n">
        <v>4</v>
      </c>
      <c r="K4909" s="1" t="n">
        <v>1.3</v>
      </c>
      <c r="L4909" s="15" t="n">
        <v>311.94</v>
      </c>
      <c r="M4909" s="15" t="n">
        <f aca="false">F4909*G4909</f>
        <v>328.36</v>
      </c>
      <c r="N4909" s="15" t="n">
        <f aca="false">M4909-L4909</f>
        <v>16.42</v>
      </c>
      <c r="O4909" s="1" t="n">
        <f aca="false">YEAR(B4909)</f>
        <v>2035</v>
      </c>
      <c r="P4909" s="1" t="n">
        <f aca="false">MONTH(B4909)</f>
        <v>6</v>
      </c>
      <c r="Q4909" s="1" t="str">
        <f aca="false">TEXT(B4909,"mmm")</f>
        <v>Jun</v>
      </c>
      <c r="R4909" s="1" t="str">
        <f aca="false">"Q"&amp;ROUNDUP(MONTH(B4909)/3,0)</f>
        <v>Q2</v>
      </c>
    </row>
    <row r="4910" customFormat="false" ht="15" hidden="false" customHeight="true" outlineLevel="0" collapsed="false">
      <c r="A4910" s="1" t="n">
        <v>14909</v>
      </c>
      <c r="B4910" s="14" t="n">
        <v>49470</v>
      </c>
      <c r="C4910" s="1" t="n">
        <v>1975</v>
      </c>
      <c r="D4910" s="1" t="s">
        <v>34</v>
      </c>
      <c r="E4910" s="1" t="s">
        <v>35</v>
      </c>
      <c r="F4910" s="1" t="n">
        <v>5</v>
      </c>
      <c r="G4910" s="15" t="n">
        <v>432.84</v>
      </c>
      <c r="H4910" s="16" t="n">
        <v>0.33</v>
      </c>
      <c r="I4910" s="1" t="s">
        <v>29</v>
      </c>
      <c r="J4910" s="1" t="n">
        <v>6</v>
      </c>
      <c r="K4910" s="1" t="n">
        <v>1.6</v>
      </c>
      <c r="L4910" s="15" t="n">
        <v>1450.01</v>
      </c>
      <c r="M4910" s="15" t="n">
        <f aca="false">F4910*G4910</f>
        <v>2164.2</v>
      </c>
      <c r="N4910" s="15" t="n">
        <f aca="false">M4910-L4910</f>
        <v>714.19</v>
      </c>
      <c r="O4910" s="1" t="n">
        <f aca="false">YEAR(B4910)</f>
        <v>2035</v>
      </c>
      <c r="P4910" s="1" t="n">
        <f aca="false">MONTH(B4910)</f>
        <v>6</v>
      </c>
      <c r="Q4910" s="1" t="str">
        <f aca="false">TEXT(B4910,"mmm")</f>
        <v>Jun</v>
      </c>
      <c r="R4910" s="1" t="str">
        <f aca="false">"Q"&amp;ROUNDUP(MONTH(B4910)/3,0)</f>
        <v>Q2</v>
      </c>
    </row>
    <row r="4911" customFormat="false" ht="15" hidden="false" customHeight="true" outlineLevel="0" collapsed="false">
      <c r="A4911" s="1" t="n">
        <v>14910</v>
      </c>
      <c r="B4911" s="14" t="n">
        <v>49471</v>
      </c>
      <c r="C4911" s="1" t="n">
        <v>1203</v>
      </c>
      <c r="D4911" s="1" t="s">
        <v>27</v>
      </c>
      <c r="E4911" s="1" t="s">
        <v>32</v>
      </c>
      <c r="F4911" s="1" t="n">
        <v>5</v>
      </c>
      <c r="G4911" s="15" t="n">
        <v>142.39</v>
      </c>
      <c r="H4911" s="16" t="n">
        <v>0.22</v>
      </c>
      <c r="I4911" s="1" t="s">
        <v>33</v>
      </c>
      <c r="J4911" s="1" t="n">
        <v>7</v>
      </c>
      <c r="K4911" s="1" t="n">
        <v>4.4</v>
      </c>
      <c r="L4911" s="15" t="n">
        <v>555.32</v>
      </c>
      <c r="M4911" s="15" t="n">
        <f aca="false">F4911*G4911</f>
        <v>711.95</v>
      </c>
      <c r="N4911" s="15" t="n">
        <f aca="false">M4911-L4911</f>
        <v>156.63</v>
      </c>
      <c r="O4911" s="1" t="n">
        <f aca="false">YEAR(B4911)</f>
        <v>2035</v>
      </c>
      <c r="P4911" s="1" t="n">
        <f aca="false">MONTH(B4911)</f>
        <v>6</v>
      </c>
      <c r="Q4911" s="1" t="str">
        <f aca="false">TEXT(B4911,"mmm")</f>
        <v>Jun</v>
      </c>
      <c r="R4911" s="1" t="str">
        <f aca="false">"Q"&amp;ROUNDUP(MONTH(B4911)/3,0)</f>
        <v>Q2</v>
      </c>
    </row>
    <row r="4912" customFormat="false" ht="15" hidden="false" customHeight="true" outlineLevel="0" collapsed="false">
      <c r="A4912" s="1" t="n">
        <v>14911</v>
      </c>
      <c r="B4912" s="14" t="n">
        <v>49472</v>
      </c>
      <c r="C4912" s="1" t="n">
        <v>1193</v>
      </c>
      <c r="D4912" s="1" t="s">
        <v>30</v>
      </c>
      <c r="E4912" s="1" t="s">
        <v>28</v>
      </c>
      <c r="F4912" s="1" t="n">
        <v>3</v>
      </c>
      <c r="G4912" s="15" t="n">
        <v>118.32</v>
      </c>
      <c r="H4912" s="16" t="n">
        <v>0.3</v>
      </c>
      <c r="I4912" s="1" t="s">
        <v>31</v>
      </c>
      <c r="J4912" s="1" t="n">
        <v>1</v>
      </c>
      <c r="K4912" s="1" t="n">
        <v>3.4</v>
      </c>
      <c r="L4912" s="15" t="n">
        <v>248.47</v>
      </c>
      <c r="M4912" s="15" t="n">
        <f aca="false">F4912*G4912</f>
        <v>354.96</v>
      </c>
      <c r="N4912" s="15" t="n">
        <f aca="false">M4912-L4912</f>
        <v>106.49</v>
      </c>
      <c r="O4912" s="1" t="n">
        <f aca="false">YEAR(B4912)</f>
        <v>2035</v>
      </c>
      <c r="P4912" s="1" t="n">
        <f aca="false">MONTH(B4912)</f>
        <v>6</v>
      </c>
      <c r="Q4912" s="1" t="str">
        <f aca="false">TEXT(B4912,"mmm")</f>
        <v>Jun</v>
      </c>
      <c r="R4912" s="1" t="str">
        <f aca="false">"Q"&amp;ROUNDUP(MONTH(B4912)/3,0)</f>
        <v>Q2</v>
      </c>
    </row>
    <row r="4913" customFormat="false" ht="15" hidden="false" customHeight="true" outlineLevel="0" collapsed="false">
      <c r="A4913" s="1" t="n">
        <v>14912</v>
      </c>
      <c r="B4913" s="14" t="n">
        <v>49473</v>
      </c>
      <c r="C4913" s="1" t="n">
        <v>1680</v>
      </c>
      <c r="D4913" s="1" t="s">
        <v>34</v>
      </c>
      <c r="E4913" s="1" t="s">
        <v>32</v>
      </c>
      <c r="F4913" s="1" t="n">
        <v>5</v>
      </c>
      <c r="G4913" s="15" t="n">
        <v>224.62</v>
      </c>
      <c r="H4913" s="16" t="n">
        <v>0.09</v>
      </c>
      <c r="I4913" s="1" t="s">
        <v>31</v>
      </c>
      <c r="J4913" s="1" t="n">
        <v>1</v>
      </c>
      <c r="K4913" s="1" t="n">
        <v>2.4</v>
      </c>
      <c r="L4913" s="15" t="n">
        <v>1022.02</v>
      </c>
      <c r="M4913" s="15" t="n">
        <f aca="false">F4913*G4913</f>
        <v>1123.1</v>
      </c>
      <c r="N4913" s="15" t="n">
        <f aca="false">M4913-L4913</f>
        <v>101.08</v>
      </c>
      <c r="O4913" s="1" t="n">
        <f aca="false">YEAR(B4913)</f>
        <v>2035</v>
      </c>
      <c r="P4913" s="1" t="n">
        <f aca="false">MONTH(B4913)</f>
        <v>6</v>
      </c>
      <c r="Q4913" s="1" t="str">
        <f aca="false">TEXT(B4913,"mmm")</f>
        <v>Jun</v>
      </c>
      <c r="R4913" s="1" t="str">
        <f aca="false">"Q"&amp;ROUNDUP(MONTH(B4913)/3,0)</f>
        <v>Q2</v>
      </c>
    </row>
    <row r="4914" customFormat="false" ht="15" hidden="false" customHeight="true" outlineLevel="0" collapsed="false">
      <c r="A4914" s="1" t="n">
        <v>14913</v>
      </c>
      <c r="B4914" s="14" t="n">
        <v>49474</v>
      </c>
      <c r="C4914" s="1" t="n">
        <v>1663</v>
      </c>
      <c r="D4914" s="1" t="s">
        <v>34</v>
      </c>
      <c r="E4914" s="1" t="s">
        <v>32</v>
      </c>
      <c r="F4914" s="1" t="n">
        <v>3</v>
      </c>
      <c r="G4914" s="15" t="n">
        <v>397.17</v>
      </c>
      <c r="H4914" s="16" t="n">
        <v>0.26</v>
      </c>
      <c r="I4914" s="1" t="s">
        <v>31</v>
      </c>
      <c r="J4914" s="1" t="n">
        <v>4</v>
      </c>
      <c r="K4914" s="1" t="n">
        <v>3.1</v>
      </c>
      <c r="L4914" s="15" t="n">
        <v>881.72</v>
      </c>
      <c r="M4914" s="15" t="n">
        <f aca="false">F4914*G4914</f>
        <v>1191.51</v>
      </c>
      <c r="N4914" s="15" t="n">
        <f aca="false">M4914-L4914</f>
        <v>309.79</v>
      </c>
      <c r="O4914" s="1" t="n">
        <f aca="false">YEAR(B4914)</f>
        <v>2035</v>
      </c>
      <c r="P4914" s="1" t="n">
        <f aca="false">MONTH(B4914)</f>
        <v>6</v>
      </c>
      <c r="Q4914" s="1" t="str">
        <f aca="false">TEXT(B4914,"mmm")</f>
        <v>Jun</v>
      </c>
      <c r="R4914" s="1" t="str">
        <f aca="false">"Q"&amp;ROUNDUP(MONTH(B4914)/3,0)</f>
        <v>Q2</v>
      </c>
    </row>
    <row r="4915" customFormat="false" ht="15" hidden="false" customHeight="true" outlineLevel="0" collapsed="false">
      <c r="A4915" s="1" t="n">
        <v>14914</v>
      </c>
      <c r="B4915" s="14" t="n">
        <v>49475</v>
      </c>
      <c r="C4915" s="1" t="n">
        <v>1546</v>
      </c>
      <c r="D4915" s="1" t="s">
        <v>30</v>
      </c>
      <c r="E4915" s="1" t="s">
        <v>35</v>
      </c>
      <c r="F4915" s="1" t="n">
        <v>7</v>
      </c>
      <c r="G4915" s="15" t="n">
        <v>151.89</v>
      </c>
      <c r="H4915" s="16" t="n">
        <v>0.27</v>
      </c>
      <c r="I4915" s="1" t="s">
        <v>31</v>
      </c>
      <c r="J4915" s="1" t="n">
        <v>3</v>
      </c>
      <c r="K4915" s="1" t="n">
        <v>2</v>
      </c>
      <c r="L4915" s="15" t="n">
        <v>776.16</v>
      </c>
      <c r="M4915" s="15" t="n">
        <f aca="false">F4915*G4915</f>
        <v>1063.23</v>
      </c>
      <c r="N4915" s="15" t="n">
        <f aca="false">M4915-L4915</f>
        <v>287.07</v>
      </c>
      <c r="O4915" s="1" t="n">
        <f aca="false">YEAR(B4915)</f>
        <v>2035</v>
      </c>
      <c r="P4915" s="1" t="n">
        <f aca="false">MONTH(B4915)</f>
        <v>6</v>
      </c>
      <c r="Q4915" s="1" t="str">
        <f aca="false">TEXT(B4915,"mmm")</f>
        <v>Jun</v>
      </c>
      <c r="R4915" s="1" t="str">
        <f aca="false">"Q"&amp;ROUNDUP(MONTH(B4915)/3,0)</f>
        <v>Q2</v>
      </c>
    </row>
    <row r="4916" customFormat="false" ht="15" hidden="false" customHeight="true" outlineLevel="0" collapsed="false">
      <c r="A4916" s="1" t="n">
        <v>14915</v>
      </c>
      <c r="B4916" s="14" t="n">
        <v>49476</v>
      </c>
      <c r="C4916" s="1" t="n">
        <v>1695</v>
      </c>
      <c r="D4916" s="1" t="s">
        <v>30</v>
      </c>
      <c r="E4916" s="1" t="s">
        <v>36</v>
      </c>
      <c r="F4916" s="1" t="n">
        <v>7</v>
      </c>
      <c r="G4916" s="15" t="n">
        <v>122.44</v>
      </c>
      <c r="H4916" s="16" t="n">
        <v>0.14</v>
      </c>
      <c r="I4916" s="1" t="s">
        <v>31</v>
      </c>
      <c r="J4916" s="1" t="n">
        <v>10</v>
      </c>
      <c r="K4916" s="1" t="n">
        <v>3.3</v>
      </c>
      <c r="L4916" s="15" t="n">
        <v>737.09</v>
      </c>
      <c r="M4916" s="15" t="n">
        <f aca="false">F4916*G4916</f>
        <v>857.08</v>
      </c>
      <c r="N4916" s="15" t="n">
        <f aca="false">M4916-L4916</f>
        <v>119.99</v>
      </c>
      <c r="O4916" s="1" t="n">
        <f aca="false">YEAR(B4916)</f>
        <v>2035</v>
      </c>
      <c r="P4916" s="1" t="n">
        <f aca="false">MONTH(B4916)</f>
        <v>6</v>
      </c>
      <c r="Q4916" s="1" t="str">
        <f aca="false">TEXT(B4916,"mmm")</f>
        <v>Jun</v>
      </c>
      <c r="R4916" s="1" t="str">
        <f aca="false">"Q"&amp;ROUNDUP(MONTH(B4916)/3,0)</f>
        <v>Q2</v>
      </c>
    </row>
    <row r="4917" customFormat="false" ht="15" hidden="false" customHeight="true" outlineLevel="0" collapsed="false">
      <c r="A4917" s="1" t="n">
        <v>14916</v>
      </c>
      <c r="B4917" s="14" t="n">
        <v>49477</v>
      </c>
      <c r="C4917" s="1" t="n">
        <v>1285</v>
      </c>
      <c r="D4917" s="1" t="s">
        <v>30</v>
      </c>
      <c r="E4917" s="1" t="s">
        <v>36</v>
      </c>
      <c r="F4917" s="1" t="n">
        <v>3</v>
      </c>
      <c r="G4917" s="15" t="n">
        <v>20.82</v>
      </c>
      <c r="H4917" s="16" t="n">
        <v>0.13</v>
      </c>
      <c r="I4917" s="1" t="s">
        <v>33</v>
      </c>
      <c r="J4917" s="1" t="n">
        <v>4</v>
      </c>
      <c r="K4917" s="1" t="n">
        <v>1.3</v>
      </c>
      <c r="L4917" s="15" t="n">
        <v>54.34</v>
      </c>
      <c r="M4917" s="15" t="n">
        <f aca="false">F4917*G4917</f>
        <v>62.46</v>
      </c>
      <c r="N4917" s="15" t="n">
        <f aca="false">M4917-L4917</f>
        <v>8.12</v>
      </c>
      <c r="O4917" s="1" t="n">
        <f aca="false">YEAR(B4917)</f>
        <v>2035</v>
      </c>
      <c r="P4917" s="1" t="n">
        <f aca="false">MONTH(B4917)</f>
        <v>6</v>
      </c>
      <c r="Q4917" s="1" t="str">
        <f aca="false">TEXT(B4917,"mmm")</f>
        <v>Jun</v>
      </c>
      <c r="R4917" s="1" t="str">
        <f aca="false">"Q"&amp;ROUNDUP(MONTH(B4917)/3,0)</f>
        <v>Q2</v>
      </c>
    </row>
    <row r="4918" customFormat="false" ht="15" hidden="false" customHeight="true" outlineLevel="0" collapsed="false">
      <c r="A4918" s="1" t="n">
        <v>14917</v>
      </c>
      <c r="B4918" s="14" t="n">
        <v>49478</v>
      </c>
      <c r="C4918" s="1" t="n">
        <v>1056</v>
      </c>
      <c r="D4918" s="1" t="s">
        <v>37</v>
      </c>
      <c r="E4918" s="1" t="s">
        <v>32</v>
      </c>
      <c r="F4918" s="1" t="n">
        <v>6</v>
      </c>
      <c r="G4918" s="15" t="n">
        <v>290.91</v>
      </c>
      <c r="H4918" s="16" t="n">
        <v>0.23</v>
      </c>
      <c r="I4918" s="1" t="s">
        <v>29</v>
      </c>
      <c r="J4918" s="1" t="n">
        <v>9</v>
      </c>
      <c r="K4918" s="1" t="n">
        <v>4.6</v>
      </c>
      <c r="L4918" s="15" t="n">
        <v>1344</v>
      </c>
      <c r="M4918" s="15" t="n">
        <f aca="false">F4918*G4918</f>
        <v>1745.46</v>
      </c>
      <c r="N4918" s="15" t="n">
        <f aca="false">M4918-L4918</f>
        <v>401.46</v>
      </c>
      <c r="O4918" s="1" t="n">
        <f aca="false">YEAR(B4918)</f>
        <v>2035</v>
      </c>
      <c r="P4918" s="1" t="n">
        <f aca="false">MONTH(B4918)</f>
        <v>6</v>
      </c>
      <c r="Q4918" s="1" t="str">
        <f aca="false">TEXT(B4918,"mmm")</f>
        <v>Jun</v>
      </c>
      <c r="R4918" s="1" t="str">
        <f aca="false">"Q"&amp;ROUNDUP(MONTH(B4918)/3,0)</f>
        <v>Q2</v>
      </c>
    </row>
    <row r="4919" customFormat="false" ht="15" hidden="false" customHeight="true" outlineLevel="0" collapsed="false">
      <c r="A4919" s="1" t="n">
        <v>14918</v>
      </c>
      <c r="B4919" s="14" t="n">
        <v>49479</v>
      </c>
      <c r="C4919" s="1" t="n">
        <v>1733</v>
      </c>
      <c r="D4919" s="1" t="s">
        <v>30</v>
      </c>
      <c r="E4919" s="1" t="s">
        <v>35</v>
      </c>
      <c r="F4919" s="1" t="n">
        <v>3</v>
      </c>
      <c r="G4919" s="15" t="n">
        <v>265.76</v>
      </c>
      <c r="H4919" s="16" t="n">
        <v>0.03</v>
      </c>
      <c r="I4919" s="1" t="s">
        <v>29</v>
      </c>
      <c r="J4919" s="1" t="n">
        <v>2</v>
      </c>
      <c r="K4919" s="1" t="n">
        <v>2</v>
      </c>
      <c r="L4919" s="15" t="n">
        <v>773.36</v>
      </c>
      <c r="M4919" s="15" t="n">
        <f aca="false">F4919*G4919</f>
        <v>797.28</v>
      </c>
      <c r="N4919" s="15" t="n">
        <f aca="false">M4919-L4919</f>
        <v>23.92</v>
      </c>
      <c r="O4919" s="1" t="n">
        <f aca="false">YEAR(B4919)</f>
        <v>2035</v>
      </c>
      <c r="P4919" s="1" t="n">
        <f aca="false">MONTH(B4919)</f>
        <v>6</v>
      </c>
      <c r="Q4919" s="1" t="str">
        <f aca="false">TEXT(B4919,"mmm")</f>
        <v>Jun</v>
      </c>
      <c r="R4919" s="1" t="str">
        <f aca="false">"Q"&amp;ROUNDUP(MONTH(B4919)/3,0)</f>
        <v>Q2</v>
      </c>
    </row>
    <row r="4920" customFormat="false" ht="15" hidden="false" customHeight="true" outlineLevel="0" collapsed="false">
      <c r="A4920" s="1" t="n">
        <v>14919</v>
      </c>
      <c r="B4920" s="14" t="n">
        <v>49480</v>
      </c>
      <c r="C4920" s="1" t="n">
        <v>1302</v>
      </c>
      <c r="D4920" s="1" t="s">
        <v>27</v>
      </c>
      <c r="E4920" s="1" t="s">
        <v>32</v>
      </c>
      <c r="F4920" s="1" t="n">
        <v>1</v>
      </c>
      <c r="G4920" s="15" t="n">
        <v>151.81</v>
      </c>
      <c r="H4920" s="16" t="n">
        <v>0.26</v>
      </c>
      <c r="I4920" s="1" t="s">
        <v>33</v>
      </c>
      <c r="J4920" s="1" t="n">
        <v>4</v>
      </c>
      <c r="K4920" s="1" t="n">
        <v>4.3</v>
      </c>
      <c r="L4920" s="15" t="n">
        <v>112.34</v>
      </c>
      <c r="M4920" s="15" t="n">
        <f aca="false">F4920*G4920</f>
        <v>151.81</v>
      </c>
      <c r="N4920" s="15" t="n">
        <f aca="false">M4920-L4920</f>
        <v>39.47</v>
      </c>
      <c r="O4920" s="1" t="n">
        <f aca="false">YEAR(B4920)</f>
        <v>2035</v>
      </c>
      <c r="P4920" s="1" t="n">
        <f aca="false">MONTH(B4920)</f>
        <v>6</v>
      </c>
      <c r="Q4920" s="1" t="str">
        <f aca="false">TEXT(B4920,"mmm")</f>
        <v>Jun</v>
      </c>
      <c r="R4920" s="1" t="str">
        <f aca="false">"Q"&amp;ROUNDUP(MONTH(B4920)/3,0)</f>
        <v>Q2</v>
      </c>
    </row>
    <row r="4921" customFormat="false" ht="15" hidden="false" customHeight="true" outlineLevel="0" collapsed="false">
      <c r="A4921" s="1" t="n">
        <v>14920</v>
      </c>
      <c r="B4921" s="14" t="n">
        <v>49481</v>
      </c>
      <c r="C4921" s="1" t="n">
        <v>1162</v>
      </c>
      <c r="D4921" s="1" t="s">
        <v>30</v>
      </c>
      <c r="E4921" s="1" t="s">
        <v>32</v>
      </c>
      <c r="F4921" s="1" t="n">
        <v>1</v>
      </c>
      <c r="G4921" s="15" t="n">
        <v>46.39</v>
      </c>
      <c r="H4921" s="16" t="n">
        <v>0.02</v>
      </c>
      <c r="I4921" s="1" t="s">
        <v>31</v>
      </c>
      <c r="J4921" s="1" t="n">
        <v>7</v>
      </c>
      <c r="K4921" s="1" t="n">
        <v>3.6</v>
      </c>
      <c r="L4921" s="15" t="n">
        <v>45.46</v>
      </c>
      <c r="M4921" s="15" t="n">
        <f aca="false">F4921*G4921</f>
        <v>46.39</v>
      </c>
      <c r="N4921" s="15" t="n">
        <f aca="false">M4921-L4921</f>
        <v>0.93</v>
      </c>
      <c r="O4921" s="1" t="n">
        <f aca="false">YEAR(B4921)</f>
        <v>2035</v>
      </c>
      <c r="P4921" s="1" t="n">
        <f aca="false">MONTH(B4921)</f>
        <v>6</v>
      </c>
      <c r="Q4921" s="1" t="str">
        <f aca="false">TEXT(B4921,"mmm")</f>
        <v>Jun</v>
      </c>
      <c r="R4921" s="1" t="str">
        <f aca="false">"Q"&amp;ROUNDUP(MONTH(B4921)/3,0)</f>
        <v>Q2</v>
      </c>
    </row>
    <row r="4922" customFormat="false" ht="15" hidden="false" customHeight="true" outlineLevel="0" collapsed="false">
      <c r="A4922" s="1" t="n">
        <v>14921</v>
      </c>
      <c r="B4922" s="14" t="n">
        <v>49482</v>
      </c>
      <c r="C4922" s="1" t="n">
        <v>1018</v>
      </c>
      <c r="D4922" s="1" t="s">
        <v>37</v>
      </c>
      <c r="E4922" s="1" t="s">
        <v>28</v>
      </c>
      <c r="F4922" s="1" t="n">
        <v>1</v>
      </c>
      <c r="G4922" s="15" t="n">
        <v>266.11</v>
      </c>
      <c r="H4922" s="16" t="n">
        <v>0.07</v>
      </c>
      <c r="I4922" s="1" t="s">
        <v>31</v>
      </c>
      <c r="J4922" s="1" t="n">
        <v>2</v>
      </c>
      <c r="K4922" s="1" t="n">
        <v>3.1</v>
      </c>
      <c r="L4922" s="15" t="n">
        <v>247.48</v>
      </c>
      <c r="M4922" s="15" t="n">
        <f aca="false">F4922*G4922</f>
        <v>266.11</v>
      </c>
      <c r="N4922" s="15" t="n">
        <f aca="false">M4922-L4922</f>
        <v>18.63</v>
      </c>
      <c r="O4922" s="1" t="n">
        <f aca="false">YEAR(B4922)</f>
        <v>2035</v>
      </c>
      <c r="P4922" s="1" t="n">
        <f aca="false">MONTH(B4922)</f>
        <v>6</v>
      </c>
      <c r="Q4922" s="1" t="str">
        <f aca="false">TEXT(B4922,"mmm")</f>
        <v>Jun</v>
      </c>
      <c r="R4922" s="1" t="str">
        <f aca="false">"Q"&amp;ROUNDUP(MONTH(B4922)/3,0)</f>
        <v>Q2</v>
      </c>
    </row>
    <row r="4923" customFormat="false" ht="15" hidden="false" customHeight="true" outlineLevel="0" collapsed="false">
      <c r="A4923" s="1" t="n">
        <v>14922</v>
      </c>
      <c r="B4923" s="14" t="n">
        <v>49483</v>
      </c>
      <c r="C4923" s="1" t="n">
        <v>1369</v>
      </c>
      <c r="D4923" s="1" t="s">
        <v>34</v>
      </c>
      <c r="E4923" s="1" t="s">
        <v>35</v>
      </c>
      <c r="F4923" s="1" t="n">
        <v>1</v>
      </c>
      <c r="G4923" s="15" t="n">
        <v>476.1</v>
      </c>
      <c r="H4923" s="16" t="n">
        <v>0.23</v>
      </c>
      <c r="I4923" s="1" t="s">
        <v>33</v>
      </c>
      <c r="J4923" s="1" t="n">
        <v>8</v>
      </c>
      <c r="K4923" s="1" t="n">
        <v>4.7</v>
      </c>
      <c r="L4923" s="15" t="n">
        <v>366.6</v>
      </c>
      <c r="M4923" s="15" t="n">
        <f aca="false">F4923*G4923</f>
        <v>476.1</v>
      </c>
      <c r="N4923" s="15" t="n">
        <f aca="false">M4923-L4923</f>
        <v>109.5</v>
      </c>
      <c r="O4923" s="1" t="n">
        <f aca="false">YEAR(B4923)</f>
        <v>2035</v>
      </c>
      <c r="P4923" s="1" t="n">
        <f aca="false">MONTH(B4923)</f>
        <v>6</v>
      </c>
      <c r="Q4923" s="1" t="str">
        <f aca="false">TEXT(B4923,"mmm")</f>
        <v>Jun</v>
      </c>
      <c r="R4923" s="1" t="str">
        <f aca="false">"Q"&amp;ROUNDUP(MONTH(B4923)/3,0)</f>
        <v>Q2</v>
      </c>
    </row>
    <row r="4924" customFormat="false" ht="15" hidden="false" customHeight="true" outlineLevel="0" collapsed="false">
      <c r="A4924" s="1" t="n">
        <v>14923</v>
      </c>
      <c r="B4924" s="14" t="n">
        <v>49484</v>
      </c>
      <c r="C4924" s="1" t="n">
        <v>1263</v>
      </c>
      <c r="D4924" s="1" t="s">
        <v>30</v>
      </c>
      <c r="E4924" s="1" t="s">
        <v>36</v>
      </c>
      <c r="F4924" s="1" t="n">
        <v>2</v>
      </c>
      <c r="G4924" s="15" t="n">
        <v>433.44</v>
      </c>
      <c r="H4924" s="16" t="n">
        <v>0.03</v>
      </c>
      <c r="I4924" s="1" t="s">
        <v>31</v>
      </c>
      <c r="J4924" s="1" t="n">
        <v>10</v>
      </c>
      <c r="K4924" s="1" t="n">
        <v>1.6</v>
      </c>
      <c r="L4924" s="15" t="n">
        <v>840.87</v>
      </c>
      <c r="M4924" s="15" t="n">
        <f aca="false">F4924*G4924</f>
        <v>866.88</v>
      </c>
      <c r="N4924" s="15" t="n">
        <f aca="false">M4924-L4924</f>
        <v>26.01</v>
      </c>
      <c r="O4924" s="1" t="n">
        <f aca="false">YEAR(B4924)</f>
        <v>2035</v>
      </c>
      <c r="P4924" s="1" t="n">
        <f aca="false">MONTH(B4924)</f>
        <v>6</v>
      </c>
      <c r="Q4924" s="1" t="str">
        <f aca="false">TEXT(B4924,"mmm")</f>
        <v>Jun</v>
      </c>
      <c r="R4924" s="1" t="str">
        <f aca="false">"Q"&amp;ROUNDUP(MONTH(B4924)/3,0)</f>
        <v>Q2</v>
      </c>
    </row>
    <row r="4925" customFormat="false" ht="15" hidden="false" customHeight="true" outlineLevel="0" collapsed="false">
      <c r="A4925" s="1" t="n">
        <v>14924</v>
      </c>
      <c r="B4925" s="14" t="n">
        <v>49485</v>
      </c>
      <c r="C4925" s="1" t="n">
        <v>1793</v>
      </c>
      <c r="D4925" s="1" t="s">
        <v>34</v>
      </c>
      <c r="E4925" s="1" t="s">
        <v>36</v>
      </c>
      <c r="F4925" s="1" t="n">
        <v>4</v>
      </c>
      <c r="G4925" s="15" t="n">
        <v>518.57</v>
      </c>
      <c r="H4925" s="16" t="n">
        <v>0.34</v>
      </c>
      <c r="I4925" s="1" t="s">
        <v>29</v>
      </c>
      <c r="J4925" s="1" t="n">
        <v>4</v>
      </c>
      <c r="K4925" s="1" t="n">
        <v>1.5</v>
      </c>
      <c r="L4925" s="15" t="n">
        <v>1369.02</v>
      </c>
      <c r="M4925" s="15" t="n">
        <f aca="false">F4925*G4925</f>
        <v>2074.28</v>
      </c>
      <c r="N4925" s="15" t="n">
        <f aca="false">M4925-L4925</f>
        <v>705.26</v>
      </c>
      <c r="O4925" s="1" t="n">
        <f aca="false">YEAR(B4925)</f>
        <v>2035</v>
      </c>
      <c r="P4925" s="1" t="n">
        <f aca="false">MONTH(B4925)</f>
        <v>6</v>
      </c>
      <c r="Q4925" s="1" t="str">
        <f aca="false">TEXT(B4925,"mmm")</f>
        <v>Jun</v>
      </c>
      <c r="R4925" s="1" t="str">
        <f aca="false">"Q"&amp;ROUNDUP(MONTH(B4925)/3,0)</f>
        <v>Q2</v>
      </c>
    </row>
    <row r="4926" customFormat="false" ht="15" hidden="false" customHeight="true" outlineLevel="0" collapsed="false">
      <c r="A4926" s="1" t="n">
        <v>14925</v>
      </c>
      <c r="B4926" s="14" t="n">
        <v>49486</v>
      </c>
      <c r="C4926" s="1" t="n">
        <v>1112</v>
      </c>
      <c r="D4926" s="1" t="s">
        <v>30</v>
      </c>
      <c r="E4926" s="1" t="s">
        <v>36</v>
      </c>
      <c r="F4926" s="1" t="n">
        <v>4</v>
      </c>
      <c r="G4926" s="15" t="n">
        <v>20.61</v>
      </c>
      <c r="H4926" s="16" t="n">
        <v>0.3</v>
      </c>
      <c r="I4926" s="1" t="s">
        <v>29</v>
      </c>
      <c r="J4926" s="1" t="n">
        <v>9</v>
      </c>
      <c r="K4926" s="1" t="n">
        <v>2.3</v>
      </c>
      <c r="L4926" s="15" t="n">
        <v>57.71</v>
      </c>
      <c r="M4926" s="15" t="n">
        <f aca="false">F4926*G4926</f>
        <v>82.44</v>
      </c>
      <c r="N4926" s="15" t="n">
        <f aca="false">M4926-L4926</f>
        <v>24.73</v>
      </c>
      <c r="O4926" s="1" t="n">
        <f aca="false">YEAR(B4926)</f>
        <v>2035</v>
      </c>
      <c r="P4926" s="1" t="n">
        <f aca="false">MONTH(B4926)</f>
        <v>6</v>
      </c>
      <c r="Q4926" s="1" t="str">
        <f aca="false">TEXT(B4926,"mmm")</f>
        <v>Jun</v>
      </c>
      <c r="R4926" s="1" t="str">
        <f aca="false">"Q"&amp;ROUNDUP(MONTH(B4926)/3,0)</f>
        <v>Q2</v>
      </c>
    </row>
    <row r="4927" customFormat="false" ht="15" hidden="false" customHeight="true" outlineLevel="0" collapsed="false">
      <c r="A4927" s="1" t="n">
        <v>14926</v>
      </c>
      <c r="B4927" s="14" t="n">
        <v>49487</v>
      </c>
      <c r="C4927" s="1" t="n">
        <v>1487</v>
      </c>
      <c r="D4927" s="1" t="s">
        <v>27</v>
      </c>
      <c r="E4927" s="1" t="s">
        <v>32</v>
      </c>
      <c r="F4927" s="1" t="n">
        <v>3</v>
      </c>
      <c r="G4927" s="15" t="n">
        <v>580.36</v>
      </c>
      <c r="H4927" s="16" t="n">
        <v>0.22</v>
      </c>
      <c r="I4927" s="1" t="s">
        <v>31</v>
      </c>
      <c r="J4927" s="1" t="n">
        <v>1</v>
      </c>
      <c r="K4927" s="1" t="n">
        <v>4.3</v>
      </c>
      <c r="L4927" s="15" t="n">
        <v>1358.04</v>
      </c>
      <c r="M4927" s="15" t="n">
        <f aca="false">F4927*G4927</f>
        <v>1741.08</v>
      </c>
      <c r="N4927" s="15" t="n">
        <f aca="false">M4927-L4927</f>
        <v>383.04</v>
      </c>
      <c r="O4927" s="1" t="n">
        <f aca="false">YEAR(B4927)</f>
        <v>2035</v>
      </c>
      <c r="P4927" s="1" t="n">
        <f aca="false">MONTH(B4927)</f>
        <v>6</v>
      </c>
      <c r="Q4927" s="1" t="str">
        <f aca="false">TEXT(B4927,"mmm")</f>
        <v>Jun</v>
      </c>
      <c r="R4927" s="1" t="str">
        <f aca="false">"Q"&amp;ROUNDUP(MONTH(B4927)/3,0)</f>
        <v>Q2</v>
      </c>
    </row>
    <row r="4928" customFormat="false" ht="15" hidden="false" customHeight="true" outlineLevel="0" collapsed="false">
      <c r="A4928" s="1" t="n">
        <v>14927</v>
      </c>
      <c r="B4928" s="14" t="n">
        <v>49488</v>
      </c>
      <c r="C4928" s="1" t="n">
        <v>1326</v>
      </c>
      <c r="D4928" s="1" t="s">
        <v>34</v>
      </c>
      <c r="E4928" s="1" t="s">
        <v>35</v>
      </c>
      <c r="F4928" s="1" t="n">
        <v>7</v>
      </c>
      <c r="G4928" s="15" t="n">
        <v>214.73</v>
      </c>
      <c r="H4928" s="16" t="n">
        <v>0.29</v>
      </c>
      <c r="I4928" s="1" t="s">
        <v>33</v>
      </c>
      <c r="J4928" s="1" t="n">
        <v>7</v>
      </c>
      <c r="K4928" s="1" t="n">
        <v>1.1</v>
      </c>
      <c r="L4928" s="15" t="n">
        <v>1067.21</v>
      </c>
      <c r="M4928" s="15" t="n">
        <f aca="false">F4928*G4928</f>
        <v>1503.11</v>
      </c>
      <c r="N4928" s="15" t="n">
        <f aca="false">M4928-L4928</f>
        <v>435.9</v>
      </c>
      <c r="O4928" s="1" t="n">
        <f aca="false">YEAR(B4928)</f>
        <v>2035</v>
      </c>
      <c r="P4928" s="1" t="n">
        <f aca="false">MONTH(B4928)</f>
        <v>6</v>
      </c>
      <c r="Q4928" s="1" t="str">
        <f aca="false">TEXT(B4928,"mmm")</f>
        <v>Jun</v>
      </c>
      <c r="R4928" s="1" t="str">
        <f aca="false">"Q"&amp;ROUNDUP(MONTH(B4928)/3,0)</f>
        <v>Q2</v>
      </c>
    </row>
    <row r="4929" customFormat="false" ht="15" hidden="false" customHeight="true" outlineLevel="0" collapsed="false">
      <c r="A4929" s="1" t="n">
        <v>14928</v>
      </c>
      <c r="B4929" s="14" t="n">
        <v>49489</v>
      </c>
      <c r="C4929" s="1" t="n">
        <v>1541</v>
      </c>
      <c r="D4929" s="1" t="s">
        <v>34</v>
      </c>
      <c r="E4929" s="1" t="s">
        <v>28</v>
      </c>
      <c r="F4929" s="1" t="n">
        <v>5</v>
      </c>
      <c r="G4929" s="15" t="n">
        <v>594.38</v>
      </c>
      <c r="H4929" s="16" t="n">
        <v>0.31</v>
      </c>
      <c r="I4929" s="1" t="s">
        <v>31</v>
      </c>
      <c r="J4929" s="1" t="n">
        <v>1</v>
      </c>
      <c r="K4929" s="1" t="n">
        <v>2</v>
      </c>
      <c r="L4929" s="15" t="n">
        <v>2050.61</v>
      </c>
      <c r="M4929" s="15" t="n">
        <f aca="false">F4929*G4929</f>
        <v>2971.9</v>
      </c>
      <c r="N4929" s="15" t="n">
        <f aca="false">M4929-L4929</f>
        <v>921.29</v>
      </c>
      <c r="O4929" s="1" t="n">
        <f aca="false">YEAR(B4929)</f>
        <v>2035</v>
      </c>
      <c r="P4929" s="1" t="n">
        <f aca="false">MONTH(B4929)</f>
        <v>6</v>
      </c>
      <c r="Q4929" s="1" t="str">
        <f aca="false">TEXT(B4929,"mmm")</f>
        <v>Jun</v>
      </c>
      <c r="R4929" s="1" t="str">
        <f aca="false">"Q"&amp;ROUNDUP(MONTH(B4929)/3,0)</f>
        <v>Q2</v>
      </c>
    </row>
    <row r="4930" customFormat="false" ht="15" hidden="false" customHeight="true" outlineLevel="0" collapsed="false">
      <c r="A4930" s="1" t="n">
        <v>14929</v>
      </c>
      <c r="B4930" s="14" t="n">
        <v>49490</v>
      </c>
      <c r="C4930" s="1" t="n">
        <v>1646</v>
      </c>
      <c r="D4930" s="1" t="s">
        <v>27</v>
      </c>
      <c r="E4930" s="1" t="s">
        <v>36</v>
      </c>
      <c r="F4930" s="1" t="n">
        <v>1</v>
      </c>
      <c r="G4930" s="15" t="n">
        <v>162.78</v>
      </c>
      <c r="H4930" s="16" t="n">
        <v>0.09</v>
      </c>
      <c r="I4930" s="1" t="s">
        <v>33</v>
      </c>
      <c r="J4930" s="1" t="n">
        <v>11</v>
      </c>
      <c r="K4930" s="1" t="n">
        <v>2.7</v>
      </c>
      <c r="L4930" s="15" t="n">
        <v>148.13</v>
      </c>
      <c r="M4930" s="15" t="n">
        <f aca="false">F4930*G4930</f>
        <v>162.78</v>
      </c>
      <c r="N4930" s="15" t="n">
        <f aca="false">M4930-L4930</f>
        <v>14.65</v>
      </c>
      <c r="O4930" s="1" t="n">
        <f aca="false">YEAR(B4930)</f>
        <v>2035</v>
      </c>
      <c r="P4930" s="1" t="n">
        <f aca="false">MONTH(B4930)</f>
        <v>6</v>
      </c>
      <c r="Q4930" s="1" t="str">
        <f aca="false">TEXT(B4930,"mmm")</f>
        <v>Jun</v>
      </c>
      <c r="R4930" s="1" t="str">
        <f aca="false">"Q"&amp;ROUNDUP(MONTH(B4930)/3,0)</f>
        <v>Q2</v>
      </c>
    </row>
    <row r="4931" customFormat="false" ht="15" hidden="false" customHeight="true" outlineLevel="0" collapsed="false">
      <c r="A4931" s="1" t="n">
        <v>14930</v>
      </c>
      <c r="B4931" s="14" t="n">
        <v>49491</v>
      </c>
      <c r="C4931" s="1" t="n">
        <v>1578</v>
      </c>
      <c r="D4931" s="1" t="s">
        <v>34</v>
      </c>
      <c r="E4931" s="1" t="s">
        <v>35</v>
      </c>
      <c r="F4931" s="1" t="n">
        <v>4</v>
      </c>
      <c r="G4931" s="15" t="n">
        <v>290.85</v>
      </c>
      <c r="H4931" s="16" t="n">
        <v>0.3</v>
      </c>
      <c r="I4931" s="1" t="s">
        <v>31</v>
      </c>
      <c r="J4931" s="1" t="n">
        <v>10</v>
      </c>
      <c r="K4931" s="1" t="n">
        <v>3.9</v>
      </c>
      <c r="L4931" s="15" t="n">
        <v>814.38</v>
      </c>
      <c r="M4931" s="15" t="n">
        <f aca="false">F4931*G4931</f>
        <v>1163.4</v>
      </c>
      <c r="N4931" s="15" t="n">
        <f aca="false">M4931-L4931</f>
        <v>349.02</v>
      </c>
      <c r="O4931" s="1" t="n">
        <f aca="false">YEAR(B4931)</f>
        <v>2035</v>
      </c>
      <c r="P4931" s="1" t="n">
        <f aca="false">MONTH(B4931)</f>
        <v>7</v>
      </c>
      <c r="Q4931" s="1" t="str">
        <f aca="false">TEXT(B4931,"mmm")</f>
        <v>Jul</v>
      </c>
      <c r="R4931" s="1" t="str">
        <f aca="false">"Q"&amp;ROUNDUP(MONTH(B4931)/3,0)</f>
        <v>Q3</v>
      </c>
    </row>
    <row r="4932" customFormat="false" ht="15" hidden="false" customHeight="true" outlineLevel="0" collapsed="false">
      <c r="A4932" s="1" t="n">
        <v>14931</v>
      </c>
      <c r="B4932" s="14" t="n">
        <v>49492</v>
      </c>
      <c r="C4932" s="1" t="n">
        <v>1064</v>
      </c>
      <c r="D4932" s="1" t="s">
        <v>37</v>
      </c>
      <c r="E4932" s="1" t="s">
        <v>36</v>
      </c>
      <c r="F4932" s="1" t="n">
        <v>4</v>
      </c>
      <c r="G4932" s="15" t="n">
        <v>222.05</v>
      </c>
      <c r="H4932" s="16" t="n">
        <v>0.07</v>
      </c>
      <c r="I4932" s="1" t="s">
        <v>31</v>
      </c>
      <c r="J4932" s="1" t="n">
        <v>11</v>
      </c>
      <c r="K4932" s="1" t="n">
        <v>2.2</v>
      </c>
      <c r="L4932" s="15" t="n">
        <v>826.03</v>
      </c>
      <c r="M4932" s="15" t="n">
        <f aca="false">F4932*G4932</f>
        <v>888.2</v>
      </c>
      <c r="N4932" s="15" t="n">
        <f aca="false">M4932-L4932</f>
        <v>62.1700000000001</v>
      </c>
      <c r="O4932" s="1" t="n">
        <f aca="false">YEAR(B4932)</f>
        <v>2035</v>
      </c>
      <c r="P4932" s="1" t="n">
        <f aca="false">MONTH(B4932)</f>
        <v>7</v>
      </c>
      <c r="Q4932" s="1" t="str">
        <f aca="false">TEXT(B4932,"mmm")</f>
        <v>Jul</v>
      </c>
      <c r="R4932" s="1" t="str">
        <f aca="false">"Q"&amp;ROUNDUP(MONTH(B4932)/3,0)</f>
        <v>Q3</v>
      </c>
    </row>
    <row r="4933" customFormat="false" ht="15" hidden="false" customHeight="true" outlineLevel="0" collapsed="false">
      <c r="A4933" s="1" t="n">
        <v>14932</v>
      </c>
      <c r="B4933" s="14" t="n">
        <v>49493</v>
      </c>
      <c r="C4933" s="1" t="n">
        <v>1291</v>
      </c>
      <c r="D4933" s="1" t="s">
        <v>30</v>
      </c>
      <c r="E4933" s="1" t="s">
        <v>28</v>
      </c>
      <c r="F4933" s="1" t="n">
        <v>1</v>
      </c>
      <c r="G4933" s="15" t="n">
        <v>223.12</v>
      </c>
      <c r="H4933" s="16" t="n">
        <v>0.14</v>
      </c>
      <c r="I4933" s="1" t="s">
        <v>33</v>
      </c>
      <c r="J4933" s="1" t="n">
        <v>9</v>
      </c>
      <c r="K4933" s="1" t="n">
        <v>2.8</v>
      </c>
      <c r="L4933" s="15" t="n">
        <v>191.88</v>
      </c>
      <c r="M4933" s="15" t="n">
        <f aca="false">F4933*G4933</f>
        <v>223.12</v>
      </c>
      <c r="N4933" s="15" t="n">
        <f aca="false">M4933-L4933</f>
        <v>31.24</v>
      </c>
      <c r="O4933" s="1" t="n">
        <f aca="false">YEAR(B4933)</f>
        <v>2035</v>
      </c>
      <c r="P4933" s="1" t="n">
        <f aca="false">MONTH(B4933)</f>
        <v>7</v>
      </c>
      <c r="Q4933" s="1" t="str">
        <f aca="false">TEXT(B4933,"mmm")</f>
        <v>Jul</v>
      </c>
      <c r="R4933" s="1" t="str">
        <f aca="false">"Q"&amp;ROUNDUP(MONTH(B4933)/3,0)</f>
        <v>Q3</v>
      </c>
    </row>
    <row r="4934" customFormat="false" ht="15" hidden="false" customHeight="true" outlineLevel="0" collapsed="false">
      <c r="A4934" s="1" t="n">
        <v>14933</v>
      </c>
      <c r="B4934" s="14" t="n">
        <v>49494</v>
      </c>
      <c r="C4934" s="1" t="n">
        <v>1024</v>
      </c>
      <c r="D4934" s="1" t="s">
        <v>37</v>
      </c>
      <c r="E4934" s="1" t="s">
        <v>35</v>
      </c>
      <c r="F4934" s="1" t="n">
        <v>7</v>
      </c>
      <c r="G4934" s="15" t="n">
        <v>507.74</v>
      </c>
      <c r="H4934" s="16" t="n">
        <v>0.2</v>
      </c>
      <c r="I4934" s="1" t="s">
        <v>33</v>
      </c>
      <c r="J4934" s="1" t="n">
        <v>10</v>
      </c>
      <c r="K4934" s="1" t="n">
        <v>2.3</v>
      </c>
      <c r="L4934" s="15" t="n">
        <v>2843.34</v>
      </c>
      <c r="M4934" s="15" t="n">
        <f aca="false">F4934*G4934</f>
        <v>3554.18</v>
      </c>
      <c r="N4934" s="15" t="n">
        <f aca="false">M4934-L4934</f>
        <v>710.84</v>
      </c>
      <c r="O4934" s="1" t="n">
        <f aca="false">YEAR(B4934)</f>
        <v>2035</v>
      </c>
      <c r="P4934" s="1" t="n">
        <f aca="false">MONTH(B4934)</f>
        <v>7</v>
      </c>
      <c r="Q4934" s="1" t="str">
        <f aca="false">TEXT(B4934,"mmm")</f>
        <v>Jul</v>
      </c>
      <c r="R4934" s="1" t="str">
        <f aca="false">"Q"&amp;ROUNDUP(MONTH(B4934)/3,0)</f>
        <v>Q3</v>
      </c>
    </row>
    <row r="4935" customFormat="false" ht="15" hidden="false" customHeight="true" outlineLevel="0" collapsed="false">
      <c r="A4935" s="1" t="n">
        <v>14934</v>
      </c>
      <c r="B4935" s="14" t="n">
        <v>49495</v>
      </c>
      <c r="C4935" s="1" t="n">
        <v>1548</v>
      </c>
      <c r="D4935" s="1" t="s">
        <v>34</v>
      </c>
      <c r="E4935" s="1" t="s">
        <v>32</v>
      </c>
      <c r="F4935" s="1" t="n">
        <v>2</v>
      </c>
      <c r="G4935" s="15" t="n">
        <v>451.66</v>
      </c>
      <c r="H4935" s="16" t="n">
        <v>0.25</v>
      </c>
      <c r="I4935" s="1" t="s">
        <v>33</v>
      </c>
      <c r="J4935" s="1" t="n">
        <v>10</v>
      </c>
      <c r="K4935" s="1" t="n">
        <v>1.4</v>
      </c>
      <c r="L4935" s="15" t="n">
        <v>677.49</v>
      </c>
      <c r="M4935" s="15" t="n">
        <f aca="false">F4935*G4935</f>
        <v>903.32</v>
      </c>
      <c r="N4935" s="15" t="n">
        <f aca="false">M4935-L4935</f>
        <v>225.83</v>
      </c>
      <c r="O4935" s="1" t="n">
        <f aca="false">YEAR(B4935)</f>
        <v>2035</v>
      </c>
      <c r="P4935" s="1" t="n">
        <f aca="false">MONTH(B4935)</f>
        <v>7</v>
      </c>
      <c r="Q4935" s="1" t="str">
        <f aca="false">TEXT(B4935,"mmm")</f>
        <v>Jul</v>
      </c>
      <c r="R4935" s="1" t="str">
        <f aca="false">"Q"&amp;ROUNDUP(MONTH(B4935)/3,0)</f>
        <v>Q3</v>
      </c>
    </row>
    <row r="4936" customFormat="false" ht="15" hidden="false" customHeight="true" outlineLevel="0" collapsed="false">
      <c r="A4936" s="1" t="n">
        <v>14935</v>
      </c>
      <c r="B4936" s="14" t="n">
        <v>49496</v>
      </c>
      <c r="C4936" s="1" t="n">
        <v>1000</v>
      </c>
      <c r="D4936" s="1" t="s">
        <v>34</v>
      </c>
      <c r="E4936" s="1" t="s">
        <v>32</v>
      </c>
      <c r="F4936" s="1" t="n">
        <v>2</v>
      </c>
      <c r="G4936" s="15" t="n">
        <v>595.41</v>
      </c>
      <c r="H4936" s="16" t="n">
        <v>0.01</v>
      </c>
      <c r="I4936" s="1" t="s">
        <v>33</v>
      </c>
      <c r="J4936" s="1" t="n">
        <v>1</v>
      </c>
      <c r="K4936" s="1" t="n">
        <v>4</v>
      </c>
      <c r="L4936" s="15" t="n">
        <v>1178.91</v>
      </c>
      <c r="M4936" s="15" t="n">
        <f aca="false">F4936*G4936</f>
        <v>1190.82</v>
      </c>
      <c r="N4936" s="15" t="n">
        <f aca="false">M4936-L4936</f>
        <v>11.9099999999999</v>
      </c>
      <c r="O4936" s="1" t="n">
        <f aca="false">YEAR(B4936)</f>
        <v>2035</v>
      </c>
      <c r="P4936" s="1" t="n">
        <f aca="false">MONTH(B4936)</f>
        <v>7</v>
      </c>
      <c r="Q4936" s="1" t="str">
        <f aca="false">TEXT(B4936,"mmm")</f>
        <v>Jul</v>
      </c>
      <c r="R4936" s="1" t="str">
        <f aca="false">"Q"&amp;ROUNDUP(MONTH(B4936)/3,0)</f>
        <v>Q3</v>
      </c>
    </row>
    <row r="4937" customFormat="false" ht="15" hidden="false" customHeight="true" outlineLevel="0" collapsed="false">
      <c r="A4937" s="1" t="n">
        <v>14936</v>
      </c>
      <c r="B4937" s="14" t="n">
        <v>49497</v>
      </c>
      <c r="C4937" s="1" t="n">
        <v>1910</v>
      </c>
      <c r="D4937" s="1" t="s">
        <v>30</v>
      </c>
      <c r="E4937" s="1" t="s">
        <v>36</v>
      </c>
      <c r="F4937" s="1" t="n">
        <v>4</v>
      </c>
      <c r="G4937" s="15" t="n">
        <v>373.91</v>
      </c>
      <c r="H4937" s="16" t="n">
        <v>0.1</v>
      </c>
      <c r="I4937" s="1" t="s">
        <v>33</v>
      </c>
      <c r="J4937" s="1" t="n">
        <v>3</v>
      </c>
      <c r="K4937" s="1" t="n">
        <v>2.8</v>
      </c>
      <c r="L4937" s="15" t="n">
        <v>1346.08</v>
      </c>
      <c r="M4937" s="15" t="n">
        <f aca="false">F4937*G4937</f>
        <v>1495.64</v>
      </c>
      <c r="N4937" s="15" t="n">
        <f aca="false">M4937-L4937</f>
        <v>149.56</v>
      </c>
      <c r="O4937" s="1" t="n">
        <f aca="false">YEAR(B4937)</f>
        <v>2035</v>
      </c>
      <c r="P4937" s="1" t="n">
        <f aca="false">MONTH(B4937)</f>
        <v>7</v>
      </c>
      <c r="Q4937" s="1" t="str">
        <f aca="false">TEXT(B4937,"mmm")</f>
        <v>Jul</v>
      </c>
      <c r="R4937" s="1" t="str">
        <f aca="false">"Q"&amp;ROUNDUP(MONTH(B4937)/3,0)</f>
        <v>Q3</v>
      </c>
    </row>
    <row r="4938" customFormat="false" ht="15" hidden="false" customHeight="true" outlineLevel="0" collapsed="false">
      <c r="A4938" s="1" t="n">
        <v>14937</v>
      </c>
      <c r="B4938" s="14" t="n">
        <v>49498</v>
      </c>
      <c r="C4938" s="1" t="n">
        <v>1548</v>
      </c>
      <c r="D4938" s="1" t="s">
        <v>27</v>
      </c>
      <c r="E4938" s="1" t="s">
        <v>36</v>
      </c>
      <c r="F4938" s="1" t="n">
        <v>2</v>
      </c>
      <c r="G4938" s="15" t="n">
        <v>286.01</v>
      </c>
      <c r="H4938" s="16" t="n">
        <v>0.21</v>
      </c>
      <c r="I4938" s="1" t="s">
        <v>33</v>
      </c>
      <c r="J4938" s="1" t="n">
        <v>7</v>
      </c>
      <c r="K4938" s="1" t="n">
        <v>4.3</v>
      </c>
      <c r="L4938" s="15" t="n">
        <v>451.9</v>
      </c>
      <c r="M4938" s="15" t="n">
        <f aca="false">F4938*G4938</f>
        <v>572.02</v>
      </c>
      <c r="N4938" s="15" t="n">
        <f aca="false">M4938-L4938</f>
        <v>120.12</v>
      </c>
      <c r="O4938" s="1" t="n">
        <f aca="false">YEAR(B4938)</f>
        <v>2035</v>
      </c>
      <c r="P4938" s="1" t="n">
        <f aca="false">MONTH(B4938)</f>
        <v>7</v>
      </c>
      <c r="Q4938" s="1" t="str">
        <f aca="false">TEXT(B4938,"mmm")</f>
        <v>Jul</v>
      </c>
      <c r="R4938" s="1" t="str">
        <f aca="false">"Q"&amp;ROUNDUP(MONTH(B4938)/3,0)</f>
        <v>Q3</v>
      </c>
    </row>
    <row r="4939" customFormat="false" ht="15" hidden="false" customHeight="true" outlineLevel="0" collapsed="false">
      <c r="A4939" s="1" t="n">
        <v>14938</v>
      </c>
      <c r="B4939" s="14" t="n">
        <v>49499</v>
      </c>
      <c r="C4939" s="1" t="n">
        <v>1140</v>
      </c>
      <c r="D4939" s="1" t="s">
        <v>30</v>
      </c>
      <c r="E4939" s="1" t="s">
        <v>35</v>
      </c>
      <c r="F4939" s="1" t="n">
        <v>6</v>
      </c>
      <c r="G4939" s="15" t="n">
        <v>67.69</v>
      </c>
      <c r="H4939" s="16" t="n">
        <v>0.13</v>
      </c>
      <c r="I4939" s="1" t="s">
        <v>29</v>
      </c>
      <c r="J4939" s="1" t="n">
        <v>1</v>
      </c>
      <c r="K4939" s="1" t="n">
        <v>3.8</v>
      </c>
      <c r="L4939" s="15" t="n">
        <v>353.34</v>
      </c>
      <c r="M4939" s="15" t="n">
        <f aca="false">F4939*G4939</f>
        <v>406.14</v>
      </c>
      <c r="N4939" s="15" t="n">
        <f aca="false">M4939-L4939</f>
        <v>52.8</v>
      </c>
      <c r="O4939" s="1" t="n">
        <f aca="false">YEAR(B4939)</f>
        <v>2035</v>
      </c>
      <c r="P4939" s="1" t="n">
        <f aca="false">MONTH(B4939)</f>
        <v>7</v>
      </c>
      <c r="Q4939" s="1" t="str">
        <f aca="false">TEXT(B4939,"mmm")</f>
        <v>Jul</v>
      </c>
      <c r="R4939" s="1" t="str">
        <f aca="false">"Q"&amp;ROUNDUP(MONTH(B4939)/3,0)</f>
        <v>Q3</v>
      </c>
    </row>
    <row r="4940" customFormat="false" ht="15" hidden="false" customHeight="true" outlineLevel="0" collapsed="false">
      <c r="A4940" s="1" t="n">
        <v>14939</v>
      </c>
      <c r="B4940" s="14" t="n">
        <v>49500</v>
      </c>
      <c r="C4940" s="1" t="n">
        <v>1743</v>
      </c>
      <c r="D4940" s="1" t="s">
        <v>34</v>
      </c>
      <c r="E4940" s="1" t="s">
        <v>28</v>
      </c>
      <c r="F4940" s="1" t="n">
        <v>1</v>
      </c>
      <c r="G4940" s="15" t="n">
        <v>597.99</v>
      </c>
      <c r="H4940" s="16" t="n">
        <v>0.27</v>
      </c>
      <c r="I4940" s="1" t="s">
        <v>29</v>
      </c>
      <c r="J4940" s="1" t="n">
        <v>5</v>
      </c>
      <c r="K4940" s="1" t="n">
        <v>1.2</v>
      </c>
      <c r="L4940" s="15" t="n">
        <v>436.53</v>
      </c>
      <c r="M4940" s="15" t="n">
        <f aca="false">F4940*G4940</f>
        <v>597.99</v>
      </c>
      <c r="N4940" s="15" t="n">
        <f aca="false">M4940-L4940</f>
        <v>161.46</v>
      </c>
      <c r="O4940" s="1" t="n">
        <f aca="false">YEAR(B4940)</f>
        <v>2035</v>
      </c>
      <c r="P4940" s="1" t="n">
        <f aca="false">MONTH(B4940)</f>
        <v>7</v>
      </c>
      <c r="Q4940" s="1" t="str">
        <f aca="false">TEXT(B4940,"mmm")</f>
        <v>Jul</v>
      </c>
      <c r="R4940" s="1" t="str">
        <f aca="false">"Q"&amp;ROUNDUP(MONTH(B4940)/3,0)</f>
        <v>Q3</v>
      </c>
    </row>
    <row r="4941" customFormat="false" ht="15" hidden="false" customHeight="true" outlineLevel="0" collapsed="false">
      <c r="A4941" s="1" t="n">
        <v>14940</v>
      </c>
      <c r="B4941" s="14" t="n">
        <v>49501</v>
      </c>
      <c r="C4941" s="1" t="n">
        <v>1647</v>
      </c>
      <c r="D4941" s="1" t="s">
        <v>30</v>
      </c>
      <c r="E4941" s="1" t="s">
        <v>36</v>
      </c>
      <c r="F4941" s="1" t="n">
        <v>7</v>
      </c>
      <c r="G4941" s="15" t="n">
        <v>337.65</v>
      </c>
      <c r="H4941" s="16" t="n">
        <v>0.23</v>
      </c>
      <c r="I4941" s="1" t="s">
        <v>33</v>
      </c>
      <c r="J4941" s="1" t="n">
        <v>6</v>
      </c>
      <c r="K4941" s="1" t="n">
        <v>3</v>
      </c>
      <c r="L4941" s="15" t="n">
        <v>1819.93</v>
      </c>
      <c r="M4941" s="15" t="n">
        <f aca="false">F4941*G4941</f>
        <v>2363.55</v>
      </c>
      <c r="N4941" s="15" t="n">
        <f aca="false">M4941-L4941</f>
        <v>543.62</v>
      </c>
      <c r="O4941" s="1" t="n">
        <f aca="false">YEAR(B4941)</f>
        <v>2035</v>
      </c>
      <c r="P4941" s="1" t="n">
        <f aca="false">MONTH(B4941)</f>
        <v>7</v>
      </c>
      <c r="Q4941" s="1" t="str">
        <f aca="false">TEXT(B4941,"mmm")</f>
        <v>Jul</v>
      </c>
      <c r="R4941" s="1" t="str">
        <f aca="false">"Q"&amp;ROUNDUP(MONTH(B4941)/3,0)</f>
        <v>Q3</v>
      </c>
    </row>
    <row r="4942" customFormat="false" ht="15" hidden="false" customHeight="true" outlineLevel="0" collapsed="false">
      <c r="A4942" s="1" t="n">
        <v>14941</v>
      </c>
      <c r="B4942" s="14" t="n">
        <v>49502</v>
      </c>
      <c r="C4942" s="1" t="n">
        <v>1900</v>
      </c>
      <c r="D4942" s="1" t="s">
        <v>27</v>
      </c>
      <c r="E4942" s="1" t="s">
        <v>35</v>
      </c>
      <c r="F4942" s="1" t="n">
        <v>4</v>
      </c>
      <c r="G4942" s="15" t="n">
        <v>424.78</v>
      </c>
      <c r="H4942" s="16" t="n">
        <v>0.08</v>
      </c>
      <c r="I4942" s="1" t="s">
        <v>33</v>
      </c>
      <c r="J4942" s="1" t="n">
        <v>3</v>
      </c>
      <c r="K4942" s="1" t="n">
        <v>5</v>
      </c>
      <c r="L4942" s="15" t="n">
        <v>1563.19</v>
      </c>
      <c r="M4942" s="15" t="n">
        <f aca="false">F4942*G4942</f>
        <v>1699.12</v>
      </c>
      <c r="N4942" s="15" t="n">
        <f aca="false">M4942-L4942</f>
        <v>135.93</v>
      </c>
      <c r="O4942" s="1" t="n">
        <f aca="false">YEAR(B4942)</f>
        <v>2035</v>
      </c>
      <c r="P4942" s="1" t="n">
        <f aca="false">MONTH(B4942)</f>
        <v>7</v>
      </c>
      <c r="Q4942" s="1" t="str">
        <f aca="false">TEXT(B4942,"mmm")</f>
        <v>Jul</v>
      </c>
      <c r="R4942" s="1" t="str">
        <f aca="false">"Q"&amp;ROUNDUP(MONTH(B4942)/3,0)</f>
        <v>Q3</v>
      </c>
    </row>
    <row r="4943" customFormat="false" ht="15" hidden="false" customHeight="true" outlineLevel="0" collapsed="false">
      <c r="A4943" s="1" t="n">
        <v>14942</v>
      </c>
      <c r="B4943" s="14" t="n">
        <v>49503</v>
      </c>
      <c r="C4943" s="1" t="n">
        <v>1187</v>
      </c>
      <c r="D4943" s="1" t="s">
        <v>37</v>
      </c>
      <c r="E4943" s="1" t="s">
        <v>28</v>
      </c>
      <c r="F4943" s="1" t="n">
        <v>1</v>
      </c>
      <c r="G4943" s="15" t="n">
        <v>252.94</v>
      </c>
      <c r="H4943" s="16" t="n">
        <v>0.05</v>
      </c>
      <c r="I4943" s="1" t="s">
        <v>33</v>
      </c>
      <c r="J4943" s="1" t="n">
        <v>6</v>
      </c>
      <c r="K4943" s="1" t="n">
        <v>2.2</v>
      </c>
      <c r="L4943" s="15" t="n">
        <v>240.29</v>
      </c>
      <c r="M4943" s="15" t="n">
        <f aca="false">F4943*G4943</f>
        <v>252.94</v>
      </c>
      <c r="N4943" s="15" t="n">
        <f aca="false">M4943-L4943</f>
        <v>12.65</v>
      </c>
      <c r="O4943" s="1" t="n">
        <f aca="false">YEAR(B4943)</f>
        <v>2035</v>
      </c>
      <c r="P4943" s="1" t="n">
        <f aca="false">MONTH(B4943)</f>
        <v>7</v>
      </c>
      <c r="Q4943" s="1" t="str">
        <f aca="false">TEXT(B4943,"mmm")</f>
        <v>Jul</v>
      </c>
      <c r="R4943" s="1" t="str">
        <f aca="false">"Q"&amp;ROUNDUP(MONTH(B4943)/3,0)</f>
        <v>Q3</v>
      </c>
    </row>
    <row r="4944" customFormat="false" ht="15" hidden="false" customHeight="true" outlineLevel="0" collapsed="false">
      <c r="A4944" s="1" t="n">
        <v>14943</v>
      </c>
      <c r="B4944" s="14" t="n">
        <v>49504</v>
      </c>
      <c r="C4944" s="1" t="n">
        <v>1127</v>
      </c>
      <c r="D4944" s="1" t="s">
        <v>27</v>
      </c>
      <c r="E4944" s="1" t="s">
        <v>36</v>
      </c>
      <c r="F4944" s="1" t="n">
        <v>2</v>
      </c>
      <c r="G4944" s="15" t="n">
        <v>335.41</v>
      </c>
      <c r="H4944" s="16" t="n">
        <v>0.22</v>
      </c>
      <c r="I4944" s="1" t="s">
        <v>31</v>
      </c>
      <c r="J4944" s="1" t="n">
        <v>4</v>
      </c>
      <c r="K4944" s="1" t="n">
        <v>3</v>
      </c>
      <c r="L4944" s="15" t="n">
        <v>523.24</v>
      </c>
      <c r="M4944" s="15" t="n">
        <f aca="false">F4944*G4944</f>
        <v>670.82</v>
      </c>
      <c r="N4944" s="15" t="n">
        <f aca="false">M4944-L4944</f>
        <v>147.58</v>
      </c>
      <c r="O4944" s="1" t="n">
        <f aca="false">YEAR(B4944)</f>
        <v>2035</v>
      </c>
      <c r="P4944" s="1" t="n">
        <f aca="false">MONTH(B4944)</f>
        <v>7</v>
      </c>
      <c r="Q4944" s="1" t="str">
        <f aca="false">TEXT(B4944,"mmm")</f>
        <v>Jul</v>
      </c>
      <c r="R4944" s="1" t="str">
        <f aca="false">"Q"&amp;ROUNDUP(MONTH(B4944)/3,0)</f>
        <v>Q3</v>
      </c>
    </row>
    <row r="4945" customFormat="false" ht="15" hidden="false" customHeight="true" outlineLevel="0" collapsed="false">
      <c r="A4945" s="1" t="n">
        <v>14944</v>
      </c>
      <c r="B4945" s="14" t="n">
        <v>49505</v>
      </c>
      <c r="C4945" s="1" t="n">
        <v>1200</v>
      </c>
      <c r="D4945" s="1" t="s">
        <v>34</v>
      </c>
      <c r="E4945" s="1" t="s">
        <v>36</v>
      </c>
      <c r="F4945" s="1" t="n">
        <v>1</v>
      </c>
      <c r="G4945" s="15" t="n">
        <v>566.41</v>
      </c>
      <c r="H4945" s="16" t="n">
        <v>0.16</v>
      </c>
      <c r="I4945" s="1" t="s">
        <v>31</v>
      </c>
      <c r="J4945" s="1" t="n">
        <v>6</v>
      </c>
      <c r="K4945" s="1" t="n">
        <v>3.6</v>
      </c>
      <c r="L4945" s="15" t="n">
        <v>475.78</v>
      </c>
      <c r="M4945" s="15" t="n">
        <f aca="false">F4945*G4945</f>
        <v>566.41</v>
      </c>
      <c r="N4945" s="15" t="n">
        <f aca="false">M4945-L4945</f>
        <v>90.63</v>
      </c>
      <c r="O4945" s="1" t="n">
        <f aca="false">YEAR(B4945)</f>
        <v>2035</v>
      </c>
      <c r="P4945" s="1" t="n">
        <f aca="false">MONTH(B4945)</f>
        <v>7</v>
      </c>
      <c r="Q4945" s="1" t="str">
        <f aca="false">TEXT(B4945,"mmm")</f>
        <v>Jul</v>
      </c>
      <c r="R4945" s="1" t="str">
        <f aca="false">"Q"&amp;ROUNDUP(MONTH(B4945)/3,0)</f>
        <v>Q3</v>
      </c>
    </row>
    <row r="4946" customFormat="false" ht="15" hidden="false" customHeight="true" outlineLevel="0" collapsed="false">
      <c r="A4946" s="1" t="n">
        <v>14945</v>
      </c>
      <c r="B4946" s="14" t="n">
        <v>49506</v>
      </c>
      <c r="C4946" s="1" t="n">
        <v>1126</v>
      </c>
      <c r="D4946" s="1" t="s">
        <v>34</v>
      </c>
      <c r="E4946" s="1" t="s">
        <v>35</v>
      </c>
      <c r="F4946" s="1" t="n">
        <v>2</v>
      </c>
      <c r="G4946" s="15" t="n">
        <v>112.36</v>
      </c>
      <c r="H4946" s="16" t="n">
        <v>0.06</v>
      </c>
      <c r="I4946" s="1" t="s">
        <v>29</v>
      </c>
      <c r="J4946" s="1" t="n">
        <v>6</v>
      </c>
      <c r="K4946" s="1" t="n">
        <v>1.8</v>
      </c>
      <c r="L4946" s="15" t="n">
        <v>211.24</v>
      </c>
      <c r="M4946" s="15" t="n">
        <f aca="false">F4946*G4946</f>
        <v>224.72</v>
      </c>
      <c r="N4946" s="15" t="n">
        <f aca="false">M4946-L4946</f>
        <v>13.48</v>
      </c>
      <c r="O4946" s="1" t="n">
        <f aca="false">YEAR(B4946)</f>
        <v>2035</v>
      </c>
      <c r="P4946" s="1" t="n">
        <f aca="false">MONTH(B4946)</f>
        <v>7</v>
      </c>
      <c r="Q4946" s="1" t="str">
        <f aca="false">TEXT(B4946,"mmm")</f>
        <v>Jul</v>
      </c>
      <c r="R4946" s="1" t="str">
        <f aca="false">"Q"&amp;ROUNDUP(MONTH(B4946)/3,0)</f>
        <v>Q3</v>
      </c>
    </row>
    <row r="4947" customFormat="false" ht="15" hidden="false" customHeight="true" outlineLevel="0" collapsed="false">
      <c r="A4947" s="1" t="n">
        <v>14946</v>
      </c>
      <c r="B4947" s="14" t="n">
        <v>49507</v>
      </c>
      <c r="C4947" s="1" t="n">
        <v>1256</v>
      </c>
      <c r="D4947" s="1" t="s">
        <v>30</v>
      </c>
      <c r="E4947" s="1" t="s">
        <v>36</v>
      </c>
      <c r="F4947" s="1" t="n">
        <v>7</v>
      </c>
      <c r="G4947" s="15" t="n">
        <v>186.04</v>
      </c>
      <c r="H4947" s="16" t="n">
        <v>0.11</v>
      </c>
      <c r="I4947" s="1" t="s">
        <v>29</v>
      </c>
      <c r="J4947" s="1" t="n">
        <v>4</v>
      </c>
      <c r="K4947" s="1" t="n">
        <v>3.8</v>
      </c>
      <c r="L4947" s="15" t="n">
        <v>1159.03</v>
      </c>
      <c r="M4947" s="15" t="n">
        <f aca="false">F4947*G4947</f>
        <v>1302.28</v>
      </c>
      <c r="N4947" s="15" t="n">
        <f aca="false">M4947-L4947</f>
        <v>143.25</v>
      </c>
      <c r="O4947" s="1" t="n">
        <f aca="false">YEAR(B4947)</f>
        <v>2035</v>
      </c>
      <c r="P4947" s="1" t="n">
        <f aca="false">MONTH(B4947)</f>
        <v>7</v>
      </c>
      <c r="Q4947" s="1" t="str">
        <f aca="false">TEXT(B4947,"mmm")</f>
        <v>Jul</v>
      </c>
      <c r="R4947" s="1" t="str">
        <f aca="false">"Q"&amp;ROUNDUP(MONTH(B4947)/3,0)</f>
        <v>Q3</v>
      </c>
    </row>
    <row r="4948" customFormat="false" ht="15" hidden="false" customHeight="true" outlineLevel="0" collapsed="false">
      <c r="A4948" s="1" t="n">
        <v>14947</v>
      </c>
      <c r="B4948" s="14" t="n">
        <v>49508</v>
      </c>
      <c r="C4948" s="1" t="n">
        <v>1675</v>
      </c>
      <c r="D4948" s="1" t="s">
        <v>37</v>
      </c>
      <c r="E4948" s="1" t="s">
        <v>32</v>
      </c>
      <c r="F4948" s="1" t="n">
        <v>2</v>
      </c>
      <c r="G4948" s="15" t="n">
        <v>103.95</v>
      </c>
      <c r="H4948" s="16" t="n">
        <v>0.11</v>
      </c>
      <c r="I4948" s="1" t="s">
        <v>33</v>
      </c>
      <c r="J4948" s="1" t="n">
        <v>1</v>
      </c>
      <c r="K4948" s="1" t="n">
        <v>3.6</v>
      </c>
      <c r="L4948" s="15" t="n">
        <v>185.03</v>
      </c>
      <c r="M4948" s="15" t="n">
        <f aca="false">F4948*G4948</f>
        <v>207.9</v>
      </c>
      <c r="N4948" s="15" t="n">
        <f aca="false">M4948-L4948</f>
        <v>22.87</v>
      </c>
      <c r="O4948" s="1" t="n">
        <f aca="false">YEAR(B4948)</f>
        <v>2035</v>
      </c>
      <c r="P4948" s="1" t="n">
        <f aca="false">MONTH(B4948)</f>
        <v>7</v>
      </c>
      <c r="Q4948" s="1" t="str">
        <f aca="false">TEXT(B4948,"mmm")</f>
        <v>Jul</v>
      </c>
      <c r="R4948" s="1" t="str">
        <f aca="false">"Q"&amp;ROUNDUP(MONTH(B4948)/3,0)</f>
        <v>Q3</v>
      </c>
    </row>
    <row r="4949" customFormat="false" ht="15" hidden="false" customHeight="true" outlineLevel="0" collapsed="false">
      <c r="A4949" s="1" t="n">
        <v>14948</v>
      </c>
      <c r="B4949" s="14" t="n">
        <v>49509</v>
      </c>
      <c r="C4949" s="1" t="n">
        <v>1546</v>
      </c>
      <c r="D4949" s="1" t="s">
        <v>34</v>
      </c>
      <c r="E4949" s="1" t="s">
        <v>28</v>
      </c>
      <c r="F4949" s="1" t="n">
        <v>1</v>
      </c>
      <c r="G4949" s="15" t="n">
        <v>478.45</v>
      </c>
      <c r="H4949" s="16" t="n">
        <v>0.04</v>
      </c>
      <c r="I4949" s="1" t="s">
        <v>31</v>
      </c>
      <c r="J4949" s="1" t="n">
        <v>3</v>
      </c>
      <c r="K4949" s="1" t="n">
        <v>2.5</v>
      </c>
      <c r="L4949" s="15" t="n">
        <v>459.31</v>
      </c>
      <c r="M4949" s="15" t="n">
        <f aca="false">F4949*G4949</f>
        <v>478.45</v>
      </c>
      <c r="N4949" s="15" t="n">
        <f aca="false">M4949-L4949</f>
        <v>19.14</v>
      </c>
      <c r="O4949" s="1" t="n">
        <f aca="false">YEAR(B4949)</f>
        <v>2035</v>
      </c>
      <c r="P4949" s="1" t="n">
        <f aca="false">MONTH(B4949)</f>
        <v>7</v>
      </c>
      <c r="Q4949" s="1" t="str">
        <f aca="false">TEXT(B4949,"mmm")</f>
        <v>Jul</v>
      </c>
      <c r="R4949" s="1" t="str">
        <f aca="false">"Q"&amp;ROUNDUP(MONTH(B4949)/3,0)</f>
        <v>Q3</v>
      </c>
    </row>
    <row r="4950" customFormat="false" ht="15" hidden="false" customHeight="true" outlineLevel="0" collapsed="false">
      <c r="A4950" s="1" t="n">
        <v>14949</v>
      </c>
      <c r="B4950" s="14" t="n">
        <v>49510</v>
      </c>
      <c r="C4950" s="1" t="n">
        <v>1193</v>
      </c>
      <c r="D4950" s="1" t="s">
        <v>34</v>
      </c>
      <c r="E4950" s="1" t="s">
        <v>28</v>
      </c>
      <c r="F4950" s="1" t="n">
        <v>7</v>
      </c>
      <c r="G4950" s="15" t="n">
        <v>51.3</v>
      </c>
      <c r="H4950" s="16" t="n">
        <v>0.19</v>
      </c>
      <c r="I4950" s="1" t="s">
        <v>31</v>
      </c>
      <c r="J4950" s="1" t="n">
        <v>11</v>
      </c>
      <c r="K4950" s="1" t="n">
        <v>2.1</v>
      </c>
      <c r="L4950" s="15" t="n">
        <v>290.87</v>
      </c>
      <c r="M4950" s="15" t="n">
        <f aca="false">F4950*G4950</f>
        <v>359.1</v>
      </c>
      <c r="N4950" s="15" t="n">
        <f aca="false">M4950-L4950</f>
        <v>68.23</v>
      </c>
      <c r="O4950" s="1" t="n">
        <f aca="false">YEAR(B4950)</f>
        <v>2035</v>
      </c>
      <c r="P4950" s="1" t="n">
        <f aca="false">MONTH(B4950)</f>
        <v>7</v>
      </c>
      <c r="Q4950" s="1" t="str">
        <f aca="false">TEXT(B4950,"mmm")</f>
        <v>Jul</v>
      </c>
      <c r="R4950" s="1" t="str">
        <f aca="false">"Q"&amp;ROUNDUP(MONTH(B4950)/3,0)</f>
        <v>Q3</v>
      </c>
    </row>
    <row r="4951" customFormat="false" ht="15" hidden="false" customHeight="true" outlineLevel="0" collapsed="false">
      <c r="A4951" s="1" t="n">
        <v>14950</v>
      </c>
      <c r="B4951" s="14" t="n">
        <v>49511</v>
      </c>
      <c r="C4951" s="1" t="n">
        <v>1702</v>
      </c>
      <c r="D4951" s="1" t="s">
        <v>37</v>
      </c>
      <c r="E4951" s="1" t="s">
        <v>32</v>
      </c>
      <c r="F4951" s="1" t="n">
        <v>2</v>
      </c>
      <c r="G4951" s="15" t="n">
        <v>62.75</v>
      </c>
      <c r="H4951" s="16" t="n">
        <v>0.27</v>
      </c>
      <c r="I4951" s="1" t="s">
        <v>31</v>
      </c>
      <c r="J4951" s="1" t="n">
        <v>10</v>
      </c>
      <c r="K4951" s="1" t="n">
        <v>4.7</v>
      </c>
      <c r="L4951" s="15" t="n">
        <v>91.62</v>
      </c>
      <c r="M4951" s="15" t="n">
        <f aca="false">F4951*G4951</f>
        <v>125.5</v>
      </c>
      <c r="N4951" s="15" t="n">
        <f aca="false">M4951-L4951</f>
        <v>33.88</v>
      </c>
      <c r="O4951" s="1" t="n">
        <f aca="false">YEAR(B4951)</f>
        <v>2035</v>
      </c>
      <c r="P4951" s="1" t="n">
        <f aca="false">MONTH(B4951)</f>
        <v>7</v>
      </c>
      <c r="Q4951" s="1" t="str">
        <f aca="false">TEXT(B4951,"mmm")</f>
        <v>Jul</v>
      </c>
      <c r="R4951" s="1" t="str">
        <f aca="false">"Q"&amp;ROUNDUP(MONTH(B4951)/3,0)</f>
        <v>Q3</v>
      </c>
    </row>
    <row r="4952" customFormat="false" ht="15" hidden="false" customHeight="true" outlineLevel="0" collapsed="false">
      <c r="A4952" s="1" t="n">
        <v>14951</v>
      </c>
      <c r="B4952" s="14" t="n">
        <v>49512</v>
      </c>
      <c r="C4952" s="1" t="n">
        <v>1103</v>
      </c>
      <c r="D4952" s="1" t="s">
        <v>34</v>
      </c>
      <c r="E4952" s="1" t="s">
        <v>35</v>
      </c>
      <c r="F4952" s="1" t="n">
        <v>6</v>
      </c>
      <c r="G4952" s="15" t="n">
        <v>189.62</v>
      </c>
      <c r="H4952" s="16" t="n">
        <v>0.2</v>
      </c>
      <c r="I4952" s="1" t="s">
        <v>31</v>
      </c>
      <c r="J4952" s="1" t="n">
        <v>7</v>
      </c>
      <c r="K4952" s="1" t="n">
        <v>1.5</v>
      </c>
      <c r="L4952" s="15" t="n">
        <v>910.18</v>
      </c>
      <c r="M4952" s="15" t="n">
        <f aca="false">F4952*G4952</f>
        <v>1137.72</v>
      </c>
      <c r="N4952" s="15" t="n">
        <f aca="false">M4952-L4952</f>
        <v>227.54</v>
      </c>
      <c r="O4952" s="1" t="n">
        <f aca="false">YEAR(B4952)</f>
        <v>2035</v>
      </c>
      <c r="P4952" s="1" t="n">
        <f aca="false">MONTH(B4952)</f>
        <v>7</v>
      </c>
      <c r="Q4952" s="1" t="str">
        <f aca="false">TEXT(B4952,"mmm")</f>
        <v>Jul</v>
      </c>
      <c r="R4952" s="1" t="str">
        <f aca="false">"Q"&amp;ROUNDUP(MONTH(B4952)/3,0)</f>
        <v>Q3</v>
      </c>
    </row>
    <row r="4953" customFormat="false" ht="15" hidden="false" customHeight="true" outlineLevel="0" collapsed="false">
      <c r="A4953" s="1" t="n">
        <v>14952</v>
      </c>
      <c r="B4953" s="14" t="n">
        <v>49513</v>
      </c>
      <c r="C4953" s="1" t="n">
        <v>1534</v>
      </c>
      <c r="D4953" s="1" t="s">
        <v>30</v>
      </c>
      <c r="E4953" s="1" t="s">
        <v>32</v>
      </c>
      <c r="F4953" s="1" t="n">
        <v>3</v>
      </c>
      <c r="G4953" s="15" t="n">
        <v>315.8</v>
      </c>
      <c r="H4953" s="16" t="n">
        <v>0.29</v>
      </c>
      <c r="I4953" s="1" t="s">
        <v>33</v>
      </c>
      <c r="J4953" s="1" t="n">
        <v>2</v>
      </c>
      <c r="K4953" s="1" t="n">
        <v>2.7</v>
      </c>
      <c r="L4953" s="15" t="n">
        <v>672.65</v>
      </c>
      <c r="M4953" s="15" t="n">
        <f aca="false">F4953*G4953</f>
        <v>947.4</v>
      </c>
      <c r="N4953" s="15" t="n">
        <f aca="false">M4953-L4953</f>
        <v>274.75</v>
      </c>
      <c r="O4953" s="1" t="n">
        <f aca="false">YEAR(B4953)</f>
        <v>2035</v>
      </c>
      <c r="P4953" s="1" t="n">
        <f aca="false">MONTH(B4953)</f>
        <v>7</v>
      </c>
      <c r="Q4953" s="1" t="str">
        <f aca="false">TEXT(B4953,"mmm")</f>
        <v>Jul</v>
      </c>
      <c r="R4953" s="1" t="str">
        <f aca="false">"Q"&amp;ROUNDUP(MONTH(B4953)/3,0)</f>
        <v>Q3</v>
      </c>
    </row>
    <row r="4954" customFormat="false" ht="15" hidden="false" customHeight="true" outlineLevel="0" collapsed="false">
      <c r="A4954" s="1" t="n">
        <v>14953</v>
      </c>
      <c r="B4954" s="14" t="n">
        <v>49514</v>
      </c>
      <c r="C4954" s="1" t="n">
        <v>1264</v>
      </c>
      <c r="D4954" s="1" t="s">
        <v>30</v>
      </c>
      <c r="E4954" s="1" t="s">
        <v>32</v>
      </c>
      <c r="F4954" s="1" t="n">
        <v>1</v>
      </c>
      <c r="G4954" s="15" t="n">
        <v>252.67</v>
      </c>
      <c r="H4954" s="16" t="n">
        <v>0.04</v>
      </c>
      <c r="I4954" s="1" t="s">
        <v>29</v>
      </c>
      <c r="J4954" s="1" t="n">
        <v>4</v>
      </c>
      <c r="K4954" s="1" t="n">
        <v>4.1</v>
      </c>
      <c r="L4954" s="15" t="n">
        <v>242.56</v>
      </c>
      <c r="M4954" s="15" t="n">
        <f aca="false">F4954*G4954</f>
        <v>252.67</v>
      </c>
      <c r="N4954" s="15" t="n">
        <f aca="false">M4954-L4954</f>
        <v>10.11</v>
      </c>
      <c r="O4954" s="1" t="n">
        <f aca="false">YEAR(B4954)</f>
        <v>2035</v>
      </c>
      <c r="P4954" s="1" t="n">
        <f aca="false">MONTH(B4954)</f>
        <v>7</v>
      </c>
      <c r="Q4954" s="1" t="str">
        <f aca="false">TEXT(B4954,"mmm")</f>
        <v>Jul</v>
      </c>
      <c r="R4954" s="1" t="str">
        <f aca="false">"Q"&amp;ROUNDUP(MONTH(B4954)/3,0)</f>
        <v>Q3</v>
      </c>
    </row>
    <row r="4955" customFormat="false" ht="15" hidden="false" customHeight="true" outlineLevel="0" collapsed="false">
      <c r="A4955" s="1" t="n">
        <v>14954</v>
      </c>
      <c r="B4955" s="14" t="n">
        <v>49515</v>
      </c>
      <c r="C4955" s="1" t="n">
        <v>1801</v>
      </c>
      <c r="D4955" s="1" t="s">
        <v>30</v>
      </c>
      <c r="E4955" s="1" t="s">
        <v>28</v>
      </c>
      <c r="F4955" s="1" t="n">
        <v>3</v>
      </c>
      <c r="G4955" s="15" t="n">
        <v>41.22</v>
      </c>
      <c r="H4955" s="16" t="n">
        <v>0.15</v>
      </c>
      <c r="I4955" s="1" t="s">
        <v>31</v>
      </c>
      <c r="J4955" s="1" t="n">
        <v>6</v>
      </c>
      <c r="K4955" s="1" t="n">
        <v>1.6</v>
      </c>
      <c r="L4955" s="15" t="n">
        <v>105.11</v>
      </c>
      <c r="M4955" s="15" t="n">
        <f aca="false">F4955*G4955</f>
        <v>123.66</v>
      </c>
      <c r="N4955" s="15" t="n">
        <f aca="false">M4955-L4955</f>
        <v>18.55</v>
      </c>
      <c r="O4955" s="1" t="n">
        <f aca="false">YEAR(B4955)</f>
        <v>2035</v>
      </c>
      <c r="P4955" s="1" t="n">
        <f aca="false">MONTH(B4955)</f>
        <v>7</v>
      </c>
      <c r="Q4955" s="1" t="str">
        <f aca="false">TEXT(B4955,"mmm")</f>
        <v>Jul</v>
      </c>
      <c r="R4955" s="1" t="str">
        <f aca="false">"Q"&amp;ROUNDUP(MONTH(B4955)/3,0)</f>
        <v>Q3</v>
      </c>
    </row>
    <row r="4956" customFormat="false" ht="15" hidden="false" customHeight="true" outlineLevel="0" collapsed="false">
      <c r="A4956" s="1" t="n">
        <v>14955</v>
      </c>
      <c r="B4956" s="14" t="n">
        <v>49516</v>
      </c>
      <c r="C4956" s="1" t="n">
        <v>1941</v>
      </c>
      <c r="D4956" s="1" t="s">
        <v>37</v>
      </c>
      <c r="E4956" s="1" t="s">
        <v>35</v>
      </c>
      <c r="F4956" s="1" t="n">
        <v>1</v>
      </c>
      <c r="G4956" s="15" t="n">
        <v>575.13</v>
      </c>
      <c r="H4956" s="16" t="n">
        <v>0.21</v>
      </c>
      <c r="I4956" s="1" t="s">
        <v>33</v>
      </c>
      <c r="J4956" s="1" t="n">
        <v>5</v>
      </c>
      <c r="K4956" s="1" t="n">
        <v>4.7</v>
      </c>
      <c r="L4956" s="15" t="n">
        <v>454.35</v>
      </c>
      <c r="M4956" s="15" t="n">
        <f aca="false">F4956*G4956</f>
        <v>575.13</v>
      </c>
      <c r="N4956" s="15" t="n">
        <f aca="false">M4956-L4956</f>
        <v>120.78</v>
      </c>
      <c r="O4956" s="1" t="n">
        <f aca="false">YEAR(B4956)</f>
        <v>2035</v>
      </c>
      <c r="P4956" s="1" t="n">
        <f aca="false">MONTH(B4956)</f>
        <v>7</v>
      </c>
      <c r="Q4956" s="1" t="str">
        <f aca="false">TEXT(B4956,"mmm")</f>
        <v>Jul</v>
      </c>
      <c r="R4956" s="1" t="str">
        <f aca="false">"Q"&amp;ROUNDUP(MONTH(B4956)/3,0)</f>
        <v>Q3</v>
      </c>
    </row>
    <row r="4957" customFormat="false" ht="15" hidden="false" customHeight="true" outlineLevel="0" collapsed="false">
      <c r="A4957" s="1" t="n">
        <v>14956</v>
      </c>
      <c r="B4957" s="14" t="n">
        <v>49517</v>
      </c>
      <c r="C4957" s="1" t="n">
        <v>1973</v>
      </c>
      <c r="D4957" s="1" t="s">
        <v>30</v>
      </c>
      <c r="E4957" s="1" t="s">
        <v>36</v>
      </c>
      <c r="F4957" s="1" t="n">
        <v>2</v>
      </c>
      <c r="G4957" s="15" t="n">
        <v>572.43</v>
      </c>
      <c r="H4957" s="16" t="n">
        <v>0.24</v>
      </c>
      <c r="I4957" s="1" t="s">
        <v>31</v>
      </c>
      <c r="J4957" s="1" t="n">
        <v>6</v>
      </c>
      <c r="K4957" s="1" t="n">
        <v>3.1</v>
      </c>
      <c r="L4957" s="15" t="n">
        <v>870.09</v>
      </c>
      <c r="M4957" s="15" t="n">
        <f aca="false">F4957*G4957</f>
        <v>1144.86</v>
      </c>
      <c r="N4957" s="15" t="n">
        <f aca="false">M4957-L4957</f>
        <v>274.77</v>
      </c>
      <c r="O4957" s="1" t="n">
        <f aca="false">YEAR(B4957)</f>
        <v>2035</v>
      </c>
      <c r="P4957" s="1" t="n">
        <f aca="false">MONTH(B4957)</f>
        <v>7</v>
      </c>
      <c r="Q4957" s="1" t="str">
        <f aca="false">TEXT(B4957,"mmm")</f>
        <v>Jul</v>
      </c>
      <c r="R4957" s="1" t="str">
        <f aca="false">"Q"&amp;ROUNDUP(MONTH(B4957)/3,0)</f>
        <v>Q3</v>
      </c>
    </row>
    <row r="4958" customFormat="false" ht="15" hidden="false" customHeight="true" outlineLevel="0" collapsed="false">
      <c r="A4958" s="1" t="n">
        <v>14957</v>
      </c>
      <c r="B4958" s="14" t="n">
        <v>49518</v>
      </c>
      <c r="C4958" s="1" t="n">
        <v>1383</v>
      </c>
      <c r="D4958" s="1" t="s">
        <v>30</v>
      </c>
      <c r="E4958" s="1" t="s">
        <v>32</v>
      </c>
      <c r="F4958" s="1" t="n">
        <v>2</v>
      </c>
      <c r="G4958" s="15" t="n">
        <v>178.42</v>
      </c>
      <c r="H4958" s="16" t="n">
        <v>0.24</v>
      </c>
      <c r="I4958" s="1" t="s">
        <v>29</v>
      </c>
      <c r="J4958" s="1" t="n">
        <v>5</v>
      </c>
      <c r="K4958" s="1" t="n">
        <v>3</v>
      </c>
      <c r="L4958" s="15" t="n">
        <v>271.2</v>
      </c>
      <c r="M4958" s="15" t="n">
        <f aca="false">F4958*G4958</f>
        <v>356.84</v>
      </c>
      <c r="N4958" s="15" t="n">
        <f aca="false">M4958-L4958</f>
        <v>85.64</v>
      </c>
      <c r="O4958" s="1" t="n">
        <f aca="false">YEAR(B4958)</f>
        <v>2035</v>
      </c>
      <c r="P4958" s="1" t="n">
        <f aca="false">MONTH(B4958)</f>
        <v>7</v>
      </c>
      <c r="Q4958" s="1" t="str">
        <f aca="false">TEXT(B4958,"mmm")</f>
        <v>Jul</v>
      </c>
      <c r="R4958" s="1" t="str">
        <f aca="false">"Q"&amp;ROUNDUP(MONTH(B4958)/3,0)</f>
        <v>Q3</v>
      </c>
    </row>
    <row r="4959" customFormat="false" ht="15" hidden="false" customHeight="true" outlineLevel="0" collapsed="false">
      <c r="A4959" s="1" t="n">
        <v>14958</v>
      </c>
      <c r="B4959" s="14" t="n">
        <v>49519</v>
      </c>
      <c r="C4959" s="1" t="n">
        <v>1259</v>
      </c>
      <c r="D4959" s="1" t="s">
        <v>30</v>
      </c>
      <c r="E4959" s="1" t="s">
        <v>32</v>
      </c>
      <c r="F4959" s="1" t="n">
        <v>7</v>
      </c>
      <c r="G4959" s="15" t="n">
        <v>442.94</v>
      </c>
      <c r="H4959" s="16" t="n">
        <v>0.26</v>
      </c>
      <c r="I4959" s="1" t="s">
        <v>29</v>
      </c>
      <c r="J4959" s="1" t="n">
        <v>9</v>
      </c>
      <c r="K4959" s="1" t="n">
        <v>2.7</v>
      </c>
      <c r="L4959" s="15" t="n">
        <v>2294.43</v>
      </c>
      <c r="M4959" s="15" t="n">
        <f aca="false">F4959*G4959</f>
        <v>3100.58</v>
      </c>
      <c r="N4959" s="15" t="n">
        <f aca="false">M4959-L4959</f>
        <v>806.15</v>
      </c>
      <c r="O4959" s="1" t="n">
        <f aca="false">YEAR(B4959)</f>
        <v>2035</v>
      </c>
      <c r="P4959" s="1" t="n">
        <f aca="false">MONTH(B4959)</f>
        <v>7</v>
      </c>
      <c r="Q4959" s="1" t="str">
        <f aca="false">TEXT(B4959,"mmm")</f>
        <v>Jul</v>
      </c>
      <c r="R4959" s="1" t="str">
        <f aca="false">"Q"&amp;ROUNDUP(MONTH(B4959)/3,0)</f>
        <v>Q3</v>
      </c>
    </row>
    <row r="4960" customFormat="false" ht="15" hidden="false" customHeight="true" outlineLevel="0" collapsed="false">
      <c r="A4960" s="1" t="n">
        <v>14959</v>
      </c>
      <c r="B4960" s="14" t="n">
        <v>49520</v>
      </c>
      <c r="C4960" s="1" t="n">
        <v>1413</v>
      </c>
      <c r="D4960" s="1" t="s">
        <v>30</v>
      </c>
      <c r="E4960" s="1" t="s">
        <v>35</v>
      </c>
      <c r="F4960" s="1" t="n">
        <v>4</v>
      </c>
      <c r="G4960" s="15" t="n">
        <v>353.47</v>
      </c>
      <c r="H4960" s="16" t="n">
        <v>0.23</v>
      </c>
      <c r="I4960" s="1" t="s">
        <v>31</v>
      </c>
      <c r="J4960" s="1" t="n">
        <v>11</v>
      </c>
      <c r="K4960" s="1" t="n">
        <v>4.5</v>
      </c>
      <c r="L4960" s="15" t="n">
        <v>1088.69</v>
      </c>
      <c r="M4960" s="15" t="n">
        <f aca="false">F4960*G4960</f>
        <v>1413.88</v>
      </c>
      <c r="N4960" s="15" t="n">
        <f aca="false">M4960-L4960</f>
        <v>325.19</v>
      </c>
      <c r="O4960" s="1" t="n">
        <f aca="false">YEAR(B4960)</f>
        <v>2035</v>
      </c>
      <c r="P4960" s="1" t="n">
        <f aca="false">MONTH(B4960)</f>
        <v>7</v>
      </c>
      <c r="Q4960" s="1" t="str">
        <f aca="false">TEXT(B4960,"mmm")</f>
        <v>Jul</v>
      </c>
      <c r="R4960" s="1" t="str">
        <f aca="false">"Q"&amp;ROUNDUP(MONTH(B4960)/3,0)</f>
        <v>Q3</v>
      </c>
    </row>
    <row r="4961" customFormat="false" ht="15" hidden="false" customHeight="true" outlineLevel="0" collapsed="false">
      <c r="A4961" s="1" t="n">
        <v>14960</v>
      </c>
      <c r="B4961" s="14" t="n">
        <v>49521</v>
      </c>
      <c r="C4961" s="1" t="n">
        <v>1990</v>
      </c>
      <c r="D4961" s="1" t="s">
        <v>30</v>
      </c>
      <c r="E4961" s="1" t="s">
        <v>32</v>
      </c>
      <c r="F4961" s="1" t="n">
        <v>6</v>
      </c>
      <c r="G4961" s="15" t="n">
        <v>153.92</v>
      </c>
      <c r="H4961" s="16" t="n">
        <v>0.03</v>
      </c>
      <c r="I4961" s="1" t="s">
        <v>29</v>
      </c>
      <c r="J4961" s="1" t="n">
        <v>2</v>
      </c>
      <c r="K4961" s="1" t="n">
        <v>4.8</v>
      </c>
      <c r="L4961" s="15" t="n">
        <v>895.81</v>
      </c>
      <c r="M4961" s="15" t="n">
        <f aca="false">F4961*G4961</f>
        <v>923.52</v>
      </c>
      <c r="N4961" s="15" t="n">
        <f aca="false">M4961-L4961</f>
        <v>27.71</v>
      </c>
      <c r="O4961" s="1" t="n">
        <f aca="false">YEAR(B4961)</f>
        <v>2035</v>
      </c>
      <c r="P4961" s="1" t="n">
        <f aca="false">MONTH(B4961)</f>
        <v>7</v>
      </c>
      <c r="Q4961" s="1" t="str">
        <f aca="false">TEXT(B4961,"mmm")</f>
        <v>Jul</v>
      </c>
      <c r="R4961" s="1" t="str">
        <f aca="false">"Q"&amp;ROUNDUP(MONTH(B4961)/3,0)</f>
        <v>Q3</v>
      </c>
    </row>
    <row r="4962" customFormat="false" ht="15" hidden="false" customHeight="true" outlineLevel="0" collapsed="false">
      <c r="A4962" s="1" t="n">
        <v>14961</v>
      </c>
      <c r="B4962" s="14" t="n">
        <v>49522</v>
      </c>
      <c r="C4962" s="1" t="n">
        <v>1357</v>
      </c>
      <c r="D4962" s="1" t="s">
        <v>34</v>
      </c>
      <c r="E4962" s="1" t="s">
        <v>35</v>
      </c>
      <c r="F4962" s="1" t="n">
        <v>4</v>
      </c>
      <c r="G4962" s="15" t="n">
        <v>168.37</v>
      </c>
      <c r="H4962" s="16" t="n">
        <v>0.24</v>
      </c>
      <c r="I4962" s="1" t="s">
        <v>33</v>
      </c>
      <c r="J4962" s="1" t="n">
        <v>4</v>
      </c>
      <c r="K4962" s="1" t="n">
        <v>2.5</v>
      </c>
      <c r="L4962" s="15" t="n">
        <v>511.84</v>
      </c>
      <c r="M4962" s="15" t="n">
        <f aca="false">F4962*G4962</f>
        <v>673.48</v>
      </c>
      <c r="N4962" s="15" t="n">
        <f aca="false">M4962-L4962</f>
        <v>161.64</v>
      </c>
      <c r="O4962" s="1" t="n">
        <f aca="false">YEAR(B4962)</f>
        <v>2035</v>
      </c>
      <c r="P4962" s="1" t="n">
        <f aca="false">MONTH(B4962)</f>
        <v>8</v>
      </c>
      <c r="Q4962" s="1" t="str">
        <f aca="false">TEXT(B4962,"mmm")</f>
        <v>Aug</v>
      </c>
      <c r="R4962" s="1" t="str">
        <f aca="false">"Q"&amp;ROUNDUP(MONTH(B4962)/3,0)</f>
        <v>Q3</v>
      </c>
    </row>
    <row r="4963" customFormat="false" ht="15" hidden="false" customHeight="true" outlineLevel="0" collapsed="false">
      <c r="A4963" s="1" t="n">
        <v>14962</v>
      </c>
      <c r="B4963" s="14" t="n">
        <v>49523</v>
      </c>
      <c r="C4963" s="1" t="n">
        <v>1074</v>
      </c>
      <c r="D4963" s="1" t="s">
        <v>34</v>
      </c>
      <c r="E4963" s="1" t="s">
        <v>36</v>
      </c>
      <c r="F4963" s="1" t="n">
        <v>3</v>
      </c>
      <c r="G4963" s="15" t="n">
        <v>302.32</v>
      </c>
      <c r="H4963" s="16" t="n">
        <v>0.25</v>
      </c>
      <c r="I4963" s="1" t="s">
        <v>31</v>
      </c>
      <c r="J4963" s="1" t="n">
        <v>1</v>
      </c>
      <c r="K4963" s="1" t="n">
        <v>3.2</v>
      </c>
      <c r="L4963" s="15" t="n">
        <v>680.22</v>
      </c>
      <c r="M4963" s="15" t="n">
        <f aca="false">F4963*G4963</f>
        <v>906.96</v>
      </c>
      <c r="N4963" s="15" t="n">
        <f aca="false">M4963-L4963</f>
        <v>226.74</v>
      </c>
      <c r="O4963" s="1" t="n">
        <f aca="false">YEAR(B4963)</f>
        <v>2035</v>
      </c>
      <c r="P4963" s="1" t="n">
        <f aca="false">MONTH(B4963)</f>
        <v>8</v>
      </c>
      <c r="Q4963" s="1" t="str">
        <f aca="false">TEXT(B4963,"mmm")</f>
        <v>Aug</v>
      </c>
      <c r="R4963" s="1" t="str">
        <f aca="false">"Q"&amp;ROUNDUP(MONTH(B4963)/3,0)</f>
        <v>Q3</v>
      </c>
    </row>
    <row r="4964" customFormat="false" ht="15" hidden="false" customHeight="true" outlineLevel="0" collapsed="false">
      <c r="A4964" s="1" t="n">
        <v>14963</v>
      </c>
      <c r="B4964" s="14" t="n">
        <v>49524</v>
      </c>
      <c r="C4964" s="1" t="n">
        <v>1354</v>
      </c>
      <c r="D4964" s="1" t="s">
        <v>34</v>
      </c>
      <c r="E4964" s="1" t="s">
        <v>35</v>
      </c>
      <c r="F4964" s="1" t="n">
        <v>2</v>
      </c>
      <c r="G4964" s="15" t="n">
        <v>260.25</v>
      </c>
      <c r="H4964" s="16" t="n">
        <v>0.35</v>
      </c>
      <c r="I4964" s="1" t="s">
        <v>33</v>
      </c>
      <c r="J4964" s="1" t="n">
        <v>7</v>
      </c>
      <c r="K4964" s="1" t="n">
        <v>2.3</v>
      </c>
      <c r="L4964" s="15" t="n">
        <v>338.32</v>
      </c>
      <c r="M4964" s="15" t="n">
        <f aca="false">F4964*G4964</f>
        <v>520.5</v>
      </c>
      <c r="N4964" s="15" t="n">
        <f aca="false">M4964-L4964</f>
        <v>182.18</v>
      </c>
      <c r="O4964" s="1" t="n">
        <f aca="false">YEAR(B4964)</f>
        <v>2035</v>
      </c>
      <c r="P4964" s="1" t="n">
        <f aca="false">MONTH(B4964)</f>
        <v>8</v>
      </c>
      <c r="Q4964" s="1" t="str">
        <f aca="false">TEXT(B4964,"mmm")</f>
        <v>Aug</v>
      </c>
      <c r="R4964" s="1" t="str">
        <f aca="false">"Q"&amp;ROUNDUP(MONTH(B4964)/3,0)</f>
        <v>Q3</v>
      </c>
    </row>
    <row r="4965" customFormat="false" ht="15" hidden="false" customHeight="true" outlineLevel="0" collapsed="false">
      <c r="A4965" s="1" t="n">
        <v>14964</v>
      </c>
      <c r="B4965" s="14" t="n">
        <v>49525</v>
      </c>
      <c r="C4965" s="1" t="n">
        <v>1583</v>
      </c>
      <c r="D4965" s="1" t="s">
        <v>34</v>
      </c>
      <c r="E4965" s="1" t="s">
        <v>36</v>
      </c>
      <c r="F4965" s="1" t="n">
        <v>4</v>
      </c>
      <c r="G4965" s="15" t="n">
        <v>185.37</v>
      </c>
      <c r="H4965" s="16" t="n">
        <v>0.24</v>
      </c>
      <c r="I4965" s="1" t="s">
        <v>31</v>
      </c>
      <c r="J4965" s="1" t="n">
        <v>1</v>
      </c>
      <c r="K4965" s="1" t="n">
        <v>2.5</v>
      </c>
      <c r="L4965" s="15" t="n">
        <v>563.52</v>
      </c>
      <c r="M4965" s="15" t="n">
        <f aca="false">F4965*G4965</f>
        <v>741.48</v>
      </c>
      <c r="N4965" s="15" t="n">
        <f aca="false">M4965-L4965</f>
        <v>177.96</v>
      </c>
      <c r="O4965" s="1" t="n">
        <f aca="false">YEAR(B4965)</f>
        <v>2035</v>
      </c>
      <c r="P4965" s="1" t="n">
        <f aca="false">MONTH(B4965)</f>
        <v>8</v>
      </c>
      <c r="Q4965" s="1" t="str">
        <f aca="false">TEXT(B4965,"mmm")</f>
        <v>Aug</v>
      </c>
      <c r="R4965" s="1" t="str">
        <f aca="false">"Q"&amp;ROUNDUP(MONTH(B4965)/3,0)</f>
        <v>Q3</v>
      </c>
    </row>
    <row r="4966" customFormat="false" ht="15" hidden="false" customHeight="true" outlineLevel="0" collapsed="false">
      <c r="A4966" s="1" t="n">
        <v>14965</v>
      </c>
      <c r="B4966" s="14" t="n">
        <v>49526</v>
      </c>
      <c r="C4966" s="1" t="n">
        <v>1770</v>
      </c>
      <c r="D4966" s="1" t="s">
        <v>30</v>
      </c>
      <c r="E4966" s="1" t="s">
        <v>35</v>
      </c>
      <c r="F4966" s="1" t="n">
        <v>2</v>
      </c>
      <c r="G4966" s="15" t="n">
        <v>487.39</v>
      </c>
      <c r="H4966" s="16" t="n">
        <v>0.24</v>
      </c>
      <c r="I4966" s="1" t="s">
        <v>33</v>
      </c>
      <c r="J4966" s="1" t="n">
        <v>6</v>
      </c>
      <c r="K4966" s="1" t="n">
        <v>1.1</v>
      </c>
      <c r="L4966" s="15" t="n">
        <v>740.83</v>
      </c>
      <c r="M4966" s="15" t="n">
        <f aca="false">F4966*G4966</f>
        <v>974.78</v>
      </c>
      <c r="N4966" s="15" t="n">
        <f aca="false">M4966-L4966</f>
        <v>233.95</v>
      </c>
      <c r="O4966" s="1" t="n">
        <f aca="false">YEAR(B4966)</f>
        <v>2035</v>
      </c>
      <c r="P4966" s="1" t="n">
        <f aca="false">MONTH(B4966)</f>
        <v>8</v>
      </c>
      <c r="Q4966" s="1" t="str">
        <f aca="false">TEXT(B4966,"mmm")</f>
        <v>Aug</v>
      </c>
      <c r="R4966" s="1" t="str">
        <f aca="false">"Q"&amp;ROUNDUP(MONTH(B4966)/3,0)</f>
        <v>Q3</v>
      </c>
    </row>
    <row r="4967" customFormat="false" ht="15" hidden="false" customHeight="true" outlineLevel="0" collapsed="false">
      <c r="A4967" s="1" t="n">
        <v>14966</v>
      </c>
      <c r="B4967" s="14" t="n">
        <v>49527</v>
      </c>
      <c r="C4967" s="1" t="n">
        <v>1909</v>
      </c>
      <c r="D4967" s="1" t="s">
        <v>37</v>
      </c>
      <c r="E4967" s="1" t="s">
        <v>32</v>
      </c>
      <c r="F4967" s="1" t="n">
        <v>1</v>
      </c>
      <c r="G4967" s="15" t="n">
        <v>296.66</v>
      </c>
      <c r="H4967" s="16" t="n">
        <v>0.18</v>
      </c>
      <c r="I4967" s="1" t="s">
        <v>29</v>
      </c>
      <c r="J4967" s="1" t="n">
        <v>10</v>
      </c>
      <c r="K4967" s="1" t="n">
        <v>4.1</v>
      </c>
      <c r="L4967" s="15" t="n">
        <v>243.26</v>
      </c>
      <c r="M4967" s="15" t="n">
        <f aca="false">F4967*G4967</f>
        <v>296.66</v>
      </c>
      <c r="N4967" s="15" t="n">
        <f aca="false">M4967-L4967</f>
        <v>53.4</v>
      </c>
      <c r="O4967" s="1" t="n">
        <f aca="false">YEAR(B4967)</f>
        <v>2035</v>
      </c>
      <c r="P4967" s="1" t="n">
        <f aca="false">MONTH(B4967)</f>
        <v>8</v>
      </c>
      <c r="Q4967" s="1" t="str">
        <f aca="false">TEXT(B4967,"mmm")</f>
        <v>Aug</v>
      </c>
      <c r="R4967" s="1" t="str">
        <f aca="false">"Q"&amp;ROUNDUP(MONTH(B4967)/3,0)</f>
        <v>Q3</v>
      </c>
    </row>
    <row r="4968" customFormat="false" ht="15" hidden="false" customHeight="true" outlineLevel="0" collapsed="false">
      <c r="A4968" s="1" t="n">
        <v>14967</v>
      </c>
      <c r="B4968" s="14" t="n">
        <v>49528</v>
      </c>
      <c r="C4968" s="1" t="n">
        <v>1187</v>
      </c>
      <c r="D4968" s="1" t="s">
        <v>37</v>
      </c>
      <c r="E4968" s="1" t="s">
        <v>36</v>
      </c>
      <c r="F4968" s="1" t="n">
        <v>4</v>
      </c>
      <c r="G4968" s="15" t="n">
        <v>398.09</v>
      </c>
      <c r="H4968" s="16" t="n">
        <v>0.3</v>
      </c>
      <c r="I4968" s="1" t="s">
        <v>33</v>
      </c>
      <c r="J4968" s="1" t="n">
        <v>10</v>
      </c>
      <c r="K4968" s="1" t="n">
        <v>4.9</v>
      </c>
      <c r="L4968" s="15" t="n">
        <v>1114.65</v>
      </c>
      <c r="M4968" s="15" t="n">
        <f aca="false">F4968*G4968</f>
        <v>1592.36</v>
      </c>
      <c r="N4968" s="15" t="n">
        <f aca="false">M4968-L4968</f>
        <v>477.71</v>
      </c>
      <c r="O4968" s="1" t="n">
        <f aca="false">YEAR(B4968)</f>
        <v>2035</v>
      </c>
      <c r="P4968" s="1" t="n">
        <f aca="false">MONTH(B4968)</f>
        <v>8</v>
      </c>
      <c r="Q4968" s="1" t="str">
        <f aca="false">TEXT(B4968,"mmm")</f>
        <v>Aug</v>
      </c>
      <c r="R4968" s="1" t="str">
        <f aca="false">"Q"&amp;ROUNDUP(MONTH(B4968)/3,0)</f>
        <v>Q3</v>
      </c>
    </row>
    <row r="4969" customFormat="false" ht="15" hidden="false" customHeight="true" outlineLevel="0" collapsed="false">
      <c r="A4969" s="1" t="n">
        <v>14968</v>
      </c>
      <c r="B4969" s="14" t="n">
        <v>49529</v>
      </c>
      <c r="C4969" s="1" t="n">
        <v>1972</v>
      </c>
      <c r="D4969" s="1" t="s">
        <v>37</v>
      </c>
      <c r="E4969" s="1" t="s">
        <v>32</v>
      </c>
      <c r="F4969" s="1" t="n">
        <v>3</v>
      </c>
      <c r="G4969" s="15" t="n">
        <v>125.72</v>
      </c>
      <c r="H4969" s="16" t="n">
        <v>0.35</v>
      </c>
      <c r="I4969" s="1" t="s">
        <v>31</v>
      </c>
      <c r="J4969" s="1" t="n">
        <v>9</v>
      </c>
      <c r="K4969" s="1" t="n">
        <v>4.1</v>
      </c>
      <c r="L4969" s="15" t="n">
        <v>245.15</v>
      </c>
      <c r="M4969" s="15" t="n">
        <f aca="false">F4969*G4969</f>
        <v>377.16</v>
      </c>
      <c r="N4969" s="15" t="n">
        <f aca="false">M4969-L4969</f>
        <v>132.01</v>
      </c>
      <c r="O4969" s="1" t="n">
        <f aca="false">YEAR(B4969)</f>
        <v>2035</v>
      </c>
      <c r="P4969" s="1" t="n">
        <f aca="false">MONTH(B4969)</f>
        <v>8</v>
      </c>
      <c r="Q4969" s="1" t="str">
        <f aca="false">TEXT(B4969,"mmm")</f>
        <v>Aug</v>
      </c>
      <c r="R4969" s="1" t="str">
        <f aca="false">"Q"&amp;ROUNDUP(MONTH(B4969)/3,0)</f>
        <v>Q3</v>
      </c>
    </row>
    <row r="4970" customFormat="false" ht="15" hidden="false" customHeight="true" outlineLevel="0" collapsed="false">
      <c r="A4970" s="1" t="n">
        <v>14969</v>
      </c>
      <c r="B4970" s="14" t="n">
        <v>49530</v>
      </c>
      <c r="C4970" s="1" t="n">
        <v>1684</v>
      </c>
      <c r="D4970" s="1" t="s">
        <v>30</v>
      </c>
      <c r="E4970" s="1" t="s">
        <v>36</v>
      </c>
      <c r="F4970" s="1" t="n">
        <v>7</v>
      </c>
      <c r="G4970" s="15" t="n">
        <v>327.1</v>
      </c>
      <c r="H4970" s="16" t="n">
        <v>0.27</v>
      </c>
      <c r="I4970" s="1" t="s">
        <v>31</v>
      </c>
      <c r="J4970" s="1" t="n">
        <v>2</v>
      </c>
      <c r="K4970" s="1" t="n">
        <v>3.1</v>
      </c>
      <c r="L4970" s="15" t="n">
        <v>1671.48</v>
      </c>
      <c r="M4970" s="15" t="n">
        <f aca="false">F4970*G4970</f>
        <v>2289.7</v>
      </c>
      <c r="N4970" s="15" t="n">
        <f aca="false">M4970-L4970</f>
        <v>618.22</v>
      </c>
      <c r="O4970" s="1" t="n">
        <f aca="false">YEAR(B4970)</f>
        <v>2035</v>
      </c>
      <c r="P4970" s="1" t="n">
        <f aca="false">MONTH(B4970)</f>
        <v>8</v>
      </c>
      <c r="Q4970" s="1" t="str">
        <f aca="false">TEXT(B4970,"mmm")</f>
        <v>Aug</v>
      </c>
      <c r="R4970" s="1" t="str">
        <f aca="false">"Q"&amp;ROUNDUP(MONTH(B4970)/3,0)</f>
        <v>Q3</v>
      </c>
    </row>
    <row r="4971" customFormat="false" ht="15" hidden="false" customHeight="true" outlineLevel="0" collapsed="false">
      <c r="A4971" s="1" t="n">
        <v>14970</v>
      </c>
      <c r="B4971" s="14" t="n">
        <v>49531</v>
      </c>
      <c r="C4971" s="1" t="n">
        <v>1991</v>
      </c>
      <c r="D4971" s="1" t="s">
        <v>30</v>
      </c>
      <c r="E4971" s="1" t="s">
        <v>35</v>
      </c>
      <c r="F4971" s="1" t="n">
        <v>4</v>
      </c>
      <c r="G4971" s="15" t="n">
        <v>201.02</v>
      </c>
      <c r="H4971" s="16" t="n">
        <v>0.21</v>
      </c>
      <c r="I4971" s="1" t="s">
        <v>31</v>
      </c>
      <c r="J4971" s="1" t="n">
        <v>1</v>
      </c>
      <c r="K4971" s="1" t="n">
        <v>4.3</v>
      </c>
      <c r="L4971" s="15" t="n">
        <v>635.22</v>
      </c>
      <c r="M4971" s="15" t="n">
        <f aca="false">F4971*G4971</f>
        <v>804.08</v>
      </c>
      <c r="N4971" s="15" t="n">
        <f aca="false">M4971-L4971</f>
        <v>168.86</v>
      </c>
      <c r="O4971" s="1" t="n">
        <f aca="false">YEAR(B4971)</f>
        <v>2035</v>
      </c>
      <c r="P4971" s="1" t="n">
        <f aca="false">MONTH(B4971)</f>
        <v>8</v>
      </c>
      <c r="Q4971" s="1" t="str">
        <f aca="false">TEXT(B4971,"mmm")</f>
        <v>Aug</v>
      </c>
      <c r="R4971" s="1" t="str">
        <f aca="false">"Q"&amp;ROUNDUP(MONTH(B4971)/3,0)</f>
        <v>Q3</v>
      </c>
    </row>
    <row r="4972" customFormat="false" ht="15" hidden="false" customHeight="true" outlineLevel="0" collapsed="false">
      <c r="A4972" s="1" t="n">
        <v>14971</v>
      </c>
      <c r="B4972" s="14" t="n">
        <v>49532</v>
      </c>
      <c r="C4972" s="1" t="n">
        <v>1289</v>
      </c>
      <c r="D4972" s="1" t="s">
        <v>30</v>
      </c>
      <c r="E4972" s="1" t="s">
        <v>35</v>
      </c>
      <c r="F4972" s="1" t="n">
        <v>2</v>
      </c>
      <c r="G4972" s="15" t="n">
        <v>322.95</v>
      </c>
      <c r="H4972" s="16" t="n">
        <v>0.03</v>
      </c>
      <c r="I4972" s="1" t="s">
        <v>31</v>
      </c>
      <c r="J4972" s="1" t="n">
        <v>11</v>
      </c>
      <c r="K4972" s="1" t="n">
        <v>4.4</v>
      </c>
      <c r="L4972" s="15" t="n">
        <v>626.52</v>
      </c>
      <c r="M4972" s="15" t="n">
        <f aca="false">F4972*G4972</f>
        <v>645.9</v>
      </c>
      <c r="N4972" s="15" t="n">
        <f aca="false">M4972-L4972</f>
        <v>19.38</v>
      </c>
      <c r="O4972" s="1" t="n">
        <f aca="false">YEAR(B4972)</f>
        <v>2035</v>
      </c>
      <c r="P4972" s="1" t="n">
        <f aca="false">MONTH(B4972)</f>
        <v>8</v>
      </c>
      <c r="Q4972" s="1" t="str">
        <f aca="false">TEXT(B4972,"mmm")</f>
        <v>Aug</v>
      </c>
      <c r="R4972" s="1" t="str">
        <f aca="false">"Q"&amp;ROUNDUP(MONTH(B4972)/3,0)</f>
        <v>Q3</v>
      </c>
    </row>
    <row r="4973" customFormat="false" ht="15" hidden="false" customHeight="true" outlineLevel="0" collapsed="false">
      <c r="A4973" s="1" t="n">
        <v>14972</v>
      </c>
      <c r="B4973" s="14" t="n">
        <v>49533</v>
      </c>
      <c r="C4973" s="1" t="n">
        <v>1044</v>
      </c>
      <c r="D4973" s="1" t="s">
        <v>34</v>
      </c>
      <c r="E4973" s="1" t="s">
        <v>35</v>
      </c>
      <c r="F4973" s="1" t="n">
        <v>5</v>
      </c>
      <c r="G4973" s="15" t="n">
        <v>471.78</v>
      </c>
      <c r="H4973" s="16" t="n">
        <v>0.25</v>
      </c>
      <c r="I4973" s="1" t="s">
        <v>31</v>
      </c>
      <c r="J4973" s="1" t="n">
        <v>11</v>
      </c>
      <c r="K4973" s="1" t="n">
        <v>3.2</v>
      </c>
      <c r="L4973" s="15" t="n">
        <v>1769.17</v>
      </c>
      <c r="M4973" s="15" t="n">
        <f aca="false">F4973*G4973</f>
        <v>2358.9</v>
      </c>
      <c r="N4973" s="15" t="n">
        <f aca="false">M4973-L4973</f>
        <v>589.73</v>
      </c>
      <c r="O4973" s="1" t="n">
        <f aca="false">YEAR(B4973)</f>
        <v>2035</v>
      </c>
      <c r="P4973" s="1" t="n">
        <f aca="false">MONTH(B4973)</f>
        <v>8</v>
      </c>
      <c r="Q4973" s="1" t="str">
        <f aca="false">TEXT(B4973,"mmm")</f>
        <v>Aug</v>
      </c>
      <c r="R4973" s="1" t="str">
        <f aca="false">"Q"&amp;ROUNDUP(MONTH(B4973)/3,0)</f>
        <v>Q3</v>
      </c>
    </row>
    <row r="4974" customFormat="false" ht="15" hidden="false" customHeight="true" outlineLevel="0" collapsed="false">
      <c r="A4974" s="1" t="n">
        <v>14973</v>
      </c>
      <c r="B4974" s="14" t="n">
        <v>49534</v>
      </c>
      <c r="C4974" s="1" t="n">
        <v>1572</v>
      </c>
      <c r="D4974" s="1" t="s">
        <v>34</v>
      </c>
      <c r="E4974" s="1" t="s">
        <v>28</v>
      </c>
      <c r="F4974" s="1" t="n">
        <v>5</v>
      </c>
      <c r="G4974" s="15" t="n">
        <v>464.81</v>
      </c>
      <c r="H4974" s="16" t="n">
        <v>0.25</v>
      </c>
      <c r="I4974" s="1" t="s">
        <v>33</v>
      </c>
      <c r="J4974" s="1" t="n">
        <v>11</v>
      </c>
      <c r="K4974" s="1" t="n">
        <v>4.7</v>
      </c>
      <c r="L4974" s="15" t="n">
        <v>1743.04</v>
      </c>
      <c r="M4974" s="15" t="n">
        <f aca="false">F4974*G4974</f>
        <v>2324.05</v>
      </c>
      <c r="N4974" s="15" t="n">
        <f aca="false">M4974-L4974</f>
        <v>581.01</v>
      </c>
      <c r="O4974" s="1" t="n">
        <f aca="false">YEAR(B4974)</f>
        <v>2035</v>
      </c>
      <c r="P4974" s="1" t="n">
        <f aca="false">MONTH(B4974)</f>
        <v>8</v>
      </c>
      <c r="Q4974" s="1" t="str">
        <f aca="false">TEXT(B4974,"mmm")</f>
        <v>Aug</v>
      </c>
      <c r="R4974" s="1" t="str">
        <f aca="false">"Q"&amp;ROUNDUP(MONTH(B4974)/3,0)</f>
        <v>Q3</v>
      </c>
    </row>
    <row r="4975" customFormat="false" ht="15" hidden="false" customHeight="true" outlineLevel="0" collapsed="false">
      <c r="A4975" s="1" t="n">
        <v>14974</v>
      </c>
      <c r="B4975" s="14" t="n">
        <v>49535</v>
      </c>
      <c r="C4975" s="1" t="n">
        <v>1082</v>
      </c>
      <c r="D4975" s="1" t="s">
        <v>30</v>
      </c>
      <c r="E4975" s="1" t="s">
        <v>28</v>
      </c>
      <c r="F4975" s="1" t="n">
        <v>7</v>
      </c>
      <c r="G4975" s="15" t="n">
        <v>222.22</v>
      </c>
      <c r="H4975" s="16" t="n">
        <v>0.27</v>
      </c>
      <c r="I4975" s="1" t="s">
        <v>33</v>
      </c>
      <c r="J4975" s="1" t="n">
        <v>10</v>
      </c>
      <c r="K4975" s="1" t="n">
        <v>1.1</v>
      </c>
      <c r="L4975" s="15" t="n">
        <v>1135.54</v>
      </c>
      <c r="M4975" s="15" t="n">
        <f aca="false">F4975*G4975</f>
        <v>1555.54</v>
      </c>
      <c r="N4975" s="15" t="n">
        <f aca="false">M4975-L4975</f>
        <v>420</v>
      </c>
      <c r="O4975" s="1" t="n">
        <f aca="false">YEAR(B4975)</f>
        <v>2035</v>
      </c>
      <c r="P4975" s="1" t="n">
        <f aca="false">MONTH(B4975)</f>
        <v>8</v>
      </c>
      <c r="Q4975" s="1" t="str">
        <f aca="false">TEXT(B4975,"mmm")</f>
        <v>Aug</v>
      </c>
      <c r="R4975" s="1" t="str">
        <f aca="false">"Q"&amp;ROUNDUP(MONTH(B4975)/3,0)</f>
        <v>Q3</v>
      </c>
    </row>
    <row r="4976" customFormat="false" ht="15" hidden="false" customHeight="true" outlineLevel="0" collapsed="false">
      <c r="A4976" s="1" t="n">
        <v>14975</v>
      </c>
      <c r="B4976" s="14" t="n">
        <v>49536</v>
      </c>
      <c r="C4976" s="1" t="n">
        <v>1122</v>
      </c>
      <c r="D4976" s="1" t="s">
        <v>27</v>
      </c>
      <c r="E4976" s="1" t="s">
        <v>36</v>
      </c>
      <c r="F4976" s="1" t="n">
        <v>7</v>
      </c>
      <c r="G4976" s="15" t="n">
        <v>421.15</v>
      </c>
      <c r="H4976" s="16" t="n">
        <v>0.04</v>
      </c>
      <c r="I4976" s="1" t="s">
        <v>33</v>
      </c>
      <c r="J4976" s="1" t="n">
        <v>3</v>
      </c>
      <c r="K4976" s="1" t="n">
        <v>1</v>
      </c>
      <c r="L4976" s="15" t="n">
        <v>2830.13</v>
      </c>
      <c r="M4976" s="15" t="n">
        <f aca="false">F4976*G4976</f>
        <v>2948.05</v>
      </c>
      <c r="N4976" s="15" t="n">
        <f aca="false">M4976-L4976</f>
        <v>117.92</v>
      </c>
      <c r="O4976" s="1" t="n">
        <f aca="false">YEAR(B4976)</f>
        <v>2035</v>
      </c>
      <c r="P4976" s="1" t="n">
        <f aca="false">MONTH(B4976)</f>
        <v>8</v>
      </c>
      <c r="Q4976" s="1" t="str">
        <f aca="false">TEXT(B4976,"mmm")</f>
        <v>Aug</v>
      </c>
      <c r="R4976" s="1" t="str">
        <f aca="false">"Q"&amp;ROUNDUP(MONTH(B4976)/3,0)</f>
        <v>Q3</v>
      </c>
    </row>
    <row r="4977" customFormat="false" ht="15" hidden="false" customHeight="true" outlineLevel="0" collapsed="false">
      <c r="A4977" s="1" t="n">
        <v>14976</v>
      </c>
      <c r="B4977" s="14" t="n">
        <v>49537</v>
      </c>
      <c r="C4977" s="1" t="n">
        <v>1357</v>
      </c>
      <c r="D4977" s="1" t="s">
        <v>34</v>
      </c>
      <c r="E4977" s="1" t="s">
        <v>28</v>
      </c>
      <c r="F4977" s="1" t="n">
        <v>6</v>
      </c>
      <c r="G4977" s="15" t="n">
        <v>565.65</v>
      </c>
      <c r="H4977" s="16" t="n">
        <v>0.23</v>
      </c>
      <c r="I4977" s="1" t="s">
        <v>31</v>
      </c>
      <c r="J4977" s="1" t="n">
        <v>6</v>
      </c>
      <c r="K4977" s="1" t="n">
        <v>1.3</v>
      </c>
      <c r="L4977" s="15" t="n">
        <v>2613.3</v>
      </c>
      <c r="M4977" s="15" t="n">
        <f aca="false">F4977*G4977</f>
        <v>3393.9</v>
      </c>
      <c r="N4977" s="15" t="n">
        <f aca="false">M4977-L4977</f>
        <v>780.6</v>
      </c>
      <c r="O4977" s="1" t="n">
        <f aca="false">YEAR(B4977)</f>
        <v>2035</v>
      </c>
      <c r="P4977" s="1" t="n">
        <f aca="false">MONTH(B4977)</f>
        <v>8</v>
      </c>
      <c r="Q4977" s="1" t="str">
        <f aca="false">TEXT(B4977,"mmm")</f>
        <v>Aug</v>
      </c>
      <c r="R4977" s="1" t="str">
        <f aca="false">"Q"&amp;ROUNDUP(MONTH(B4977)/3,0)</f>
        <v>Q3</v>
      </c>
    </row>
    <row r="4978" customFormat="false" ht="15" hidden="false" customHeight="true" outlineLevel="0" collapsed="false">
      <c r="A4978" s="1" t="n">
        <v>14977</v>
      </c>
      <c r="B4978" s="14" t="n">
        <v>49538</v>
      </c>
      <c r="C4978" s="1" t="n">
        <v>1527</v>
      </c>
      <c r="D4978" s="1" t="s">
        <v>34</v>
      </c>
      <c r="E4978" s="1" t="s">
        <v>35</v>
      </c>
      <c r="F4978" s="1" t="n">
        <v>7</v>
      </c>
      <c r="G4978" s="15" t="n">
        <v>381.02</v>
      </c>
      <c r="H4978" s="16" t="n">
        <v>0.1</v>
      </c>
      <c r="I4978" s="1" t="s">
        <v>31</v>
      </c>
      <c r="J4978" s="1" t="n">
        <v>7</v>
      </c>
      <c r="K4978" s="1" t="n">
        <v>1.2</v>
      </c>
      <c r="L4978" s="15" t="n">
        <v>2400.43</v>
      </c>
      <c r="M4978" s="15" t="n">
        <f aca="false">F4978*G4978</f>
        <v>2667.14</v>
      </c>
      <c r="N4978" s="15" t="n">
        <f aca="false">M4978-L4978</f>
        <v>266.71</v>
      </c>
      <c r="O4978" s="1" t="n">
        <f aca="false">YEAR(B4978)</f>
        <v>2035</v>
      </c>
      <c r="P4978" s="1" t="n">
        <f aca="false">MONTH(B4978)</f>
        <v>8</v>
      </c>
      <c r="Q4978" s="1" t="str">
        <f aca="false">TEXT(B4978,"mmm")</f>
        <v>Aug</v>
      </c>
      <c r="R4978" s="1" t="str">
        <f aca="false">"Q"&amp;ROUNDUP(MONTH(B4978)/3,0)</f>
        <v>Q3</v>
      </c>
    </row>
    <row r="4979" customFormat="false" ht="15" hidden="false" customHeight="true" outlineLevel="0" collapsed="false">
      <c r="A4979" s="1" t="n">
        <v>14978</v>
      </c>
      <c r="B4979" s="14" t="n">
        <v>49539</v>
      </c>
      <c r="C4979" s="1" t="n">
        <v>1065</v>
      </c>
      <c r="D4979" s="1" t="s">
        <v>37</v>
      </c>
      <c r="E4979" s="1" t="s">
        <v>28</v>
      </c>
      <c r="F4979" s="1" t="n">
        <v>2</v>
      </c>
      <c r="G4979" s="15" t="n">
        <v>101.82</v>
      </c>
      <c r="H4979" s="16" t="n">
        <v>0.27</v>
      </c>
      <c r="I4979" s="1" t="s">
        <v>31</v>
      </c>
      <c r="J4979" s="1" t="n">
        <v>11</v>
      </c>
      <c r="K4979" s="1" t="n">
        <v>2.7</v>
      </c>
      <c r="L4979" s="15" t="n">
        <v>148.66</v>
      </c>
      <c r="M4979" s="15" t="n">
        <f aca="false">F4979*G4979</f>
        <v>203.64</v>
      </c>
      <c r="N4979" s="15" t="n">
        <f aca="false">M4979-L4979</f>
        <v>54.98</v>
      </c>
      <c r="O4979" s="1" t="n">
        <f aca="false">YEAR(B4979)</f>
        <v>2035</v>
      </c>
      <c r="P4979" s="1" t="n">
        <f aca="false">MONTH(B4979)</f>
        <v>8</v>
      </c>
      <c r="Q4979" s="1" t="str">
        <f aca="false">TEXT(B4979,"mmm")</f>
        <v>Aug</v>
      </c>
      <c r="R4979" s="1" t="str">
        <f aca="false">"Q"&amp;ROUNDUP(MONTH(B4979)/3,0)</f>
        <v>Q3</v>
      </c>
    </row>
    <row r="4980" customFormat="false" ht="15" hidden="false" customHeight="true" outlineLevel="0" collapsed="false">
      <c r="A4980" s="1" t="n">
        <v>14979</v>
      </c>
      <c r="B4980" s="14" t="n">
        <v>49540</v>
      </c>
      <c r="C4980" s="1" t="n">
        <v>1935</v>
      </c>
      <c r="D4980" s="1" t="s">
        <v>34</v>
      </c>
      <c r="E4980" s="1" t="s">
        <v>28</v>
      </c>
      <c r="F4980" s="1" t="n">
        <v>1</v>
      </c>
      <c r="G4980" s="15" t="n">
        <v>412.63</v>
      </c>
      <c r="H4980" s="16" t="n">
        <v>0.08</v>
      </c>
      <c r="I4980" s="1" t="s">
        <v>31</v>
      </c>
      <c r="J4980" s="1" t="n">
        <v>8</v>
      </c>
      <c r="K4980" s="1" t="n">
        <v>4.8</v>
      </c>
      <c r="L4980" s="15" t="n">
        <v>379.62</v>
      </c>
      <c r="M4980" s="15" t="n">
        <f aca="false">F4980*G4980</f>
        <v>412.63</v>
      </c>
      <c r="N4980" s="15" t="n">
        <f aca="false">M4980-L4980</f>
        <v>33.01</v>
      </c>
      <c r="O4980" s="1" t="n">
        <f aca="false">YEAR(B4980)</f>
        <v>2035</v>
      </c>
      <c r="P4980" s="1" t="n">
        <f aca="false">MONTH(B4980)</f>
        <v>8</v>
      </c>
      <c r="Q4980" s="1" t="str">
        <f aca="false">TEXT(B4980,"mmm")</f>
        <v>Aug</v>
      </c>
      <c r="R4980" s="1" t="str">
        <f aca="false">"Q"&amp;ROUNDUP(MONTH(B4980)/3,0)</f>
        <v>Q3</v>
      </c>
    </row>
    <row r="4981" customFormat="false" ht="15" hidden="false" customHeight="true" outlineLevel="0" collapsed="false">
      <c r="A4981" s="1" t="n">
        <v>14980</v>
      </c>
      <c r="B4981" s="14" t="n">
        <v>49541</v>
      </c>
      <c r="C4981" s="1" t="n">
        <v>1656</v>
      </c>
      <c r="D4981" s="1" t="s">
        <v>37</v>
      </c>
      <c r="E4981" s="1" t="s">
        <v>32</v>
      </c>
      <c r="F4981" s="1" t="n">
        <v>4</v>
      </c>
      <c r="G4981" s="15" t="n">
        <v>76.37</v>
      </c>
      <c r="H4981" s="16" t="n">
        <v>0.24</v>
      </c>
      <c r="I4981" s="1" t="s">
        <v>31</v>
      </c>
      <c r="J4981" s="1" t="n">
        <v>4</v>
      </c>
      <c r="K4981" s="1" t="n">
        <v>3.7</v>
      </c>
      <c r="L4981" s="15" t="n">
        <v>232.16</v>
      </c>
      <c r="M4981" s="15" t="n">
        <f aca="false">F4981*G4981</f>
        <v>305.48</v>
      </c>
      <c r="N4981" s="15" t="n">
        <f aca="false">M4981-L4981</f>
        <v>73.32</v>
      </c>
      <c r="O4981" s="1" t="n">
        <f aca="false">YEAR(B4981)</f>
        <v>2035</v>
      </c>
      <c r="P4981" s="1" t="n">
        <f aca="false">MONTH(B4981)</f>
        <v>8</v>
      </c>
      <c r="Q4981" s="1" t="str">
        <f aca="false">TEXT(B4981,"mmm")</f>
        <v>Aug</v>
      </c>
      <c r="R4981" s="1" t="str">
        <f aca="false">"Q"&amp;ROUNDUP(MONTH(B4981)/3,0)</f>
        <v>Q3</v>
      </c>
    </row>
    <row r="4982" customFormat="false" ht="15" hidden="false" customHeight="true" outlineLevel="0" collapsed="false">
      <c r="A4982" s="1" t="n">
        <v>14981</v>
      </c>
      <c r="B4982" s="14" t="n">
        <v>49542</v>
      </c>
      <c r="C4982" s="1" t="n">
        <v>1374</v>
      </c>
      <c r="D4982" s="1" t="s">
        <v>37</v>
      </c>
      <c r="E4982" s="1" t="s">
        <v>36</v>
      </c>
      <c r="F4982" s="1" t="n">
        <v>7</v>
      </c>
      <c r="G4982" s="15" t="n">
        <v>525.18</v>
      </c>
      <c r="H4982" s="16" t="n">
        <v>0.1</v>
      </c>
      <c r="I4982" s="1" t="s">
        <v>31</v>
      </c>
      <c r="J4982" s="1" t="n">
        <v>8</v>
      </c>
      <c r="K4982" s="1" t="n">
        <v>3.6</v>
      </c>
      <c r="L4982" s="15" t="n">
        <v>3308.63</v>
      </c>
      <c r="M4982" s="15" t="n">
        <f aca="false">F4982*G4982</f>
        <v>3676.26</v>
      </c>
      <c r="N4982" s="15" t="n">
        <f aca="false">M4982-L4982</f>
        <v>367.63</v>
      </c>
      <c r="O4982" s="1" t="n">
        <f aca="false">YEAR(B4982)</f>
        <v>2035</v>
      </c>
      <c r="P4982" s="1" t="n">
        <f aca="false">MONTH(B4982)</f>
        <v>8</v>
      </c>
      <c r="Q4982" s="1" t="str">
        <f aca="false">TEXT(B4982,"mmm")</f>
        <v>Aug</v>
      </c>
      <c r="R4982" s="1" t="str">
        <f aca="false">"Q"&amp;ROUNDUP(MONTH(B4982)/3,0)</f>
        <v>Q3</v>
      </c>
    </row>
    <row r="4983" customFormat="false" ht="15" hidden="false" customHeight="true" outlineLevel="0" collapsed="false">
      <c r="A4983" s="1" t="n">
        <v>14982</v>
      </c>
      <c r="B4983" s="14" t="n">
        <v>49543</v>
      </c>
      <c r="C4983" s="1" t="n">
        <v>1161</v>
      </c>
      <c r="D4983" s="1" t="s">
        <v>27</v>
      </c>
      <c r="E4983" s="1" t="s">
        <v>36</v>
      </c>
      <c r="F4983" s="1" t="n">
        <v>5</v>
      </c>
      <c r="G4983" s="15" t="n">
        <v>317.25</v>
      </c>
      <c r="H4983" s="16" t="n">
        <v>0</v>
      </c>
      <c r="I4983" s="1" t="s">
        <v>33</v>
      </c>
      <c r="J4983" s="1" t="n">
        <v>7</v>
      </c>
      <c r="K4983" s="1" t="n">
        <v>2.5</v>
      </c>
      <c r="L4983" s="15" t="n">
        <v>1586.25</v>
      </c>
      <c r="M4983" s="15" t="n">
        <f aca="false">F4983*G4983</f>
        <v>1586.25</v>
      </c>
      <c r="N4983" s="15" t="n">
        <f aca="false">M4983-L4983</f>
        <v>0</v>
      </c>
      <c r="O4983" s="1" t="n">
        <f aca="false">YEAR(B4983)</f>
        <v>2035</v>
      </c>
      <c r="P4983" s="1" t="n">
        <f aca="false">MONTH(B4983)</f>
        <v>8</v>
      </c>
      <c r="Q4983" s="1" t="str">
        <f aca="false">TEXT(B4983,"mmm")</f>
        <v>Aug</v>
      </c>
      <c r="R4983" s="1" t="str">
        <f aca="false">"Q"&amp;ROUNDUP(MONTH(B4983)/3,0)</f>
        <v>Q3</v>
      </c>
    </row>
    <row r="4984" customFormat="false" ht="15" hidden="false" customHeight="true" outlineLevel="0" collapsed="false">
      <c r="A4984" s="1" t="n">
        <v>14983</v>
      </c>
      <c r="B4984" s="14" t="n">
        <v>49544</v>
      </c>
      <c r="C4984" s="1" t="n">
        <v>1745</v>
      </c>
      <c r="D4984" s="1" t="s">
        <v>30</v>
      </c>
      <c r="E4984" s="1" t="s">
        <v>36</v>
      </c>
      <c r="F4984" s="1" t="n">
        <v>1</v>
      </c>
      <c r="G4984" s="15" t="n">
        <v>240.31</v>
      </c>
      <c r="H4984" s="16" t="n">
        <v>0.22</v>
      </c>
      <c r="I4984" s="1" t="s">
        <v>29</v>
      </c>
      <c r="J4984" s="1" t="n">
        <v>11</v>
      </c>
      <c r="K4984" s="1" t="n">
        <v>3.1</v>
      </c>
      <c r="L4984" s="15" t="n">
        <v>187.44</v>
      </c>
      <c r="M4984" s="15" t="n">
        <f aca="false">F4984*G4984</f>
        <v>240.31</v>
      </c>
      <c r="N4984" s="15" t="n">
        <f aca="false">M4984-L4984</f>
        <v>52.87</v>
      </c>
      <c r="O4984" s="1" t="n">
        <f aca="false">YEAR(B4984)</f>
        <v>2035</v>
      </c>
      <c r="P4984" s="1" t="n">
        <f aca="false">MONTH(B4984)</f>
        <v>8</v>
      </c>
      <c r="Q4984" s="1" t="str">
        <f aca="false">TEXT(B4984,"mmm")</f>
        <v>Aug</v>
      </c>
      <c r="R4984" s="1" t="str">
        <f aca="false">"Q"&amp;ROUNDUP(MONTH(B4984)/3,0)</f>
        <v>Q3</v>
      </c>
    </row>
    <row r="4985" customFormat="false" ht="15" hidden="false" customHeight="true" outlineLevel="0" collapsed="false">
      <c r="A4985" s="1" t="n">
        <v>14984</v>
      </c>
      <c r="B4985" s="14" t="n">
        <v>49545</v>
      </c>
      <c r="C4985" s="1" t="n">
        <v>1379</v>
      </c>
      <c r="D4985" s="1" t="s">
        <v>37</v>
      </c>
      <c r="E4985" s="1" t="s">
        <v>28</v>
      </c>
      <c r="F4985" s="1" t="n">
        <v>2</v>
      </c>
      <c r="G4985" s="15" t="n">
        <v>48.35</v>
      </c>
      <c r="H4985" s="16" t="n">
        <v>0.04</v>
      </c>
      <c r="I4985" s="1" t="s">
        <v>33</v>
      </c>
      <c r="J4985" s="1" t="n">
        <v>8</v>
      </c>
      <c r="K4985" s="1" t="n">
        <v>2.2</v>
      </c>
      <c r="L4985" s="15" t="n">
        <v>92.83</v>
      </c>
      <c r="M4985" s="15" t="n">
        <f aca="false">F4985*G4985</f>
        <v>96.7</v>
      </c>
      <c r="N4985" s="15" t="n">
        <f aca="false">M4985-L4985</f>
        <v>3.87</v>
      </c>
      <c r="O4985" s="1" t="n">
        <f aca="false">YEAR(B4985)</f>
        <v>2035</v>
      </c>
      <c r="P4985" s="1" t="n">
        <f aca="false">MONTH(B4985)</f>
        <v>8</v>
      </c>
      <c r="Q4985" s="1" t="str">
        <f aca="false">TEXT(B4985,"mmm")</f>
        <v>Aug</v>
      </c>
      <c r="R4985" s="1" t="str">
        <f aca="false">"Q"&amp;ROUNDUP(MONTH(B4985)/3,0)</f>
        <v>Q3</v>
      </c>
    </row>
    <row r="4986" customFormat="false" ht="15" hidden="false" customHeight="true" outlineLevel="0" collapsed="false">
      <c r="A4986" s="1" t="n">
        <v>14985</v>
      </c>
      <c r="B4986" s="14" t="n">
        <v>49546</v>
      </c>
      <c r="C4986" s="1" t="n">
        <v>1655</v>
      </c>
      <c r="D4986" s="1" t="s">
        <v>30</v>
      </c>
      <c r="E4986" s="1" t="s">
        <v>35</v>
      </c>
      <c r="F4986" s="1" t="n">
        <v>1</v>
      </c>
      <c r="G4986" s="15" t="n">
        <v>237.76</v>
      </c>
      <c r="H4986" s="16" t="n">
        <v>0.23</v>
      </c>
      <c r="I4986" s="1" t="s">
        <v>33</v>
      </c>
      <c r="J4986" s="1" t="n">
        <v>5</v>
      </c>
      <c r="K4986" s="1" t="n">
        <v>3.1</v>
      </c>
      <c r="L4986" s="15" t="n">
        <v>183.08</v>
      </c>
      <c r="M4986" s="15" t="n">
        <f aca="false">F4986*G4986</f>
        <v>237.76</v>
      </c>
      <c r="N4986" s="15" t="n">
        <f aca="false">M4986-L4986</f>
        <v>54.68</v>
      </c>
      <c r="O4986" s="1" t="n">
        <f aca="false">YEAR(B4986)</f>
        <v>2035</v>
      </c>
      <c r="P4986" s="1" t="n">
        <f aca="false">MONTH(B4986)</f>
        <v>8</v>
      </c>
      <c r="Q4986" s="1" t="str">
        <f aca="false">TEXT(B4986,"mmm")</f>
        <v>Aug</v>
      </c>
      <c r="R4986" s="1" t="str">
        <f aca="false">"Q"&amp;ROUNDUP(MONTH(B4986)/3,0)</f>
        <v>Q3</v>
      </c>
    </row>
    <row r="4987" customFormat="false" ht="15" hidden="false" customHeight="true" outlineLevel="0" collapsed="false">
      <c r="A4987" s="1" t="n">
        <v>14986</v>
      </c>
      <c r="B4987" s="14" t="n">
        <v>49547</v>
      </c>
      <c r="C4987" s="1" t="n">
        <v>1357</v>
      </c>
      <c r="D4987" s="1" t="s">
        <v>30</v>
      </c>
      <c r="E4987" s="1" t="s">
        <v>32</v>
      </c>
      <c r="F4987" s="1" t="n">
        <v>2</v>
      </c>
      <c r="G4987" s="15" t="n">
        <v>543.38</v>
      </c>
      <c r="H4987" s="16" t="n">
        <v>0.32</v>
      </c>
      <c r="I4987" s="1" t="s">
        <v>31</v>
      </c>
      <c r="J4987" s="1" t="n">
        <v>10</v>
      </c>
      <c r="K4987" s="1" t="n">
        <v>4</v>
      </c>
      <c r="L4987" s="15" t="n">
        <v>739</v>
      </c>
      <c r="M4987" s="15" t="n">
        <f aca="false">F4987*G4987</f>
        <v>1086.76</v>
      </c>
      <c r="N4987" s="15" t="n">
        <f aca="false">M4987-L4987</f>
        <v>347.76</v>
      </c>
      <c r="O4987" s="1" t="n">
        <f aca="false">YEAR(B4987)</f>
        <v>2035</v>
      </c>
      <c r="P4987" s="1" t="n">
        <f aca="false">MONTH(B4987)</f>
        <v>8</v>
      </c>
      <c r="Q4987" s="1" t="str">
        <f aca="false">TEXT(B4987,"mmm")</f>
        <v>Aug</v>
      </c>
      <c r="R4987" s="1" t="str">
        <f aca="false">"Q"&amp;ROUNDUP(MONTH(B4987)/3,0)</f>
        <v>Q3</v>
      </c>
    </row>
    <row r="4988" customFormat="false" ht="15" hidden="false" customHeight="true" outlineLevel="0" collapsed="false">
      <c r="A4988" s="1" t="n">
        <v>14987</v>
      </c>
      <c r="B4988" s="14" t="n">
        <v>49548</v>
      </c>
      <c r="C4988" s="1" t="n">
        <v>1187</v>
      </c>
      <c r="D4988" s="1" t="s">
        <v>30</v>
      </c>
      <c r="E4988" s="1" t="s">
        <v>36</v>
      </c>
      <c r="F4988" s="1" t="n">
        <v>6</v>
      </c>
      <c r="G4988" s="15" t="n">
        <v>27.28</v>
      </c>
      <c r="H4988" s="16" t="n">
        <v>0.34</v>
      </c>
      <c r="I4988" s="1" t="s">
        <v>29</v>
      </c>
      <c r="J4988" s="1" t="n">
        <v>7</v>
      </c>
      <c r="K4988" s="1" t="n">
        <v>3.2</v>
      </c>
      <c r="L4988" s="15" t="n">
        <v>108.03</v>
      </c>
      <c r="M4988" s="15" t="n">
        <f aca="false">F4988*G4988</f>
        <v>163.68</v>
      </c>
      <c r="N4988" s="15" t="n">
        <f aca="false">M4988-L4988</f>
        <v>55.65</v>
      </c>
      <c r="O4988" s="1" t="n">
        <f aca="false">YEAR(B4988)</f>
        <v>2035</v>
      </c>
      <c r="P4988" s="1" t="n">
        <f aca="false">MONTH(B4988)</f>
        <v>8</v>
      </c>
      <c r="Q4988" s="1" t="str">
        <f aca="false">TEXT(B4988,"mmm")</f>
        <v>Aug</v>
      </c>
      <c r="R4988" s="1" t="str">
        <f aca="false">"Q"&amp;ROUNDUP(MONTH(B4988)/3,0)</f>
        <v>Q3</v>
      </c>
    </row>
    <row r="4989" customFormat="false" ht="15" hidden="false" customHeight="true" outlineLevel="0" collapsed="false">
      <c r="A4989" s="1" t="n">
        <v>14988</v>
      </c>
      <c r="B4989" s="14" t="n">
        <v>49549</v>
      </c>
      <c r="C4989" s="1" t="n">
        <v>1321</v>
      </c>
      <c r="D4989" s="1" t="s">
        <v>34</v>
      </c>
      <c r="E4989" s="1" t="s">
        <v>28</v>
      </c>
      <c r="F4989" s="1" t="n">
        <v>4</v>
      </c>
      <c r="G4989" s="15" t="n">
        <v>292.67</v>
      </c>
      <c r="H4989" s="16" t="n">
        <v>0.08</v>
      </c>
      <c r="I4989" s="1" t="s">
        <v>31</v>
      </c>
      <c r="J4989" s="1" t="n">
        <v>4</v>
      </c>
      <c r="K4989" s="1" t="n">
        <v>2.7</v>
      </c>
      <c r="L4989" s="15" t="n">
        <v>1077.03</v>
      </c>
      <c r="M4989" s="15" t="n">
        <f aca="false">F4989*G4989</f>
        <v>1170.68</v>
      </c>
      <c r="N4989" s="15" t="n">
        <f aca="false">M4989-L4989</f>
        <v>93.6500000000001</v>
      </c>
      <c r="O4989" s="1" t="n">
        <f aca="false">YEAR(B4989)</f>
        <v>2035</v>
      </c>
      <c r="P4989" s="1" t="n">
        <f aca="false">MONTH(B4989)</f>
        <v>8</v>
      </c>
      <c r="Q4989" s="1" t="str">
        <f aca="false">TEXT(B4989,"mmm")</f>
        <v>Aug</v>
      </c>
      <c r="R4989" s="1" t="str">
        <f aca="false">"Q"&amp;ROUNDUP(MONTH(B4989)/3,0)</f>
        <v>Q3</v>
      </c>
    </row>
    <row r="4990" customFormat="false" ht="15" hidden="false" customHeight="true" outlineLevel="0" collapsed="false">
      <c r="A4990" s="1" t="n">
        <v>14989</v>
      </c>
      <c r="B4990" s="14" t="n">
        <v>49550</v>
      </c>
      <c r="C4990" s="1" t="n">
        <v>1449</v>
      </c>
      <c r="D4990" s="1" t="s">
        <v>30</v>
      </c>
      <c r="E4990" s="1" t="s">
        <v>35</v>
      </c>
      <c r="F4990" s="1" t="n">
        <v>1</v>
      </c>
      <c r="G4990" s="15" t="n">
        <v>559.73</v>
      </c>
      <c r="H4990" s="16" t="n">
        <v>0.28</v>
      </c>
      <c r="I4990" s="1" t="s">
        <v>31</v>
      </c>
      <c r="J4990" s="1" t="n">
        <v>1</v>
      </c>
      <c r="K4990" s="1" t="n">
        <v>4.4</v>
      </c>
      <c r="L4990" s="15" t="n">
        <v>403.01</v>
      </c>
      <c r="M4990" s="15" t="n">
        <f aca="false">F4990*G4990</f>
        <v>559.73</v>
      </c>
      <c r="N4990" s="15" t="n">
        <f aca="false">M4990-L4990</f>
        <v>156.72</v>
      </c>
      <c r="O4990" s="1" t="n">
        <f aca="false">YEAR(B4990)</f>
        <v>2035</v>
      </c>
      <c r="P4990" s="1" t="n">
        <f aca="false">MONTH(B4990)</f>
        <v>8</v>
      </c>
      <c r="Q4990" s="1" t="str">
        <f aca="false">TEXT(B4990,"mmm")</f>
        <v>Aug</v>
      </c>
      <c r="R4990" s="1" t="str">
        <f aca="false">"Q"&amp;ROUNDUP(MONTH(B4990)/3,0)</f>
        <v>Q3</v>
      </c>
    </row>
    <row r="4991" customFormat="false" ht="15" hidden="false" customHeight="true" outlineLevel="0" collapsed="false">
      <c r="A4991" s="1" t="n">
        <v>14990</v>
      </c>
      <c r="B4991" s="14" t="n">
        <v>49551</v>
      </c>
      <c r="C4991" s="1" t="n">
        <v>1473</v>
      </c>
      <c r="D4991" s="1" t="s">
        <v>30</v>
      </c>
      <c r="E4991" s="1" t="s">
        <v>32</v>
      </c>
      <c r="F4991" s="1" t="n">
        <v>4</v>
      </c>
      <c r="G4991" s="15" t="n">
        <v>245.98</v>
      </c>
      <c r="H4991" s="16" t="n">
        <v>0.12</v>
      </c>
      <c r="I4991" s="1" t="s">
        <v>31</v>
      </c>
      <c r="J4991" s="1" t="n">
        <v>3</v>
      </c>
      <c r="K4991" s="1" t="n">
        <v>2.1</v>
      </c>
      <c r="L4991" s="15" t="n">
        <v>865.85</v>
      </c>
      <c r="M4991" s="15" t="n">
        <f aca="false">F4991*G4991</f>
        <v>983.92</v>
      </c>
      <c r="N4991" s="15" t="n">
        <f aca="false">M4991-L4991</f>
        <v>118.07</v>
      </c>
      <c r="O4991" s="1" t="n">
        <f aca="false">YEAR(B4991)</f>
        <v>2035</v>
      </c>
      <c r="P4991" s="1" t="n">
        <f aca="false">MONTH(B4991)</f>
        <v>8</v>
      </c>
      <c r="Q4991" s="1" t="str">
        <f aca="false">TEXT(B4991,"mmm")</f>
        <v>Aug</v>
      </c>
      <c r="R4991" s="1" t="str">
        <f aca="false">"Q"&amp;ROUNDUP(MONTH(B4991)/3,0)</f>
        <v>Q3</v>
      </c>
    </row>
    <row r="4992" customFormat="false" ht="15" hidden="false" customHeight="true" outlineLevel="0" collapsed="false">
      <c r="A4992" s="1" t="n">
        <v>14991</v>
      </c>
      <c r="B4992" s="14" t="n">
        <v>49552</v>
      </c>
      <c r="C4992" s="1" t="n">
        <v>1012</v>
      </c>
      <c r="D4992" s="1" t="s">
        <v>37</v>
      </c>
      <c r="E4992" s="1" t="s">
        <v>32</v>
      </c>
      <c r="F4992" s="1" t="n">
        <v>1</v>
      </c>
      <c r="G4992" s="15" t="n">
        <v>265.48</v>
      </c>
      <c r="H4992" s="16" t="n">
        <v>0.32</v>
      </c>
      <c r="I4992" s="1" t="s">
        <v>31</v>
      </c>
      <c r="J4992" s="1" t="n">
        <v>10</v>
      </c>
      <c r="K4992" s="1" t="n">
        <v>2.9</v>
      </c>
      <c r="L4992" s="15" t="n">
        <v>180.53</v>
      </c>
      <c r="M4992" s="15" t="n">
        <f aca="false">F4992*G4992</f>
        <v>265.48</v>
      </c>
      <c r="N4992" s="15" t="n">
        <f aca="false">M4992-L4992</f>
        <v>84.95</v>
      </c>
      <c r="O4992" s="1" t="n">
        <f aca="false">YEAR(B4992)</f>
        <v>2035</v>
      </c>
      <c r="P4992" s="1" t="n">
        <f aca="false">MONTH(B4992)</f>
        <v>8</v>
      </c>
      <c r="Q4992" s="1" t="str">
        <f aca="false">TEXT(B4992,"mmm")</f>
        <v>Aug</v>
      </c>
      <c r="R4992" s="1" t="str">
        <f aca="false">"Q"&amp;ROUNDUP(MONTH(B4992)/3,0)</f>
        <v>Q3</v>
      </c>
    </row>
    <row r="4993" customFormat="false" ht="15" hidden="false" customHeight="true" outlineLevel="0" collapsed="false">
      <c r="A4993" s="1" t="n">
        <v>14992</v>
      </c>
      <c r="B4993" s="14" t="n">
        <v>49553</v>
      </c>
      <c r="C4993" s="1" t="n">
        <v>1183</v>
      </c>
      <c r="D4993" s="1" t="s">
        <v>37</v>
      </c>
      <c r="E4993" s="1" t="s">
        <v>36</v>
      </c>
      <c r="F4993" s="1" t="n">
        <v>2</v>
      </c>
      <c r="G4993" s="15" t="n">
        <v>353.46</v>
      </c>
      <c r="H4993" s="16" t="n">
        <v>0.28</v>
      </c>
      <c r="I4993" s="1" t="s">
        <v>33</v>
      </c>
      <c r="J4993" s="1" t="n">
        <v>9</v>
      </c>
      <c r="K4993" s="1" t="n">
        <v>4.9</v>
      </c>
      <c r="L4993" s="15" t="n">
        <v>508.98</v>
      </c>
      <c r="M4993" s="15" t="n">
        <f aca="false">F4993*G4993</f>
        <v>706.92</v>
      </c>
      <c r="N4993" s="15" t="n">
        <f aca="false">M4993-L4993</f>
        <v>197.94</v>
      </c>
      <c r="O4993" s="1" t="n">
        <f aca="false">YEAR(B4993)</f>
        <v>2035</v>
      </c>
      <c r="P4993" s="1" t="n">
        <f aca="false">MONTH(B4993)</f>
        <v>9</v>
      </c>
      <c r="Q4993" s="1" t="str">
        <f aca="false">TEXT(B4993,"mmm")</f>
        <v>Sep</v>
      </c>
      <c r="R4993" s="1" t="str">
        <f aca="false">"Q"&amp;ROUNDUP(MONTH(B4993)/3,0)</f>
        <v>Q3</v>
      </c>
    </row>
    <row r="4994" customFormat="false" ht="15" hidden="false" customHeight="true" outlineLevel="0" collapsed="false">
      <c r="A4994" s="1" t="n">
        <v>14993</v>
      </c>
      <c r="B4994" s="14" t="n">
        <v>49554</v>
      </c>
      <c r="C4994" s="1" t="n">
        <v>1110</v>
      </c>
      <c r="D4994" s="1" t="s">
        <v>37</v>
      </c>
      <c r="E4994" s="1" t="s">
        <v>36</v>
      </c>
      <c r="F4994" s="1" t="n">
        <v>2</v>
      </c>
      <c r="G4994" s="15" t="n">
        <v>285.82</v>
      </c>
      <c r="H4994" s="16" t="n">
        <v>0.03</v>
      </c>
      <c r="I4994" s="1" t="s">
        <v>29</v>
      </c>
      <c r="J4994" s="1" t="n">
        <v>11</v>
      </c>
      <c r="K4994" s="1" t="n">
        <v>4.9</v>
      </c>
      <c r="L4994" s="15" t="n">
        <v>554.49</v>
      </c>
      <c r="M4994" s="15" t="n">
        <f aca="false">F4994*G4994</f>
        <v>571.64</v>
      </c>
      <c r="N4994" s="15" t="n">
        <f aca="false">M4994-L4994</f>
        <v>17.15</v>
      </c>
      <c r="O4994" s="1" t="n">
        <f aca="false">YEAR(B4994)</f>
        <v>2035</v>
      </c>
      <c r="P4994" s="1" t="n">
        <f aca="false">MONTH(B4994)</f>
        <v>9</v>
      </c>
      <c r="Q4994" s="1" t="str">
        <f aca="false">TEXT(B4994,"mmm")</f>
        <v>Sep</v>
      </c>
      <c r="R4994" s="1" t="str">
        <f aca="false">"Q"&amp;ROUNDUP(MONTH(B4994)/3,0)</f>
        <v>Q3</v>
      </c>
    </row>
    <row r="4995" customFormat="false" ht="15" hidden="false" customHeight="true" outlineLevel="0" collapsed="false">
      <c r="A4995" s="1" t="n">
        <v>14994</v>
      </c>
      <c r="B4995" s="14" t="n">
        <v>49555</v>
      </c>
      <c r="C4995" s="1" t="n">
        <v>1926</v>
      </c>
      <c r="D4995" s="1" t="s">
        <v>34</v>
      </c>
      <c r="E4995" s="1" t="s">
        <v>35</v>
      </c>
      <c r="F4995" s="1" t="n">
        <v>1</v>
      </c>
      <c r="G4995" s="15" t="n">
        <v>113.63</v>
      </c>
      <c r="H4995" s="16" t="n">
        <v>0.14</v>
      </c>
      <c r="I4995" s="1" t="s">
        <v>33</v>
      </c>
      <c r="J4995" s="1" t="n">
        <v>4</v>
      </c>
      <c r="K4995" s="1" t="n">
        <v>1</v>
      </c>
      <c r="L4995" s="15" t="n">
        <v>97.72</v>
      </c>
      <c r="M4995" s="15" t="n">
        <f aca="false">F4995*G4995</f>
        <v>113.63</v>
      </c>
      <c r="N4995" s="15" t="n">
        <f aca="false">M4995-L4995</f>
        <v>15.91</v>
      </c>
      <c r="O4995" s="1" t="n">
        <f aca="false">YEAR(B4995)</f>
        <v>2035</v>
      </c>
      <c r="P4995" s="1" t="n">
        <f aca="false">MONTH(B4995)</f>
        <v>9</v>
      </c>
      <c r="Q4995" s="1" t="str">
        <f aca="false">TEXT(B4995,"mmm")</f>
        <v>Sep</v>
      </c>
      <c r="R4995" s="1" t="str">
        <f aca="false">"Q"&amp;ROUNDUP(MONTH(B4995)/3,0)</f>
        <v>Q3</v>
      </c>
    </row>
    <row r="4996" customFormat="false" ht="15" hidden="false" customHeight="true" outlineLevel="0" collapsed="false">
      <c r="A4996" s="1" t="n">
        <v>14995</v>
      </c>
      <c r="B4996" s="14" t="n">
        <v>49556</v>
      </c>
      <c r="C4996" s="1" t="n">
        <v>1507</v>
      </c>
      <c r="D4996" s="1" t="s">
        <v>37</v>
      </c>
      <c r="E4996" s="1" t="s">
        <v>28</v>
      </c>
      <c r="F4996" s="1" t="n">
        <v>6</v>
      </c>
      <c r="G4996" s="15" t="n">
        <v>25.85</v>
      </c>
      <c r="H4996" s="16" t="n">
        <v>0.12</v>
      </c>
      <c r="I4996" s="1" t="s">
        <v>31</v>
      </c>
      <c r="J4996" s="1" t="n">
        <v>5</v>
      </c>
      <c r="K4996" s="1" t="n">
        <v>3.1</v>
      </c>
      <c r="L4996" s="15" t="n">
        <v>136.49</v>
      </c>
      <c r="M4996" s="15" t="n">
        <f aca="false">F4996*G4996</f>
        <v>155.1</v>
      </c>
      <c r="N4996" s="15" t="n">
        <f aca="false">M4996-L4996</f>
        <v>18.61</v>
      </c>
      <c r="O4996" s="1" t="n">
        <f aca="false">YEAR(B4996)</f>
        <v>2035</v>
      </c>
      <c r="P4996" s="1" t="n">
        <f aca="false">MONTH(B4996)</f>
        <v>9</v>
      </c>
      <c r="Q4996" s="1" t="str">
        <f aca="false">TEXT(B4996,"mmm")</f>
        <v>Sep</v>
      </c>
      <c r="R4996" s="1" t="str">
        <f aca="false">"Q"&amp;ROUNDUP(MONTH(B4996)/3,0)</f>
        <v>Q3</v>
      </c>
    </row>
    <row r="4997" customFormat="false" ht="15" hidden="false" customHeight="true" outlineLevel="0" collapsed="false">
      <c r="A4997" s="1" t="n">
        <v>14996</v>
      </c>
      <c r="B4997" s="14" t="n">
        <v>49557</v>
      </c>
      <c r="C4997" s="1" t="n">
        <v>1289</v>
      </c>
      <c r="D4997" s="1" t="s">
        <v>30</v>
      </c>
      <c r="E4997" s="1" t="s">
        <v>35</v>
      </c>
      <c r="F4997" s="1" t="n">
        <v>2</v>
      </c>
      <c r="G4997" s="15" t="n">
        <v>371.74</v>
      </c>
      <c r="H4997" s="16" t="n">
        <v>0.27</v>
      </c>
      <c r="I4997" s="1" t="s">
        <v>33</v>
      </c>
      <c r="J4997" s="1" t="n">
        <v>3</v>
      </c>
      <c r="K4997" s="1" t="n">
        <v>2.3</v>
      </c>
      <c r="L4997" s="15" t="n">
        <v>542.74</v>
      </c>
      <c r="M4997" s="15" t="n">
        <f aca="false">F4997*G4997</f>
        <v>743.48</v>
      </c>
      <c r="N4997" s="15" t="n">
        <f aca="false">M4997-L4997</f>
        <v>200.74</v>
      </c>
      <c r="O4997" s="1" t="n">
        <f aca="false">YEAR(B4997)</f>
        <v>2035</v>
      </c>
      <c r="P4997" s="1" t="n">
        <f aca="false">MONTH(B4997)</f>
        <v>9</v>
      </c>
      <c r="Q4997" s="1" t="str">
        <f aca="false">TEXT(B4997,"mmm")</f>
        <v>Sep</v>
      </c>
      <c r="R4997" s="1" t="str">
        <f aca="false">"Q"&amp;ROUNDUP(MONTH(B4997)/3,0)</f>
        <v>Q3</v>
      </c>
    </row>
    <row r="4998" customFormat="false" ht="15" hidden="false" customHeight="true" outlineLevel="0" collapsed="false">
      <c r="A4998" s="1" t="n">
        <v>14997</v>
      </c>
      <c r="B4998" s="14" t="n">
        <v>49558</v>
      </c>
      <c r="C4998" s="1" t="n">
        <v>1294</v>
      </c>
      <c r="D4998" s="1" t="s">
        <v>27</v>
      </c>
      <c r="E4998" s="1" t="s">
        <v>36</v>
      </c>
      <c r="F4998" s="1" t="n">
        <v>3</v>
      </c>
      <c r="G4998" s="15" t="n">
        <v>553.67</v>
      </c>
      <c r="H4998" s="16" t="n">
        <v>0.14</v>
      </c>
      <c r="I4998" s="1" t="s">
        <v>33</v>
      </c>
      <c r="J4998" s="1" t="n">
        <v>11</v>
      </c>
      <c r="K4998" s="1" t="n">
        <v>2.2</v>
      </c>
      <c r="L4998" s="15" t="n">
        <v>1428.47</v>
      </c>
      <c r="M4998" s="15" t="n">
        <f aca="false">F4998*G4998</f>
        <v>1661.01</v>
      </c>
      <c r="N4998" s="15" t="n">
        <f aca="false">M4998-L4998</f>
        <v>232.54</v>
      </c>
      <c r="O4998" s="1" t="n">
        <f aca="false">YEAR(B4998)</f>
        <v>2035</v>
      </c>
      <c r="P4998" s="1" t="n">
        <f aca="false">MONTH(B4998)</f>
        <v>9</v>
      </c>
      <c r="Q4998" s="1" t="str">
        <f aca="false">TEXT(B4998,"mmm")</f>
        <v>Sep</v>
      </c>
      <c r="R4998" s="1" t="str">
        <f aca="false">"Q"&amp;ROUNDUP(MONTH(B4998)/3,0)</f>
        <v>Q3</v>
      </c>
    </row>
    <row r="4999" customFormat="false" ht="15" hidden="false" customHeight="true" outlineLevel="0" collapsed="false">
      <c r="A4999" s="1" t="n">
        <v>14998</v>
      </c>
      <c r="B4999" s="14" t="n">
        <v>49559</v>
      </c>
      <c r="C4999" s="1" t="n">
        <v>1450</v>
      </c>
      <c r="D4999" s="1" t="s">
        <v>27</v>
      </c>
      <c r="E4999" s="1" t="s">
        <v>35</v>
      </c>
      <c r="F4999" s="1" t="n">
        <v>3</v>
      </c>
      <c r="G4999" s="15" t="n">
        <v>77.22</v>
      </c>
      <c r="H4999" s="16" t="n">
        <v>0.24</v>
      </c>
      <c r="I4999" s="1" t="s">
        <v>29</v>
      </c>
      <c r="J4999" s="1" t="n">
        <v>6</v>
      </c>
      <c r="K4999" s="1" t="n">
        <v>3.4</v>
      </c>
      <c r="L4999" s="15" t="n">
        <v>176.06</v>
      </c>
      <c r="M4999" s="15" t="n">
        <f aca="false">F4999*G4999</f>
        <v>231.66</v>
      </c>
      <c r="N4999" s="15" t="n">
        <f aca="false">M4999-L4999</f>
        <v>55.6</v>
      </c>
      <c r="O4999" s="1" t="n">
        <f aca="false">YEAR(B4999)</f>
        <v>2035</v>
      </c>
      <c r="P4999" s="1" t="n">
        <f aca="false">MONTH(B4999)</f>
        <v>9</v>
      </c>
      <c r="Q4999" s="1" t="str">
        <f aca="false">TEXT(B4999,"mmm")</f>
        <v>Sep</v>
      </c>
      <c r="R4999" s="1" t="str">
        <f aca="false">"Q"&amp;ROUNDUP(MONTH(B4999)/3,0)</f>
        <v>Q3</v>
      </c>
    </row>
    <row r="5000" customFormat="false" ht="15" hidden="false" customHeight="true" outlineLevel="0" collapsed="false">
      <c r="A5000" s="1" t="n">
        <v>14999</v>
      </c>
      <c r="B5000" s="14" t="n">
        <v>49560</v>
      </c>
      <c r="C5000" s="1" t="n">
        <v>1903</v>
      </c>
      <c r="D5000" s="1" t="s">
        <v>34</v>
      </c>
      <c r="E5000" s="1" t="s">
        <v>28</v>
      </c>
      <c r="F5000" s="1" t="n">
        <v>4</v>
      </c>
      <c r="G5000" s="15" t="n">
        <v>138.41</v>
      </c>
      <c r="H5000" s="16" t="n">
        <v>0.21</v>
      </c>
      <c r="I5000" s="1" t="s">
        <v>33</v>
      </c>
      <c r="J5000" s="1" t="n">
        <v>4</v>
      </c>
      <c r="K5000" s="1" t="n">
        <v>2.8</v>
      </c>
      <c r="L5000" s="15" t="n">
        <v>437.38</v>
      </c>
      <c r="M5000" s="15" t="n">
        <f aca="false">F5000*G5000</f>
        <v>553.64</v>
      </c>
      <c r="N5000" s="15" t="n">
        <f aca="false">M5000-L5000</f>
        <v>116.26</v>
      </c>
      <c r="O5000" s="1" t="n">
        <f aca="false">YEAR(B5000)</f>
        <v>2035</v>
      </c>
      <c r="P5000" s="1" t="n">
        <f aca="false">MONTH(B5000)</f>
        <v>9</v>
      </c>
      <c r="Q5000" s="1" t="str">
        <f aca="false">TEXT(B5000,"mmm")</f>
        <v>Sep</v>
      </c>
      <c r="R5000" s="1" t="str">
        <f aca="false">"Q"&amp;ROUNDUP(MONTH(B5000)/3,0)</f>
        <v>Q3</v>
      </c>
    </row>
    <row r="5001" customFormat="false" ht="15" hidden="false" customHeight="true" outlineLevel="0" collapsed="false">
      <c r="A5001" s="1" t="n">
        <v>15000</v>
      </c>
      <c r="B5001" s="14" t="n">
        <v>49561</v>
      </c>
      <c r="C5001" s="1" t="n">
        <v>1214</v>
      </c>
      <c r="D5001" s="1" t="s">
        <v>37</v>
      </c>
      <c r="E5001" s="1" t="s">
        <v>32</v>
      </c>
      <c r="F5001" s="1" t="n">
        <v>7</v>
      </c>
      <c r="G5001" s="15" t="n">
        <v>231.58</v>
      </c>
      <c r="H5001" s="16" t="n">
        <v>0.34</v>
      </c>
      <c r="I5001" s="1" t="s">
        <v>33</v>
      </c>
      <c r="J5001" s="1" t="n">
        <v>5</v>
      </c>
      <c r="K5001" s="1" t="n">
        <v>3.9</v>
      </c>
      <c r="L5001" s="15" t="n">
        <v>1069.9</v>
      </c>
      <c r="M5001" s="15" t="n">
        <f aca="false">F5001*G5001</f>
        <v>1621.06</v>
      </c>
      <c r="N5001" s="15" t="n">
        <f aca="false">M5001-L5001</f>
        <v>551.16</v>
      </c>
      <c r="O5001" s="1" t="n">
        <f aca="false">YEAR(B5001)</f>
        <v>2035</v>
      </c>
      <c r="P5001" s="1" t="n">
        <f aca="false">MONTH(B5001)</f>
        <v>9</v>
      </c>
      <c r="Q5001" s="1" t="str">
        <f aca="false">TEXT(B5001,"mmm")</f>
        <v>Sep</v>
      </c>
      <c r="R5001" s="1" t="str">
        <f aca="false">"Q"&amp;ROUNDUP(MONTH(B5001)/3,0)</f>
        <v>Q3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N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6"/>
    <col collapsed="false" customWidth="true" hidden="false" outlineLevel="0" max="3" min="3" style="1" width="10"/>
    <col collapsed="false" customWidth="true" hidden="false" outlineLevel="0" max="4" min="4" style="1" width="16"/>
    <col collapsed="false" customWidth="true" hidden="false" outlineLevel="0" max="5" min="5" style="1" width="14"/>
    <col collapsed="false" customWidth="true" hidden="false" outlineLevel="0" max="7" min="6" style="1" width="10"/>
    <col collapsed="false" customWidth="true" hidden="false" outlineLevel="0" max="9" min="8" style="1" width="14"/>
    <col collapsed="false" customWidth="true" hidden="false" outlineLevel="0" max="11" min="10" style="1" width="12"/>
    <col collapsed="false" customWidth="true" hidden="false" outlineLevel="0" max="12" min="12" style="1" width="16"/>
    <col collapsed="false" customWidth="true" hidden="false" outlineLevel="0" max="13" min="13" style="1" width="14"/>
    <col collapsed="false" customWidth="true" hidden="false" outlineLevel="0" max="14" min="14" style="1" width="10"/>
  </cols>
  <sheetData>
    <row r="1" customFormat="false" ht="15.75" hidden="false" customHeight="true" outlineLevel="0" collapsed="false">
      <c r="A1" s="17" t="s">
        <v>38</v>
      </c>
      <c r="D1" s="17" t="s">
        <v>39</v>
      </c>
      <c r="H1" s="17" t="s">
        <v>40</v>
      </c>
      <c r="L1" s="17" t="s">
        <v>41</v>
      </c>
    </row>
    <row r="2" customFormat="false" ht="15" hidden="false" customHeight="true" outlineLevel="0" collapsed="false">
      <c r="D2" s="18" t="s">
        <v>42</v>
      </c>
      <c r="E2" s="18" t="s">
        <v>20</v>
      </c>
      <c r="F2" s="18" t="s">
        <v>43</v>
      </c>
      <c r="H2" s="18" t="s">
        <v>13</v>
      </c>
      <c r="I2" s="18" t="s">
        <v>20</v>
      </c>
      <c r="J2" s="18" t="s">
        <v>43</v>
      </c>
      <c r="L2" s="18" t="s">
        <v>44</v>
      </c>
      <c r="M2" s="18" t="s">
        <v>20</v>
      </c>
      <c r="N2" s="18" t="s">
        <v>43</v>
      </c>
    </row>
    <row r="3" customFormat="false" ht="15" hidden="false" customHeight="true" outlineLevel="0" collapsed="false">
      <c r="A3" s="19" t="s">
        <v>45</v>
      </c>
      <c r="B3" s="20" t="n">
        <f aca="false">SUM(Data!L2:L5001)</f>
        <v>5109775.74</v>
      </c>
      <c r="D3" s="19" t="s">
        <v>34</v>
      </c>
      <c r="E3" s="21" t="n">
        <f aca="false">SUMIFS(Data!$L$2:$L$5001,Data!$D$2:$D$5001,D3)</f>
        <v>1829899.22</v>
      </c>
      <c r="F3" s="22" t="n">
        <f aca="false">COUNTIFS(Data!$D$2:$D$5001,D3)</f>
        <v>1777</v>
      </c>
      <c r="H3" s="19" t="s">
        <v>36</v>
      </c>
      <c r="I3" s="21" t="n">
        <f aca="false">SUMIFS(Data!$L$2:$L$5001,Data!$E$2:$E$5001,H3)</f>
        <v>1281508.45</v>
      </c>
      <c r="J3" s="22" t="n">
        <f aca="false">COUNTIFS(Data!$E$2:$E$5001,H3)</f>
        <v>1276</v>
      </c>
      <c r="L3" s="19" t="s">
        <v>31</v>
      </c>
      <c r="M3" s="21" t="n">
        <f aca="false">SUMIFS(Data!$L$2:$L$5001,Data!$I$2:$I$5001,L3)</f>
        <v>2366248.2</v>
      </c>
      <c r="N3" s="22" t="n">
        <f aca="false">COUNTIFS(Data!$I$2:$I$5001,L3)</f>
        <v>2270</v>
      </c>
    </row>
    <row r="4" customFormat="false" ht="15" hidden="false" customHeight="true" outlineLevel="0" collapsed="false">
      <c r="A4" s="19" t="s">
        <v>46</v>
      </c>
      <c r="B4" s="23" t="n">
        <f aca="false">COUNTA(Data!A2:A5001)</f>
        <v>5000</v>
      </c>
      <c r="D4" s="19" t="s">
        <v>30</v>
      </c>
      <c r="E4" s="21" t="n">
        <f aca="false">SUMIFS(Data!$L$2:$L$5001,Data!$D$2:$D$5001,D4)</f>
        <v>1531931.72</v>
      </c>
      <c r="F4" s="22" t="n">
        <f aca="false">COUNTIFS(Data!$D$2:$D$5001,D4)</f>
        <v>1531</v>
      </c>
      <c r="H4" s="19" t="s">
        <v>28</v>
      </c>
      <c r="I4" s="21" t="n">
        <f aca="false">SUMIFS(Data!$L$2:$L$5001,Data!$E$2:$E$5001,H4)</f>
        <v>1246640.9</v>
      </c>
      <c r="J4" s="22" t="n">
        <f aca="false">COUNTIFS(Data!$E$2:$E$5001,H4)</f>
        <v>1208</v>
      </c>
      <c r="L4" s="19" t="s">
        <v>33</v>
      </c>
      <c r="M4" s="21" t="n">
        <f aca="false">SUMIFS(Data!$L$2:$L$5001,Data!$I$2:$I$5001,L4)</f>
        <v>1788408.44</v>
      </c>
      <c r="N4" s="22" t="n">
        <f aca="false">COUNTIFS(Data!$I$2:$I$5001,L4)</f>
        <v>1774</v>
      </c>
    </row>
    <row r="5" customFormat="false" ht="15" hidden="false" customHeight="true" outlineLevel="0" collapsed="false">
      <c r="A5" s="19" t="s">
        <v>47</v>
      </c>
      <c r="B5" s="23" t="n">
        <f aca="false">SUM(Data!F2:F5001)</f>
        <v>20224</v>
      </c>
      <c r="D5" s="19" t="s">
        <v>37</v>
      </c>
      <c r="E5" s="21" t="n">
        <f aca="false">SUMIFS(Data!$L$2:$L$5001,Data!$D$2:$D$5001,D5)</f>
        <v>982083.92</v>
      </c>
      <c r="F5" s="22" t="n">
        <f aca="false">COUNTIFS(Data!$D$2:$D$5001,D5)</f>
        <v>969</v>
      </c>
      <c r="H5" s="19" t="s">
        <v>32</v>
      </c>
      <c r="I5" s="21" t="n">
        <f aca="false">SUMIFS(Data!$L$2:$L$5001,Data!$E$2:$E$5001,H5)</f>
        <v>1236044.23</v>
      </c>
      <c r="J5" s="22" t="n">
        <f aca="false">COUNTIFS(Data!$E$2:$E$5001,H5)</f>
        <v>1227</v>
      </c>
      <c r="L5" s="19" t="s">
        <v>29</v>
      </c>
      <c r="M5" s="21" t="n">
        <f aca="false">SUMIFS(Data!$L$2:$L$5001,Data!$I$2:$I$5001,L5)</f>
        <v>955119.1</v>
      </c>
      <c r="N5" s="22" t="n">
        <f aca="false">COUNTIFS(Data!$I$2:$I$5001,L5)</f>
        <v>956</v>
      </c>
    </row>
    <row r="6" customFormat="false" ht="15" hidden="false" customHeight="true" outlineLevel="0" collapsed="false">
      <c r="A6" s="19" t="s">
        <v>48</v>
      </c>
      <c r="B6" s="24" t="n">
        <f aca="false">B3/B4</f>
        <v>1021.955148</v>
      </c>
      <c r="D6" s="19" t="s">
        <v>27</v>
      </c>
      <c r="E6" s="21" t="n">
        <f aca="false">SUMIFS(Data!$L$2:$L$5001,Data!$D$2:$D$5001,D6)</f>
        <v>765860.88</v>
      </c>
      <c r="F6" s="22" t="n">
        <f aca="false">COUNTIFS(Data!$D$2:$D$5001,D6)</f>
        <v>723</v>
      </c>
      <c r="H6" s="19" t="s">
        <v>35</v>
      </c>
      <c r="I6" s="21" t="n">
        <f aca="false">SUMIFS(Data!$L$2:$L$5001,Data!$E$2:$E$5001,H6)</f>
        <v>1345582.16</v>
      </c>
      <c r="J6" s="22" t="n">
        <f aca="false">COUNTIFS(Data!$E$2:$E$5001,H6)</f>
        <v>1289</v>
      </c>
    </row>
    <row r="7" customFormat="false" ht="15" hidden="false" customHeight="true" outlineLevel="0" collapsed="false">
      <c r="A7" s="19" t="s">
        <v>49</v>
      </c>
      <c r="B7" s="25" t="n">
        <f aca="false">AVERAGE(Data!H2:H5001)</f>
        <v>0.179984</v>
      </c>
    </row>
    <row r="8" customFormat="false" ht="15" hidden="false" customHeight="true" outlineLevel="0" collapsed="false">
      <c r="A8" s="19" t="s">
        <v>50</v>
      </c>
      <c r="B8" s="26" t="n">
        <f aca="false">AVERAGE(Data!K2:K5001)</f>
        <v>2.97398</v>
      </c>
    </row>
    <row r="9" customFormat="false" ht="15" hidden="false" customHeight="true" outlineLevel="0" collapsed="false">
      <c r="A9" s="19" t="s">
        <v>51</v>
      </c>
      <c r="B9" s="27" t="n">
        <f aca="false">AVERAGE(Data!J2:J5001)</f>
        <v>6.1188</v>
      </c>
    </row>
    <row r="10" customFormat="false" ht="15" hidden="false" customHeight="true" outlineLevel="0" collapsed="false">
      <c r="A10" s="19" t="s">
        <v>52</v>
      </c>
      <c r="B10" s="20" t="n">
        <f aca="false">SUMIFS(Data!L2:L5001,Data!O2:O5001,2034)</f>
        <v>363239.55</v>
      </c>
    </row>
    <row r="11" customFormat="false" ht="15" hidden="false" customHeight="true" outlineLevel="0" collapsed="false">
      <c r="A11" s="19" t="s">
        <v>53</v>
      </c>
      <c r="B11" s="20" t="n">
        <f aca="false">SUMIFS(Data!L2:L5001,Data!O2:O5001,2033)</f>
        <v>408725.72</v>
      </c>
    </row>
    <row r="12" customFormat="false" ht="15" hidden="false" customHeight="true" outlineLevel="0" collapsed="false">
      <c r="A12" s="19" t="s">
        <v>54</v>
      </c>
      <c r="B12" s="28" t="n">
        <f aca="false">(B10-B11)/B11</f>
        <v>-0.111287760408129</v>
      </c>
    </row>
    <row r="15" customFormat="false" ht="15.75" hidden="false" customHeight="true" outlineLevel="0" collapsed="false">
      <c r="A15" s="17" t="s">
        <v>55</v>
      </c>
      <c r="E15" s="17" t="s">
        <v>56</v>
      </c>
      <c r="I15" s="17" t="s">
        <v>57</v>
      </c>
    </row>
    <row r="16" customFormat="false" ht="15" hidden="false" customHeight="true" outlineLevel="0" collapsed="false">
      <c r="A16" s="18" t="s">
        <v>58</v>
      </c>
      <c r="B16" s="18" t="s">
        <v>20</v>
      </c>
      <c r="C16" s="18" t="s">
        <v>43</v>
      </c>
      <c r="E16" s="18" t="s">
        <v>59</v>
      </c>
      <c r="F16" s="18" t="s">
        <v>20</v>
      </c>
      <c r="G16" s="18" t="s">
        <v>43</v>
      </c>
      <c r="I16" s="18" t="s">
        <v>42</v>
      </c>
      <c r="J16" s="18" t="s">
        <v>60</v>
      </c>
      <c r="K16" s="18" t="s">
        <v>13</v>
      </c>
      <c r="L16" s="18" t="s">
        <v>61</v>
      </c>
    </row>
    <row r="17" customFormat="false" ht="15" hidden="false" customHeight="true" outlineLevel="0" collapsed="false">
      <c r="A17" s="19" t="n">
        <v>2022</v>
      </c>
      <c r="B17" s="21" t="n">
        <f aca="false">SUMIFS(Data!$L$2:$L$5001,Data!$O$2:$O$5001,A17)</f>
        <v>371824.3</v>
      </c>
      <c r="C17" s="22" t="n">
        <f aca="false">COUNTIFS(Data!$O$2:$O$5001,A17)</f>
        <v>365</v>
      </c>
      <c r="E17" s="19" t="s">
        <v>62</v>
      </c>
      <c r="F17" s="21" t="n">
        <f aca="false">SUMIFS(Data!$L$2:$L$5001,Data!$P$2:$P$5001,1)</f>
        <v>426374.92</v>
      </c>
      <c r="G17" s="22" t="n">
        <f aca="false">COUNTIFS(Data!$P$2:$P$5001,1)</f>
        <v>434</v>
      </c>
      <c r="I17" s="19" t="s">
        <v>34</v>
      </c>
      <c r="J17" s="29" t="n">
        <f aca="false">AVERAGEIFS(Data!$K$2:$K$5001,Data!$D$2:$D$5001,I17)</f>
        <v>2.95109735509285</v>
      </c>
      <c r="K17" s="19" t="s">
        <v>36</v>
      </c>
      <c r="L17" s="29" t="n">
        <f aca="false">AVERAGEIFS(Data!$J$2:$J$5001,Data!$E$2:$E$5001,K17)</f>
        <v>6.11833855799373</v>
      </c>
    </row>
    <row r="18" customFormat="false" ht="15" hidden="false" customHeight="true" outlineLevel="0" collapsed="false">
      <c r="A18" s="19" t="n">
        <v>2023</v>
      </c>
      <c r="B18" s="21" t="n">
        <f aca="false">SUMIFS(Data!$L$2:$L$5001,Data!$O$2:$O$5001,A18)</f>
        <v>365915.79</v>
      </c>
      <c r="C18" s="22" t="n">
        <f aca="false">COUNTIFS(Data!$O$2:$O$5001,A18)</f>
        <v>365</v>
      </c>
      <c r="E18" s="19" t="s">
        <v>63</v>
      </c>
      <c r="F18" s="21" t="n">
        <f aca="false">SUMIFS(Data!$L$2:$L$5001,Data!$P$2:$P$5001,2)</f>
        <v>413890.24</v>
      </c>
      <c r="G18" s="22" t="n">
        <f aca="false">COUNTIFS(Data!$P$2:$P$5001,2)</f>
        <v>395</v>
      </c>
      <c r="I18" s="19" t="s">
        <v>30</v>
      </c>
      <c r="J18" s="29" t="n">
        <f aca="false">AVERAGEIFS(Data!$K$2:$K$5001,Data!$D$2:$D$5001,I18)</f>
        <v>3.0050947093403</v>
      </c>
      <c r="K18" s="19" t="s">
        <v>28</v>
      </c>
      <c r="L18" s="29" t="n">
        <f aca="false">AVERAGEIFS(Data!$J$2:$J$5001,Data!$E$2:$E$5001,K18)</f>
        <v>6.17301324503311</v>
      </c>
    </row>
    <row r="19" customFormat="false" ht="15" hidden="false" customHeight="true" outlineLevel="0" collapsed="false">
      <c r="A19" s="19" t="n">
        <v>2024</v>
      </c>
      <c r="B19" s="21" t="n">
        <f aca="false">SUMIFS(Data!$L$2:$L$5001,Data!$O$2:$O$5001,A19)</f>
        <v>363209.13</v>
      </c>
      <c r="C19" s="22" t="n">
        <f aca="false">COUNTIFS(Data!$O$2:$O$5001,A19)</f>
        <v>366</v>
      </c>
      <c r="E19" s="19" t="s">
        <v>64</v>
      </c>
      <c r="F19" s="21" t="n">
        <f aca="false">SUMIFS(Data!$L$2:$L$5001,Data!$P$2:$P$5001,3)</f>
        <v>425050.52</v>
      </c>
      <c r="G19" s="22" t="n">
        <f aca="false">COUNTIFS(Data!$P$2:$P$5001,3)</f>
        <v>434</v>
      </c>
      <c r="I19" s="19" t="s">
        <v>37</v>
      </c>
      <c r="J19" s="29" t="n">
        <f aca="false">AVERAGEIFS(Data!$K$2:$K$5001,Data!$D$2:$D$5001,I19)</f>
        <v>2.9406604747162</v>
      </c>
      <c r="K19" s="19" t="s">
        <v>32</v>
      </c>
      <c r="L19" s="29" t="n">
        <f aca="false">AVERAGEIFS(Data!$J$2:$J$5001,Data!$E$2:$E$5001,K19)</f>
        <v>6.10431947840261</v>
      </c>
    </row>
    <row r="20" customFormat="false" ht="15" hidden="false" customHeight="true" outlineLevel="0" collapsed="false">
      <c r="A20" s="19" t="n">
        <v>2025</v>
      </c>
      <c r="B20" s="21" t="n">
        <f aca="false">SUMIFS(Data!$L$2:$L$5001,Data!$O$2:$O$5001,A20)</f>
        <v>349802.33</v>
      </c>
      <c r="C20" s="22" t="n">
        <f aca="false">COUNTIFS(Data!$O$2:$O$5001,A20)</f>
        <v>365</v>
      </c>
      <c r="E20" s="19" t="s">
        <v>65</v>
      </c>
      <c r="F20" s="21" t="n">
        <f aca="false">SUMIFS(Data!$L$2:$L$5001,Data!$P$2:$P$5001,4)</f>
        <v>398715.16</v>
      </c>
      <c r="G20" s="22" t="n">
        <f aca="false">COUNTIFS(Data!$P$2:$P$5001,4)</f>
        <v>420</v>
      </c>
      <c r="I20" s="19" t="s">
        <v>27</v>
      </c>
      <c r="J20" s="29" t="n">
        <f aca="false">AVERAGEIFS(Data!$K$2:$K$5001,Data!$D$2:$D$5001,I20)</f>
        <v>3.00899031811895</v>
      </c>
      <c r="K20" s="19" t="s">
        <v>35</v>
      </c>
      <c r="L20" s="29" t="n">
        <f aca="false">AVERAGEIFS(Data!$J$2:$J$5001,Data!$E$2:$E$5001,K20)</f>
        <v>6.0822342901474</v>
      </c>
    </row>
    <row r="21" customFormat="false" ht="15" hidden="false" customHeight="true" outlineLevel="0" collapsed="false">
      <c r="A21" s="19" t="n">
        <v>2026</v>
      </c>
      <c r="B21" s="21" t="n">
        <f aca="false">SUMIFS(Data!$L$2:$L$5001,Data!$O$2:$O$5001,A21)</f>
        <v>386369.69</v>
      </c>
      <c r="C21" s="22" t="n">
        <f aca="false">COUNTIFS(Data!$O$2:$O$5001,A21)</f>
        <v>365</v>
      </c>
      <c r="E21" s="19" t="s">
        <v>66</v>
      </c>
      <c r="F21" s="21" t="n">
        <f aca="false">SUMIFS(Data!$L$2:$L$5001,Data!$P$2:$P$5001,5)</f>
        <v>479772.55</v>
      </c>
      <c r="G21" s="22" t="n">
        <f aca="false">COUNTIFS(Data!$P$2:$P$5001,5)</f>
        <v>434</v>
      </c>
    </row>
    <row r="22" customFormat="false" ht="15" hidden="false" customHeight="true" outlineLevel="0" collapsed="false">
      <c r="A22" s="19" t="n">
        <v>2027</v>
      </c>
      <c r="B22" s="21" t="n">
        <f aca="false">SUMIFS(Data!$L$2:$L$5001,Data!$O$2:$O$5001,A22)</f>
        <v>386151.91</v>
      </c>
      <c r="C22" s="22" t="n">
        <f aca="false">COUNTIFS(Data!$O$2:$O$5001,A22)</f>
        <v>365</v>
      </c>
      <c r="E22" s="19" t="s">
        <v>67</v>
      </c>
      <c r="F22" s="21" t="n">
        <f aca="false">SUMIFS(Data!$L$2:$L$5001,Data!$P$2:$P$5001,6)</f>
        <v>442941.58</v>
      </c>
      <c r="G22" s="22" t="n">
        <f aca="false">COUNTIFS(Data!$P$2:$P$5001,6)</f>
        <v>420</v>
      </c>
    </row>
    <row r="23" customFormat="false" ht="15" hidden="false" customHeight="true" outlineLevel="0" collapsed="false">
      <c r="A23" s="19" t="n">
        <v>2028</v>
      </c>
      <c r="B23" s="21" t="n">
        <f aca="false">SUMIFS(Data!$L$2:$L$5001,Data!$O$2:$O$5001,A23)</f>
        <v>376844.8</v>
      </c>
      <c r="C23" s="22" t="n">
        <f aca="false">COUNTIFS(Data!$O$2:$O$5001,A23)</f>
        <v>366</v>
      </c>
      <c r="E23" s="19" t="s">
        <v>68</v>
      </c>
      <c r="F23" s="21" t="n">
        <f aca="false">SUMIFS(Data!$L$2:$L$5001,Data!$P$2:$P$5001,7)</f>
        <v>440570.72</v>
      </c>
      <c r="G23" s="22" t="n">
        <f aca="false">COUNTIFS(Data!$P$2:$P$5001,7)</f>
        <v>434</v>
      </c>
    </row>
    <row r="24" customFormat="false" ht="15" hidden="false" customHeight="true" outlineLevel="0" collapsed="false">
      <c r="A24" s="19" t="n">
        <v>2029</v>
      </c>
      <c r="B24" s="21" t="n">
        <f aca="false">SUMIFS(Data!$L$2:$L$5001,Data!$O$2:$O$5001,A24)</f>
        <v>359239.24</v>
      </c>
      <c r="C24" s="22" t="n">
        <f aca="false">COUNTIFS(Data!$O$2:$O$5001,A24)</f>
        <v>365</v>
      </c>
      <c r="E24" s="19" t="s">
        <v>69</v>
      </c>
      <c r="F24" s="21" t="n">
        <f aca="false">SUMIFS(Data!$L$2:$L$5001,Data!$P$2:$P$5001,8)</f>
        <v>460874.78</v>
      </c>
      <c r="G24" s="22" t="n">
        <f aca="false">COUNTIFS(Data!$P$2:$P$5001,8)</f>
        <v>434</v>
      </c>
    </row>
    <row r="25" customFormat="false" ht="15" hidden="false" customHeight="true" outlineLevel="0" collapsed="false">
      <c r="A25" s="19" t="n">
        <v>2030</v>
      </c>
      <c r="B25" s="21" t="n">
        <f aca="false">SUMIFS(Data!$L$2:$L$5001,Data!$O$2:$O$5001,A25)</f>
        <v>387884.46</v>
      </c>
      <c r="C25" s="22" t="n">
        <f aca="false">COUNTIFS(Data!$O$2:$O$5001,A25)</f>
        <v>365</v>
      </c>
      <c r="E25" s="19" t="s">
        <v>70</v>
      </c>
      <c r="F25" s="21" t="n">
        <f aca="false">SUMIFS(Data!$L$2:$L$5001,Data!$P$2:$P$5001,9)</f>
        <v>402368.11</v>
      </c>
      <c r="G25" s="22" t="n">
        <f aca="false">COUNTIFS(Data!$P$2:$P$5001,9)</f>
        <v>399</v>
      </c>
    </row>
    <row r="26" customFormat="false" ht="15" hidden="false" customHeight="true" outlineLevel="0" collapsed="false">
      <c r="A26" s="19" t="n">
        <v>2031</v>
      </c>
      <c r="B26" s="21" t="n">
        <f aca="false">SUMIFS(Data!$L$2:$L$5001,Data!$O$2:$O$5001,A26)</f>
        <v>365250.83</v>
      </c>
      <c r="C26" s="22" t="n">
        <f aca="false">COUNTIFS(Data!$O$2:$O$5001,A26)</f>
        <v>365</v>
      </c>
      <c r="E26" s="19" t="s">
        <v>71</v>
      </c>
      <c r="F26" s="21" t="n">
        <f aca="false">SUMIFS(Data!$L$2:$L$5001,Data!$P$2:$P$5001,10)</f>
        <v>407873.12</v>
      </c>
      <c r="G26" s="22" t="n">
        <f aca="false">COUNTIFS(Data!$P$2:$P$5001,10)</f>
        <v>403</v>
      </c>
    </row>
    <row r="27" customFormat="false" ht="15" hidden="false" customHeight="true" outlineLevel="0" collapsed="false">
      <c r="A27" s="19" t="n">
        <v>2032</v>
      </c>
      <c r="B27" s="21" t="n">
        <f aca="false">SUMIFS(Data!$L$2:$L$5001,Data!$O$2:$O$5001,A27)</f>
        <v>386584.63</v>
      </c>
      <c r="C27" s="22" t="n">
        <f aca="false">COUNTIFS(Data!$O$2:$O$5001,A27)</f>
        <v>366</v>
      </c>
      <c r="E27" s="19" t="s">
        <v>72</v>
      </c>
      <c r="F27" s="21" t="n">
        <f aca="false">SUMIFS(Data!$L$2:$L$5001,Data!$P$2:$P$5001,11)</f>
        <v>410657.88</v>
      </c>
      <c r="G27" s="22" t="n">
        <f aca="false">COUNTIFS(Data!$P$2:$P$5001,11)</f>
        <v>390</v>
      </c>
    </row>
    <row r="28" customFormat="false" ht="15" hidden="false" customHeight="true" outlineLevel="0" collapsed="false">
      <c r="A28" s="19" t="n">
        <v>2033</v>
      </c>
      <c r="B28" s="21" t="n">
        <f aca="false">SUMIFS(Data!$L$2:$L$5001,Data!$O$2:$O$5001,A28)</f>
        <v>408725.72</v>
      </c>
      <c r="C28" s="22" t="n">
        <f aca="false">COUNTIFS(Data!$O$2:$O$5001,A28)</f>
        <v>365</v>
      </c>
      <c r="E28" s="19" t="s">
        <v>73</v>
      </c>
      <c r="F28" s="21" t="n">
        <f aca="false">SUMIFS(Data!$L$2:$L$5001,Data!$P$2:$P$5001,12)</f>
        <v>400686.16</v>
      </c>
      <c r="G28" s="22" t="n">
        <f aca="false">COUNTIFS(Data!$P$2:$P$5001,12)</f>
        <v>403</v>
      </c>
    </row>
    <row r="29" customFormat="false" ht="15" hidden="false" customHeight="true" outlineLevel="0" collapsed="false">
      <c r="A29" s="19" t="n">
        <v>2034</v>
      </c>
      <c r="B29" s="21" t="n">
        <f aca="false">SUMIFS(Data!$L$2:$L$5001,Data!$O$2:$O$5001,A29)</f>
        <v>363239.55</v>
      </c>
      <c r="C29" s="22" t="n">
        <f aca="false">COUNTIFS(Data!$O$2:$O$5001,A29)</f>
        <v>365</v>
      </c>
    </row>
    <row r="30" customFormat="false" ht="15" hidden="false" customHeight="true" outlineLevel="0" collapsed="false">
      <c r="A30" s="19" t="n">
        <v>2035</v>
      </c>
      <c r="B30" s="21" t="n">
        <f aca="false">SUMIFS(Data!$L$2:$L$5001,Data!$O$2:$O$5001,A30)</f>
        <v>238733.36</v>
      </c>
      <c r="C30" s="22" t="n">
        <f aca="false">COUNTIFS(Data!$O$2:$O$5001,A30)</f>
        <v>252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2026-07-23T04:20:50Z</dcterms:created>
  <dc:creator>openpyxl</dc:creator>
  <dc:description/>
  <dc:language>en-US</dc:language>
  <cp:lastModifiedBy/>
  <dcterms:modified xsi:type="dcterms:W3CDTF">2026-07-23T04:32:46Z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