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Migration Data" sheetId="2" state="visible" r:id="rId4"/>
    <sheet name="Executive Insights" sheetId="3" state="visible" r:id="rId5"/>
    <sheet name="Data Quality Report" sheetId="4" state="visible" r:id="rId6"/>
    <sheet name="Data 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<sst xmlns="http://schemas.openxmlformats.org/spreadsheetml/2006/main" count="1127" uniqueCount="175">
  <si>
    <t xml:space="preserve">Indian Overseas Migration Analytics</t>
  </si>
  <si>
    <t xml:space="preserve">Executive Summary  |  Coverage: 2000-2024  |  7 Destination Countries</t>
  </si>
  <si>
    <t xml:space="preserve">Total Records</t>
  </si>
  <si>
    <t xml:space="preserve">Countries Covered</t>
  </si>
  <si>
    <t xml:space="preserve">Latest Year (Migrant Stock Data)</t>
  </si>
  <si>
    <t xml:space="preserve">Total Migrants Tracked, 2024</t>
  </si>
  <si>
    <t xml:space="preserve">India GDP 2024 ($B)</t>
  </si>
  <si>
    <t xml:space="preserve">Remittances 2024 ($B)</t>
  </si>
  <si>
    <t xml:space="preserve">Headline Takeaways</t>
  </si>
  <si>
    <t xml:space="preserve">-  UAE (3.25M) and USA (3.17M) are the largest tracked Indian migrant destinations as of 2024.</t>
  </si>
  <si>
    <t xml:space="preserve">-  Canada is the fastest-growing corridor: +490% since 2000 (217K -&gt; 1.28M).</t>
  </si>
  <si>
    <t xml:space="preserve">-  UK growth lagged all tracked countries: only +70% since 2000, likely tied to post-Brexit visa tightening.</t>
  </si>
  <si>
    <t xml:space="preserve">-  Remittances to India grew ~10.7x (2000-2024), tracking India's GDP (r=0.98) far more than migrant headcount.</t>
  </si>
  <si>
    <t xml:space="preserve">-  India's GDP grew 8.3x over the same period with no corresponding slowdown in emigration.</t>
  </si>
  <si>
    <t xml:space="preserve">-  Workforce/student composition data is too sparse (2 of 182 records) to support a general trend claim.</t>
  </si>
  <si>
    <t xml:space="preserve">Note: migrant-stock figures are recorded only in benchmark years (2000, 2005/2010, 2015, 2020, 2024). GDP, unemployment, and remittances are India-wide national figures repeated across countries, not country-specific. See 'Data Quality Report' tab for full detail.</t>
  </si>
  <si>
    <t xml:space="preserve">Chart Data (helper table - formulas pull from Migration Data)</t>
  </si>
  <si>
    <t xml:space="preserve">Country</t>
  </si>
  <si>
    <t xml:space="preserve">Migrants (2024)</t>
  </si>
  <si>
    <t xml:space="preserve">Australia</t>
  </si>
  <si>
    <t xml:space="preserve">Canada</t>
  </si>
  <si>
    <t xml:space="preserve">Germany</t>
  </si>
  <si>
    <t xml:space="preserve">Singapore</t>
  </si>
  <si>
    <t xml:space="preserve">UAE</t>
  </si>
  <si>
    <t xml:space="preserve">UK</t>
  </si>
  <si>
    <t xml:space="preserve">USA</t>
  </si>
  <si>
    <t xml:space="preserve">Year</t>
  </si>
  <si>
    <t xml:space="preserve">India GDP ($B)</t>
  </si>
  <si>
    <t xml:space="preserve">Remittances ($B)</t>
  </si>
  <si>
    <t xml:space="preserve">Destination Country</t>
  </si>
  <si>
    <t xml:space="preserve">Region</t>
  </si>
  <si>
    <t xml:space="preserve">GDP India USD Billion</t>
  </si>
  <si>
    <t xml:space="preserve">Permanent Migrants</t>
  </si>
  <si>
    <t xml:space="preserve">Remittance USD Billion</t>
  </si>
  <si>
    <t xml:space="preserve">Students</t>
  </si>
  <si>
    <t xml:space="preserve">Temporary Workers</t>
  </si>
  <si>
    <t xml:space="preserve">Total Indian Migrants</t>
  </si>
  <si>
    <t xml:space="preserve">Unemployment India</t>
  </si>
  <si>
    <t xml:space="preserve">Destination Country Full</t>
  </si>
  <si>
    <t xml:space="preserve">Migrant YoY Growth Pct</t>
  </si>
  <si>
    <t xml:space="preserve">Temporary Worker Share Pct</t>
  </si>
  <si>
    <t xml:space="preserve">Student Share Pct</t>
  </si>
  <si>
    <t xml:space="preserve">Remittance per Migrant USD Th</t>
  </si>
  <si>
    <t xml:space="preserve">Migrant 3yr Moving Avg</t>
  </si>
  <si>
    <t xml:space="preserve">High Migration Flag</t>
  </si>
  <si>
    <t xml:space="preserve">India Unemployment Category</t>
  </si>
  <si>
    <t xml:space="preserve">Oceania</t>
  </si>
  <si>
    <t xml:space="preserve">Normal</t>
  </si>
  <si>
    <t xml:space="preserve">Moderate (6-8%)</t>
  </si>
  <si>
    <t xml:space="preserve">High</t>
  </si>
  <si>
    <t xml:space="preserve">Low (&lt;6%)</t>
  </si>
  <si>
    <t xml:space="preserve">North America</t>
  </si>
  <si>
    <t xml:space="preserve">Europe</t>
  </si>
  <si>
    <t xml:space="preserve">Asia</t>
  </si>
  <si>
    <t xml:space="preserve">Middle East</t>
  </si>
  <si>
    <t xml:space="preserve">United Arab Emirates</t>
  </si>
  <si>
    <t xml:space="preserve">United Kingdom</t>
  </si>
  <si>
    <t xml:space="preserve">United States</t>
  </si>
  <si>
    <t xml:space="preserve">Executive Insights</t>
  </si>
  <si>
    <t xml:space="preserve">10 evidence-based findings, each with business impact and a recommendation.</t>
  </si>
  <si>
    <t xml:space="preserve">Insight</t>
  </si>
  <si>
    <t xml:space="preserve">What Happened</t>
  </si>
  <si>
    <t xml:space="preserve">Business Impact</t>
  </si>
  <si>
    <t xml:space="preserve">Recommendation</t>
  </si>
  <si>
    <t xml:space="preserve">1. UAE is the largest single destination for Indian migrants</t>
  </si>
  <si>
    <t xml:space="preserve">As of 2024, the UAE hosts an estimated 3.25 million Indian migrants, the highest of the 7 countries tracked, narrowly ahead of the USA (3.17 million).</t>
  </si>
  <si>
    <t xml:space="preserve">The UAE corridor is disproportionately important to remittance flows and household income support in source states.</t>
  </si>
  <si>
    <t xml:space="preserve">Prioritize worker-protection agreements and skill-certification programs with the UAE given the scale of exposure.</t>
  </si>
  <si>
    <t xml:space="preserve">2. Canada shows the fastest proportional growth of any tracked destination</t>
  </si>
  <si>
    <t xml:space="preserve">Canada's Indian migrant stock grew from 217,000 (2000) to 1.28 million (2024), a ~490% increase, the highest growth rate among all 7 countries.</t>
  </si>
  <si>
    <t xml:space="preserve">Canada has shifted from a minor destination to a top-3 corridor in two decades, driven by its points-based PR system and post-study work rights.</t>
  </si>
  <si>
    <t xml:space="preserve">Scale Canada-specific settlement and financial-literacy programs to match this growth.</t>
  </si>
  <si>
    <t xml:space="preserve">3. The UK is the slowest-growing major destination</t>
  </si>
  <si>
    <t xml:space="preserve">UK migrant stock grew only ~70% between 2000 and 2024 (570,000 -&gt; 970,000), far below every other tracked country.</t>
  </si>
  <si>
    <t xml:space="preserve">The UK's share of the total tracked Indian diaspora is shrinking relative to Canada, Australia, and the UAE, likely reflecting post-Brexit visa tightening.</t>
  </si>
  <si>
    <t xml:space="preserve">Flag the UK's comparatively constrained growth trajectory to prospective migrants against faster-expanding alternatives.</t>
  </si>
  <si>
    <t xml:space="preserve">4. India's GDP grew 8.3x, but this coincided with rising, not falling, emigration</t>
  </si>
  <si>
    <t xml:space="preserve">India's GDP rose from $468B (2000) to $3.91T (2024) while migrant stock to these 7 destinations also rose sharply over the same period.</t>
  </si>
  <si>
    <t xml:space="preserve">Rising GDP alone is not a reliable predictor of reduced outward migration in this dataset - consistent with the globally observed 'migration hump.'</t>
  </si>
  <si>
    <t xml:space="preserve">Revisit policy framing that assumes GDP growth will organically curb migration.</t>
  </si>
  <si>
    <t xml:space="preserve">5. Remittances grew over 10x, closely tracking GDP, not migrant headcount</t>
  </si>
  <si>
    <t xml:space="preserve">Remittances rose from $12.9B (2000) to $137.7B (2024), a ~10.7x increase, correlating strongly with India's GDP (r=0.98) and negatively with unemployment (r=-0.75).</t>
  </si>
  <si>
    <t xml:space="preserve">Remittance inflows are a resilient, expanding pillar of India's external finances, effectively decoupled from domestic unemployment cycles.</t>
  </si>
  <si>
    <t xml:space="preserve">Treat remittances as a structurally growing revenue stream; keep investing in low-cost remittance-channel infrastructure.</t>
  </si>
  <si>
    <t xml:space="preserve">6. India's unemployment has been comparatively stable, with a 2020 spike and 2023 low</t>
  </si>
  <si>
    <t xml:space="preserve">Unemployment ranged narrowly between ~4.2% and ~7.9% across 2000-2024, spiking to 7.86% in 2020 and falling to a period-low 4.17% in 2023.</t>
  </si>
  <si>
    <t xml:space="preserve">Despite the 2020 shock, unemployment does not show a long-run deteriorating pattern over the 25-year window.</t>
  </si>
  <si>
    <t xml:space="preserve">Monitor the 2023 low for durability before treating it as a structural improvement.</t>
  </si>
  <si>
    <t xml:space="preserve">7. UAE and Australia are the only countries where migrant stock declined between benchmarks</t>
  </si>
  <si>
    <t xml:space="preserve">The UAE's stock fell from 3.5M (2020) to 3.25M (2024), a rare contraction among tracked destinations.</t>
  </si>
  <si>
    <t xml:space="preserve">The UAE, while still the largest single destination, is the only tracked market showing net contraction risk, possibly tied to COVID-era return migration or labor localization policy.</t>
  </si>
  <si>
    <t xml:space="preserve">Treat the UAE corridor as maturing/plateauing rather than assuming continued high growth.</t>
  </si>
  <si>
    <t xml:space="preserve">8. Workforce vs. student composition data is too sparse to generalize</t>
  </si>
  <si>
    <t xml:space="preserve">Only 2 of 182 country-year records have both Temporary Worker Share and Student Share populated (Australia 2020, UK 2024).</t>
  </si>
  <si>
    <t xml:space="preserve">Any dashboard claiming to show 'workforce vs. student migration trends' across all 7 countries would be showing mostly gaps, not signal.</t>
  </si>
  <si>
    <t xml:space="preserve">Flag this explicitly in any report using these fields; treat the 2 data points as anecdotes, not a trend.</t>
  </si>
  <si>
    <t xml:space="preserve">9. GDP and Unemployment fields are national, not country-specific</t>
  </si>
  <si>
    <t xml:space="preserve">GDP_India and Unemployment_India repeat the same value across all 7 destination countries for a given year.</t>
  </si>
  <si>
    <t xml:space="preserve">Any correlation between these fields and a specific country's migrant stock reflects India-side conditions, not destination-country demand.</t>
  </si>
  <si>
    <t xml:space="preserve">Label these fields explicitly as 'India national indicator' to avoid misinterpretation.</t>
  </si>
  <si>
    <t xml:space="preserve">10. Data completeness itself is a finding: 53% of raw cells are 'NOT AVAILABLE'</t>
  </si>
  <si>
    <t xml:space="preserve">Of 1,323 raw data cells, 703 (53.1%) are explicitly marked unavailable, concentrated in Permanent Migrants, Temporary Workers, and Students for most years.</t>
  </si>
  <si>
    <t xml:space="preserve">Any executive dashboard should surface data-completeness context rather than implying full annual coverage.</t>
  </si>
  <si>
    <t xml:space="preserve">Prioritize follow-up data sourcing for these sub-metrics if strategically important.</t>
  </si>
  <si>
    <t xml:space="preserve">Data Quality Report</t>
  </si>
  <si>
    <t xml:space="preserve">Issues Found (Before Cleaning)</t>
  </si>
  <si>
    <t xml:space="preserve">Source</t>
  </si>
  <si>
    <t xml:space="preserve">Raw_Data/indian_overseas_migration_dataset.csv - long format, one row per (Year, Destination Country, Metric).</t>
  </si>
  <si>
    <t xml:space="preserve">Total raw rows</t>
  </si>
  <si>
    <t xml:space="preserve">1,323</t>
  </si>
  <si>
    <t xml:space="preserve">Exact duplicate rows</t>
  </si>
  <si>
    <t xml:space="preserve">0</t>
  </si>
  <si>
    <t xml:space="preserve">Cells marked NOT AVAILABLE</t>
  </si>
  <si>
    <t xml:space="preserve">703 (53.1% of all cells)</t>
  </si>
  <si>
    <t xml:space="preserve">Rows missing a cited source</t>
  </si>
  <si>
    <t xml:space="preserve">703</t>
  </si>
  <si>
    <t xml:space="preserve">Mixed value formats found</t>
  </si>
  <si>
    <t xml:space="preserve">Plain numbers, percentages, and currency strings ($468.40B and $1.217T) all stored as text in one column.</t>
  </si>
  <si>
    <t xml:space="preserve">Reshape required</t>
  </si>
  <si>
    <t xml:space="preserve">Data was long-format (one metric per row); pivoted to one row per Year x Country for analysis.</t>
  </si>
  <si>
    <t xml:space="preserve">Missing Values After Reshaping (per column)</t>
  </si>
  <si>
    <t xml:space="preserve">Column</t>
  </si>
  <si>
    <t xml:space="preserve">Missing Count</t>
  </si>
  <si>
    <t xml:space="preserve">Missing %</t>
  </si>
  <si>
    <t xml:space="preserve">0.0%</t>
  </si>
  <si>
    <t xml:space="preserve">3.8%</t>
  </si>
  <si>
    <t xml:space="preserve">90.1%</t>
  </si>
  <si>
    <t xml:space="preserve">87.4%</t>
  </si>
  <si>
    <t xml:space="preserve">93.4%</t>
  </si>
  <si>
    <t xml:space="preserve">80.8%</t>
  </si>
  <si>
    <t xml:space="preserve">100.0%</t>
  </si>
  <si>
    <t xml:space="preserve">98.4%</t>
  </si>
  <si>
    <t xml:space="preserve">96.2%</t>
  </si>
  <si>
    <t xml:space="preserve">46.2%</t>
  </si>
  <si>
    <t xml:space="preserve">Key Data Limitations</t>
  </si>
  <si>
    <t xml:space="preserve">-  Scope: only 7 destination countries are covered - a sample of major corridors, not a complete global picture.</t>
  </si>
  <si>
    <t xml:space="preserve">-  Granularity: no Indian state-level, gender, age, or education breakdown exists in the source file.</t>
  </si>
  <si>
    <t xml:space="preserve">-  Migrant-count data (Permanent/Temporary/Students) is sparse, especially pre-2010.</t>
  </si>
  <si>
    <t xml:space="preserve">-  GDP_India and Unemployment_India are national figures, repeated across all 7 countries per year.</t>
  </si>
  <si>
    <t xml:space="preserve">-  Years extend to 2026; the most recent 1-2 years may be projections rather than finalized statistics.</t>
  </si>
  <si>
    <t xml:space="preserve">Data Dictionary</t>
  </si>
  <si>
    <t xml:space="preserve">Description</t>
  </si>
  <si>
    <t xml:space="preserve">Source Coverage</t>
  </si>
  <si>
    <t xml:space="preserve">Calendar year of the record</t>
  </si>
  <si>
    <t xml:space="preserve">Full, 2000-2026</t>
  </si>
  <si>
    <t xml:space="preserve">Short country name</t>
  </si>
  <si>
    <t xml:space="preserve">Full</t>
  </si>
  <si>
    <t xml:space="preserve">Standardized full country name</t>
  </si>
  <si>
    <t xml:space="preserve">Geographic region of destination country</t>
  </si>
  <si>
    <t xml:space="preserve">Estimated total stock of Indian-born migrants in that country</t>
  </si>
  <si>
    <t xml:space="preserve">Sparse - benchmark years only (2000, 2005/2010, 2015, 2020, 2024)</t>
  </si>
  <si>
    <t xml:space="preserve">Estimated permanent-resident migrants</t>
  </si>
  <si>
    <t xml:space="preserve">Very sparse</t>
  </si>
  <si>
    <t xml:space="preserve">Estimated temporary/contract workers</t>
  </si>
  <si>
    <t xml:space="preserve">Estimated Indian student population</t>
  </si>
  <si>
    <t xml:space="preserve">India-WIDE total remittances received (not country-specific)</t>
  </si>
  <si>
    <t xml:space="preserve">Near-full, 2000-2024</t>
  </si>
  <si>
    <t xml:space="preserve">India-WIDE national unemployment rate (%)</t>
  </si>
  <si>
    <t xml:space="preserve">India-WIDE GDP in USD billions (normalized from mixed $B/$T source notation)</t>
  </si>
  <si>
    <t xml:space="preserve">Near-full, 2000-2024; 2025-2026 not yet available</t>
  </si>
  <si>
    <t xml:space="preserve">% change in Total Indian Migrants vs. prior available record for that country</t>
  </si>
  <si>
    <t xml:space="preserve">Derived; inherits sparsity above</t>
  </si>
  <si>
    <t xml:space="preserve">Temporary Workers as % of Total Indian Migrants</t>
  </si>
  <si>
    <t xml:space="preserve">Derived; very sparse</t>
  </si>
  <si>
    <t xml:space="preserve">Students as % of Total Indian Migrants</t>
  </si>
  <si>
    <t xml:space="preserve">India-wide remittances / that country's migrant stock (thousands USD) - a rough proxy, NOT a country-specific remittance figure</t>
  </si>
  <si>
    <t xml:space="preserve">Derived; sparse</t>
  </si>
  <si>
    <t xml:space="preserve">3-observation rolling average of Total Indian Migrants per country</t>
  </si>
  <si>
    <t xml:space="preserve">Derived</t>
  </si>
  <si>
    <t xml:space="preserve">'High' if Total Indian Migrants is at/above that country's own 75th percentile, else 'Normal'</t>
  </si>
  <si>
    <t xml:space="preserve">Bucketed unemployment rate: Low (&lt;6%), Moderate (6-8%), High (&gt;8%)</t>
  </si>
  <si>
    <t xml:space="preserve">Important Interpretation Notes</t>
  </si>
  <si>
    <t xml:space="preserve">-  Remittance, Unemployment, and GDP fields are national (India-wide) figures, repeated identically across all 7 destination countries for a given year. Never sum them across countries.</t>
  </si>
  <si>
    <t xml:space="preserve">-  Total Indian Migrants and its sub-categories are only available for benchmark years - any year-over-year growth spans multi-year gaps, not annual change.</t>
  </si>
  <si>
    <t xml:space="preserve">-  All currency figures are normalized to USD Billions (source mixed $B and $T notation).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</si>
</sst>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"/>
    <numFmt numFmtId="167" formatCode="#,##0.0"/>
    <numFmt numFmtId="168" formatCode="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0.5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A6A6A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10.5"/>
      <color rgb="FF666666"/>
      <name val="Arial"/>
      <family val="0"/>
      <charset val="1"/>
    </font>
    <font>
      <b val="true"/>
      <sz val="9.5"/>
      <name val="Arial"/>
      <family val="0"/>
      <charset val="1"/>
    </font>
    <font>
      <sz val="9.5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4F81BD"/>
      <rgbColor rgb="FFBFBFBF"/>
      <rgbColor rgb="FF808080"/>
      <rgbColor rgb="FFA6A6A6"/>
      <rgbColor rgb="FFBE4B48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878787"/>
      <rgbColor rgb="FF1F3864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Indian Migrant Stock by Country (2024)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Summary'!C21</c:f>
              <c:strCache>
                <c:ptCount val="1"/>
                <c:pt idx="0">
                  <c:v>Migrants (2024)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Summary'!$B$22:$B$28</c:f>
              <c:strCache>
                <c:ptCount val="7"/>
                <c:pt idx="0">
                  <c:v>Australia</c:v>
                </c:pt>
                <c:pt idx="1">
                  <c:v>Canada</c:v>
                </c:pt>
                <c:pt idx="2">
                  <c:v>Germany</c:v>
                </c:pt>
                <c:pt idx="3">
                  <c:v>Singapore</c:v>
                </c:pt>
                <c:pt idx="4">
                  <c:v>UAE</c:v>
                </c:pt>
                <c:pt idx="5">
                  <c:v>UK</c:v>
                </c:pt>
                <c:pt idx="6">
                  <c:v>USA</c:v>
                </c:pt>
              </c:strCache>
            </c:strRef>
          </c:cat>
          <c:val>
            <c:numRef>
              <c:f>'Executive Summary'!$C$22:$C$28</c:f>
              <c:numCache>
                <c:formatCode>#,##0</c:formatCode>
                <c:ptCount val="7"/>
                <c:pt idx="0">
                  <c:v>916000</c:v>
                </c:pt>
                <c:pt idx="1">
                  <c:v>1280000</c:v>
                </c:pt>
                <c:pt idx="2">
                  <c:v>285000</c:v>
                </c:pt>
                <c:pt idx="3">
                  <c:v>395000</c:v>
                </c:pt>
                <c:pt idx="4">
                  <c:v>3250000</c:v>
                </c:pt>
                <c:pt idx="5">
                  <c:v>970000</c:v>
                </c:pt>
                <c:pt idx="6">
                  <c:v>3170000</c:v>
                </c:pt>
              </c:numCache>
            </c:numRef>
          </c:val>
        </c:ser>
        <c:gapWidth val="150"/>
        <c:overlap val="0"/>
        <c:axId val="52475000"/>
        <c:axId val="60202764"/>
      </c:barChart>
      <c:catAx>
        <c:axId val="5247500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202764"/>
        <c:crosses val="autoZero"/>
        <c:auto val="1"/>
        <c:lblAlgn val="ctr"/>
        <c:lblOffset val="100"/>
        <c:noMultiLvlLbl val="0"/>
      </c:catAx>
      <c:valAx>
        <c:axId val="60202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Migrants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4750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India GDP vs. Remittances Trend (2000-2024)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Summary'!C31</c:f>
              <c:strCache>
                <c:ptCount val="1"/>
                <c:pt idx="0">
                  <c:v>India GDP ($B)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Summary'!$B$32:$B$56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'Executive Summary'!$C$32:$C$56</c:f>
              <c:numCache>
                <c:formatCode>#,##0</c:formatCode>
                <c:ptCount val="25"/>
                <c:pt idx="0">
                  <c:v>468.4</c:v>
                </c:pt>
                <c:pt idx="1">
                  <c:v>485.44</c:v>
                </c:pt>
                <c:pt idx="2">
                  <c:v>514.94</c:v>
                </c:pt>
                <c:pt idx="3">
                  <c:v>607.7</c:v>
                </c:pt>
                <c:pt idx="4">
                  <c:v>709.15</c:v>
                </c:pt>
                <c:pt idx="5">
                  <c:v>820.38</c:v>
                </c:pt>
                <c:pt idx="6">
                  <c:v>940.26</c:v>
                </c:pt>
                <c:pt idx="7">
                  <c:v>1217</c:v>
                </c:pt>
                <c:pt idx="8">
                  <c:v>1199</c:v>
                </c:pt>
                <c:pt idx="9">
                  <c:v>1342</c:v>
                </c:pt>
                <c:pt idx="10">
                  <c:v>1676</c:v>
                </c:pt>
                <c:pt idx="11">
                  <c:v>1823</c:v>
                </c:pt>
                <c:pt idx="12">
                  <c:v>1828</c:v>
                </c:pt>
                <c:pt idx="13">
                  <c:v>1857</c:v>
                </c:pt>
                <c:pt idx="14">
                  <c:v>2039</c:v>
                </c:pt>
                <c:pt idx="15">
                  <c:v>2104</c:v>
                </c:pt>
                <c:pt idx="16">
                  <c:v>2295</c:v>
                </c:pt>
                <c:pt idx="17">
                  <c:v>2651</c:v>
                </c:pt>
                <c:pt idx="18">
                  <c:v>2703</c:v>
                </c:pt>
                <c:pt idx="19">
                  <c:v>2836</c:v>
                </c:pt>
                <c:pt idx="20">
                  <c:v>2675</c:v>
                </c:pt>
                <c:pt idx="21">
                  <c:v>3167</c:v>
                </c:pt>
                <c:pt idx="22">
                  <c:v>3346</c:v>
                </c:pt>
                <c:pt idx="23">
                  <c:v>3638</c:v>
                </c:pt>
                <c:pt idx="24">
                  <c:v>3910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'Executive Summary'!D31</c:f>
              <c:strCache>
                <c:ptCount val="1"/>
                <c:pt idx="0">
                  <c:v>Remittances ($B)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Summary'!$B$32:$B$56</c:f>
              <c:strCache>
                <c:ptCount val="25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</c:strCache>
            </c:strRef>
          </c:cat>
          <c:val>
            <c:numRef>
              <c:f>'Executive Summary'!$D$32:$D$56</c:f>
              <c:numCache>
                <c:formatCode>#,##0.0</c:formatCode>
                <c:ptCount val="25"/>
                <c:pt idx="0">
                  <c:v>12.88</c:v>
                </c:pt>
                <c:pt idx="1">
                  <c:v>14.27</c:v>
                </c:pt>
                <c:pt idx="2">
                  <c:v>15.74</c:v>
                </c:pt>
                <c:pt idx="3">
                  <c:v>21</c:v>
                </c:pt>
                <c:pt idx="4">
                  <c:v>18.75</c:v>
                </c:pt>
                <c:pt idx="5">
                  <c:v>22.13</c:v>
                </c:pt>
                <c:pt idx="6">
                  <c:v>28.33</c:v>
                </c:pt>
                <c:pt idx="7">
                  <c:v>37.22</c:v>
                </c:pt>
                <c:pt idx="8">
                  <c:v>49.98</c:v>
                </c:pt>
                <c:pt idx="9">
                  <c:v>49.2</c:v>
                </c:pt>
                <c:pt idx="10">
                  <c:v>53.48</c:v>
                </c:pt>
                <c:pt idx="11">
                  <c:v>62.5</c:v>
                </c:pt>
                <c:pt idx="12">
                  <c:v>68.82</c:v>
                </c:pt>
                <c:pt idx="13">
                  <c:v>69.97</c:v>
                </c:pt>
                <c:pt idx="14">
                  <c:v>70.39</c:v>
                </c:pt>
                <c:pt idx="15">
                  <c:v>68.91</c:v>
                </c:pt>
                <c:pt idx="16">
                  <c:v>62.74</c:v>
                </c:pt>
                <c:pt idx="17">
                  <c:v>68.97</c:v>
                </c:pt>
                <c:pt idx="18">
                  <c:v>78.79</c:v>
                </c:pt>
                <c:pt idx="19">
                  <c:v>83.33</c:v>
                </c:pt>
                <c:pt idx="20">
                  <c:v>83.15</c:v>
                </c:pt>
                <c:pt idx="21">
                  <c:v>89.38</c:v>
                </c:pt>
                <c:pt idx="22">
                  <c:v>111.22</c:v>
                </c:pt>
                <c:pt idx="23">
                  <c:v>119.53</c:v>
                </c:pt>
                <c:pt idx="24">
                  <c:v>137.67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0714652"/>
        <c:axId val="95162117"/>
      </c:lineChart>
      <c:catAx>
        <c:axId val="907146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162117"/>
        <c:crosses val="autoZero"/>
        <c:auto val="1"/>
        <c:lblAlgn val="ctr"/>
        <c:lblOffset val="100"/>
        <c:noMultiLvlLbl val="0"/>
      </c:catAx>
      <c:valAx>
        <c:axId val="951621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Billion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7146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17</xdr:row>
      <xdr:rowOff>55800</xdr:rowOff>
    </xdr:from>
    <xdr:to>
      <xdr:col>12</xdr:col>
      <xdr:colOff>332280</xdr:colOff>
      <xdr:row>34</xdr:row>
      <xdr:rowOff>56880</xdr:rowOff>
    </xdr:to>
    <xdr:graphicFrame>
      <xdr:nvGraphicFramePr>
        <xdr:cNvPr id="0" name="Chart 1"/>
        <xdr:cNvGraphicFramePr/>
      </xdr:nvGraphicFramePr>
      <xdr:xfrm>
        <a:off x="3876840" y="42195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36</xdr:row>
      <xdr:rowOff>55800</xdr:rowOff>
    </xdr:from>
    <xdr:to>
      <xdr:col>12</xdr:col>
      <xdr:colOff>332280</xdr:colOff>
      <xdr:row>53</xdr:row>
      <xdr:rowOff>56880</xdr:rowOff>
    </xdr:to>
    <xdr:graphicFrame>
      <xdr:nvGraphicFramePr>
        <xdr:cNvPr id="1" name="Chart 2"/>
        <xdr:cNvGraphicFramePr/>
      </xdr:nvGraphicFramePr>
      <xdr:xfrm>
        <a:off x="3876840" y="7839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5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1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27.75" hidden="false" customHeight="true" outlineLevel="0" collapsed="false">
      <c r="B5" s="3" t="s">
        <v>2</v>
      </c>
      <c r="C5" s="3"/>
      <c r="E5" s="3" t="s">
        <v>3</v>
      </c>
      <c r="F5" s="3"/>
      <c r="H5" s="3" t="s">
        <v>4</v>
      </c>
      <c r="I5" s="3"/>
      <c r="K5" s="3" t="s">
        <v>5</v>
      </c>
      <c r="L5" s="3"/>
      <c r="N5" s="3" t="s">
        <v>6</v>
      </c>
      <c r="O5" s="3"/>
      <c r="Q5" s="3" t="s">
        <v>7</v>
      </c>
      <c r="R5" s="3"/>
    </row>
    <row r="6" customFormat="false" ht="30" hidden="false" customHeight="true" outlineLevel="0" collapsed="false">
      <c r="B6" s="4" t="n">
        <f aca="false">COUNTA('Migration Data'!A2:A183)</f>
        <v>182</v>
      </c>
      <c r="C6" s="4"/>
      <c r="E6" s="5" t="n">
        <f aca="false">SUMPRODUCT(1/COUNTIF('Migration Data'!B2:B183,'Migration Data'!B2:B183))</f>
        <v>7</v>
      </c>
      <c r="F6" s="5"/>
      <c r="H6" s="5" t="n">
        <f aca="false">_xlfn.MAXIFS('Migration Data'!A2:A183,'Migration Data'!I2:I183,"&lt;&gt;")</f>
        <v>2024</v>
      </c>
      <c r="I6" s="5"/>
      <c r="K6" s="4" t="n">
        <f aca="false">SUMIFS('Migration Data'!I2:I183,'Migration Data'!A2:A183,2024)</f>
        <v>10266000</v>
      </c>
      <c r="L6" s="4"/>
      <c r="N6" s="4" t="n">
        <f aca="false">AVERAGEIFS('Migration Data'!D2:D183,'Migration Data'!A2:A183,2024)</f>
        <v>3910</v>
      </c>
      <c r="O6" s="4"/>
      <c r="Q6" s="6" t="n">
        <f aca="false">AVERAGEIFS('Migration Data'!F2:F183,'Migration Data'!A2:A183,2024)</f>
        <v>137.67</v>
      </c>
      <c r="R6" s="6"/>
    </row>
    <row r="9" customFormat="false" ht="16.15" hidden="false" customHeight="false" outlineLevel="0" collapsed="false">
      <c r="B9" s="7" t="s">
        <v>8</v>
      </c>
    </row>
    <row r="10" customFormat="false" ht="18" hidden="false" customHeight="true" outlineLevel="0" collapsed="false">
      <c r="B10" s="8" t="s">
        <v>9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18" hidden="false" customHeight="true" outlineLevel="0" collapsed="false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18" hidden="false" customHeight="true" outlineLevel="0" collapsed="false">
      <c r="B12" s="8" t="s">
        <v>11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18" hidden="false" customHeight="true" outlineLevel="0" collapsed="false">
      <c r="B13" s="8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18" hidden="false" customHeight="true" outlineLevel="0" collapsed="false">
      <c r="B14" s="8" t="s">
        <v>13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18" hidden="false" customHeight="true" outlineLevel="0" collapsed="false">
      <c r="B15" s="8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7" customFormat="false" ht="31.5" hidden="false" customHeight="true" outlineLevel="0" collapsed="false">
      <c r="B17" s="9" t="s">
        <v>15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20" customFormat="false" ht="15" hidden="false" customHeight="false" outlineLevel="0" collapsed="false">
      <c r="B20" s="10" t="s">
        <v>16</v>
      </c>
    </row>
    <row r="21" customFormat="false" ht="15" hidden="false" customHeight="false" outlineLevel="0" collapsed="false">
      <c r="B21" s="0" t="s">
        <v>17</v>
      </c>
      <c r="C21" s="0" t="s">
        <v>18</v>
      </c>
    </row>
    <row r="22" customFormat="false" ht="15" hidden="false" customHeight="false" outlineLevel="0" collapsed="false">
      <c r="B22" s="0" t="s">
        <v>19</v>
      </c>
      <c r="C22" s="11" t="n">
        <f aca="false">SUMIFS('Migration Data'!I2:I183,'Migration Data'!A2:A183,2024,'Migration Data'!B2:B183,"Australia")</f>
        <v>916000</v>
      </c>
    </row>
    <row r="23" customFormat="false" ht="15" hidden="false" customHeight="false" outlineLevel="0" collapsed="false">
      <c r="B23" s="0" t="s">
        <v>20</v>
      </c>
      <c r="C23" s="11" t="n">
        <f aca="false">SUMIFS('Migration Data'!I2:I183,'Migration Data'!A2:A183,2024,'Migration Data'!B2:B183,"Canada")</f>
        <v>1280000</v>
      </c>
    </row>
    <row r="24" customFormat="false" ht="15" hidden="false" customHeight="false" outlineLevel="0" collapsed="false">
      <c r="B24" s="0" t="s">
        <v>21</v>
      </c>
      <c r="C24" s="11" t="n">
        <f aca="false">SUMIFS('Migration Data'!I2:I183,'Migration Data'!A2:A183,2024,'Migration Data'!B2:B183,"Germany")</f>
        <v>285000</v>
      </c>
    </row>
    <row r="25" customFormat="false" ht="15" hidden="false" customHeight="false" outlineLevel="0" collapsed="false">
      <c r="B25" s="0" t="s">
        <v>22</v>
      </c>
      <c r="C25" s="11" t="n">
        <f aca="false">SUMIFS('Migration Data'!I2:I183,'Migration Data'!A2:A183,2024,'Migration Data'!B2:B183,"Singapore")</f>
        <v>395000</v>
      </c>
    </row>
    <row r="26" customFormat="false" ht="15" hidden="false" customHeight="false" outlineLevel="0" collapsed="false">
      <c r="B26" s="0" t="s">
        <v>23</v>
      </c>
      <c r="C26" s="11" t="n">
        <f aca="false">SUMIFS('Migration Data'!I2:I183,'Migration Data'!A2:A183,2024,'Migration Data'!B2:B183,"UAE")</f>
        <v>3250000</v>
      </c>
    </row>
    <row r="27" customFormat="false" ht="15" hidden="false" customHeight="false" outlineLevel="0" collapsed="false">
      <c r="B27" s="0" t="s">
        <v>24</v>
      </c>
      <c r="C27" s="11" t="n">
        <f aca="false">SUMIFS('Migration Data'!I2:I183,'Migration Data'!A2:A183,2024,'Migration Data'!B2:B183,"UK")</f>
        <v>970000</v>
      </c>
    </row>
    <row r="28" customFormat="false" ht="15" hidden="false" customHeight="false" outlineLevel="0" collapsed="false">
      <c r="B28" s="0" t="s">
        <v>25</v>
      </c>
      <c r="C28" s="11" t="n">
        <f aca="false">SUMIFS('Migration Data'!I2:I183,'Migration Data'!A2:A183,2024,'Migration Data'!B2:B183,"USA")</f>
        <v>3170000</v>
      </c>
    </row>
    <row r="31" customFormat="false" ht="15" hidden="false" customHeight="false" outlineLevel="0" collapsed="false">
      <c r="B31" s="0" t="s">
        <v>26</v>
      </c>
      <c r="C31" s="0" t="s">
        <v>27</v>
      </c>
      <c r="D31" s="0" t="s">
        <v>28</v>
      </c>
    </row>
    <row r="32" customFormat="false" ht="15" hidden="false" customHeight="false" outlineLevel="0" collapsed="false">
      <c r="B32" s="0" t="n">
        <v>2000</v>
      </c>
      <c r="C32" s="11" t="n">
        <f aca="false">AVERAGEIFS('Migration Data'!D2:D183,'Migration Data'!A2:A183,2000)</f>
        <v>468.4</v>
      </c>
      <c r="D32" s="12" t="n">
        <f aca="false">AVERAGEIFS('Migration Data'!F2:F183,'Migration Data'!A2:A183,2000)</f>
        <v>12.88</v>
      </c>
    </row>
    <row r="33" customFormat="false" ht="15" hidden="false" customHeight="false" outlineLevel="0" collapsed="false">
      <c r="B33" s="0" t="n">
        <v>2001</v>
      </c>
      <c r="C33" s="11" t="n">
        <f aca="false">AVERAGEIFS('Migration Data'!D2:D183,'Migration Data'!A2:A183,2001)</f>
        <v>485.44</v>
      </c>
      <c r="D33" s="12" t="n">
        <f aca="false">AVERAGEIFS('Migration Data'!F2:F183,'Migration Data'!A2:A183,2001)</f>
        <v>14.27</v>
      </c>
    </row>
    <row r="34" customFormat="false" ht="15" hidden="false" customHeight="false" outlineLevel="0" collapsed="false">
      <c r="B34" s="0" t="n">
        <v>2002</v>
      </c>
      <c r="C34" s="11" t="n">
        <f aca="false">AVERAGEIFS('Migration Data'!D2:D183,'Migration Data'!A2:A183,2002)</f>
        <v>514.94</v>
      </c>
      <c r="D34" s="12" t="n">
        <f aca="false">AVERAGEIFS('Migration Data'!F2:F183,'Migration Data'!A2:A183,2002)</f>
        <v>15.74</v>
      </c>
    </row>
    <row r="35" customFormat="false" ht="15" hidden="false" customHeight="false" outlineLevel="0" collapsed="false">
      <c r="B35" s="0" t="n">
        <v>2003</v>
      </c>
      <c r="C35" s="11" t="n">
        <f aca="false">AVERAGEIFS('Migration Data'!D2:D183,'Migration Data'!A2:A183,2003)</f>
        <v>607.7</v>
      </c>
      <c r="D35" s="12" t="n">
        <f aca="false">AVERAGEIFS('Migration Data'!F2:F183,'Migration Data'!A2:A183,2003)</f>
        <v>21</v>
      </c>
    </row>
    <row r="36" customFormat="false" ht="15" hidden="false" customHeight="false" outlineLevel="0" collapsed="false">
      <c r="B36" s="0" t="n">
        <v>2004</v>
      </c>
      <c r="C36" s="11" t="n">
        <f aca="false">AVERAGEIFS('Migration Data'!D2:D183,'Migration Data'!A2:A183,2004)</f>
        <v>709.15</v>
      </c>
      <c r="D36" s="12" t="n">
        <f aca="false">AVERAGEIFS('Migration Data'!F2:F183,'Migration Data'!A2:A183,2004)</f>
        <v>18.75</v>
      </c>
    </row>
    <row r="37" customFormat="false" ht="15" hidden="false" customHeight="false" outlineLevel="0" collapsed="false">
      <c r="B37" s="0" t="n">
        <v>2005</v>
      </c>
      <c r="C37" s="11" t="n">
        <f aca="false">AVERAGEIFS('Migration Data'!D2:D183,'Migration Data'!A2:A183,2005)</f>
        <v>820.38</v>
      </c>
      <c r="D37" s="12" t="n">
        <f aca="false">AVERAGEIFS('Migration Data'!F2:F183,'Migration Data'!A2:A183,2005)</f>
        <v>22.13</v>
      </c>
    </row>
    <row r="38" customFormat="false" ht="15" hidden="false" customHeight="false" outlineLevel="0" collapsed="false">
      <c r="B38" s="0" t="n">
        <v>2006</v>
      </c>
      <c r="C38" s="11" t="n">
        <f aca="false">AVERAGEIFS('Migration Data'!D2:D183,'Migration Data'!A2:A183,2006)</f>
        <v>940.26</v>
      </c>
      <c r="D38" s="12" t="n">
        <f aca="false">AVERAGEIFS('Migration Data'!F2:F183,'Migration Data'!A2:A183,2006)</f>
        <v>28.33</v>
      </c>
    </row>
    <row r="39" customFormat="false" ht="15" hidden="false" customHeight="false" outlineLevel="0" collapsed="false">
      <c r="B39" s="0" t="n">
        <v>2007</v>
      </c>
      <c r="C39" s="11" t="n">
        <f aca="false">AVERAGEIFS('Migration Data'!D2:D183,'Migration Data'!A2:A183,2007)</f>
        <v>1217</v>
      </c>
      <c r="D39" s="12" t="n">
        <f aca="false">AVERAGEIFS('Migration Data'!F2:F183,'Migration Data'!A2:A183,2007)</f>
        <v>37.22</v>
      </c>
    </row>
    <row r="40" customFormat="false" ht="15" hidden="false" customHeight="false" outlineLevel="0" collapsed="false">
      <c r="B40" s="0" t="n">
        <v>2008</v>
      </c>
      <c r="C40" s="11" t="n">
        <f aca="false">AVERAGEIFS('Migration Data'!D2:D183,'Migration Data'!A2:A183,2008)</f>
        <v>1199</v>
      </c>
      <c r="D40" s="12" t="n">
        <f aca="false">AVERAGEIFS('Migration Data'!F2:F183,'Migration Data'!A2:A183,2008)</f>
        <v>49.98</v>
      </c>
    </row>
    <row r="41" customFormat="false" ht="15" hidden="false" customHeight="false" outlineLevel="0" collapsed="false">
      <c r="B41" s="0" t="n">
        <v>2009</v>
      </c>
      <c r="C41" s="11" t="n">
        <f aca="false">AVERAGEIFS('Migration Data'!D2:D183,'Migration Data'!A2:A183,2009)</f>
        <v>1342</v>
      </c>
      <c r="D41" s="12" t="n">
        <f aca="false">AVERAGEIFS('Migration Data'!F2:F183,'Migration Data'!A2:A183,2009)</f>
        <v>49.2</v>
      </c>
    </row>
    <row r="42" customFormat="false" ht="15" hidden="false" customHeight="false" outlineLevel="0" collapsed="false">
      <c r="B42" s="0" t="n">
        <v>2010</v>
      </c>
      <c r="C42" s="11" t="n">
        <f aca="false">AVERAGEIFS('Migration Data'!D2:D183,'Migration Data'!A2:A183,2010)</f>
        <v>1676</v>
      </c>
      <c r="D42" s="12" t="n">
        <f aca="false">AVERAGEIFS('Migration Data'!F2:F183,'Migration Data'!A2:A183,2010)</f>
        <v>53.48</v>
      </c>
    </row>
    <row r="43" customFormat="false" ht="15" hidden="false" customHeight="false" outlineLevel="0" collapsed="false">
      <c r="B43" s="0" t="n">
        <v>2011</v>
      </c>
      <c r="C43" s="11" t="n">
        <f aca="false">AVERAGEIFS('Migration Data'!D2:D183,'Migration Data'!A2:A183,2011)</f>
        <v>1823</v>
      </c>
      <c r="D43" s="12" t="n">
        <f aca="false">AVERAGEIFS('Migration Data'!F2:F183,'Migration Data'!A2:A183,2011)</f>
        <v>62.5</v>
      </c>
    </row>
    <row r="44" customFormat="false" ht="15" hidden="false" customHeight="false" outlineLevel="0" collapsed="false">
      <c r="B44" s="0" t="n">
        <v>2012</v>
      </c>
      <c r="C44" s="11" t="n">
        <f aca="false">AVERAGEIFS('Migration Data'!D2:D183,'Migration Data'!A2:A183,2012)</f>
        <v>1828</v>
      </c>
      <c r="D44" s="12" t="n">
        <f aca="false">AVERAGEIFS('Migration Data'!F2:F183,'Migration Data'!A2:A183,2012)</f>
        <v>68.82</v>
      </c>
    </row>
    <row r="45" customFormat="false" ht="15" hidden="false" customHeight="false" outlineLevel="0" collapsed="false">
      <c r="B45" s="0" t="n">
        <v>2013</v>
      </c>
      <c r="C45" s="11" t="n">
        <f aca="false">AVERAGEIFS('Migration Data'!D2:D183,'Migration Data'!A2:A183,2013)</f>
        <v>1857</v>
      </c>
      <c r="D45" s="12" t="n">
        <f aca="false">AVERAGEIFS('Migration Data'!F2:F183,'Migration Data'!A2:A183,2013)</f>
        <v>69.97</v>
      </c>
    </row>
    <row r="46" customFormat="false" ht="15" hidden="false" customHeight="false" outlineLevel="0" collapsed="false">
      <c r="B46" s="0" t="n">
        <v>2014</v>
      </c>
      <c r="C46" s="11" t="n">
        <f aca="false">AVERAGEIFS('Migration Data'!D2:D183,'Migration Data'!A2:A183,2014)</f>
        <v>2039</v>
      </c>
      <c r="D46" s="12" t="n">
        <f aca="false">AVERAGEIFS('Migration Data'!F2:F183,'Migration Data'!A2:A183,2014)</f>
        <v>70.39</v>
      </c>
    </row>
    <row r="47" customFormat="false" ht="15" hidden="false" customHeight="false" outlineLevel="0" collapsed="false">
      <c r="B47" s="0" t="n">
        <v>2015</v>
      </c>
      <c r="C47" s="11" t="n">
        <f aca="false">AVERAGEIFS('Migration Data'!D2:D183,'Migration Data'!A2:A183,2015)</f>
        <v>2104</v>
      </c>
      <c r="D47" s="12" t="n">
        <f aca="false">AVERAGEIFS('Migration Data'!F2:F183,'Migration Data'!A2:A183,2015)</f>
        <v>68.91</v>
      </c>
    </row>
    <row r="48" customFormat="false" ht="15" hidden="false" customHeight="false" outlineLevel="0" collapsed="false">
      <c r="B48" s="0" t="n">
        <v>2016</v>
      </c>
      <c r="C48" s="11" t="n">
        <f aca="false">AVERAGEIFS('Migration Data'!D2:D183,'Migration Data'!A2:A183,2016)</f>
        <v>2295</v>
      </c>
      <c r="D48" s="12" t="n">
        <f aca="false">AVERAGEIFS('Migration Data'!F2:F183,'Migration Data'!A2:A183,2016)</f>
        <v>62.74</v>
      </c>
    </row>
    <row r="49" customFormat="false" ht="15" hidden="false" customHeight="false" outlineLevel="0" collapsed="false">
      <c r="B49" s="0" t="n">
        <v>2017</v>
      </c>
      <c r="C49" s="11" t="n">
        <f aca="false">AVERAGEIFS('Migration Data'!D2:D183,'Migration Data'!A2:A183,2017)</f>
        <v>2651</v>
      </c>
      <c r="D49" s="12" t="n">
        <f aca="false">AVERAGEIFS('Migration Data'!F2:F183,'Migration Data'!A2:A183,2017)</f>
        <v>68.97</v>
      </c>
    </row>
    <row r="50" customFormat="false" ht="15" hidden="false" customHeight="false" outlineLevel="0" collapsed="false">
      <c r="B50" s="0" t="n">
        <v>2018</v>
      </c>
      <c r="C50" s="11" t="n">
        <f aca="false">AVERAGEIFS('Migration Data'!D2:D183,'Migration Data'!A2:A183,2018)</f>
        <v>2703</v>
      </c>
      <c r="D50" s="12" t="n">
        <f aca="false">AVERAGEIFS('Migration Data'!F2:F183,'Migration Data'!A2:A183,2018)</f>
        <v>78.79</v>
      </c>
    </row>
    <row r="51" customFormat="false" ht="15" hidden="false" customHeight="false" outlineLevel="0" collapsed="false">
      <c r="B51" s="0" t="n">
        <v>2019</v>
      </c>
      <c r="C51" s="11" t="n">
        <f aca="false">AVERAGEIFS('Migration Data'!D2:D183,'Migration Data'!A2:A183,2019)</f>
        <v>2836</v>
      </c>
      <c r="D51" s="12" t="n">
        <f aca="false">AVERAGEIFS('Migration Data'!F2:F183,'Migration Data'!A2:A183,2019)</f>
        <v>83.33</v>
      </c>
    </row>
    <row r="52" customFormat="false" ht="15" hidden="false" customHeight="false" outlineLevel="0" collapsed="false">
      <c r="B52" s="0" t="n">
        <v>2020</v>
      </c>
      <c r="C52" s="11" t="n">
        <f aca="false">AVERAGEIFS('Migration Data'!D2:D183,'Migration Data'!A2:A183,2020)</f>
        <v>2675</v>
      </c>
      <c r="D52" s="12" t="n">
        <f aca="false">AVERAGEIFS('Migration Data'!F2:F183,'Migration Data'!A2:A183,2020)</f>
        <v>83.15</v>
      </c>
    </row>
    <row r="53" customFormat="false" ht="15" hidden="false" customHeight="false" outlineLevel="0" collapsed="false">
      <c r="B53" s="0" t="n">
        <v>2021</v>
      </c>
      <c r="C53" s="11" t="n">
        <f aca="false">AVERAGEIFS('Migration Data'!D2:D183,'Migration Data'!A2:A183,2021)</f>
        <v>3167</v>
      </c>
      <c r="D53" s="12" t="n">
        <f aca="false">AVERAGEIFS('Migration Data'!F2:F183,'Migration Data'!A2:A183,2021)</f>
        <v>89.38</v>
      </c>
    </row>
    <row r="54" customFormat="false" ht="15" hidden="false" customHeight="false" outlineLevel="0" collapsed="false">
      <c r="B54" s="0" t="n">
        <v>2022</v>
      </c>
      <c r="C54" s="11" t="n">
        <f aca="false">AVERAGEIFS('Migration Data'!D2:D183,'Migration Data'!A2:A183,2022)</f>
        <v>3346</v>
      </c>
      <c r="D54" s="12" t="n">
        <f aca="false">AVERAGEIFS('Migration Data'!F2:F183,'Migration Data'!A2:A183,2022)</f>
        <v>111.22</v>
      </c>
    </row>
    <row r="55" customFormat="false" ht="15" hidden="false" customHeight="false" outlineLevel="0" collapsed="false">
      <c r="B55" s="0" t="n">
        <v>2023</v>
      </c>
      <c r="C55" s="11" t="n">
        <f aca="false">AVERAGEIFS('Migration Data'!D2:D183,'Migration Data'!A2:A183,2023)</f>
        <v>3638</v>
      </c>
      <c r="D55" s="12" t="n">
        <f aca="false">AVERAGEIFS('Migration Data'!F2:F183,'Migration Data'!A2:A183,2023)</f>
        <v>119.53</v>
      </c>
    </row>
    <row r="56" customFormat="false" ht="15" hidden="false" customHeight="false" outlineLevel="0" collapsed="false">
      <c r="B56" s="0" t="n">
        <v>2024</v>
      </c>
      <c r="C56" s="11" t="n">
        <f aca="false">AVERAGEIFS('Migration Data'!D2:D183,'Migration Data'!A2:A183,2024)</f>
        <v>3910</v>
      </c>
      <c r="D56" s="12" t="n">
        <f aca="false">AVERAGEIFS('Migration Data'!F2:F183,'Migration Data'!A2:A183,2024)</f>
        <v>137.67</v>
      </c>
    </row>
  </sheetData>
  <mergeCells count="19">
    <mergeCell ref="B5:C5"/>
    <mergeCell ref="E5:F5"/>
    <mergeCell ref="H5:I5"/>
    <mergeCell ref="K5:L5"/>
    <mergeCell ref="N5:O5"/>
    <mergeCell ref="Q5:R5"/>
    <mergeCell ref="B6:C6"/>
    <mergeCell ref="E6:F6"/>
    <mergeCell ref="H6:I6"/>
    <mergeCell ref="K6:L6"/>
    <mergeCell ref="N6:O6"/>
    <mergeCell ref="Q6:R6"/>
    <mergeCell ref="B10:N10"/>
    <mergeCell ref="B11:N11"/>
    <mergeCell ref="B12:N12"/>
    <mergeCell ref="B13:N13"/>
    <mergeCell ref="B14:N14"/>
    <mergeCell ref="B15:N15"/>
    <mergeCell ref="B17:N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3"/>
    <col collapsed="false" customWidth="true" hidden="false" outlineLevel="0" max="3" min="3" style="0" width="16"/>
    <col collapsed="false" customWidth="true" hidden="false" outlineLevel="0" max="4" min="4" style="0" width="25"/>
    <col collapsed="false" customWidth="true" hidden="false" outlineLevel="0" max="5" min="5" style="0" width="2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1"/>
    <col collapsed="false" customWidth="true" hidden="false" outlineLevel="0" max="9" min="9" style="0" width="25"/>
    <col collapsed="false" customWidth="true" hidden="false" outlineLevel="0" max="10" min="10" style="0" width="22"/>
    <col collapsed="false" customWidth="true" hidden="false" outlineLevel="0" max="11" min="11" style="0" width="28"/>
    <col collapsed="false" customWidth="true" hidden="false" outlineLevel="0" max="12" min="12" style="0" width="26"/>
    <col collapsed="false" customWidth="true" hidden="false" outlineLevel="0" max="13" min="13" style="0" width="30"/>
    <col collapsed="false" customWidth="true" hidden="false" outlineLevel="0" max="14" min="14" style="0" width="21"/>
    <col collapsed="false" customWidth="true" hidden="false" outlineLevel="0" max="15" min="15" style="0" width="33"/>
    <col collapsed="false" customWidth="true" hidden="false" outlineLevel="0" max="16" min="16" style="0" width="26"/>
    <col collapsed="false" customWidth="true" hidden="false" outlineLevel="0" max="17" min="17" style="0" width="23"/>
    <col collapsed="false" customWidth="true" hidden="false" outlineLevel="0" max="18" min="18" style="0" width="31"/>
  </cols>
  <sheetData>
    <row r="1" customFormat="false" ht="15" hidden="false" customHeight="false" outlineLevel="0" collapsed="false">
      <c r="A1" s="13" t="s">
        <v>26</v>
      </c>
      <c r="B1" s="13" t="s">
        <v>29</v>
      </c>
      <c r="C1" s="13" t="s">
        <v>30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35</v>
      </c>
      <c r="I1" s="13" t="s">
        <v>36</v>
      </c>
      <c r="J1" s="13" t="s">
        <v>37</v>
      </c>
      <c r="K1" s="13" t="s">
        <v>38</v>
      </c>
      <c r="L1" s="13" t="s">
        <v>39</v>
      </c>
      <c r="M1" s="13" t="s">
        <v>40</v>
      </c>
      <c r="N1" s="13" t="s">
        <v>41</v>
      </c>
      <c r="O1" s="13" t="s">
        <v>42</v>
      </c>
      <c r="P1" s="13" t="s">
        <v>43</v>
      </c>
      <c r="Q1" s="13" t="s">
        <v>44</v>
      </c>
      <c r="R1" s="13" t="s">
        <v>45</v>
      </c>
    </row>
    <row r="2" customFormat="false" ht="15" hidden="false" customHeight="false" outlineLevel="0" collapsed="false">
      <c r="A2" s="14" t="n">
        <v>2000</v>
      </c>
      <c r="B2" s="14" t="s">
        <v>19</v>
      </c>
      <c r="C2" s="14" t="s">
        <v>46</v>
      </c>
      <c r="D2" s="15" t="n">
        <v>468.4</v>
      </c>
      <c r="E2" s="16"/>
      <c r="F2" s="15" t="n">
        <v>12.88</v>
      </c>
      <c r="G2" s="16"/>
      <c r="H2" s="16"/>
      <c r="I2" s="16" t="n">
        <v>173000</v>
      </c>
      <c r="J2" s="17" t="n">
        <v>7.62</v>
      </c>
      <c r="K2" s="14" t="s">
        <v>19</v>
      </c>
      <c r="L2" s="17"/>
      <c r="M2" s="17"/>
      <c r="N2" s="17"/>
      <c r="O2" s="14" t="n">
        <v>74.4508670520231</v>
      </c>
      <c r="P2" s="15" t="n">
        <v>173000</v>
      </c>
      <c r="Q2" s="14" t="s">
        <v>47</v>
      </c>
      <c r="R2" s="14" t="s">
        <v>48</v>
      </c>
    </row>
    <row r="3" customFormat="false" ht="15" hidden="false" customHeight="false" outlineLevel="0" collapsed="false">
      <c r="A3" s="18" t="n">
        <v>2001</v>
      </c>
      <c r="B3" s="18" t="s">
        <v>19</v>
      </c>
      <c r="C3" s="18" t="s">
        <v>46</v>
      </c>
      <c r="D3" s="19" t="n">
        <v>485.44</v>
      </c>
      <c r="E3" s="20"/>
      <c r="F3" s="19" t="n">
        <v>14.27</v>
      </c>
      <c r="G3" s="20"/>
      <c r="H3" s="20"/>
      <c r="I3" s="20"/>
      <c r="J3" s="21" t="n">
        <v>7.61</v>
      </c>
      <c r="K3" s="18" t="s">
        <v>19</v>
      </c>
      <c r="L3" s="21"/>
      <c r="M3" s="21"/>
      <c r="N3" s="21"/>
      <c r="O3" s="18"/>
      <c r="P3" s="19" t="n">
        <v>173000</v>
      </c>
      <c r="Q3" s="18" t="s">
        <v>47</v>
      </c>
      <c r="R3" s="18" t="s">
        <v>48</v>
      </c>
    </row>
    <row r="4" customFormat="false" ht="15" hidden="false" customHeight="false" outlineLevel="0" collapsed="false">
      <c r="A4" s="14" t="n">
        <v>2002</v>
      </c>
      <c r="B4" s="14" t="s">
        <v>19</v>
      </c>
      <c r="C4" s="14" t="s">
        <v>46</v>
      </c>
      <c r="D4" s="15" t="n">
        <v>514.94</v>
      </c>
      <c r="E4" s="16"/>
      <c r="F4" s="15" t="n">
        <v>15.74</v>
      </c>
      <c r="G4" s="16"/>
      <c r="H4" s="16"/>
      <c r="I4" s="16"/>
      <c r="J4" s="17" t="n">
        <v>7.68</v>
      </c>
      <c r="K4" s="14" t="s">
        <v>19</v>
      </c>
      <c r="L4" s="17"/>
      <c r="M4" s="17"/>
      <c r="N4" s="17"/>
      <c r="O4" s="14"/>
      <c r="P4" s="15" t="n">
        <v>173000</v>
      </c>
      <c r="Q4" s="14" t="s">
        <v>47</v>
      </c>
      <c r="R4" s="14" t="s">
        <v>48</v>
      </c>
    </row>
    <row r="5" customFormat="false" ht="15" hidden="false" customHeight="false" outlineLevel="0" collapsed="false">
      <c r="A5" s="18" t="n">
        <v>2003</v>
      </c>
      <c r="B5" s="18" t="s">
        <v>19</v>
      </c>
      <c r="C5" s="18" t="s">
        <v>46</v>
      </c>
      <c r="D5" s="19" t="n">
        <v>607.7</v>
      </c>
      <c r="E5" s="20"/>
      <c r="F5" s="19" t="n">
        <v>21</v>
      </c>
      <c r="G5" s="20"/>
      <c r="H5" s="20"/>
      <c r="I5" s="20"/>
      <c r="J5" s="21" t="n">
        <v>7.63</v>
      </c>
      <c r="K5" s="18" t="s">
        <v>19</v>
      </c>
      <c r="L5" s="21"/>
      <c r="M5" s="21"/>
      <c r="N5" s="21"/>
      <c r="O5" s="18"/>
      <c r="P5" s="19"/>
      <c r="Q5" s="18" t="s">
        <v>47</v>
      </c>
      <c r="R5" s="18" t="s">
        <v>48</v>
      </c>
    </row>
    <row r="6" customFormat="false" ht="15" hidden="false" customHeight="false" outlineLevel="0" collapsed="false">
      <c r="A6" s="14" t="n">
        <v>2004</v>
      </c>
      <c r="B6" s="14" t="s">
        <v>19</v>
      </c>
      <c r="C6" s="14" t="s">
        <v>46</v>
      </c>
      <c r="D6" s="15" t="n">
        <v>709.15</v>
      </c>
      <c r="E6" s="16"/>
      <c r="F6" s="15" t="n">
        <v>18.75</v>
      </c>
      <c r="G6" s="16"/>
      <c r="H6" s="16"/>
      <c r="I6" s="16"/>
      <c r="J6" s="17" t="n">
        <v>7.6</v>
      </c>
      <c r="K6" s="14" t="s">
        <v>19</v>
      </c>
      <c r="L6" s="17"/>
      <c r="M6" s="17"/>
      <c r="N6" s="17"/>
      <c r="O6" s="14"/>
      <c r="P6" s="15"/>
      <c r="Q6" s="14" t="s">
        <v>47</v>
      </c>
      <c r="R6" s="14" t="s">
        <v>48</v>
      </c>
    </row>
    <row r="7" customFormat="false" ht="15" hidden="false" customHeight="false" outlineLevel="0" collapsed="false">
      <c r="A7" s="18" t="n">
        <v>2005</v>
      </c>
      <c r="B7" s="18" t="s">
        <v>19</v>
      </c>
      <c r="C7" s="18" t="s">
        <v>46</v>
      </c>
      <c r="D7" s="19" t="n">
        <v>820.38</v>
      </c>
      <c r="E7" s="20"/>
      <c r="F7" s="19" t="n">
        <v>22.13</v>
      </c>
      <c r="G7" s="20"/>
      <c r="H7" s="20"/>
      <c r="I7" s="20"/>
      <c r="J7" s="21" t="n">
        <v>7.55</v>
      </c>
      <c r="K7" s="18" t="s">
        <v>19</v>
      </c>
      <c r="L7" s="21"/>
      <c r="M7" s="21"/>
      <c r="N7" s="21"/>
      <c r="O7" s="18"/>
      <c r="P7" s="19"/>
      <c r="Q7" s="18" t="s">
        <v>47</v>
      </c>
      <c r="R7" s="18" t="s">
        <v>48</v>
      </c>
    </row>
    <row r="8" customFormat="false" ht="15" hidden="false" customHeight="false" outlineLevel="0" collapsed="false">
      <c r="A8" s="14" t="n">
        <v>2006</v>
      </c>
      <c r="B8" s="14" t="s">
        <v>19</v>
      </c>
      <c r="C8" s="14" t="s">
        <v>46</v>
      </c>
      <c r="D8" s="15" t="n">
        <v>940.26</v>
      </c>
      <c r="E8" s="16"/>
      <c r="F8" s="15" t="n">
        <v>28.33</v>
      </c>
      <c r="G8" s="16"/>
      <c r="H8" s="16"/>
      <c r="I8" s="16"/>
      <c r="J8" s="17" t="n">
        <v>7.55</v>
      </c>
      <c r="K8" s="14" t="s">
        <v>19</v>
      </c>
      <c r="L8" s="17"/>
      <c r="M8" s="17"/>
      <c r="N8" s="17"/>
      <c r="O8" s="14"/>
      <c r="P8" s="15"/>
      <c r="Q8" s="14" t="s">
        <v>47</v>
      </c>
      <c r="R8" s="14" t="s">
        <v>48</v>
      </c>
    </row>
    <row r="9" customFormat="false" ht="15" hidden="false" customHeight="false" outlineLevel="0" collapsed="false">
      <c r="A9" s="18" t="n">
        <v>2007</v>
      </c>
      <c r="B9" s="18" t="s">
        <v>19</v>
      </c>
      <c r="C9" s="18" t="s">
        <v>46</v>
      </c>
      <c r="D9" s="19" t="n">
        <v>1217</v>
      </c>
      <c r="E9" s="20"/>
      <c r="F9" s="19" t="n">
        <v>37.22</v>
      </c>
      <c r="G9" s="20"/>
      <c r="H9" s="20"/>
      <c r="I9" s="20"/>
      <c r="J9" s="21" t="n">
        <v>7.56</v>
      </c>
      <c r="K9" s="18" t="s">
        <v>19</v>
      </c>
      <c r="L9" s="21"/>
      <c r="M9" s="21"/>
      <c r="N9" s="21"/>
      <c r="O9" s="18"/>
      <c r="P9" s="19"/>
      <c r="Q9" s="18" t="s">
        <v>47</v>
      </c>
      <c r="R9" s="18" t="s">
        <v>48</v>
      </c>
    </row>
    <row r="10" customFormat="false" ht="15" hidden="false" customHeight="false" outlineLevel="0" collapsed="false">
      <c r="A10" s="14" t="n">
        <v>2008</v>
      </c>
      <c r="B10" s="14" t="s">
        <v>19</v>
      </c>
      <c r="C10" s="14" t="s">
        <v>46</v>
      </c>
      <c r="D10" s="15" t="n">
        <v>1199</v>
      </c>
      <c r="E10" s="16"/>
      <c r="F10" s="15" t="n">
        <v>49.98</v>
      </c>
      <c r="G10" s="16"/>
      <c r="H10" s="16"/>
      <c r="I10" s="16"/>
      <c r="J10" s="17" t="n">
        <v>7.63</v>
      </c>
      <c r="K10" s="14" t="s">
        <v>19</v>
      </c>
      <c r="L10" s="17"/>
      <c r="M10" s="17"/>
      <c r="N10" s="17"/>
      <c r="O10" s="14"/>
      <c r="P10" s="15"/>
      <c r="Q10" s="14" t="s">
        <v>47</v>
      </c>
      <c r="R10" s="14" t="s">
        <v>48</v>
      </c>
    </row>
    <row r="11" customFormat="false" ht="15" hidden="false" customHeight="false" outlineLevel="0" collapsed="false">
      <c r="A11" s="18" t="n">
        <v>2009</v>
      </c>
      <c r="B11" s="18" t="s">
        <v>19</v>
      </c>
      <c r="C11" s="18" t="s">
        <v>46</v>
      </c>
      <c r="D11" s="19" t="n">
        <v>1342</v>
      </c>
      <c r="E11" s="20"/>
      <c r="F11" s="19" t="n">
        <v>49.2</v>
      </c>
      <c r="G11" s="20"/>
      <c r="H11" s="20"/>
      <c r="I11" s="20"/>
      <c r="J11" s="21" t="n">
        <v>7.64</v>
      </c>
      <c r="K11" s="18" t="s">
        <v>19</v>
      </c>
      <c r="L11" s="21"/>
      <c r="M11" s="21"/>
      <c r="N11" s="21"/>
      <c r="O11" s="18"/>
      <c r="P11" s="19"/>
      <c r="Q11" s="18" t="s">
        <v>47</v>
      </c>
      <c r="R11" s="18" t="s">
        <v>48</v>
      </c>
    </row>
    <row r="12" customFormat="false" ht="15" hidden="false" customHeight="false" outlineLevel="0" collapsed="false">
      <c r="A12" s="14" t="n">
        <v>2010</v>
      </c>
      <c r="B12" s="14" t="s">
        <v>19</v>
      </c>
      <c r="C12" s="14" t="s">
        <v>46</v>
      </c>
      <c r="D12" s="15" t="n">
        <v>1676</v>
      </c>
      <c r="E12" s="16" t="n">
        <v>17000</v>
      </c>
      <c r="F12" s="15" t="n">
        <v>53.48</v>
      </c>
      <c r="G12" s="16"/>
      <c r="H12" s="16"/>
      <c r="I12" s="16" t="n">
        <v>330000</v>
      </c>
      <c r="J12" s="17" t="n">
        <v>7.63</v>
      </c>
      <c r="K12" s="14" t="s">
        <v>19</v>
      </c>
      <c r="L12" s="17"/>
      <c r="M12" s="17"/>
      <c r="N12" s="17"/>
      <c r="O12" s="14" t="n">
        <v>162.060606060606</v>
      </c>
      <c r="P12" s="15" t="n">
        <v>330000</v>
      </c>
      <c r="Q12" s="14" t="s">
        <v>47</v>
      </c>
      <c r="R12" s="14" t="s">
        <v>48</v>
      </c>
    </row>
    <row r="13" customFormat="false" ht="15" hidden="false" customHeight="false" outlineLevel="0" collapsed="false">
      <c r="A13" s="18" t="n">
        <v>2011</v>
      </c>
      <c r="B13" s="18" t="s">
        <v>19</v>
      </c>
      <c r="C13" s="18" t="s">
        <v>46</v>
      </c>
      <c r="D13" s="19" t="n">
        <v>1823</v>
      </c>
      <c r="E13" s="20"/>
      <c r="F13" s="19" t="n">
        <v>62.5</v>
      </c>
      <c r="G13" s="20"/>
      <c r="H13" s="20"/>
      <c r="I13" s="20"/>
      <c r="J13" s="21" t="n">
        <v>7.61</v>
      </c>
      <c r="K13" s="18" t="s">
        <v>19</v>
      </c>
      <c r="L13" s="21"/>
      <c r="M13" s="21"/>
      <c r="N13" s="21"/>
      <c r="O13" s="18"/>
      <c r="P13" s="19" t="n">
        <v>330000</v>
      </c>
      <c r="Q13" s="18" t="s">
        <v>47</v>
      </c>
      <c r="R13" s="18" t="s">
        <v>48</v>
      </c>
    </row>
    <row r="14" customFormat="false" ht="15" hidden="false" customHeight="false" outlineLevel="0" collapsed="false">
      <c r="A14" s="14" t="n">
        <v>2012</v>
      </c>
      <c r="B14" s="14" t="s">
        <v>19</v>
      </c>
      <c r="C14" s="14" t="s">
        <v>46</v>
      </c>
      <c r="D14" s="15" t="n">
        <v>1828</v>
      </c>
      <c r="E14" s="16"/>
      <c r="F14" s="15" t="n">
        <v>68.82</v>
      </c>
      <c r="G14" s="16"/>
      <c r="H14" s="16"/>
      <c r="I14" s="16"/>
      <c r="J14" s="17" t="n">
        <v>7.64</v>
      </c>
      <c r="K14" s="14" t="s">
        <v>19</v>
      </c>
      <c r="L14" s="17"/>
      <c r="M14" s="17"/>
      <c r="N14" s="17"/>
      <c r="O14" s="14"/>
      <c r="P14" s="15" t="n">
        <v>330000</v>
      </c>
      <c r="Q14" s="14" t="s">
        <v>47</v>
      </c>
      <c r="R14" s="14" t="s">
        <v>48</v>
      </c>
    </row>
    <row r="15" customFormat="false" ht="15" hidden="false" customHeight="false" outlineLevel="0" collapsed="false">
      <c r="A15" s="18" t="n">
        <v>2013</v>
      </c>
      <c r="B15" s="18" t="s">
        <v>19</v>
      </c>
      <c r="C15" s="18" t="s">
        <v>46</v>
      </c>
      <c r="D15" s="19" t="n">
        <v>1857</v>
      </c>
      <c r="E15" s="20"/>
      <c r="F15" s="19" t="n">
        <v>69.97</v>
      </c>
      <c r="G15" s="20"/>
      <c r="H15" s="20"/>
      <c r="I15" s="20"/>
      <c r="J15" s="21" t="n">
        <v>7.68</v>
      </c>
      <c r="K15" s="18" t="s">
        <v>19</v>
      </c>
      <c r="L15" s="21"/>
      <c r="M15" s="21"/>
      <c r="N15" s="21"/>
      <c r="O15" s="18"/>
      <c r="P15" s="19"/>
      <c r="Q15" s="18" t="s">
        <v>47</v>
      </c>
      <c r="R15" s="18" t="s">
        <v>48</v>
      </c>
    </row>
    <row r="16" customFormat="false" ht="15" hidden="false" customHeight="false" outlineLevel="0" collapsed="false">
      <c r="A16" s="14" t="n">
        <v>2014</v>
      </c>
      <c r="B16" s="14" t="s">
        <v>19</v>
      </c>
      <c r="C16" s="14" t="s">
        <v>46</v>
      </c>
      <c r="D16" s="15" t="n">
        <v>2039</v>
      </c>
      <c r="E16" s="16"/>
      <c r="F16" s="15" t="n">
        <v>70.39</v>
      </c>
      <c r="G16" s="16"/>
      <c r="H16" s="16"/>
      <c r="I16" s="16"/>
      <c r="J16" s="17" t="n">
        <v>7.66</v>
      </c>
      <c r="K16" s="14" t="s">
        <v>19</v>
      </c>
      <c r="L16" s="17"/>
      <c r="M16" s="17"/>
      <c r="N16" s="17"/>
      <c r="O16" s="14"/>
      <c r="P16" s="15"/>
      <c r="Q16" s="14" t="s">
        <v>47</v>
      </c>
      <c r="R16" s="14" t="s">
        <v>48</v>
      </c>
    </row>
    <row r="17" customFormat="false" ht="15" hidden="false" customHeight="false" outlineLevel="0" collapsed="false">
      <c r="A17" s="18" t="n">
        <v>2015</v>
      </c>
      <c r="B17" s="18" t="s">
        <v>19</v>
      </c>
      <c r="C17" s="18" t="s">
        <v>46</v>
      </c>
      <c r="D17" s="19" t="n">
        <v>2104</v>
      </c>
      <c r="E17" s="20"/>
      <c r="F17" s="19" t="n">
        <v>68.91</v>
      </c>
      <c r="G17" s="20"/>
      <c r="H17" s="20"/>
      <c r="I17" s="20" t="n">
        <v>448000</v>
      </c>
      <c r="J17" s="21" t="n">
        <v>7.63</v>
      </c>
      <c r="K17" s="18" t="s">
        <v>19</v>
      </c>
      <c r="L17" s="21"/>
      <c r="M17" s="21"/>
      <c r="N17" s="21"/>
      <c r="O17" s="18" t="n">
        <v>153.816964285714</v>
      </c>
      <c r="P17" s="19" t="n">
        <v>448000</v>
      </c>
      <c r="Q17" s="18" t="s">
        <v>47</v>
      </c>
      <c r="R17" s="18" t="s">
        <v>48</v>
      </c>
    </row>
    <row r="18" customFormat="false" ht="15" hidden="false" customHeight="false" outlineLevel="0" collapsed="false">
      <c r="A18" s="14" t="n">
        <v>2016</v>
      </c>
      <c r="B18" s="14" t="s">
        <v>19</v>
      </c>
      <c r="C18" s="14" t="s">
        <v>46</v>
      </c>
      <c r="D18" s="15" t="n">
        <v>2295</v>
      </c>
      <c r="E18" s="16"/>
      <c r="F18" s="15" t="n">
        <v>62.74</v>
      </c>
      <c r="G18" s="16"/>
      <c r="H18" s="16"/>
      <c r="I18" s="16"/>
      <c r="J18" s="17" t="n">
        <v>7.61</v>
      </c>
      <c r="K18" s="14" t="s">
        <v>19</v>
      </c>
      <c r="L18" s="17"/>
      <c r="M18" s="17"/>
      <c r="N18" s="17"/>
      <c r="O18" s="14"/>
      <c r="P18" s="15" t="n">
        <v>448000</v>
      </c>
      <c r="Q18" s="14" t="s">
        <v>47</v>
      </c>
      <c r="R18" s="14" t="s">
        <v>48</v>
      </c>
    </row>
    <row r="19" customFormat="false" ht="15" hidden="false" customHeight="false" outlineLevel="0" collapsed="false">
      <c r="A19" s="18" t="n">
        <v>2017</v>
      </c>
      <c r="B19" s="18" t="s">
        <v>19</v>
      </c>
      <c r="C19" s="18" t="s">
        <v>46</v>
      </c>
      <c r="D19" s="19" t="n">
        <v>2651</v>
      </c>
      <c r="E19" s="20" t="n">
        <v>33310</v>
      </c>
      <c r="F19" s="19" t="n">
        <v>68.97</v>
      </c>
      <c r="G19" s="20" t="n">
        <v>49469</v>
      </c>
      <c r="H19" s="20" t="n">
        <v>16124</v>
      </c>
      <c r="I19" s="20"/>
      <c r="J19" s="21" t="n">
        <v>7.63</v>
      </c>
      <c r="K19" s="18" t="s">
        <v>19</v>
      </c>
      <c r="L19" s="21"/>
      <c r="M19" s="21"/>
      <c r="N19" s="21"/>
      <c r="O19" s="18"/>
      <c r="P19" s="19" t="n">
        <v>448000</v>
      </c>
      <c r="Q19" s="18" t="s">
        <v>47</v>
      </c>
      <c r="R19" s="18" t="s">
        <v>48</v>
      </c>
    </row>
    <row r="20" customFormat="false" ht="15" hidden="false" customHeight="false" outlineLevel="0" collapsed="false">
      <c r="A20" s="14" t="n">
        <v>2018</v>
      </c>
      <c r="B20" s="14" t="s">
        <v>19</v>
      </c>
      <c r="C20" s="14" t="s">
        <v>46</v>
      </c>
      <c r="D20" s="15" t="n">
        <v>2703</v>
      </c>
      <c r="E20" s="16" t="n">
        <v>33611</v>
      </c>
      <c r="F20" s="15" t="n">
        <v>78.79</v>
      </c>
      <c r="G20" s="16" t="n">
        <v>66449</v>
      </c>
      <c r="H20" s="16" t="n">
        <v>22357</v>
      </c>
      <c r="I20" s="16"/>
      <c r="J20" s="17" t="n">
        <v>7.65</v>
      </c>
      <c r="K20" s="14" t="s">
        <v>19</v>
      </c>
      <c r="L20" s="17"/>
      <c r="M20" s="17"/>
      <c r="N20" s="17"/>
      <c r="O20" s="14"/>
      <c r="P20" s="15"/>
      <c r="Q20" s="14" t="s">
        <v>47</v>
      </c>
      <c r="R20" s="14" t="s">
        <v>48</v>
      </c>
    </row>
    <row r="21" customFormat="false" ht="15" hidden="false" customHeight="false" outlineLevel="0" collapsed="false">
      <c r="A21" s="18" t="n">
        <v>2019</v>
      </c>
      <c r="B21" s="18" t="s">
        <v>19</v>
      </c>
      <c r="C21" s="18" t="s">
        <v>46</v>
      </c>
      <c r="D21" s="19" t="n">
        <v>2836</v>
      </c>
      <c r="E21" s="20" t="n">
        <v>25698</v>
      </c>
      <c r="F21" s="19" t="n">
        <v>83.33</v>
      </c>
      <c r="G21" s="20" t="n">
        <v>55560</v>
      </c>
      <c r="H21" s="20" t="n">
        <v>13434</v>
      </c>
      <c r="I21" s="20"/>
      <c r="J21" s="21" t="n">
        <v>6.51</v>
      </c>
      <c r="K21" s="18" t="s">
        <v>19</v>
      </c>
      <c r="L21" s="21"/>
      <c r="M21" s="21"/>
      <c r="N21" s="21"/>
      <c r="O21" s="18"/>
      <c r="P21" s="19"/>
      <c r="Q21" s="18" t="s">
        <v>47</v>
      </c>
      <c r="R21" s="18" t="s">
        <v>48</v>
      </c>
    </row>
    <row r="22" customFormat="false" ht="15" hidden="false" customHeight="false" outlineLevel="0" collapsed="false">
      <c r="A22" s="14" t="n">
        <v>2020</v>
      </c>
      <c r="B22" s="14" t="s">
        <v>19</v>
      </c>
      <c r="C22" s="14" t="s">
        <v>46</v>
      </c>
      <c r="D22" s="15" t="n">
        <v>2675</v>
      </c>
      <c r="E22" s="16" t="n">
        <v>21791</v>
      </c>
      <c r="F22" s="15" t="n">
        <v>83.15</v>
      </c>
      <c r="G22" s="16" t="n">
        <v>47031</v>
      </c>
      <c r="H22" s="16" t="n">
        <v>10071</v>
      </c>
      <c r="I22" s="16" t="n">
        <v>721000</v>
      </c>
      <c r="J22" s="17" t="n">
        <v>7.86</v>
      </c>
      <c r="K22" s="14" t="s">
        <v>19</v>
      </c>
      <c r="L22" s="17"/>
      <c r="M22" s="17" t="n">
        <v>1.39680998613037</v>
      </c>
      <c r="N22" s="17" t="n">
        <v>6.52302357836338</v>
      </c>
      <c r="O22" s="14" t="n">
        <v>115.325936199723</v>
      </c>
      <c r="P22" s="15" t="n">
        <v>721000</v>
      </c>
      <c r="Q22" s="14" t="s">
        <v>49</v>
      </c>
      <c r="R22" s="14" t="s">
        <v>48</v>
      </c>
    </row>
    <row r="23" customFormat="false" ht="15" hidden="false" customHeight="false" outlineLevel="0" collapsed="false">
      <c r="A23" s="18" t="n">
        <v>2021</v>
      </c>
      <c r="B23" s="18" t="s">
        <v>19</v>
      </c>
      <c r="C23" s="18" t="s">
        <v>46</v>
      </c>
      <c r="D23" s="19" t="n">
        <v>3167</v>
      </c>
      <c r="E23" s="20" t="n">
        <v>24324</v>
      </c>
      <c r="F23" s="19" t="n">
        <v>89.38</v>
      </c>
      <c r="G23" s="20" t="n">
        <v>200325</v>
      </c>
      <c r="H23" s="20" t="n">
        <v>18717</v>
      </c>
      <c r="I23" s="20"/>
      <c r="J23" s="21" t="n">
        <v>6.38</v>
      </c>
      <c r="K23" s="18" t="s">
        <v>19</v>
      </c>
      <c r="L23" s="21"/>
      <c r="M23" s="21"/>
      <c r="N23" s="21"/>
      <c r="O23" s="18"/>
      <c r="P23" s="19" t="n">
        <v>721000</v>
      </c>
      <c r="Q23" s="18" t="s">
        <v>47</v>
      </c>
      <c r="R23" s="18" t="s">
        <v>48</v>
      </c>
    </row>
    <row r="24" customFormat="false" ht="15" hidden="false" customHeight="false" outlineLevel="0" collapsed="false">
      <c r="A24" s="14" t="n">
        <v>2022</v>
      </c>
      <c r="B24" s="14" t="s">
        <v>19</v>
      </c>
      <c r="C24" s="14" t="s">
        <v>46</v>
      </c>
      <c r="D24" s="15" t="n">
        <v>3346</v>
      </c>
      <c r="E24" s="16" t="n">
        <v>41145</v>
      </c>
      <c r="F24" s="15" t="n">
        <v>111.22</v>
      </c>
      <c r="G24" s="16" t="n">
        <v>357038</v>
      </c>
      <c r="H24" s="16" t="n">
        <v>27402</v>
      </c>
      <c r="I24" s="16"/>
      <c r="J24" s="17" t="n">
        <v>4.82</v>
      </c>
      <c r="K24" s="14" t="s">
        <v>19</v>
      </c>
      <c r="L24" s="17"/>
      <c r="M24" s="17"/>
      <c r="N24" s="17"/>
      <c r="O24" s="14"/>
      <c r="P24" s="15" t="n">
        <v>721000</v>
      </c>
      <c r="Q24" s="14" t="s">
        <v>47</v>
      </c>
      <c r="R24" s="14" t="s">
        <v>50</v>
      </c>
    </row>
    <row r="25" customFormat="false" ht="15" hidden="false" customHeight="false" outlineLevel="0" collapsed="false">
      <c r="A25" s="18" t="n">
        <v>2023</v>
      </c>
      <c r="B25" s="18" t="s">
        <v>19</v>
      </c>
      <c r="C25" s="18" t="s">
        <v>46</v>
      </c>
      <c r="D25" s="19" t="n">
        <v>3638</v>
      </c>
      <c r="E25" s="20"/>
      <c r="F25" s="19" t="n">
        <v>119.53</v>
      </c>
      <c r="G25" s="20" t="n">
        <v>287259</v>
      </c>
      <c r="H25" s="20"/>
      <c r="I25" s="20"/>
      <c r="J25" s="21" t="n">
        <v>4.17</v>
      </c>
      <c r="K25" s="18" t="s">
        <v>19</v>
      </c>
      <c r="L25" s="21"/>
      <c r="M25" s="21"/>
      <c r="N25" s="21"/>
      <c r="O25" s="18"/>
      <c r="P25" s="19"/>
      <c r="Q25" s="18" t="s">
        <v>47</v>
      </c>
      <c r="R25" s="18" t="s">
        <v>50</v>
      </c>
    </row>
    <row r="26" customFormat="false" ht="15" hidden="false" customHeight="false" outlineLevel="0" collapsed="false">
      <c r="A26" s="14" t="n">
        <v>2024</v>
      </c>
      <c r="B26" s="14" t="s">
        <v>19</v>
      </c>
      <c r="C26" s="14" t="s">
        <v>46</v>
      </c>
      <c r="D26" s="15" t="n">
        <v>3910</v>
      </c>
      <c r="E26" s="16"/>
      <c r="F26" s="15" t="n">
        <v>137.67</v>
      </c>
      <c r="G26" s="16" t="n">
        <v>302758</v>
      </c>
      <c r="H26" s="16"/>
      <c r="I26" s="16" t="n">
        <v>916000</v>
      </c>
      <c r="J26" s="17" t="n">
        <v>4.17</v>
      </c>
      <c r="K26" s="14" t="s">
        <v>19</v>
      </c>
      <c r="L26" s="17"/>
      <c r="M26" s="17"/>
      <c r="N26" s="17" t="n">
        <v>33.0521834061135</v>
      </c>
      <c r="O26" s="14" t="n">
        <v>150.294759825328</v>
      </c>
      <c r="P26" s="15" t="n">
        <v>916000</v>
      </c>
      <c r="Q26" s="14" t="s">
        <v>49</v>
      </c>
      <c r="R26" s="14" t="s">
        <v>50</v>
      </c>
    </row>
    <row r="27" customFormat="false" ht="15" hidden="false" customHeight="false" outlineLevel="0" collapsed="false">
      <c r="A27" s="18" t="n">
        <v>2025</v>
      </c>
      <c r="B27" s="18" t="s">
        <v>19</v>
      </c>
      <c r="C27" s="18" t="s">
        <v>46</v>
      </c>
      <c r="D27" s="19"/>
      <c r="E27" s="20"/>
      <c r="F27" s="19"/>
      <c r="G27" s="20"/>
      <c r="H27" s="20"/>
      <c r="I27" s="20"/>
      <c r="J27" s="21" t="n">
        <v>4.22</v>
      </c>
      <c r="K27" s="18" t="s">
        <v>19</v>
      </c>
      <c r="L27" s="21"/>
      <c r="M27" s="21"/>
      <c r="N27" s="21"/>
      <c r="O27" s="18"/>
      <c r="P27" s="19" t="n">
        <v>916000</v>
      </c>
      <c r="Q27" s="18" t="s">
        <v>47</v>
      </c>
      <c r="R27" s="18" t="s">
        <v>50</v>
      </c>
    </row>
    <row r="28" customFormat="false" ht="15" hidden="false" customHeight="false" outlineLevel="0" collapsed="false">
      <c r="A28" s="14" t="n">
        <v>2000</v>
      </c>
      <c r="B28" s="14" t="s">
        <v>20</v>
      </c>
      <c r="C28" s="14" t="s">
        <v>51</v>
      </c>
      <c r="D28" s="15" t="n">
        <v>468.4</v>
      </c>
      <c r="E28" s="16" t="n">
        <v>26122</v>
      </c>
      <c r="F28" s="15" t="n">
        <v>12.88</v>
      </c>
      <c r="G28" s="16"/>
      <c r="H28" s="16"/>
      <c r="I28" s="16" t="n">
        <v>217000</v>
      </c>
      <c r="J28" s="17" t="n">
        <v>7.62</v>
      </c>
      <c r="K28" s="14" t="s">
        <v>20</v>
      </c>
      <c r="L28" s="17"/>
      <c r="M28" s="17"/>
      <c r="N28" s="17"/>
      <c r="O28" s="14" t="n">
        <v>59.3548387096774</v>
      </c>
      <c r="P28" s="15" t="n">
        <v>217000</v>
      </c>
      <c r="Q28" s="14" t="s">
        <v>47</v>
      </c>
      <c r="R28" s="14" t="s">
        <v>48</v>
      </c>
    </row>
    <row r="29" customFormat="false" ht="15" hidden="false" customHeight="false" outlineLevel="0" collapsed="false">
      <c r="A29" s="18" t="n">
        <v>2001</v>
      </c>
      <c r="B29" s="18" t="s">
        <v>20</v>
      </c>
      <c r="C29" s="18" t="s">
        <v>51</v>
      </c>
      <c r="D29" s="19" t="n">
        <v>485.44</v>
      </c>
      <c r="E29" s="20"/>
      <c r="F29" s="19" t="n">
        <v>14.27</v>
      </c>
      <c r="G29" s="20"/>
      <c r="H29" s="20"/>
      <c r="I29" s="20"/>
      <c r="J29" s="21" t="n">
        <v>7.61</v>
      </c>
      <c r="K29" s="18" t="s">
        <v>20</v>
      </c>
      <c r="L29" s="21"/>
      <c r="M29" s="21"/>
      <c r="N29" s="21"/>
      <c r="O29" s="18"/>
      <c r="P29" s="19" t="n">
        <v>217000</v>
      </c>
      <c r="Q29" s="18" t="s">
        <v>47</v>
      </c>
      <c r="R29" s="18" t="s">
        <v>48</v>
      </c>
    </row>
    <row r="30" customFormat="false" ht="15" hidden="false" customHeight="false" outlineLevel="0" collapsed="false">
      <c r="A30" s="14" t="n">
        <v>2002</v>
      </c>
      <c r="B30" s="14" t="s">
        <v>20</v>
      </c>
      <c r="C30" s="14" t="s">
        <v>51</v>
      </c>
      <c r="D30" s="15" t="n">
        <v>514.94</v>
      </c>
      <c r="E30" s="16"/>
      <c r="F30" s="15" t="n">
        <v>15.74</v>
      </c>
      <c r="G30" s="16"/>
      <c r="H30" s="16"/>
      <c r="I30" s="16"/>
      <c r="J30" s="17" t="n">
        <v>7.68</v>
      </c>
      <c r="K30" s="14" t="s">
        <v>20</v>
      </c>
      <c r="L30" s="17"/>
      <c r="M30" s="17"/>
      <c r="N30" s="17"/>
      <c r="O30" s="14"/>
      <c r="P30" s="15" t="n">
        <v>217000</v>
      </c>
      <c r="Q30" s="14" t="s">
        <v>47</v>
      </c>
      <c r="R30" s="14" t="s">
        <v>48</v>
      </c>
    </row>
    <row r="31" customFormat="false" ht="15" hidden="false" customHeight="false" outlineLevel="0" collapsed="false">
      <c r="A31" s="18" t="n">
        <v>2003</v>
      </c>
      <c r="B31" s="18" t="s">
        <v>20</v>
      </c>
      <c r="C31" s="18" t="s">
        <v>51</v>
      </c>
      <c r="D31" s="19" t="n">
        <v>607.7</v>
      </c>
      <c r="E31" s="20"/>
      <c r="F31" s="19" t="n">
        <v>21</v>
      </c>
      <c r="G31" s="20"/>
      <c r="H31" s="20"/>
      <c r="I31" s="20"/>
      <c r="J31" s="21" t="n">
        <v>7.63</v>
      </c>
      <c r="K31" s="18" t="s">
        <v>20</v>
      </c>
      <c r="L31" s="21"/>
      <c r="M31" s="21"/>
      <c r="N31" s="21"/>
      <c r="O31" s="18"/>
      <c r="P31" s="19"/>
      <c r="Q31" s="18" t="s">
        <v>47</v>
      </c>
      <c r="R31" s="18" t="s">
        <v>48</v>
      </c>
    </row>
    <row r="32" customFormat="false" ht="15" hidden="false" customHeight="false" outlineLevel="0" collapsed="false">
      <c r="A32" s="14" t="n">
        <v>2004</v>
      </c>
      <c r="B32" s="14" t="s">
        <v>20</v>
      </c>
      <c r="C32" s="14" t="s">
        <v>51</v>
      </c>
      <c r="D32" s="15" t="n">
        <v>709.15</v>
      </c>
      <c r="E32" s="16"/>
      <c r="F32" s="15" t="n">
        <v>18.75</v>
      </c>
      <c r="G32" s="16"/>
      <c r="H32" s="16"/>
      <c r="I32" s="16"/>
      <c r="J32" s="17" t="n">
        <v>7.6</v>
      </c>
      <c r="K32" s="14" t="s">
        <v>20</v>
      </c>
      <c r="L32" s="17"/>
      <c r="M32" s="17"/>
      <c r="N32" s="17"/>
      <c r="O32" s="14"/>
      <c r="P32" s="15"/>
      <c r="Q32" s="14" t="s">
        <v>47</v>
      </c>
      <c r="R32" s="14" t="s">
        <v>48</v>
      </c>
    </row>
    <row r="33" customFormat="false" ht="15" hidden="false" customHeight="false" outlineLevel="0" collapsed="false">
      <c r="A33" s="18" t="n">
        <v>2005</v>
      </c>
      <c r="B33" s="18" t="s">
        <v>20</v>
      </c>
      <c r="C33" s="18" t="s">
        <v>51</v>
      </c>
      <c r="D33" s="19" t="n">
        <v>820.38</v>
      </c>
      <c r="E33" s="20"/>
      <c r="F33" s="19" t="n">
        <v>22.13</v>
      </c>
      <c r="G33" s="20"/>
      <c r="H33" s="20"/>
      <c r="I33" s="20"/>
      <c r="J33" s="21" t="n">
        <v>7.55</v>
      </c>
      <c r="K33" s="18" t="s">
        <v>20</v>
      </c>
      <c r="L33" s="21"/>
      <c r="M33" s="21"/>
      <c r="N33" s="21"/>
      <c r="O33" s="18"/>
      <c r="P33" s="19"/>
      <c r="Q33" s="18" t="s">
        <v>47</v>
      </c>
      <c r="R33" s="18" t="s">
        <v>48</v>
      </c>
    </row>
    <row r="34" customFormat="false" ht="15" hidden="false" customHeight="false" outlineLevel="0" collapsed="false">
      <c r="A34" s="14" t="n">
        <v>2006</v>
      </c>
      <c r="B34" s="14" t="s">
        <v>20</v>
      </c>
      <c r="C34" s="14" t="s">
        <v>51</v>
      </c>
      <c r="D34" s="15" t="n">
        <v>940.26</v>
      </c>
      <c r="E34" s="16"/>
      <c r="F34" s="15" t="n">
        <v>28.33</v>
      </c>
      <c r="G34" s="16"/>
      <c r="H34" s="16"/>
      <c r="I34" s="16"/>
      <c r="J34" s="17" t="n">
        <v>7.55</v>
      </c>
      <c r="K34" s="14" t="s">
        <v>20</v>
      </c>
      <c r="L34" s="17"/>
      <c r="M34" s="17"/>
      <c r="N34" s="17"/>
      <c r="O34" s="14"/>
      <c r="P34" s="15"/>
      <c r="Q34" s="14" t="s">
        <v>47</v>
      </c>
      <c r="R34" s="14" t="s">
        <v>48</v>
      </c>
    </row>
    <row r="35" customFormat="false" ht="15" hidden="false" customHeight="false" outlineLevel="0" collapsed="false">
      <c r="A35" s="18" t="n">
        <v>2007</v>
      </c>
      <c r="B35" s="18" t="s">
        <v>20</v>
      </c>
      <c r="C35" s="18" t="s">
        <v>51</v>
      </c>
      <c r="D35" s="19" t="n">
        <v>1217</v>
      </c>
      <c r="E35" s="20"/>
      <c r="F35" s="19" t="n">
        <v>37.22</v>
      </c>
      <c r="G35" s="20"/>
      <c r="H35" s="20"/>
      <c r="I35" s="20"/>
      <c r="J35" s="21" t="n">
        <v>7.56</v>
      </c>
      <c r="K35" s="18" t="s">
        <v>20</v>
      </c>
      <c r="L35" s="21"/>
      <c r="M35" s="21"/>
      <c r="N35" s="21"/>
      <c r="O35" s="18"/>
      <c r="P35" s="19"/>
      <c r="Q35" s="18" t="s">
        <v>47</v>
      </c>
      <c r="R35" s="18" t="s">
        <v>48</v>
      </c>
    </row>
    <row r="36" customFormat="false" ht="15" hidden="false" customHeight="false" outlineLevel="0" collapsed="false">
      <c r="A36" s="14" t="n">
        <v>2008</v>
      </c>
      <c r="B36" s="14" t="s">
        <v>20</v>
      </c>
      <c r="C36" s="14" t="s">
        <v>51</v>
      </c>
      <c r="D36" s="15" t="n">
        <v>1199</v>
      </c>
      <c r="E36" s="16"/>
      <c r="F36" s="15" t="n">
        <v>49.98</v>
      </c>
      <c r="G36" s="16"/>
      <c r="H36" s="16"/>
      <c r="I36" s="16"/>
      <c r="J36" s="17" t="n">
        <v>7.63</v>
      </c>
      <c r="K36" s="14" t="s">
        <v>20</v>
      </c>
      <c r="L36" s="17"/>
      <c r="M36" s="17"/>
      <c r="N36" s="17"/>
      <c r="O36" s="14"/>
      <c r="P36" s="15"/>
      <c r="Q36" s="14" t="s">
        <v>47</v>
      </c>
      <c r="R36" s="14" t="s">
        <v>48</v>
      </c>
    </row>
    <row r="37" customFormat="false" ht="15" hidden="false" customHeight="false" outlineLevel="0" collapsed="false">
      <c r="A37" s="18" t="n">
        <v>2009</v>
      </c>
      <c r="B37" s="18" t="s">
        <v>20</v>
      </c>
      <c r="C37" s="18" t="s">
        <v>51</v>
      </c>
      <c r="D37" s="19" t="n">
        <v>1342</v>
      </c>
      <c r="E37" s="20"/>
      <c r="F37" s="19" t="n">
        <v>49.2</v>
      </c>
      <c r="G37" s="20"/>
      <c r="H37" s="20"/>
      <c r="I37" s="20"/>
      <c r="J37" s="21" t="n">
        <v>7.64</v>
      </c>
      <c r="K37" s="18" t="s">
        <v>20</v>
      </c>
      <c r="L37" s="21"/>
      <c r="M37" s="21"/>
      <c r="N37" s="21"/>
      <c r="O37" s="18"/>
      <c r="P37" s="19"/>
      <c r="Q37" s="18" t="s">
        <v>47</v>
      </c>
      <c r="R37" s="18" t="s">
        <v>48</v>
      </c>
    </row>
    <row r="38" customFormat="false" ht="15" hidden="false" customHeight="false" outlineLevel="0" collapsed="false">
      <c r="A38" s="14" t="n">
        <v>2010</v>
      </c>
      <c r="B38" s="14" t="s">
        <v>20</v>
      </c>
      <c r="C38" s="14" t="s">
        <v>51</v>
      </c>
      <c r="D38" s="15" t="n">
        <v>1676</v>
      </c>
      <c r="E38" s="16" t="n">
        <v>30311</v>
      </c>
      <c r="F38" s="15" t="n">
        <v>53.48</v>
      </c>
      <c r="G38" s="16"/>
      <c r="H38" s="16"/>
      <c r="I38" s="16" t="n">
        <v>540000</v>
      </c>
      <c r="J38" s="17" t="n">
        <v>7.63</v>
      </c>
      <c r="K38" s="14" t="s">
        <v>20</v>
      </c>
      <c r="L38" s="17"/>
      <c r="M38" s="17"/>
      <c r="N38" s="17"/>
      <c r="O38" s="14" t="n">
        <v>99.037037037037</v>
      </c>
      <c r="P38" s="15" t="n">
        <v>540000</v>
      </c>
      <c r="Q38" s="14" t="s">
        <v>47</v>
      </c>
      <c r="R38" s="14" t="s">
        <v>48</v>
      </c>
    </row>
    <row r="39" customFormat="false" ht="15" hidden="false" customHeight="false" outlineLevel="0" collapsed="false">
      <c r="A39" s="18" t="n">
        <v>2011</v>
      </c>
      <c r="B39" s="18" t="s">
        <v>20</v>
      </c>
      <c r="C39" s="18" t="s">
        <v>51</v>
      </c>
      <c r="D39" s="19" t="n">
        <v>1823</v>
      </c>
      <c r="E39" s="20"/>
      <c r="F39" s="19" t="n">
        <v>62.5</v>
      </c>
      <c r="G39" s="20"/>
      <c r="H39" s="20"/>
      <c r="I39" s="20"/>
      <c r="J39" s="21" t="n">
        <v>7.61</v>
      </c>
      <c r="K39" s="18" t="s">
        <v>20</v>
      </c>
      <c r="L39" s="21"/>
      <c r="M39" s="21"/>
      <c r="N39" s="21"/>
      <c r="O39" s="18"/>
      <c r="P39" s="19" t="n">
        <v>540000</v>
      </c>
      <c r="Q39" s="18" t="s">
        <v>47</v>
      </c>
      <c r="R39" s="18" t="s">
        <v>48</v>
      </c>
    </row>
    <row r="40" customFormat="false" ht="15" hidden="false" customHeight="false" outlineLevel="0" collapsed="false">
      <c r="A40" s="14" t="n">
        <v>2012</v>
      </c>
      <c r="B40" s="14" t="s">
        <v>20</v>
      </c>
      <c r="C40" s="14" t="s">
        <v>51</v>
      </c>
      <c r="D40" s="15" t="n">
        <v>1828</v>
      </c>
      <c r="E40" s="16"/>
      <c r="F40" s="15" t="n">
        <v>68.82</v>
      </c>
      <c r="G40" s="16"/>
      <c r="H40" s="16"/>
      <c r="I40" s="16"/>
      <c r="J40" s="17" t="n">
        <v>7.64</v>
      </c>
      <c r="K40" s="14" t="s">
        <v>20</v>
      </c>
      <c r="L40" s="17"/>
      <c r="M40" s="17"/>
      <c r="N40" s="17"/>
      <c r="O40" s="14"/>
      <c r="P40" s="15" t="n">
        <v>540000</v>
      </c>
      <c r="Q40" s="14" t="s">
        <v>47</v>
      </c>
      <c r="R40" s="14" t="s">
        <v>48</v>
      </c>
    </row>
    <row r="41" customFormat="false" ht="15" hidden="false" customHeight="false" outlineLevel="0" collapsed="false">
      <c r="A41" s="18" t="n">
        <v>2013</v>
      </c>
      <c r="B41" s="18" t="s">
        <v>20</v>
      </c>
      <c r="C41" s="18" t="s">
        <v>51</v>
      </c>
      <c r="D41" s="19" t="n">
        <v>1857</v>
      </c>
      <c r="E41" s="20"/>
      <c r="F41" s="19" t="n">
        <v>69.97</v>
      </c>
      <c r="G41" s="20"/>
      <c r="H41" s="20"/>
      <c r="I41" s="20"/>
      <c r="J41" s="21" t="n">
        <v>7.68</v>
      </c>
      <c r="K41" s="18" t="s">
        <v>20</v>
      </c>
      <c r="L41" s="21"/>
      <c r="M41" s="21"/>
      <c r="N41" s="21"/>
      <c r="O41" s="18"/>
      <c r="P41" s="19"/>
      <c r="Q41" s="18" t="s">
        <v>47</v>
      </c>
      <c r="R41" s="18" t="s">
        <v>48</v>
      </c>
    </row>
    <row r="42" customFormat="false" ht="15" hidden="false" customHeight="false" outlineLevel="0" collapsed="false">
      <c r="A42" s="14" t="n">
        <v>2014</v>
      </c>
      <c r="B42" s="14" t="s">
        <v>20</v>
      </c>
      <c r="C42" s="14" t="s">
        <v>51</v>
      </c>
      <c r="D42" s="15" t="n">
        <v>2039</v>
      </c>
      <c r="E42" s="16"/>
      <c r="F42" s="15" t="n">
        <v>70.39</v>
      </c>
      <c r="G42" s="16"/>
      <c r="H42" s="16"/>
      <c r="I42" s="16"/>
      <c r="J42" s="17" t="n">
        <v>7.66</v>
      </c>
      <c r="K42" s="14" t="s">
        <v>20</v>
      </c>
      <c r="L42" s="17"/>
      <c r="M42" s="17"/>
      <c r="N42" s="17"/>
      <c r="O42" s="14"/>
      <c r="P42" s="15"/>
      <c r="Q42" s="14" t="s">
        <v>47</v>
      </c>
      <c r="R42" s="14" t="s">
        <v>48</v>
      </c>
    </row>
    <row r="43" customFormat="false" ht="15" hidden="false" customHeight="false" outlineLevel="0" collapsed="false">
      <c r="A43" s="18" t="n">
        <v>2015</v>
      </c>
      <c r="B43" s="18" t="s">
        <v>20</v>
      </c>
      <c r="C43" s="18" t="s">
        <v>51</v>
      </c>
      <c r="D43" s="19" t="n">
        <v>2104</v>
      </c>
      <c r="E43" s="20" t="n">
        <v>39340</v>
      </c>
      <c r="F43" s="19" t="n">
        <v>68.91</v>
      </c>
      <c r="G43" s="20" t="n">
        <v>172600</v>
      </c>
      <c r="H43" s="20"/>
      <c r="I43" s="20" t="n">
        <v>710000</v>
      </c>
      <c r="J43" s="21" t="n">
        <v>7.63</v>
      </c>
      <c r="K43" s="18" t="s">
        <v>20</v>
      </c>
      <c r="L43" s="21"/>
      <c r="M43" s="21"/>
      <c r="N43" s="21" t="n">
        <v>24.3098591549296</v>
      </c>
      <c r="O43" s="18" t="n">
        <v>97.056338028169</v>
      </c>
      <c r="P43" s="19" t="n">
        <v>710000</v>
      </c>
      <c r="Q43" s="18" t="s">
        <v>47</v>
      </c>
      <c r="R43" s="18" t="s">
        <v>48</v>
      </c>
    </row>
    <row r="44" customFormat="false" ht="15" hidden="false" customHeight="false" outlineLevel="0" collapsed="false">
      <c r="A44" s="14" t="n">
        <v>2016</v>
      </c>
      <c r="B44" s="14" t="s">
        <v>20</v>
      </c>
      <c r="C44" s="14" t="s">
        <v>51</v>
      </c>
      <c r="D44" s="15" t="n">
        <v>2295</v>
      </c>
      <c r="E44" s="16"/>
      <c r="F44" s="15" t="n">
        <v>62.74</v>
      </c>
      <c r="G44" s="16"/>
      <c r="H44" s="16"/>
      <c r="I44" s="16"/>
      <c r="J44" s="17" t="n">
        <v>7.61</v>
      </c>
      <c r="K44" s="14" t="s">
        <v>20</v>
      </c>
      <c r="L44" s="17"/>
      <c r="M44" s="17"/>
      <c r="N44" s="17"/>
      <c r="O44" s="14"/>
      <c r="P44" s="15" t="n">
        <v>710000</v>
      </c>
      <c r="Q44" s="14" t="s">
        <v>47</v>
      </c>
      <c r="R44" s="14" t="s">
        <v>48</v>
      </c>
    </row>
    <row r="45" customFormat="false" ht="15" hidden="false" customHeight="false" outlineLevel="0" collapsed="false">
      <c r="A45" s="18" t="n">
        <v>2017</v>
      </c>
      <c r="B45" s="18" t="s">
        <v>20</v>
      </c>
      <c r="C45" s="18" t="s">
        <v>51</v>
      </c>
      <c r="D45" s="19" t="n">
        <v>2651</v>
      </c>
      <c r="E45" s="20"/>
      <c r="F45" s="19" t="n">
        <v>68.97</v>
      </c>
      <c r="G45" s="20"/>
      <c r="H45" s="20"/>
      <c r="I45" s="20"/>
      <c r="J45" s="21" t="n">
        <v>7.63</v>
      </c>
      <c r="K45" s="18" t="s">
        <v>20</v>
      </c>
      <c r="L45" s="21"/>
      <c r="M45" s="21"/>
      <c r="N45" s="21"/>
      <c r="O45" s="18"/>
      <c r="P45" s="19" t="n">
        <v>710000</v>
      </c>
      <c r="Q45" s="18" t="s">
        <v>47</v>
      </c>
      <c r="R45" s="18" t="s">
        <v>48</v>
      </c>
    </row>
    <row r="46" customFormat="false" ht="15" hidden="false" customHeight="false" outlineLevel="0" collapsed="false">
      <c r="A46" s="14" t="n">
        <v>2018</v>
      </c>
      <c r="B46" s="14" t="s">
        <v>20</v>
      </c>
      <c r="C46" s="14" t="s">
        <v>51</v>
      </c>
      <c r="D46" s="15" t="n">
        <v>2703</v>
      </c>
      <c r="E46" s="16" t="n">
        <v>69985</v>
      </c>
      <c r="F46" s="15" t="n">
        <v>78.79</v>
      </c>
      <c r="G46" s="16"/>
      <c r="H46" s="16"/>
      <c r="I46" s="16"/>
      <c r="J46" s="17" t="n">
        <v>7.65</v>
      </c>
      <c r="K46" s="14" t="s">
        <v>20</v>
      </c>
      <c r="L46" s="17"/>
      <c r="M46" s="17"/>
      <c r="N46" s="17"/>
      <c r="O46" s="14"/>
      <c r="P46" s="15"/>
      <c r="Q46" s="14" t="s">
        <v>47</v>
      </c>
      <c r="R46" s="14" t="s">
        <v>48</v>
      </c>
    </row>
    <row r="47" customFormat="false" ht="15" hidden="false" customHeight="false" outlineLevel="0" collapsed="false">
      <c r="A47" s="18" t="n">
        <v>2019</v>
      </c>
      <c r="B47" s="18" t="s">
        <v>20</v>
      </c>
      <c r="C47" s="18" t="s">
        <v>51</v>
      </c>
      <c r="D47" s="19" t="n">
        <v>2836</v>
      </c>
      <c r="E47" s="20" t="n">
        <v>85590</v>
      </c>
      <c r="F47" s="19" t="n">
        <v>83.33</v>
      </c>
      <c r="G47" s="20"/>
      <c r="H47" s="20"/>
      <c r="I47" s="20"/>
      <c r="J47" s="21" t="n">
        <v>6.51</v>
      </c>
      <c r="K47" s="18" t="s">
        <v>20</v>
      </c>
      <c r="L47" s="21"/>
      <c r="M47" s="21"/>
      <c r="N47" s="21"/>
      <c r="O47" s="18"/>
      <c r="P47" s="19"/>
      <c r="Q47" s="18" t="s">
        <v>47</v>
      </c>
      <c r="R47" s="18" t="s">
        <v>48</v>
      </c>
    </row>
    <row r="48" customFormat="false" ht="15" hidden="false" customHeight="false" outlineLevel="0" collapsed="false">
      <c r="A48" s="14" t="n">
        <v>2020</v>
      </c>
      <c r="B48" s="14" t="s">
        <v>20</v>
      </c>
      <c r="C48" s="14" t="s">
        <v>51</v>
      </c>
      <c r="D48" s="15" t="n">
        <v>2675</v>
      </c>
      <c r="E48" s="16" t="n">
        <v>42875</v>
      </c>
      <c r="F48" s="15" t="n">
        <v>83.15</v>
      </c>
      <c r="G48" s="16"/>
      <c r="H48" s="16"/>
      <c r="I48" s="16" t="n">
        <v>1020000</v>
      </c>
      <c r="J48" s="17" t="n">
        <v>7.86</v>
      </c>
      <c r="K48" s="14" t="s">
        <v>20</v>
      </c>
      <c r="L48" s="17"/>
      <c r="M48" s="17"/>
      <c r="N48" s="17"/>
      <c r="O48" s="14" t="n">
        <v>81.5196078431373</v>
      </c>
      <c r="P48" s="15" t="n">
        <v>1020000</v>
      </c>
      <c r="Q48" s="14" t="s">
        <v>49</v>
      </c>
      <c r="R48" s="14" t="s">
        <v>48</v>
      </c>
    </row>
    <row r="49" customFormat="false" ht="15" hidden="false" customHeight="false" outlineLevel="0" collapsed="false">
      <c r="A49" s="18" t="n">
        <v>2021</v>
      </c>
      <c r="B49" s="18" t="s">
        <v>20</v>
      </c>
      <c r="C49" s="18" t="s">
        <v>51</v>
      </c>
      <c r="D49" s="19" t="n">
        <v>3167</v>
      </c>
      <c r="E49" s="20" t="n">
        <v>127945</v>
      </c>
      <c r="F49" s="19" t="n">
        <v>89.38</v>
      </c>
      <c r="G49" s="20"/>
      <c r="H49" s="20"/>
      <c r="I49" s="20"/>
      <c r="J49" s="21" t="n">
        <v>6.38</v>
      </c>
      <c r="K49" s="18" t="s">
        <v>20</v>
      </c>
      <c r="L49" s="21"/>
      <c r="M49" s="21"/>
      <c r="N49" s="21"/>
      <c r="O49" s="18"/>
      <c r="P49" s="19" t="n">
        <v>1020000</v>
      </c>
      <c r="Q49" s="18" t="s">
        <v>47</v>
      </c>
      <c r="R49" s="18" t="s">
        <v>48</v>
      </c>
    </row>
    <row r="50" customFormat="false" ht="15" hidden="false" customHeight="false" outlineLevel="0" collapsed="false">
      <c r="A50" s="14" t="n">
        <v>2022</v>
      </c>
      <c r="B50" s="14" t="s">
        <v>20</v>
      </c>
      <c r="C50" s="14" t="s">
        <v>51</v>
      </c>
      <c r="D50" s="15" t="n">
        <v>3346</v>
      </c>
      <c r="E50" s="16" t="n">
        <v>118250</v>
      </c>
      <c r="F50" s="15" t="n">
        <v>111.22</v>
      </c>
      <c r="G50" s="16"/>
      <c r="H50" s="16"/>
      <c r="I50" s="16"/>
      <c r="J50" s="17" t="n">
        <v>4.82</v>
      </c>
      <c r="K50" s="14" t="s">
        <v>20</v>
      </c>
      <c r="L50" s="17"/>
      <c r="M50" s="17"/>
      <c r="N50" s="17"/>
      <c r="O50" s="14"/>
      <c r="P50" s="15" t="n">
        <v>1020000</v>
      </c>
      <c r="Q50" s="14" t="s">
        <v>47</v>
      </c>
      <c r="R50" s="14" t="s">
        <v>50</v>
      </c>
    </row>
    <row r="51" customFormat="false" ht="15" hidden="false" customHeight="false" outlineLevel="0" collapsed="false">
      <c r="A51" s="18" t="n">
        <v>2023</v>
      </c>
      <c r="B51" s="18" t="s">
        <v>20</v>
      </c>
      <c r="C51" s="18" t="s">
        <v>51</v>
      </c>
      <c r="D51" s="19" t="n">
        <v>3638</v>
      </c>
      <c r="E51" s="20" t="n">
        <v>139790</v>
      </c>
      <c r="F51" s="19" t="n">
        <v>119.53</v>
      </c>
      <c r="G51" s="20" t="n">
        <v>427000</v>
      </c>
      <c r="H51" s="20"/>
      <c r="I51" s="20"/>
      <c r="J51" s="21" t="n">
        <v>4.17</v>
      </c>
      <c r="K51" s="18" t="s">
        <v>20</v>
      </c>
      <c r="L51" s="21"/>
      <c r="M51" s="21"/>
      <c r="N51" s="21"/>
      <c r="O51" s="18"/>
      <c r="P51" s="19"/>
      <c r="Q51" s="18" t="s">
        <v>47</v>
      </c>
      <c r="R51" s="18" t="s">
        <v>50</v>
      </c>
    </row>
    <row r="52" customFormat="false" ht="15" hidden="false" customHeight="false" outlineLevel="0" collapsed="false">
      <c r="A52" s="14" t="n">
        <v>2024</v>
      </c>
      <c r="B52" s="14" t="s">
        <v>20</v>
      </c>
      <c r="C52" s="14" t="s">
        <v>51</v>
      </c>
      <c r="D52" s="15" t="n">
        <v>3910</v>
      </c>
      <c r="E52" s="16" t="n">
        <v>127375</v>
      </c>
      <c r="F52" s="15" t="n">
        <v>137.67</v>
      </c>
      <c r="G52" s="16"/>
      <c r="H52" s="16"/>
      <c r="I52" s="16" t="n">
        <v>1280000</v>
      </c>
      <c r="J52" s="17" t="n">
        <v>4.17</v>
      </c>
      <c r="K52" s="14" t="s">
        <v>20</v>
      </c>
      <c r="L52" s="17"/>
      <c r="M52" s="17"/>
      <c r="N52" s="17"/>
      <c r="O52" s="14" t="n">
        <v>107.5546875</v>
      </c>
      <c r="P52" s="15" t="n">
        <v>1280000</v>
      </c>
      <c r="Q52" s="14" t="s">
        <v>49</v>
      </c>
      <c r="R52" s="14" t="s">
        <v>50</v>
      </c>
    </row>
    <row r="53" customFormat="false" ht="15" hidden="false" customHeight="false" outlineLevel="0" collapsed="false">
      <c r="A53" s="18" t="n">
        <v>2025</v>
      </c>
      <c r="B53" s="18" t="s">
        <v>20</v>
      </c>
      <c r="C53" s="18" t="s">
        <v>51</v>
      </c>
      <c r="D53" s="19"/>
      <c r="E53" s="20" t="n">
        <v>98825</v>
      </c>
      <c r="F53" s="19"/>
      <c r="G53" s="20"/>
      <c r="H53" s="20"/>
      <c r="I53" s="20"/>
      <c r="J53" s="21" t="n">
        <v>4.22</v>
      </c>
      <c r="K53" s="18" t="s">
        <v>20</v>
      </c>
      <c r="L53" s="21"/>
      <c r="M53" s="21"/>
      <c r="N53" s="21"/>
      <c r="O53" s="18"/>
      <c r="P53" s="19" t="n">
        <v>1280000</v>
      </c>
      <c r="Q53" s="18" t="s">
        <v>47</v>
      </c>
      <c r="R53" s="18" t="s">
        <v>50</v>
      </c>
    </row>
    <row r="54" customFormat="false" ht="15" hidden="false" customHeight="false" outlineLevel="0" collapsed="false">
      <c r="A54" s="14" t="n">
        <v>2000</v>
      </c>
      <c r="B54" s="14" t="s">
        <v>21</v>
      </c>
      <c r="C54" s="14" t="s">
        <v>52</v>
      </c>
      <c r="D54" s="15" t="n">
        <v>468.4</v>
      </c>
      <c r="E54" s="16"/>
      <c r="F54" s="15" t="n">
        <v>12.88</v>
      </c>
      <c r="G54" s="16"/>
      <c r="H54" s="16"/>
      <c r="I54" s="16"/>
      <c r="J54" s="17" t="n">
        <v>7.62</v>
      </c>
      <c r="K54" s="14" t="s">
        <v>21</v>
      </c>
      <c r="L54" s="17"/>
      <c r="M54" s="17"/>
      <c r="N54" s="17"/>
      <c r="O54" s="14"/>
      <c r="P54" s="15"/>
      <c r="Q54" s="14" t="s">
        <v>47</v>
      </c>
      <c r="R54" s="14" t="s">
        <v>48</v>
      </c>
    </row>
    <row r="55" customFormat="false" ht="15" hidden="false" customHeight="false" outlineLevel="0" collapsed="false">
      <c r="A55" s="18" t="n">
        <v>2001</v>
      </c>
      <c r="B55" s="18" t="s">
        <v>21</v>
      </c>
      <c r="C55" s="18" t="s">
        <v>52</v>
      </c>
      <c r="D55" s="19" t="n">
        <v>485.44</v>
      </c>
      <c r="E55" s="20"/>
      <c r="F55" s="19" t="n">
        <v>14.27</v>
      </c>
      <c r="G55" s="20"/>
      <c r="H55" s="20"/>
      <c r="I55" s="20"/>
      <c r="J55" s="21" t="n">
        <v>7.61</v>
      </c>
      <c r="K55" s="18" t="s">
        <v>21</v>
      </c>
      <c r="L55" s="21"/>
      <c r="M55" s="21"/>
      <c r="N55" s="21"/>
      <c r="O55" s="18"/>
      <c r="P55" s="19"/>
      <c r="Q55" s="18" t="s">
        <v>47</v>
      </c>
      <c r="R55" s="18" t="s">
        <v>48</v>
      </c>
    </row>
    <row r="56" customFormat="false" ht="15" hidden="false" customHeight="false" outlineLevel="0" collapsed="false">
      <c r="A56" s="14" t="n">
        <v>2002</v>
      </c>
      <c r="B56" s="14" t="s">
        <v>21</v>
      </c>
      <c r="C56" s="14" t="s">
        <v>52</v>
      </c>
      <c r="D56" s="15" t="n">
        <v>514.94</v>
      </c>
      <c r="E56" s="16"/>
      <c r="F56" s="15" t="n">
        <v>15.74</v>
      </c>
      <c r="G56" s="16"/>
      <c r="H56" s="16"/>
      <c r="I56" s="16"/>
      <c r="J56" s="17" t="n">
        <v>7.68</v>
      </c>
      <c r="K56" s="14" t="s">
        <v>21</v>
      </c>
      <c r="L56" s="17"/>
      <c r="M56" s="17"/>
      <c r="N56" s="17"/>
      <c r="O56" s="14"/>
      <c r="P56" s="15"/>
      <c r="Q56" s="14" t="s">
        <v>47</v>
      </c>
      <c r="R56" s="14" t="s">
        <v>48</v>
      </c>
    </row>
    <row r="57" customFormat="false" ht="15" hidden="false" customHeight="false" outlineLevel="0" collapsed="false">
      <c r="A57" s="18" t="n">
        <v>2003</v>
      </c>
      <c r="B57" s="18" t="s">
        <v>21</v>
      </c>
      <c r="C57" s="18" t="s">
        <v>52</v>
      </c>
      <c r="D57" s="19" t="n">
        <v>607.7</v>
      </c>
      <c r="E57" s="20"/>
      <c r="F57" s="19" t="n">
        <v>21</v>
      </c>
      <c r="G57" s="20"/>
      <c r="H57" s="20"/>
      <c r="I57" s="20"/>
      <c r="J57" s="21" t="n">
        <v>7.63</v>
      </c>
      <c r="K57" s="18" t="s">
        <v>21</v>
      </c>
      <c r="L57" s="21"/>
      <c r="M57" s="21"/>
      <c r="N57" s="21"/>
      <c r="O57" s="18"/>
      <c r="P57" s="19"/>
      <c r="Q57" s="18" t="s">
        <v>47</v>
      </c>
      <c r="R57" s="18" t="s">
        <v>48</v>
      </c>
    </row>
    <row r="58" customFormat="false" ht="15" hidden="false" customHeight="false" outlineLevel="0" collapsed="false">
      <c r="A58" s="14" t="n">
        <v>2004</v>
      </c>
      <c r="B58" s="14" t="s">
        <v>21</v>
      </c>
      <c r="C58" s="14" t="s">
        <v>52</v>
      </c>
      <c r="D58" s="15" t="n">
        <v>709.15</v>
      </c>
      <c r="E58" s="16"/>
      <c r="F58" s="15" t="n">
        <v>18.75</v>
      </c>
      <c r="G58" s="16"/>
      <c r="H58" s="16"/>
      <c r="I58" s="16"/>
      <c r="J58" s="17" t="n">
        <v>7.6</v>
      </c>
      <c r="K58" s="14" t="s">
        <v>21</v>
      </c>
      <c r="L58" s="17"/>
      <c r="M58" s="17"/>
      <c r="N58" s="17"/>
      <c r="O58" s="14"/>
      <c r="P58" s="15"/>
      <c r="Q58" s="14" t="s">
        <v>47</v>
      </c>
      <c r="R58" s="14" t="s">
        <v>48</v>
      </c>
    </row>
    <row r="59" customFormat="false" ht="15" hidden="false" customHeight="false" outlineLevel="0" collapsed="false">
      <c r="A59" s="18" t="n">
        <v>2005</v>
      </c>
      <c r="B59" s="18" t="s">
        <v>21</v>
      </c>
      <c r="C59" s="18" t="s">
        <v>52</v>
      </c>
      <c r="D59" s="19" t="n">
        <v>820.38</v>
      </c>
      <c r="E59" s="20"/>
      <c r="F59" s="19" t="n">
        <v>22.13</v>
      </c>
      <c r="G59" s="20"/>
      <c r="H59" s="20"/>
      <c r="I59" s="20"/>
      <c r="J59" s="21" t="n">
        <v>7.55</v>
      </c>
      <c r="K59" s="18" t="s">
        <v>21</v>
      </c>
      <c r="L59" s="21"/>
      <c r="M59" s="21"/>
      <c r="N59" s="21"/>
      <c r="O59" s="18"/>
      <c r="P59" s="19"/>
      <c r="Q59" s="18" t="s">
        <v>47</v>
      </c>
      <c r="R59" s="18" t="s">
        <v>48</v>
      </c>
    </row>
    <row r="60" customFormat="false" ht="15" hidden="false" customHeight="false" outlineLevel="0" collapsed="false">
      <c r="A60" s="14" t="n">
        <v>2006</v>
      </c>
      <c r="B60" s="14" t="s">
        <v>21</v>
      </c>
      <c r="C60" s="14" t="s">
        <v>52</v>
      </c>
      <c r="D60" s="15" t="n">
        <v>940.26</v>
      </c>
      <c r="E60" s="16"/>
      <c r="F60" s="15" t="n">
        <v>28.33</v>
      </c>
      <c r="G60" s="16"/>
      <c r="H60" s="16"/>
      <c r="I60" s="16"/>
      <c r="J60" s="17" t="n">
        <v>7.55</v>
      </c>
      <c r="K60" s="14" t="s">
        <v>21</v>
      </c>
      <c r="L60" s="17"/>
      <c r="M60" s="17"/>
      <c r="N60" s="17"/>
      <c r="O60" s="14"/>
      <c r="P60" s="15"/>
      <c r="Q60" s="14" t="s">
        <v>47</v>
      </c>
      <c r="R60" s="14" t="s">
        <v>48</v>
      </c>
    </row>
    <row r="61" customFormat="false" ht="15" hidden="false" customHeight="false" outlineLevel="0" collapsed="false">
      <c r="A61" s="18" t="n">
        <v>2007</v>
      </c>
      <c r="B61" s="18" t="s">
        <v>21</v>
      </c>
      <c r="C61" s="18" t="s">
        <v>52</v>
      </c>
      <c r="D61" s="19" t="n">
        <v>1217</v>
      </c>
      <c r="E61" s="20"/>
      <c r="F61" s="19" t="n">
        <v>37.22</v>
      </c>
      <c r="G61" s="20"/>
      <c r="H61" s="20"/>
      <c r="I61" s="20"/>
      <c r="J61" s="21" t="n">
        <v>7.56</v>
      </c>
      <c r="K61" s="18" t="s">
        <v>21</v>
      </c>
      <c r="L61" s="21"/>
      <c r="M61" s="21"/>
      <c r="N61" s="21"/>
      <c r="O61" s="18"/>
      <c r="P61" s="19"/>
      <c r="Q61" s="18" t="s">
        <v>47</v>
      </c>
      <c r="R61" s="18" t="s">
        <v>48</v>
      </c>
    </row>
    <row r="62" customFormat="false" ht="15" hidden="false" customHeight="false" outlineLevel="0" collapsed="false">
      <c r="A62" s="14" t="n">
        <v>2008</v>
      </c>
      <c r="B62" s="14" t="s">
        <v>21</v>
      </c>
      <c r="C62" s="14" t="s">
        <v>52</v>
      </c>
      <c r="D62" s="15" t="n">
        <v>1199</v>
      </c>
      <c r="E62" s="16"/>
      <c r="F62" s="15" t="n">
        <v>49.98</v>
      </c>
      <c r="G62" s="16"/>
      <c r="H62" s="16"/>
      <c r="I62" s="16"/>
      <c r="J62" s="17" t="n">
        <v>7.63</v>
      </c>
      <c r="K62" s="14" t="s">
        <v>21</v>
      </c>
      <c r="L62" s="17"/>
      <c r="M62" s="17"/>
      <c r="N62" s="17"/>
      <c r="O62" s="14"/>
      <c r="P62" s="15"/>
      <c r="Q62" s="14" t="s">
        <v>47</v>
      </c>
      <c r="R62" s="14" t="s">
        <v>48</v>
      </c>
    </row>
    <row r="63" customFormat="false" ht="15" hidden="false" customHeight="false" outlineLevel="0" collapsed="false">
      <c r="A63" s="18" t="n">
        <v>2009</v>
      </c>
      <c r="B63" s="18" t="s">
        <v>21</v>
      </c>
      <c r="C63" s="18" t="s">
        <v>52</v>
      </c>
      <c r="D63" s="19" t="n">
        <v>1342</v>
      </c>
      <c r="E63" s="20"/>
      <c r="F63" s="19" t="n">
        <v>49.2</v>
      </c>
      <c r="G63" s="20"/>
      <c r="H63" s="20"/>
      <c r="I63" s="20"/>
      <c r="J63" s="21" t="n">
        <v>7.64</v>
      </c>
      <c r="K63" s="18" t="s">
        <v>21</v>
      </c>
      <c r="L63" s="21"/>
      <c r="M63" s="21"/>
      <c r="N63" s="21"/>
      <c r="O63" s="18"/>
      <c r="P63" s="19"/>
      <c r="Q63" s="18" t="s">
        <v>47</v>
      </c>
      <c r="R63" s="18" t="s">
        <v>48</v>
      </c>
    </row>
    <row r="64" customFormat="false" ht="15" hidden="false" customHeight="false" outlineLevel="0" collapsed="false">
      <c r="A64" s="14" t="n">
        <v>2010</v>
      </c>
      <c r="B64" s="14" t="s">
        <v>21</v>
      </c>
      <c r="C64" s="14" t="s">
        <v>52</v>
      </c>
      <c r="D64" s="15" t="n">
        <v>1676</v>
      </c>
      <c r="E64" s="16"/>
      <c r="F64" s="15" t="n">
        <v>53.48</v>
      </c>
      <c r="G64" s="16"/>
      <c r="H64" s="16"/>
      <c r="I64" s="16" t="n">
        <v>60000</v>
      </c>
      <c r="J64" s="17" t="n">
        <v>7.63</v>
      </c>
      <c r="K64" s="14" t="s">
        <v>21</v>
      </c>
      <c r="L64" s="17"/>
      <c r="M64" s="17"/>
      <c r="N64" s="17"/>
      <c r="O64" s="14" t="n">
        <v>891.333333333333</v>
      </c>
      <c r="P64" s="15" t="n">
        <v>60000</v>
      </c>
      <c r="Q64" s="14" t="s">
        <v>47</v>
      </c>
      <c r="R64" s="14" t="s">
        <v>48</v>
      </c>
    </row>
    <row r="65" customFormat="false" ht="15" hidden="false" customHeight="false" outlineLevel="0" collapsed="false">
      <c r="A65" s="18" t="n">
        <v>2011</v>
      </c>
      <c r="B65" s="18" t="s">
        <v>21</v>
      </c>
      <c r="C65" s="18" t="s">
        <v>52</v>
      </c>
      <c r="D65" s="19" t="n">
        <v>1823</v>
      </c>
      <c r="E65" s="20"/>
      <c r="F65" s="19" t="n">
        <v>62.5</v>
      </c>
      <c r="G65" s="20"/>
      <c r="H65" s="20"/>
      <c r="I65" s="20"/>
      <c r="J65" s="21" t="n">
        <v>7.61</v>
      </c>
      <c r="K65" s="18" t="s">
        <v>21</v>
      </c>
      <c r="L65" s="21"/>
      <c r="M65" s="21"/>
      <c r="N65" s="21"/>
      <c r="O65" s="18"/>
      <c r="P65" s="19" t="n">
        <v>60000</v>
      </c>
      <c r="Q65" s="18" t="s">
        <v>47</v>
      </c>
      <c r="R65" s="18" t="s">
        <v>48</v>
      </c>
    </row>
    <row r="66" customFormat="false" ht="15" hidden="false" customHeight="false" outlineLevel="0" collapsed="false">
      <c r="A66" s="14" t="n">
        <v>2012</v>
      </c>
      <c r="B66" s="14" t="s">
        <v>21</v>
      </c>
      <c r="C66" s="14" t="s">
        <v>52</v>
      </c>
      <c r="D66" s="15" t="n">
        <v>1828</v>
      </c>
      <c r="E66" s="16"/>
      <c r="F66" s="15" t="n">
        <v>68.82</v>
      </c>
      <c r="G66" s="16"/>
      <c r="H66" s="16"/>
      <c r="I66" s="16"/>
      <c r="J66" s="17" t="n">
        <v>7.64</v>
      </c>
      <c r="K66" s="14" t="s">
        <v>21</v>
      </c>
      <c r="L66" s="17"/>
      <c r="M66" s="17"/>
      <c r="N66" s="17"/>
      <c r="O66" s="14"/>
      <c r="P66" s="15" t="n">
        <v>60000</v>
      </c>
      <c r="Q66" s="14" t="s">
        <v>47</v>
      </c>
      <c r="R66" s="14" t="s">
        <v>48</v>
      </c>
    </row>
    <row r="67" customFormat="false" ht="15" hidden="false" customHeight="false" outlineLevel="0" collapsed="false">
      <c r="A67" s="18" t="n">
        <v>2013</v>
      </c>
      <c r="B67" s="18" t="s">
        <v>21</v>
      </c>
      <c r="C67" s="18" t="s">
        <v>52</v>
      </c>
      <c r="D67" s="19" t="n">
        <v>1857</v>
      </c>
      <c r="E67" s="20"/>
      <c r="F67" s="19" t="n">
        <v>69.97</v>
      </c>
      <c r="G67" s="20"/>
      <c r="H67" s="20"/>
      <c r="I67" s="20"/>
      <c r="J67" s="21" t="n">
        <v>7.68</v>
      </c>
      <c r="K67" s="18" t="s">
        <v>21</v>
      </c>
      <c r="L67" s="21"/>
      <c r="M67" s="21"/>
      <c r="N67" s="21"/>
      <c r="O67" s="18"/>
      <c r="P67" s="19"/>
      <c r="Q67" s="18" t="s">
        <v>47</v>
      </c>
      <c r="R67" s="18" t="s">
        <v>48</v>
      </c>
    </row>
    <row r="68" customFormat="false" ht="15" hidden="false" customHeight="false" outlineLevel="0" collapsed="false">
      <c r="A68" s="14" t="n">
        <v>2014</v>
      </c>
      <c r="B68" s="14" t="s">
        <v>21</v>
      </c>
      <c r="C68" s="14" t="s">
        <v>52</v>
      </c>
      <c r="D68" s="15" t="n">
        <v>2039</v>
      </c>
      <c r="E68" s="16"/>
      <c r="F68" s="15" t="n">
        <v>70.39</v>
      </c>
      <c r="G68" s="16"/>
      <c r="H68" s="16"/>
      <c r="I68" s="16"/>
      <c r="J68" s="17" t="n">
        <v>7.66</v>
      </c>
      <c r="K68" s="14" t="s">
        <v>21</v>
      </c>
      <c r="L68" s="17"/>
      <c r="M68" s="17"/>
      <c r="N68" s="17"/>
      <c r="O68" s="14"/>
      <c r="P68" s="15"/>
      <c r="Q68" s="14" t="s">
        <v>47</v>
      </c>
      <c r="R68" s="14" t="s">
        <v>48</v>
      </c>
    </row>
    <row r="69" customFormat="false" ht="15" hidden="false" customHeight="false" outlineLevel="0" collapsed="false">
      <c r="A69" s="18" t="n">
        <v>2015</v>
      </c>
      <c r="B69" s="18" t="s">
        <v>21</v>
      </c>
      <c r="C69" s="18" t="s">
        <v>52</v>
      </c>
      <c r="D69" s="19" t="n">
        <v>2104</v>
      </c>
      <c r="E69" s="20"/>
      <c r="F69" s="19" t="n">
        <v>68.91</v>
      </c>
      <c r="G69" s="20"/>
      <c r="H69" s="20"/>
      <c r="I69" s="20" t="n">
        <v>98000</v>
      </c>
      <c r="J69" s="21" t="n">
        <v>7.63</v>
      </c>
      <c r="K69" s="18" t="s">
        <v>21</v>
      </c>
      <c r="L69" s="21"/>
      <c r="M69" s="21"/>
      <c r="N69" s="21"/>
      <c r="O69" s="18" t="n">
        <v>703.163265306122</v>
      </c>
      <c r="P69" s="19" t="n">
        <v>98000</v>
      </c>
      <c r="Q69" s="18" t="s">
        <v>47</v>
      </c>
      <c r="R69" s="18" t="s">
        <v>48</v>
      </c>
    </row>
    <row r="70" customFormat="false" ht="15" hidden="false" customHeight="false" outlineLevel="0" collapsed="false">
      <c r="A70" s="14" t="n">
        <v>2016</v>
      </c>
      <c r="B70" s="14" t="s">
        <v>21</v>
      </c>
      <c r="C70" s="14" t="s">
        <v>52</v>
      </c>
      <c r="D70" s="15" t="n">
        <v>2295</v>
      </c>
      <c r="E70" s="16"/>
      <c r="F70" s="15" t="n">
        <v>62.74</v>
      </c>
      <c r="G70" s="16"/>
      <c r="H70" s="16"/>
      <c r="I70" s="16"/>
      <c r="J70" s="17" t="n">
        <v>7.61</v>
      </c>
      <c r="K70" s="14" t="s">
        <v>21</v>
      </c>
      <c r="L70" s="17"/>
      <c r="M70" s="17"/>
      <c r="N70" s="17"/>
      <c r="O70" s="14"/>
      <c r="P70" s="15" t="n">
        <v>98000</v>
      </c>
      <c r="Q70" s="14" t="s">
        <v>47</v>
      </c>
      <c r="R70" s="14" t="s">
        <v>48</v>
      </c>
    </row>
    <row r="71" customFormat="false" ht="15" hidden="false" customHeight="false" outlineLevel="0" collapsed="false">
      <c r="A71" s="18" t="n">
        <v>2017</v>
      </c>
      <c r="B71" s="18" t="s">
        <v>21</v>
      </c>
      <c r="C71" s="18" t="s">
        <v>52</v>
      </c>
      <c r="D71" s="19" t="n">
        <v>2651</v>
      </c>
      <c r="E71" s="20"/>
      <c r="F71" s="19" t="n">
        <v>68.97</v>
      </c>
      <c r="G71" s="20"/>
      <c r="H71" s="20"/>
      <c r="I71" s="20"/>
      <c r="J71" s="21" t="n">
        <v>7.63</v>
      </c>
      <c r="K71" s="18" t="s">
        <v>21</v>
      </c>
      <c r="L71" s="21"/>
      <c r="M71" s="21"/>
      <c r="N71" s="21"/>
      <c r="O71" s="18"/>
      <c r="P71" s="19" t="n">
        <v>98000</v>
      </c>
      <c r="Q71" s="18" t="s">
        <v>47</v>
      </c>
      <c r="R71" s="18" t="s">
        <v>48</v>
      </c>
    </row>
    <row r="72" customFormat="false" ht="15" hidden="false" customHeight="false" outlineLevel="0" collapsed="false">
      <c r="A72" s="14" t="n">
        <v>2018</v>
      </c>
      <c r="B72" s="14" t="s">
        <v>21</v>
      </c>
      <c r="C72" s="14" t="s">
        <v>52</v>
      </c>
      <c r="D72" s="15" t="n">
        <v>2703</v>
      </c>
      <c r="E72" s="16"/>
      <c r="F72" s="15" t="n">
        <v>78.79</v>
      </c>
      <c r="G72" s="16"/>
      <c r="H72" s="16"/>
      <c r="I72" s="16"/>
      <c r="J72" s="17" t="n">
        <v>7.65</v>
      </c>
      <c r="K72" s="14" t="s">
        <v>21</v>
      </c>
      <c r="L72" s="17"/>
      <c r="M72" s="17"/>
      <c r="N72" s="17"/>
      <c r="O72" s="14"/>
      <c r="P72" s="15"/>
      <c r="Q72" s="14" t="s">
        <v>47</v>
      </c>
      <c r="R72" s="14" t="s">
        <v>48</v>
      </c>
    </row>
    <row r="73" customFormat="false" ht="15" hidden="false" customHeight="false" outlineLevel="0" collapsed="false">
      <c r="A73" s="18" t="n">
        <v>2019</v>
      </c>
      <c r="B73" s="18" t="s">
        <v>21</v>
      </c>
      <c r="C73" s="18" t="s">
        <v>52</v>
      </c>
      <c r="D73" s="19" t="n">
        <v>2836</v>
      </c>
      <c r="E73" s="20"/>
      <c r="F73" s="19" t="n">
        <v>83.33</v>
      </c>
      <c r="G73" s="20"/>
      <c r="H73" s="20"/>
      <c r="I73" s="20"/>
      <c r="J73" s="21" t="n">
        <v>6.51</v>
      </c>
      <c r="K73" s="18" t="s">
        <v>21</v>
      </c>
      <c r="L73" s="21"/>
      <c r="M73" s="21"/>
      <c r="N73" s="21"/>
      <c r="O73" s="18"/>
      <c r="P73" s="19"/>
      <c r="Q73" s="18" t="s">
        <v>47</v>
      </c>
      <c r="R73" s="18" t="s">
        <v>48</v>
      </c>
    </row>
    <row r="74" customFormat="false" ht="15" hidden="false" customHeight="false" outlineLevel="0" collapsed="false">
      <c r="A74" s="14" t="n">
        <v>2020</v>
      </c>
      <c r="B74" s="14" t="s">
        <v>21</v>
      </c>
      <c r="C74" s="14" t="s">
        <v>52</v>
      </c>
      <c r="D74" s="15" t="n">
        <v>2675</v>
      </c>
      <c r="E74" s="16"/>
      <c r="F74" s="15" t="n">
        <v>83.15</v>
      </c>
      <c r="G74" s="16" t="n">
        <v>28905</v>
      </c>
      <c r="H74" s="16"/>
      <c r="I74" s="16" t="n">
        <v>210000</v>
      </c>
      <c r="J74" s="17" t="n">
        <v>7.86</v>
      </c>
      <c r="K74" s="14" t="s">
        <v>21</v>
      </c>
      <c r="L74" s="17"/>
      <c r="M74" s="17"/>
      <c r="N74" s="17" t="n">
        <v>13.7642857142857</v>
      </c>
      <c r="O74" s="14" t="n">
        <v>395.952380952381</v>
      </c>
      <c r="P74" s="15" t="n">
        <v>210000</v>
      </c>
      <c r="Q74" s="14" t="s">
        <v>47</v>
      </c>
      <c r="R74" s="14" t="s">
        <v>48</v>
      </c>
    </row>
    <row r="75" customFormat="false" ht="15" hidden="false" customHeight="false" outlineLevel="0" collapsed="false">
      <c r="A75" s="18" t="n">
        <v>2021</v>
      </c>
      <c r="B75" s="18" t="s">
        <v>21</v>
      </c>
      <c r="C75" s="18" t="s">
        <v>52</v>
      </c>
      <c r="D75" s="19" t="n">
        <v>3167</v>
      </c>
      <c r="E75" s="20"/>
      <c r="F75" s="19" t="n">
        <v>89.38</v>
      </c>
      <c r="G75" s="20"/>
      <c r="H75" s="20"/>
      <c r="I75" s="20"/>
      <c r="J75" s="21" t="n">
        <v>6.38</v>
      </c>
      <c r="K75" s="18" t="s">
        <v>21</v>
      </c>
      <c r="L75" s="21"/>
      <c r="M75" s="21"/>
      <c r="N75" s="21"/>
      <c r="O75" s="18"/>
      <c r="P75" s="19" t="n">
        <v>210000</v>
      </c>
      <c r="Q75" s="18" t="s">
        <v>47</v>
      </c>
      <c r="R75" s="18" t="s">
        <v>48</v>
      </c>
    </row>
    <row r="76" customFormat="false" ht="15" hidden="false" customHeight="false" outlineLevel="0" collapsed="false">
      <c r="A76" s="14" t="n">
        <v>2022</v>
      </c>
      <c r="B76" s="14" t="s">
        <v>21</v>
      </c>
      <c r="C76" s="14" t="s">
        <v>52</v>
      </c>
      <c r="D76" s="15" t="n">
        <v>3346</v>
      </c>
      <c r="E76" s="16"/>
      <c r="F76" s="15" t="n">
        <v>111.22</v>
      </c>
      <c r="G76" s="16"/>
      <c r="H76" s="16"/>
      <c r="I76" s="16"/>
      <c r="J76" s="17" t="n">
        <v>4.82</v>
      </c>
      <c r="K76" s="14" t="s">
        <v>21</v>
      </c>
      <c r="L76" s="17"/>
      <c r="M76" s="17"/>
      <c r="N76" s="17"/>
      <c r="O76" s="14"/>
      <c r="P76" s="15" t="n">
        <v>210000</v>
      </c>
      <c r="Q76" s="14" t="s">
        <v>47</v>
      </c>
      <c r="R76" s="14" t="s">
        <v>50</v>
      </c>
    </row>
    <row r="77" customFormat="false" ht="15" hidden="false" customHeight="false" outlineLevel="0" collapsed="false">
      <c r="A77" s="18" t="n">
        <v>2023</v>
      </c>
      <c r="B77" s="18" t="s">
        <v>21</v>
      </c>
      <c r="C77" s="18" t="s">
        <v>52</v>
      </c>
      <c r="D77" s="19" t="n">
        <v>3638</v>
      </c>
      <c r="E77" s="20"/>
      <c r="F77" s="19" t="n">
        <v>119.53</v>
      </c>
      <c r="G77" s="20"/>
      <c r="H77" s="20"/>
      <c r="I77" s="20"/>
      <c r="J77" s="21" t="n">
        <v>4.17</v>
      </c>
      <c r="K77" s="18" t="s">
        <v>21</v>
      </c>
      <c r="L77" s="21"/>
      <c r="M77" s="21"/>
      <c r="N77" s="21"/>
      <c r="O77" s="18"/>
      <c r="P77" s="19"/>
      <c r="Q77" s="18" t="s">
        <v>47</v>
      </c>
      <c r="R77" s="18" t="s">
        <v>50</v>
      </c>
    </row>
    <row r="78" customFormat="false" ht="15" hidden="false" customHeight="false" outlineLevel="0" collapsed="false">
      <c r="A78" s="14" t="n">
        <v>2024</v>
      </c>
      <c r="B78" s="14" t="s">
        <v>21</v>
      </c>
      <c r="C78" s="14" t="s">
        <v>52</v>
      </c>
      <c r="D78" s="15" t="n">
        <v>3910</v>
      </c>
      <c r="E78" s="16"/>
      <c r="F78" s="15" t="n">
        <v>137.67</v>
      </c>
      <c r="G78" s="16"/>
      <c r="H78" s="16"/>
      <c r="I78" s="16" t="n">
        <v>285000</v>
      </c>
      <c r="J78" s="17" t="n">
        <v>4.17</v>
      </c>
      <c r="K78" s="14" t="s">
        <v>21</v>
      </c>
      <c r="L78" s="17"/>
      <c r="M78" s="17"/>
      <c r="N78" s="17"/>
      <c r="O78" s="14" t="n">
        <v>483.052631578947</v>
      </c>
      <c r="P78" s="15" t="n">
        <v>285000</v>
      </c>
      <c r="Q78" s="14" t="s">
        <v>49</v>
      </c>
      <c r="R78" s="14" t="s">
        <v>50</v>
      </c>
    </row>
    <row r="79" customFormat="false" ht="15" hidden="false" customHeight="false" outlineLevel="0" collapsed="false">
      <c r="A79" s="18" t="n">
        <v>2025</v>
      </c>
      <c r="B79" s="18" t="s">
        <v>21</v>
      </c>
      <c r="C79" s="18" t="s">
        <v>52</v>
      </c>
      <c r="D79" s="19"/>
      <c r="E79" s="20"/>
      <c r="F79" s="19"/>
      <c r="G79" s="20" t="n">
        <v>60000</v>
      </c>
      <c r="H79" s="20"/>
      <c r="I79" s="20"/>
      <c r="J79" s="21" t="n">
        <v>4.22</v>
      </c>
      <c r="K79" s="18" t="s">
        <v>21</v>
      </c>
      <c r="L79" s="21"/>
      <c r="M79" s="21"/>
      <c r="N79" s="21"/>
      <c r="O79" s="18"/>
      <c r="P79" s="19" t="n">
        <v>285000</v>
      </c>
      <c r="Q79" s="18" t="s">
        <v>47</v>
      </c>
      <c r="R79" s="18" t="s">
        <v>50</v>
      </c>
    </row>
    <row r="80" customFormat="false" ht="15" hidden="false" customHeight="false" outlineLevel="0" collapsed="false">
      <c r="A80" s="14" t="n">
        <v>2000</v>
      </c>
      <c r="B80" s="14" t="s">
        <v>22</v>
      </c>
      <c r="C80" s="14" t="s">
        <v>53</v>
      </c>
      <c r="D80" s="15" t="n">
        <v>468.4</v>
      </c>
      <c r="E80" s="16"/>
      <c r="F80" s="15" t="n">
        <v>12.88</v>
      </c>
      <c r="G80" s="16"/>
      <c r="H80" s="16"/>
      <c r="I80" s="16" t="n">
        <v>85000</v>
      </c>
      <c r="J80" s="17" t="n">
        <v>7.62</v>
      </c>
      <c r="K80" s="14" t="s">
        <v>22</v>
      </c>
      <c r="L80" s="17"/>
      <c r="M80" s="17"/>
      <c r="N80" s="17"/>
      <c r="O80" s="14" t="n">
        <v>151.529411764706</v>
      </c>
      <c r="P80" s="15" t="n">
        <v>85000</v>
      </c>
      <c r="Q80" s="14" t="s">
        <v>47</v>
      </c>
      <c r="R80" s="14" t="s">
        <v>48</v>
      </c>
    </row>
    <row r="81" customFormat="false" ht="15" hidden="false" customHeight="false" outlineLevel="0" collapsed="false">
      <c r="A81" s="18" t="n">
        <v>2001</v>
      </c>
      <c r="B81" s="18" t="s">
        <v>22</v>
      </c>
      <c r="C81" s="18" t="s">
        <v>53</v>
      </c>
      <c r="D81" s="19" t="n">
        <v>485.44</v>
      </c>
      <c r="E81" s="20"/>
      <c r="F81" s="19" t="n">
        <v>14.27</v>
      </c>
      <c r="G81" s="20"/>
      <c r="H81" s="20"/>
      <c r="I81" s="20"/>
      <c r="J81" s="21" t="n">
        <v>7.61</v>
      </c>
      <c r="K81" s="18" t="s">
        <v>22</v>
      </c>
      <c r="L81" s="21"/>
      <c r="M81" s="21"/>
      <c r="N81" s="21"/>
      <c r="O81" s="18"/>
      <c r="P81" s="19" t="n">
        <v>85000</v>
      </c>
      <c r="Q81" s="18" t="s">
        <v>47</v>
      </c>
      <c r="R81" s="18" t="s">
        <v>48</v>
      </c>
    </row>
    <row r="82" customFormat="false" ht="15" hidden="false" customHeight="false" outlineLevel="0" collapsed="false">
      <c r="A82" s="14" t="n">
        <v>2002</v>
      </c>
      <c r="B82" s="14" t="s">
        <v>22</v>
      </c>
      <c r="C82" s="14" t="s">
        <v>53</v>
      </c>
      <c r="D82" s="15" t="n">
        <v>514.94</v>
      </c>
      <c r="E82" s="16"/>
      <c r="F82" s="15" t="n">
        <v>15.74</v>
      </c>
      <c r="G82" s="16"/>
      <c r="H82" s="16"/>
      <c r="I82" s="16"/>
      <c r="J82" s="17" t="n">
        <v>7.68</v>
      </c>
      <c r="K82" s="14" t="s">
        <v>22</v>
      </c>
      <c r="L82" s="17"/>
      <c r="M82" s="17"/>
      <c r="N82" s="17"/>
      <c r="O82" s="14"/>
      <c r="P82" s="15" t="n">
        <v>85000</v>
      </c>
      <c r="Q82" s="14" t="s">
        <v>47</v>
      </c>
      <c r="R82" s="14" t="s">
        <v>48</v>
      </c>
    </row>
    <row r="83" customFormat="false" ht="15" hidden="false" customHeight="false" outlineLevel="0" collapsed="false">
      <c r="A83" s="18" t="n">
        <v>2003</v>
      </c>
      <c r="B83" s="18" t="s">
        <v>22</v>
      </c>
      <c r="C83" s="18" t="s">
        <v>53</v>
      </c>
      <c r="D83" s="19" t="n">
        <v>607.7</v>
      </c>
      <c r="E83" s="20"/>
      <c r="F83" s="19" t="n">
        <v>21</v>
      </c>
      <c r="G83" s="20"/>
      <c r="H83" s="20"/>
      <c r="I83" s="20"/>
      <c r="J83" s="21" t="n">
        <v>7.63</v>
      </c>
      <c r="K83" s="18" t="s">
        <v>22</v>
      </c>
      <c r="L83" s="21"/>
      <c r="M83" s="21"/>
      <c r="N83" s="21"/>
      <c r="O83" s="18"/>
      <c r="P83" s="19"/>
      <c r="Q83" s="18" t="s">
        <v>47</v>
      </c>
      <c r="R83" s="18" t="s">
        <v>48</v>
      </c>
    </row>
    <row r="84" customFormat="false" ht="15" hidden="false" customHeight="false" outlineLevel="0" collapsed="false">
      <c r="A84" s="14" t="n">
        <v>2004</v>
      </c>
      <c r="B84" s="14" t="s">
        <v>22</v>
      </c>
      <c r="C84" s="14" t="s">
        <v>53</v>
      </c>
      <c r="D84" s="15" t="n">
        <v>709.15</v>
      </c>
      <c r="E84" s="16"/>
      <c r="F84" s="15" t="n">
        <v>18.75</v>
      </c>
      <c r="G84" s="16"/>
      <c r="H84" s="16"/>
      <c r="I84" s="16"/>
      <c r="J84" s="17" t="n">
        <v>7.6</v>
      </c>
      <c r="K84" s="14" t="s">
        <v>22</v>
      </c>
      <c r="L84" s="17"/>
      <c r="M84" s="17"/>
      <c r="N84" s="17"/>
      <c r="O84" s="14"/>
      <c r="P84" s="15"/>
      <c r="Q84" s="14" t="s">
        <v>47</v>
      </c>
      <c r="R84" s="14" t="s">
        <v>48</v>
      </c>
    </row>
    <row r="85" customFormat="false" ht="15" hidden="false" customHeight="false" outlineLevel="0" collapsed="false">
      <c r="A85" s="18" t="n">
        <v>2005</v>
      </c>
      <c r="B85" s="18" t="s">
        <v>22</v>
      </c>
      <c r="C85" s="18" t="s">
        <v>53</v>
      </c>
      <c r="D85" s="19" t="n">
        <v>820.38</v>
      </c>
      <c r="E85" s="20"/>
      <c r="F85" s="19" t="n">
        <v>22.13</v>
      </c>
      <c r="G85" s="20"/>
      <c r="H85" s="20"/>
      <c r="I85" s="20"/>
      <c r="J85" s="21" t="n">
        <v>7.55</v>
      </c>
      <c r="K85" s="18" t="s">
        <v>22</v>
      </c>
      <c r="L85" s="21"/>
      <c r="M85" s="21"/>
      <c r="N85" s="21"/>
      <c r="O85" s="18"/>
      <c r="P85" s="19"/>
      <c r="Q85" s="18" t="s">
        <v>47</v>
      </c>
      <c r="R85" s="18" t="s">
        <v>48</v>
      </c>
    </row>
    <row r="86" customFormat="false" ht="15" hidden="false" customHeight="false" outlineLevel="0" collapsed="false">
      <c r="A86" s="14" t="n">
        <v>2006</v>
      </c>
      <c r="B86" s="14" t="s">
        <v>22</v>
      </c>
      <c r="C86" s="14" t="s">
        <v>53</v>
      </c>
      <c r="D86" s="15" t="n">
        <v>940.26</v>
      </c>
      <c r="E86" s="16"/>
      <c r="F86" s="15" t="n">
        <v>28.33</v>
      </c>
      <c r="G86" s="16"/>
      <c r="H86" s="16"/>
      <c r="I86" s="16"/>
      <c r="J86" s="17" t="n">
        <v>7.55</v>
      </c>
      <c r="K86" s="14" t="s">
        <v>22</v>
      </c>
      <c r="L86" s="17"/>
      <c r="M86" s="17"/>
      <c r="N86" s="17"/>
      <c r="O86" s="14"/>
      <c r="P86" s="15"/>
      <c r="Q86" s="14" t="s">
        <v>47</v>
      </c>
      <c r="R86" s="14" t="s">
        <v>48</v>
      </c>
    </row>
    <row r="87" customFormat="false" ht="15" hidden="false" customHeight="false" outlineLevel="0" collapsed="false">
      <c r="A87" s="18" t="n">
        <v>2007</v>
      </c>
      <c r="B87" s="18" t="s">
        <v>22</v>
      </c>
      <c r="C87" s="18" t="s">
        <v>53</v>
      </c>
      <c r="D87" s="19" t="n">
        <v>1217</v>
      </c>
      <c r="E87" s="20"/>
      <c r="F87" s="19" t="n">
        <v>37.22</v>
      </c>
      <c r="G87" s="20"/>
      <c r="H87" s="20"/>
      <c r="I87" s="20"/>
      <c r="J87" s="21" t="n">
        <v>7.56</v>
      </c>
      <c r="K87" s="18" t="s">
        <v>22</v>
      </c>
      <c r="L87" s="21"/>
      <c r="M87" s="21"/>
      <c r="N87" s="21"/>
      <c r="O87" s="18"/>
      <c r="P87" s="19"/>
      <c r="Q87" s="18" t="s">
        <v>47</v>
      </c>
      <c r="R87" s="18" t="s">
        <v>48</v>
      </c>
    </row>
    <row r="88" customFormat="false" ht="15" hidden="false" customHeight="false" outlineLevel="0" collapsed="false">
      <c r="A88" s="14" t="n">
        <v>2008</v>
      </c>
      <c r="B88" s="14" t="s">
        <v>22</v>
      </c>
      <c r="C88" s="14" t="s">
        <v>53</v>
      </c>
      <c r="D88" s="15" t="n">
        <v>1199</v>
      </c>
      <c r="E88" s="16"/>
      <c r="F88" s="15" t="n">
        <v>49.98</v>
      </c>
      <c r="G88" s="16"/>
      <c r="H88" s="16"/>
      <c r="I88" s="16"/>
      <c r="J88" s="17" t="n">
        <v>7.63</v>
      </c>
      <c r="K88" s="14" t="s">
        <v>22</v>
      </c>
      <c r="L88" s="17"/>
      <c r="M88" s="17"/>
      <c r="N88" s="17"/>
      <c r="O88" s="14"/>
      <c r="P88" s="15"/>
      <c r="Q88" s="14" t="s">
        <v>47</v>
      </c>
      <c r="R88" s="14" t="s">
        <v>48</v>
      </c>
    </row>
    <row r="89" customFormat="false" ht="15" hidden="false" customHeight="false" outlineLevel="0" collapsed="false">
      <c r="A89" s="18" t="n">
        <v>2009</v>
      </c>
      <c r="B89" s="18" t="s">
        <v>22</v>
      </c>
      <c r="C89" s="18" t="s">
        <v>53</v>
      </c>
      <c r="D89" s="19" t="n">
        <v>1342</v>
      </c>
      <c r="E89" s="20"/>
      <c r="F89" s="19" t="n">
        <v>49.2</v>
      </c>
      <c r="G89" s="20"/>
      <c r="H89" s="20"/>
      <c r="I89" s="20"/>
      <c r="J89" s="21" t="n">
        <v>7.64</v>
      </c>
      <c r="K89" s="18" t="s">
        <v>22</v>
      </c>
      <c r="L89" s="21"/>
      <c r="M89" s="21"/>
      <c r="N89" s="21"/>
      <c r="O89" s="18"/>
      <c r="P89" s="19"/>
      <c r="Q89" s="18" t="s">
        <v>47</v>
      </c>
      <c r="R89" s="18" t="s">
        <v>48</v>
      </c>
    </row>
    <row r="90" customFormat="false" ht="15" hidden="false" customHeight="false" outlineLevel="0" collapsed="false">
      <c r="A90" s="14" t="n">
        <v>2010</v>
      </c>
      <c r="B90" s="14" t="s">
        <v>22</v>
      </c>
      <c r="C90" s="14" t="s">
        <v>53</v>
      </c>
      <c r="D90" s="15" t="n">
        <v>1676</v>
      </c>
      <c r="E90" s="16"/>
      <c r="F90" s="15" t="n">
        <v>53.48</v>
      </c>
      <c r="G90" s="16"/>
      <c r="H90" s="16"/>
      <c r="I90" s="16" t="n">
        <v>210000</v>
      </c>
      <c r="J90" s="17" t="n">
        <v>7.63</v>
      </c>
      <c r="K90" s="14" t="s">
        <v>22</v>
      </c>
      <c r="L90" s="17"/>
      <c r="M90" s="17"/>
      <c r="N90" s="17"/>
      <c r="O90" s="14" t="n">
        <v>254.666666666667</v>
      </c>
      <c r="P90" s="15" t="n">
        <v>210000</v>
      </c>
      <c r="Q90" s="14" t="s">
        <v>47</v>
      </c>
      <c r="R90" s="14" t="s">
        <v>48</v>
      </c>
    </row>
    <row r="91" customFormat="false" ht="15" hidden="false" customHeight="false" outlineLevel="0" collapsed="false">
      <c r="A91" s="18" t="n">
        <v>2011</v>
      </c>
      <c r="B91" s="18" t="s">
        <v>22</v>
      </c>
      <c r="C91" s="18" t="s">
        <v>53</v>
      </c>
      <c r="D91" s="19" t="n">
        <v>1823</v>
      </c>
      <c r="E91" s="20"/>
      <c r="F91" s="19" t="n">
        <v>62.5</v>
      </c>
      <c r="G91" s="20"/>
      <c r="H91" s="20"/>
      <c r="I91" s="20"/>
      <c r="J91" s="21" t="n">
        <v>7.61</v>
      </c>
      <c r="K91" s="18" t="s">
        <v>22</v>
      </c>
      <c r="L91" s="21"/>
      <c r="M91" s="21"/>
      <c r="N91" s="21"/>
      <c r="O91" s="18"/>
      <c r="P91" s="19" t="n">
        <v>210000</v>
      </c>
      <c r="Q91" s="18" t="s">
        <v>47</v>
      </c>
      <c r="R91" s="18" t="s">
        <v>48</v>
      </c>
    </row>
    <row r="92" customFormat="false" ht="15" hidden="false" customHeight="false" outlineLevel="0" collapsed="false">
      <c r="A92" s="14" t="n">
        <v>2012</v>
      </c>
      <c r="B92" s="14" t="s">
        <v>22</v>
      </c>
      <c r="C92" s="14" t="s">
        <v>53</v>
      </c>
      <c r="D92" s="15" t="n">
        <v>1828</v>
      </c>
      <c r="E92" s="16"/>
      <c r="F92" s="15" t="n">
        <v>68.82</v>
      </c>
      <c r="G92" s="16"/>
      <c r="H92" s="16"/>
      <c r="I92" s="16"/>
      <c r="J92" s="17" t="n">
        <v>7.64</v>
      </c>
      <c r="K92" s="14" t="s">
        <v>22</v>
      </c>
      <c r="L92" s="17"/>
      <c r="M92" s="17"/>
      <c r="N92" s="17"/>
      <c r="O92" s="14"/>
      <c r="P92" s="15" t="n">
        <v>210000</v>
      </c>
      <c r="Q92" s="14" t="s">
        <v>47</v>
      </c>
      <c r="R92" s="14" t="s">
        <v>48</v>
      </c>
    </row>
    <row r="93" customFormat="false" ht="15" hidden="false" customHeight="false" outlineLevel="0" collapsed="false">
      <c r="A93" s="18" t="n">
        <v>2013</v>
      </c>
      <c r="B93" s="18" t="s">
        <v>22</v>
      </c>
      <c r="C93" s="18" t="s">
        <v>53</v>
      </c>
      <c r="D93" s="19" t="n">
        <v>1857</v>
      </c>
      <c r="E93" s="20"/>
      <c r="F93" s="19" t="n">
        <v>69.97</v>
      </c>
      <c r="G93" s="20"/>
      <c r="H93" s="20"/>
      <c r="I93" s="20"/>
      <c r="J93" s="21" t="n">
        <v>7.68</v>
      </c>
      <c r="K93" s="18" t="s">
        <v>22</v>
      </c>
      <c r="L93" s="21"/>
      <c r="M93" s="21"/>
      <c r="N93" s="21"/>
      <c r="O93" s="18"/>
      <c r="P93" s="19"/>
      <c r="Q93" s="18" t="s">
        <v>47</v>
      </c>
      <c r="R93" s="18" t="s">
        <v>48</v>
      </c>
    </row>
    <row r="94" customFormat="false" ht="15" hidden="false" customHeight="false" outlineLevel="0" collapsed="false">
      <c r="A94" s="14" t="n">
        <v>2014</v>
      </c>
      <c r="B94" s="14" t="s">
        <v>22</v>
      </c>
      <c r="C94" s="14" t="s">
        <v>53</v>
      </c>
      <c r="D94" s="15" t="n">
        <v>2039</v>
      </c>
      <c r="E94" s="16"/>
      <c r="F94" s="15" t="n">
        <v>70.39</v>
      </c>
      <c r="G94" s="16"/>
      <c r="H94" s="16"/>
      <c r="I94" s="16"/>
      <c r="J94" s="17" t="n">
        <v>7.66</v>
      </c>
      <c r="K94" s="14" t="s">
        <v>22</v>
      </c>
      <c r="L94" s="17"/>
      <c r="M94" s="17"/>
      <c r="N94" s="17"/>
      <c r="O94" s="14"/>
      <c r="P94" s="15"/>
      <c r="Q94" s="14" t="s">
        <v>47</v>
      </c>
      <c r="R94" s="14" t="s">
        <v>48</v>
      </c>
    </row>
    <row r="95" customFormat="false" ht="15" hidden="false" customHeight="false" outlineLevel="0" collapsed="false">
      <c r="A95" s="18" t="n">
        <v>2015</v>
      </c>
      <c r="B95" s="18" t="s">
        <v>22</v>
      </c>
      <c r="C95" s="18" t="s">
        <v>53</v>
      </c>
      <c r="D95" s="19" t="n">
        <v>2104</v>
      </c>
      <c r="E95" s="20"/>
      <c r="F95" s="19" t="n">
        <v>68.91</v>
      </c>
      <c r="G95" s="20"/>
      <c r="H95" s="20"/>
      <c r="I95" s="20" t="n">
        <v>310000</v>
      </c>
      <c r="J95" s="21" t="n">
        <v>7.63</v>
      </c>
      <c r="K95" s="18" t="s">
        <v>22</v>
      </c>
      <c r="L95" s="21"/>
      <c r="M95" s="21"/>
      <c r="N95" s="21"/>
      <c r="O95" s="18" t="n">
        <v>222.290322580645</v>
      </c>
      <c r="P95" s="19" t="n">
        <v>310000</v>
      </c>
      <c r="Q95" s="18" t="s">
        <v>47</v>
      </c>
      <c r="R95" s="18" t="s">
        <v>48</v>
      </c>
    </row>
    <row r="96" customFormat="false" ht="15" hidden="false" customHeight="false" outlineLevel="0" collapsed="false">
      <c r="A96" s="14" t="n">
        <v>2016</v>
      </c>
      <c r="B96" s="14" t="s">
        <v>22</v>
      </c>
      <c r="C96" s="14" t="s">
        <v>53</v>
      </c>
      <c r="D96" s="15" t="n">
        <v>2295</v>
      </c>
      <c r="E96" s="16"/>
      <c r="F96" s="15" t="n">
        <v>62.74</v>
      </c>
      <c r="G96" s="16"/>
      <c r="H96" s="16"/>
      <c r="I96" s="16"/>
      <c r="J96" s="17" t="n">
        <v>7.61</v>
      </c>
      <c r="K96" s="14" t="s">
        <v>22</v>
      </c>
      <c r="L96" s="17"/>
      <c r="M96" s="17"/>
      <c r="N96" s="17"/>
      <c r="O96" s="14"/>
      <c r="P96" s="15" t="n">
        <v>310000</v>
      </c>
      <c r="Q96" s="14" t="s">
        <v>47</v>
      </c>
      <c r="R96" s="14" t="s">
        <v>48</v>
      </c>
    </row>
    <row r="97" customFormat="false" ht="15" hidden="false" customHeight="false" outlineLevel="0" collapsed="false">
      <c r="A97" s="18" t="n">
        <v>2017</v>
      </c>
      <c r="B97" s="18" t="s">
        <v>22</v>
      </c>
      <c r="C97" s="18" t="s">
        <v>53</v>
      </c>
      <c r="D97" s="19" t="n">
        <v>2651</v>
      </c>
      <c r="E97" s="20"/>
      <c r="F97" s="19" t="n">
        <v>68.97</v>
      </c>
      <c r="G97" s="20"/>
      <c r="H97" s="20"/>
      <c r="I97" s="20"/>
      <c r="J97" s="21" t="n">
        <v>7.63</v>
      </c>
      <c r="K97" s="18" t="s">
        <v>22</v>
      </c>
      <c r="L97" s="21"/>
      <c r="M97" s="21"/>
      <c r="N97" s="21"/>
      <c r="O97" s="18"/>
      <c r="P97" s="19" t="n">
        <v>310000</v>
      </c>
      <c r="Q97" s="18" t="s">
        <v>47</v>
      </c>
      <c r="R97" s="18" t="s">
        <v>48</v>
      </c>
    </row>
    <row r="98" customFormat="false" ht="15" hidden="false" customHeight="false" outlineLevel="0" collapsed="false">
      <c r="A98" s="14" t="n">
        <v>2018</v>
      </c>
      <c r="B98" s="14" t="s">
        <v>22</v>
      </c>
      <c r="C98" s="14" t="s">
        <v>53</v>
      </c>
      <c r="D98" s="15" t="n">
        <v>2703</v>
      </c>
      <c r="E98" s="16"/>
      <c r="F98" s="15" t="n">
        <v>78.79</v>
      </c>
      <c r="G98" s="16"/>
      <c r="H98" s="16"/>
      <c r="I98" s="16"/>
      <c r="J98" s="17" t="n">
        <v>7.65</v>
      </c>
      <c r="K98" s="14" t="s">
        <v>22</v>
      </c>
      <c r="L98" s="17"/>
      <c r="M98" s="17"/>
      <c r="N98" s="17"/>
      <c r="O98" s="14"/>
      <c r="P98" s="15"/>
      <c r="Q98" s="14" t="s">
        <v>47</v>
      </c>
      <c r="R98" s="14" t="s">
        <v>48</v>
      </c>
    </row>
    <row r="99" customFormat="false" ht="15" hidden="false" customHeight="false" outlineLevel="0" collapsed="false">
      <c r="A99" s="18" t="n">
        <v>2019</v>
      </c>
      <c r="B99" s="18" t="s">
        <v>22</v>
      </c>
      <c r="C99" s="18" t="s">
        <v>53</v>
      </c>
      <c r="D99" s="19" t="n">
        <v>2836</v>
      </c>
      <c r="E99" s="20"/>
      <c r="F99" s="19" t="n">
        <v>83.33</v>
      </c>
      <c r="G99" s="20"/>
      <c r="H99" s="20"/>
      <c r="I99" s="20"/>
      <c r="J99" s="21" t="n">
        <v>6.51</v>
      </c>
      <c r="K99" s="18" t="s">
        <v>22</v>
      </c>
      <c r="L99" s="21"/>
      <c r="M99" s="21"/>
      <c r="N99" s="21"/>
      <c r="O99" s="18"/>
      <c r="P99" s="19"/>
      <c r="Q99" s="18" t="s">
        <v>47</v>
      </c>
      <c r="R99" s="18" t="s">
        <v>48</v>
      </c>
    </row>
    <row r="100" customFormat="false" ht="15" hidden="false" customHeight="false" outlineLevel="0" collapsed="false">
      <c r="A100" s="14" t="n">
        <v>2020</v>
      </c>
      <c r="B100" s="14" t="s">
        <v>22</v>
      </c>
      <c r="C100" s="14" t="s">
        <v>53</v>
      </c>
      <c r="D100" s="15" t="n">
        <v>2675</v>
      </c>
      <c r="E100" s="16"/>
      <c r="F100" s="15" t="n">
        <v>83.15</v>
      </c>
      <c r="G100" s="16"/>
      <c r="H100" s="16"/>
      <c r="I100" s="16" t="n">
        <v>370000</v>
      </c>
      <c r="J100" s="17" t="n">
        <v>7.86</v>
      </c>
      <c r="K100" s="14" t="s">
        <v>22</v>
      </c>
      <c r="L100" s="17"/>
      <c r="M100" s="17"/>
      <c r="N100" s="17"/>
      <c r="O100" s="14" t="n">
        <v>224.72972972973</v>
      </c>
      <c r="P100" s="15" t="n">
        <v>370000</v>
      </c>
      <c r="Q100" s="14" t="s">
        <v>49</v>
      </c>
      <c r="R100" s="14" t="s">
        <v>48</v>
      </c>
    </row>
    <row r="101" customFormat="false" ht="15" hidden="false" customHeight="false" outlineLevel="0" collapsed="false">
      <c r="A101" s="18" t="n">
        <v>2021</v>
      </c>
      <c r="B101" s="18" t="s">
        <v>22</v>
      </c>
      <c r="C101" s="18" t="s">
        <v>53</v>
      </c>
      <c r="D101" s="19" t="n">
        <v>3167</v>
      </c>
      <c r="E101" s="20"/>
      <c r="F101" s="19" t="n">
        <v>89.38</v>
      </c>
      <c r="G101" s="20"/>
      <c r="H101" s="20"/>
      <c r="I101" s="20"/>
      <c r="J101" s="21" t="n">
        <v>6.38</v>
      </c>
      <c r="K101" s="18" t="s">
        <v>22</v>
      </c>
      <c r="L101" s="21"/>
      <c r="M101" s="21"/>
      <c r="N101" s="21"/>
      <c r="O101" s="18"/>
      <c r="P101" s="19" t="n">
        <v>370000</v>
      </c>
      <c r="Q101" s="18" t="s">
        <v>47</v>
      </c>
      <c r="R101" s="18" t="s">
        <v>48</v>
      </c>
    </row>
    <row r="102" customFormat="false" ht="15" hidden="false" customHeight="false" outlineLevel="0" collapsed="false">
      <c r="A102" s="14" t="n">
        <v>2022</v>
      </c>
      <c r="B102" s="14" t="s">
        <v>22</v>
      </c>
      <c r="C102" s="14" t="s">
        <v>53</v>
      </c>
      <c r="D102" s="15" t="n">
        <v>3346</v>
      </c>
      <c r="E102" s="16"/>
      <c r="F102" s="15" t="n">
        <v>111.22</v>
      </c>
      <c r="G102" s="16"/>
      <c r="H102" s="16"/>
      <c r="I102" s="16"/>
      <c r="J102" s="17" t="n">
        <v>4.82</v>
      </c>
      <c r="K102" s="14" t="s">
        <v>22</v>
      </c>
      <c r="L102" s="17"/>
      <c r="M102" s="17"/>
      <c r="N102" s="17"/>
      <c r="O102" s="14"/>
      <c r="P102" s="15" t="n">
        <v>370000</v>
      </c>
      <c r="Q102" s="14" t="s">
        <v>47</v>
      </c>
      <c r="R102" s="14" t="s">
        <v>50</v>
      </c>
    </row>
    <row r="103" customFormat="false" ht="15" hidden="false" customHeight="false" outlineLevel="0" collapsed="false">
      <c r="A103" s="18" t="n">
        <v>2023</v>
      </c>
      <c r="B103" s="18" t="s">
        <v>22</v>
      </c>
      <c r="C103" s="18" t="s">
        <v>53</v>
      </c>
      <c r="D103" s="19" t="n">
        <v>3638</v>
      </c>
      <c r="E103" s="20"/>
      <c r="F103" s="19" t="n">
        <v>119.53</v>
      </c>
      <c r="G103" s="20"/>
      <c r="H103" s="20"/>
      <c r="I103" s="20"/>
      <c r="J103" s="21" t="n">
        <v>4.17</v>
      </c>
      <c r="K103" s="18" t="s">
        <v>22</v>
      </c>
      <c r="L103" s="21"/>
      <c r="M103" s="21"/>
      <c r="N103" s="21"/>
      <c r="O103" s="18"/>
      <c r="P103" s="19"/>
      <c r="Q103" s="18" t="s">
        <v>47</v>
      </c>
      <c r="R103" s="18" t="s">
        <v>50</v>
      </c>
    </row>
    <row r="104" customFormat="false" ht="15" hidden="false" customHeight="false" outlineLevel="0" collapsed="false">
      <c r="A104" s="14" t="n">
        <v>2024</v>
      </c>
      <c r="B104" s="14" t="s">
        <v>22</v>
      </c>
      <c r="C104" s="14" t="s">
        <v>53</v>
      </c>
      <c r="D104" s="15" t="n">
        <v>3910</v>
      </c>
      <c r="E104" s="16"/>
      <c r="F104" s="15" t="n">
        <v>137.67</v>
      </c>
      <c r="G104" s="16"/>
      <c r="H104" s="16"/>
      <c r="I104" s="16" t="n">
        <v>395000</v>
      </c>
      <c r="J104" s="17" t="n">
        <v>4.17</v>
      </c>
      <c r="K104" s="14" t="s">
        <v>22</v>
      </c>
      <c r="L104" s="17"/>
      <c r="M104" s="17"/>
      <c r="N104" s="17"/>
      <c r="O104" s="14" t="n">
        <v>348.53164556962</v>
      </c>
      <c r="P104" s="15" t="n">
        <v>395000</v>
      </c>
      <c r="Q104" s="14" t="s">
        <v>49</v>
      </c>
      <c r="R104" s="14" t="s">
        <v>50</v>
      </c>
    </row>
    <row r="105" customFormat="false" ht="15" hidden="false" customHeight="false" outlineLevel="0" collapsed="false">
      <c r="A105" s="18" t="n">
        <v>2025</v>
      </c>
      <c r="B105" s="18" t="s">
        <v>22</v>
      </c>
      <c r="C105" s="18" t="s">
        <v>53</v>
      </c>
      <c r="D105" s="19"/>
      <c r="E105" s="20"/>
      <c r="F105" s="19"/>
      <c r="G105" s="20"/>
      <c r="H105" s="20"/>
      <c r="I105" s="20"/>
      <c r="J105" s="21" t="n">
        <v>4.22</v>
      </c>
      <c r="K105" s="18" t="s">
        <v>22</v>
      </c>
      <c r="L105" s="21"/>
      <c r="M105" s="21"/>
      <c r="N105" s="21"/>
      <c r="O105" s="18"/>
      <c r="P105" s="19" t="n">
        <v>395000</v>
      </c>
      <c r="Q105" s="18" t="s">
        <v>47</v>
      </c>
      <c r="R105" s="18" t="s">
        <v>50</v>
      </c>
    </row>
    <row r="106" customFormat="false" ht="15" hidden="false" customHeight="false" outlineLevel="0" collapsed="false">
      <c r="A106" s="14" t="n">
        <v>2000</v>
      </c>
      <c r="B106" s="14" t="s">
        <v>23</v>
      </c>
      <c r="C106" s="14" t="s">
        <v>54</v>
      </c>
      <c r="D106" s="15" t="n">
        <v>468.4</v>
      </c>
      <c r="E106" s="16"/>
      <c r="F106" s="15" t="n">
        <v>12.88</v>
      </c>
      <c r="G106" s="16"/>
      <c r="H106" s="16"/>
      <c r="I106" s="16" t="n">
        <v>950000</v>
      </c>
      <c r="J106" s="17" t="n">
        <v>7.62</v>
      </c>
      <c r="K106" s="14" t="s">
        <v>55</v>
      </c>
      <c r="L106" s="17"/>
      <c r="M106" s="17"/>
      <c r="N106" s="17"/>
      <c r="O106" s="14" t="n">
        <v>13.5578947368421</v>
      </c>
      <c r="P106" s="15" t="n">
        <v>950000</v>
      </c>
      <c r="Q106" s="14" t="s">
        <v>47</v>
      </c>
      <c r="R106" s="14" t="s">
        <v>48</v>
      </c>
    </row>
    <row r="107" customFormat="false" ht="15" hidden="false" customHeight="false" outlineLevel="0" collapsed="false">
      <c r="A107" s="18" t="n">
        <v>2001</v>
      </c>
      <c r="B107" s="18" t="s">
        <v>23</v>
      </c>
      <c r="C107" s="18" t="s">
        <v>54</v>
      </c>
      <c r="D107" s="19" t="n">
        <v>485.44</v>
      </c>
      <c r="E107" s="20"/>
      <c r="F107" s="19" t="n">
        <v>14.27</v>
      </c>
      <c r="G107" s="20"/>
      <c r="H107" s="20"/>
      <c r="I107" s="20"/>
      <c r="J107" s="21" t="n">
        <v>7.61</v>
      </c>
      <c r="K107" s="18" t="s">
        <v>55</v>
      </c>
      <c r="L107" s="21"/>
      <c r="M107" s="21"/>
      <c r="N107" s="21"/>
      <c r="O107" s="18"/>
      <c r="P107" s="19" t="n">
        <v>950000</v>
      </c>
      <c r="Q107" s="18" t="s">
        <v>47</v>
      </c>
      <c r="R107" s="18" t="s">
        <v>48</v>
      </c>
    </row>
    <row r="108" customFormat="false" ht="15" hidden="false" customHeight="false" outlineLevel="0" collapsed="false">
      <c r="A108" s="14" t="n">
        <v>2002</v>
      </c>
      <c r="B108" s="14" t="s">
        <v>23</v>
      </c>
      <c r="C108" s="14" t="s">
        <v>54</v>
      </c>
      <c r="D108" s="15" t="n">
        <v>514.94</v>
      </c>
      <c r="E108" s="16"/>
      <c r="F108" s="15" t="n">
        <v>15.74</v>
      </c>
      <c r="G108" s="16"/>
      <c r="H108" s="16"/>
      <c r="I108" s="16"/>
      <c r="J108" s="17" t="n">
        <v>7.68</v>
      </c>
      <c r="K108" s="14" t="s">
        <v>55</v>
      </c>
      <c r="L108" s="17"/>
      <c r="M108" s="17"/>
      <c r="N108" s="17"/>
      <c r="O108" s="14"/>
      <c r="P108" s="15" t="n">
        <v>950000</v>
      </c>
      <c r="Q108" s="14" t="s">
        <v>47</v>
      </c>
      <c r="R108" s="14" t="s">
        <v>48</v>
      </c>
    </row>
    <row r="109" customFormat="false" ht="15" hidden="false" customHeight="false" outlineLevel="0" collapsed="false">
      <c r="A109" s="18" t="n">
        <v>2003</v>
      </c>
      <c r="B109" s="18" t="s">
        <v>23</v>
      </c>
      <c r="C109" s="18" t="s">
        <v>54</v>
      </c>
      <c r="D109" s="19" t="n">
        <v>607.7</v>
      </c>
      <c r="E109" s="20"/>
      <c r="F109" s="19" t="n">
        <v>21</v>
      </c>
      <c r="G109" s="20"/>
      <c r="H109" s="20"/>
      <c r="I109" s="20"/>
      <c r="J109" s="21" t="n">
        <v>7.63</v>
      </c>
      <c r="K109" s="18" t="s">
        <v>55</v>
      </c>
      <c r="L109" s="21"/>
      <c r="M109" s="21"/>
      <c r="N109" s="21"/>
      <c r="O109" s="18"/>
      <c r="P109" s="19"/>
      <c r="Q109" s="18" t="s">
        <v>47</v>
      </c>
      <c r="R109" s="18" t="s">
        <v>48</v>
      </c>
    </row>
    <row r="110" customFormat="false" ht="15" hidden="false" customHeight="false" outlineLevel="0" collapsed="false">
      <c r="A110" s="14" t="n">
        <v>2004</v>
      </c>
      <c r="B110" s="14" t="s">
        <v>23</v>
      </c>
      <c r="C110" s="14" t="s">
        <v>54</v>
      </c>
      <c r="D110" s="15" t="n">
        <v>709.15</v>
      </c>
      <c r="E110" s="16"/>
      <c r="F110" s="15" t="n">
        <v>18.75</v>
      </c>
      <c r="G110" s="16"/>
      <c r="H110" s="16"/>
      <c r="I110" s="16"/>
      <c r="J110" s="17" t="n">
        <v>7.6</v>
      </c>
      <c r="K110" s="14" t="s">
        <v>55</v>
      </c>
      <c r="L110" s="17"/>
      <c r="M110" s="17"/>
      <c r="N110" s="17"/>
      <c r="O110" s="14"/>
      <c r="P110" s="15"/>
      <c r="Q110" s="14" t="s">
        <v>47</v>
      </c>
      <c r="R110" s="14" t="s">
        <v>48</v>
      </c>
    </row>
    <row r="111" customFormat="false" ht="15" hidden="false" customHeight="false" outlineLevel="0" collapsed="false">
      <c r="A111" s="18" t="n">
        <v>2005</v>
      </c>
      <c r="B111" s="18" t="s">
        <v>23</v>
      </c>
      <c r="C111" s="18" t="s">
        <v>54</v>
      </c>
      <c r="D111" s="19" t="n">
        <v>820.38</v>
      </c>
      <c r="E111" s="20"/>
      <c r="F111" s="19" t="n">
        <v>22.13</v>
      </c>
      <c r="G111" s="20"/>
      <c r="H111" s="20"/>
      <c r="I111" s="20"/>
      <c r="J111" s="21" t="n">
        <v>7.55</v>
      </c>
      <c r="K111" s="18" t="s">
        <v>55</v>
      </c>
      <c r="L111" s="21"/>
      <c r="M111" s="21"/>
      <c r="N111" s="21"/>
      <c r="O111" s="18"/>
      <c r="P111" s="19"/>
      <c r="Q111" s="18" t="s">
        <v>47</v>
      </c>
      <c r="R111" s="18" t="s">
        <v>48</v>
      </c>
    </row>
    <row r="112" customFormat="false" ht="15" hidden="false" customHeight="false" outlineLevel="0" collapsed="false">
      <c r="A112" s="14" t="n">
        <v>2006</v>
      </c>
      <c r="B112" s="14" t="s">
        <v>23</v>
      </c>
      <c r="C112" s="14" t="s">
        <v>54</v>
      </c>
      <c r="D112" s="15" t="n">
        <v>940.26</v>
      </c>
      <c r="E112" s="16"/>
      <c r="F112" s="15" t="n">
        <v>28.33</v>
      </c>
      <c r="G112" s="16"/>
      <c r="H112" s="16"/>
      <c r="I112" s="16"/>
      <c r="J112" s="17" t="n">
        <v>7.55</v>
      </c>
      <c r="K112" s="14" t="s">
        <v>55</v>
      </c>
      <c r="L112" s="17"/>
      <c r="M112" s="17"/>
      <c r="N112" s="17"/>
      <c r="O112" s="14"/>
      <c r="P112" s="15"/>
      <c r="Q112" s="14" t="s">
        <v>47</v>
      </c>
      <c r="R112" s="14" t="s">
        <v>48</v>
      </c>
    </row>
    <row r="113" customFormat="false" ht="15" hidden="false" customHeight="false" outlineLevel="0" collapsed="false">
      <c r="A113" s="18" t="n">
        <v>2007</v>
      </c>
      <c r="B113" s="18" t="s">
        <v>23</v>
      </c>
      <c r="C113" s="18" t="s">
        <v>54</v>
      </c>
      <c r="D113" s="19" t="n">
        <v>1217</v>
      </c>
      <c r="E113" s="20"/>
      <c r="F113" s="19" t="n">
        <v>37.22</v>
      </c>
      <c r="G113" s="20"/>
      <c r="H113" s="20"/>
      <c r="I113" s="20"/>
      <c r="J113" s="21" t="n">
        <v>7.56</v>
      </c>
      <c r="K113" s="18" t="s">
        <v>55</v>
      </c>
      <c r="L113" s="21"/>
      <c r="M113" s="21"/>
      <c r="N113" s="21"/>
      <c r="O113" s="18"/>
      <c r="P113" s="19"/>
      <c r="Q113" s="18" t="s">
        <v>47</v>
      </c>
      <c r="R113" s="18" t="s">
        <v>48</v>
      </c>
    </row>
    <row r="114" customFormat="false" ht="15" hidden="false" customHeight="false" outlineLevel="0" collapsed="false">
      <c r="A114" s="14" t="n">
        <v>2008</v>
      </c>
      <c r="B114" s="14" t="s">
        <v>23</v>
      </c>
      <c r="C114" s="14" t="s">
        <v>54</v>
      </c>
      <c r="D114" s="15" t="n">
        <v>1199</v>
      </c>
      <c r="E114" s="16"/>
      <c r="F114" s="15" t="n">
        <v>49.98</v>
      </c>
      <c r="G114" s="16"/>
      <c r="H114" s="16"/>
      <c r="I114" s="16"/>
      <c r="J114" s="17" t="n">
        <v>7.63</v>
      </c>
      <c r="K114" s="14" t="s">
        <v>55</v>
      </c>
      <c r="L114" s="17"/>
      <c r="M114" s="17"/>
      <c r="N114" s="17"/>
      <c r="O114" s="14"/>
      <c r="P114" s="15"/>
      <c r="Q114" s="14" t="s">
        <v>47</v>
      </c>
      <c r="R114" s="14" t="s">
        <v>48</v>
      </c>
    </row>
    <row r="115" customFormat="false" ht="15" hidden="false" customHeight="false" outlineLevel="0" collapsed="false">
      <c r="A115" s="18" t="n">
        <v>2009</v>
      </c>
      <c r="B115" s="18" t="s">
        <v>23</v>
      </c>
      <c r="C115" s="18" t="s">
        <v>54</v>
      </c>
      <c r="D115" s="19" t="n">
        <v>1342</v>
      </c>
      <c r="E115" s="20"/>
      <c r="F115" s="19" t="n">
        <v>49.2</v>
      </c>
      <c r="G115" s="20"/>
      <c r="H115" s="20"/>
      <c r="I115" s="20"/>
      <c r="J115" s="21" t="n">
        <v>7.64</v>
      </c>
      <c r="K115" s="18" t="s">
        <v>55</v>
      </c>
      <c r="L115" s="21"/>
      <c r="M115" s="21"/>
      <c r="N115" s="21"/>
      <c r="O115" s="18"/>
      <c r="P115" s="19"/>
      <c r="Q115" s="18" t="s">
        <v>47</v>
      </c>
      <c r="R115" s="18" t="s">
        <v>48</v>
      </c>
    </row>
    <row r="116" customFormat="false" ht="15" hidden="false" customHeight="false" outlineLevel="0" collapsed="false">
      <c r="A116" s="14" t="n">
        <v>2010</v>
      </c>
      <c r="B116" s="14" t="s">
        <v>23</v>
      </c>
      <c r="C116" s="14" t="s">
        <v>54</v>
      </c>
      <c r="D116" s="15" t="n">
        <v>1676</v>
      </c>
      <c r="E116" s="16"/>
      <c r="F116" s="15" t="n">
        <v>53.48</v>
      </c>
      <c r="G116" s="16"/>
      <c r="H116" s="16"/>
      <c r="I116" s="16" t="n">
        <v>2250000</v>
      </c>
      <c r="J116" s="17" t="n">
        <v>7.63</v>
      </c>
      <c r="K116" s="14" t="s">
        <v>55</v>
      </c>
      <c r="L116" s="17"/>
      <c r="M116" s="17"/>
      <c r="N116" s="17"/>
      <c r="O116" s="14" t="n">
        <v>23.7688888888889</v>
      </c>
      <c r="P116" s="15" t="n">
        <v>2250000</v>
      </c>
      <c r="Q116" s="14" t="s">
        <v>47</v>
      </c>
      <c r="R116" s="14" t="s">
        <v>48</v>
      </c>
    </row>
    <row r="117" customFormat="false" ht="15" hidden="false" customHeight="false" outlineLevel="0" collapsed="false">
      <c r="A117" s="18" t="n">
        <v>2011</v>
      </c>
      <c r="B117" s="18" t="s">
        <v>23</v>
      </c>
      <c r="C117" s="18" t="s">
        <v>54</v>
      </c>
      <c r="D117" s="19" t="n">
        <v>1823</v>
      </c>
      <c r="E117" s="20"/>
      <c r="F117" s="19" t="n">
        <v>62.5</v>
      </c>
      <c r="G117" s="20"/>
      <c r="H117" s="20"/>
      <c r="I117" s="20"/>
      <c r="J117" s="21" t="n">
        <v>7.61</v>
      </c>
      <c r="K117" s="18" t="s">
        <v>55</v>
      </c>
      <c r="L117" s="21"/>
      <c r="M117" s="21"/>
      <c r="N117" s="21"/>
      <c r="O117" s="18"/>
      <c r="P117" s="19" t="n">
        <v>2250000</v>
      </c>
      <c r="Q117" s="18" t="s">
        <v>47</v>
      </c>
      <c r="R117" s="18" t="s">
        <v>48</v>
      </c>
    </row>
    <row r="118" customFormat="false" ht="15" hidden="false" customHeight="false" outlineLevel="0" collapsed="false">
      <c r="A118" s="14" t="n">
        <v>2012</v>
      </c>
      <c r="B118" s="14" t="s">
        <v>23</v>
      </c>
      <c r="C118" s="14" t="s">
        <v>54</v>
      </c>
      <c r="D118" s="15" t="n">
        <v>1828</v>
      </c>
      <c r="E118" s="16"/>
      <c r="F118" s="15" t="n">
        <v>68.82</v>
      </c>
      <c r="G118" s="16"/>
      <c r="H118" s="16"/>
      <c r="I118" s="16"/>
      <c r="J118" s="17" t="n">
        <v>7.64</v>
      </c>
      <c r="K118" s="14" t="s">
        <v>55</v>
      </c>
      <c r="L118" s="17"/>
      <c r="M118" s="17"/>
      <c r="N118" s="17"/>
      <c r="O118" s="14"/>
      <c r="P118" s="15" t="n">
        <v>2250000</v>
      </c>
      <c r="Q118" s="14" t="s">
        <v>47</v>
      </c>
      <c r="R118" s="14" t="s">
        <v>48</v>
      </c>
    </row>
    <row r="119" customFormat="false" ht="15" hidden="false" customHeight="false" outlineLevel="0" collapsed="false">
      <c r="A119" s="18" t="n">
        <v>2013</v>
      </c>
      <c r="B119" s="18" t="s">
        <v>23</v>
      </c>
      <c r="C119" s="18" t="s">
        <v>54</v>
      </c>
      <c r="D119" s="19" t="n">
        <v>1857</v>
      </c>
      <c r="E119" s="20"/>
      <c r="F119" s="19" t="n">
        <v>69.97</v>
      </c>
      <c r="G119" s="20"/>
      <c r="H119" s="20"/>
      <c r="I119" s="20"/>
      <c r="J119" s="21" t="n">
        <v>7.68</v>
      </c>
      <c r="K119" s="18" t="s">
        <v>55</v>
      </c>
      <c r="L119" s="21"/>
      <c r="M119" s="21"/>
      <c r="N119" s="21"/>
      <c r="O119" s="18"/>
      <c r="P119" s="19"/>
      <c r="Q119" s="18" t="s">
        <v>47</v>
      </c>
      <c r="R119" s="18" t="s">
        <v>48</v>
      </c>
    </row>
    <row r="120" customFormat="false" ht="15" hidden="false" customHeight="false" outlineLevel="0" collapsed="false">
      <c r="A120" s="14" t="n">
        <v>2014</v>
      </c>
      <c r="B120" s="14" t="s">
        <v>23</v>
      </c>
      <c r="C120" s="14" t="s">
        <v>54</v>
      </c>
      <c r="D120" s="15" t="n">
        <v>2039</v>
      </c>
      <c r="E120" s="16"/>
      <c r="F120" s="15" t="n">
        <v>70.39</v>
      </c>
      <c r="G120" s="16"/>
      <c r="H120" s="16"/>
      <c r="I120" s="16"/>
      <c r="J120" s="17" t="n">
        <v>7.66</v>
      </c>
      <c r="K120" s="14" t="s">
        <v>55</v>
      </c>
      <c r="L120" s="17"/>
      <c r="M120" s="17"/>
      <c r="N120" s="17"/>
      <c r="O120" s="14"/>
      <c r="P120" s="15"/>
      <c r="Q120" s="14" t="s">
        <v>47</v>
      </c>
      <c r="R120" s="14" t="s">
        <v>48</v>
      </c>
    </row>
    <row r="121" customFormat="false" ht="15" hidden="false" customHeight="false" outlineLevel="0" collapsed="false">
      <c r="A121" s="18" t="n">
        <v>2015</v>
      </c>
      <c r="B121" s="18" t="s">
        <v>23</v>
      </c>
      <c r="C121" s="18" t="s">
        <v>54</v>
      </c>
      <c r="D121" s="19" t="n">
        <v>2104</v>
      </c>
      <c r="E121" s="20"/>
      <c r="F121" s="19" t="n">
        <v>68.91</v>
      </c>
      <c r="G121" s="20"/>
      <c r="H121" s="20"/>
      <c r="I121" s="20" t="n">
        <v>2800000</v>
      </c>
      <c r="J121" s="21" t="n">
        <v>7.63</v>
      </c>
      <c r="K121" s="18" t="s">
        <v>55</v>
      </c>
      <c r="L121" s="21"/>
      <c r="M121" s="21"/>
      <c r="N121" s="21"/>
      <c r="O121" s="18" t="n">
        <v>24.6107142857143</v>
      </c>
      <c r="P121" s="19" t="n">
        <v>2800000</v>
      </c>
      <c r="Q121" s="18" t="s">
        <v>47</v>
      </c>
      <c r="R121" s="18" t="s">
        <v>48</v>
      </c>
    </row>
    <row r="122" customFormat="false" ht="15" hidden="false" customHeight="false" outlineLevel="0" collapsed="false">
      <c r="A122" s="14" t="n">
        <v>2016</v>
      </c>
      <c r="B122" s="14" t="s">
        <v>23</v>
      </c>
      <c r="C122" s="14" t="s">
        <v>54</v>
      </c>
      <c r="D122" s="15" t="n">
        <v>2295</v>
      </c>
      <c r="E122" s="16"/>
      <c r="F122" s="15" t="n">
        <v>62.74</v>
      </c>
      <c r="G122" s="16"/>
      <c r="H122" s="16"/>
      <c r="I122" s="16"/>
      <c r="J122" s="17" t="n">
        <v>7.61</v>
      </c>
      <c r="K122" s="14" t="s">
        <v>55</v>
      </c>
      <c r="L122" s="17"/>
      <c r="M122" s="17"/>
      <c r="N122" s="17"/>
      <c r="O122" s="14"/>
      <c r="P122" s="15" t="n">
        <v>2800000</v>
      </c>
      <c r="Q122" s="14" t="s">
        <v>47</v>
      </c>
      <c r="R122" s="14" t="s">
        <v>48</v>
      </c>
    </row>
    <row r="123" customFormat="false" ht="15" hidden="false" customHeight="false" outlineLevel="0" collapsed="false">
      <c r="A123" s="18" t="n">
        <v>2017</v>
      </c>
      <c r="B123" s="18" t="s">
        <v>23</v>
      </c>
      <c r="C123" s="18" t="s">
        <v>54</v>
      </c>
      <c r="D123" s="19" t="n">
        <v>2651</v>
      </c>
      <c r="E123" s="20"/>
      <c r="F123" s="19" t="n">
        <v>68.97</v>
      </c>
      <c r="G123" s="20"/>
      <c r="H123" s="20"/>
      <c r="I123" s="20"/>
      <c r="J123" s="21" t="n">
        <v>7.63</v>
      </c>
      <c r="K123" s="18" t="s">
        <v>55</v>
      </c>
      <c r="L123" s="21"/>
      <c r="M123" s="21"/>
      <c r="N123" s="21"/>
      <c r="O123" s="18"/>
      <c r="P123" s="19" t="n">
        <v>2800000</v>
      </c>
      <c r="Q123" s="18" t="s">
        <v>47</v>
      </c>
      <c r="R123" s="18" t="s">
        <v>48</v>
      </c>
    </row>
    <row r="124" customFormat="false" ht="15" hidden="false" customHeight="false" outlineLevel="0" collapsed="false">
      <c r="A124" s="14" t="n">
        <v>2018</v>
      </c>
      <c r="B124" s="14" t="s">
        <v>23</v>
      </c>
      <c r="C124" s="14" t="s">
        <v>54</v>
      </c>
      <c r="D124" s="15" t="n">
        <v>2703</v>
      </c>
      <c r="E124" s="16"/>
      <c r="F124" s="15" t="n">
        <v>78.79</v>
      </c>
      <c r="G124" s="16"/>
      <c r="H124" s="16"/>
      <c r="I124" s="16"/>
      <c r="J124" s="17" t="n">
        <v>7.65</v>
      </c>
      <c r="K124" s="14" t="s">
        <v>55</v>
      </c>
      <c r="L124" s="17"/>
      <c r="M124" s="17"/>
      <c r="N124" s="17"/>
      <c r="O124" s="14"/>
      <c r="P124" s="15"/>
      <c r="Q124" s="14" t="s">
        <v>47</v>
      </c>
      <c r="R124" s="14" t="s">
        <v>48</v>
      </c>
    </row>
    <row r="125" customFormat="false" ht="15" hidden="false" customHeight="false" outlineLevel="0" collapsed="false">
      <c r="A125" s="18" t="n">
        <v>2019</v>
      </c>
      <c r="B125" s="18" t="s">
        <v>23</v>
      </c>
      <c r="C125" s="18" t="s">
        <v>54</v>
      </c>
      <c r="D125" s="19" t="n">
        <v>2836</v>
      </c>
      <c r="E125" s="20"/>
      <c r="F125" s="19" t="n">
        <v>83.33</v>
      </c>
      <c r="G125" s="20"/>
      <c r="H125" s="20"/>
      <c r="I125" s="20"/>
      <c r="J125" s="21" t="n">
        <v>6.51</v>
      </c>
      <c r="K125" s="18" t="s">
        <v>55</v>
      </c>
      <c r="L125" s="21"/>
      <c r="M125" s="21"/>
      <c r="N125" s="21"/>
      <c r="O125" s="18"/>
      <c r="P125" s="19"/>
      <c r="Q125" s="18" t="s">
        <v>47</v>
      </c>
      <c r="R125" s="18" t="s">
        <v>48</v>
      </c>
    </row>
    <row r="126" customFormat="false" ht="15" hidden="false" customHeight="false" outlineLevel="0" collapsed="false">
      <c r="A126" s="14" t="n">
        <v>2020</v>
      </c>
      <c r="B126" s="14" t="s">
        <v>23</v>
      </c>
      <c r="C126" s="14" t="s">
        <v>54</v>
      </c>
      <c r="D126" s="15" t="n">
        <v>2675</v>
      </c>
      <c r="E126" s="16"/>
      <c r="F126" s="15" t="n">
        <v>83.15</v>
      </c>
      <c r="G126" s="16"/>
      <c r="H126" s="16"/>
      <c r="I126" s="16" t="n">
        <v>3500000</v>
      </c>
      <c r="J126" s="17" t="n">
        <v>7.86</v>
      </c>
      <c r="K126" s="14" t="s">
        <v>55</v>
      </c>
      <c r="L126" s="17"/>
      <c r="M126" s="17"/>
      <c r="N126" s="17"/>
      <c r="O126" s="14" t="n">
        <v>23.7571428571429</v>
      </c>
      <c r="P126" s="15" t="n">
        <v>3500000</v>
      </c>
      <c r="Q126" s="14" t="s">
        <v>49</v>
      </c>
      <c r="R126" s="14" t="s">
        <v>48</v>
      </c>
    </row>
    <row r="127" customFormat="false" ht="15" hidden="false" customHeight="false" outlineLevel="0" collapsed="false">
      <c r="A127" s="18" t="n">
        <v>2021</v>
      </c>
      <c r="B127" s="18" t="s">
        <v>23</v>
      </c>
      <c r="C127" s="18" t="s">
        <v>54</v>
      </c>
      <c r="D127" s="19" t="n">
        <v>3167</v>
      </c>
      <c r="E127" s="20"/>
      <c r="F127" s="19" t="n">
        <v>89.38</v>
      </c>
      <c r="G127" s="20"/>
      <c r="H127" s="20"/>
      <c r="I127" s="20"/>
      <c r="J127" s="21" t="n">
        <v>6.38</v>
      </c>
      <c r="K127" s="18" t="s">
        <v>55</v>
      </c>
      <c r="L127" s="21"/>
      <c r="M127" s="21"/>
      <c r="N127" s="21"/>
      <c r="O127" s="18"/>
      <c r="P127" s="19" t="n">
        <v>3500000</v>
      </c>
      <c r="Q127" s="18" t="s">
        <v>47</v>
      </c>
      <c r="R127" s="18" t="s">
        <v>48</v>
      </c>
    </row>
    <row r="128" customFormat="false" ht="15" hidden="false" customHeight="false" outlineLevel="0" collapsed="false">
      <c r="A128" s="14" t="n">
        <v>2022</v>
      </c>
      <c r="B128" s="14" t="s">
        <v>23</v>
      </c>
      <c r="C128" s="14" t="s">
        <v>54</v>
      </c>
      <c r="D128" s="15" t="n">
        <v>3346</v>
      </c>
      <c r="E128" s="16"/>
      <c r="F128" s="15" t="n">
        <v>111.22</v>
      </c>
      <c r="G128" s="16"/>
      <c r="H128" s="16"/>
      <c r="I128" s="16"/>
      <c r="J128" s="17" t="n">
        <v>4.82</v>
      </c>
      <c r="K128" s="14" t="s">
        <v>55</v>
      </c>
      <c r="L128" s="17"/>
      <c r="M128" s="17"/>
      <c r="N128" s="17"/>
      <c r="O128" s="14"/>
      <c r="P128" s="15" t="n">
        <v>3500000</v>
      </c>
      <c r="Q128" s="14" t="s">
        <v>47</v>
      </c>
      <c r="R128" s="14" t="s">
        <v>50</v>
      </c>
    </row>
    <row r="129" customFormat="false" ht="15" hidden="false" customHeight="false" outlineLevel="0" collapsed="false">
      <c r="A129" s="18" t="n">
        <v>2023</v>
      </c>
      <c r="B129" s="18" t="s">
        <v>23</v>
      </c>
      <c r="C129" s="18" t="s">
        <v>54</v>
      </c>
      <c r="D129" s="19" t="n">
        <v>3638</v>
      </c>
      <c r="E129" s="20"/>
      <c r="F129" s="19" t="n">
        <v>119.53</v>
      </c>
      <c r="G129" s="20"/>
      <c r="H129" s="20"/>
      <c r="I129" s="20"/>
      <c r="J129" s="21" t="n">
        <v>4.17</v>
      </c>
      <c r="K129" s="18" t="s">
        <v>55</v>
      </c>
      <c r="L129" s="21"/>
      <c r="M129" s="21"/>
      <c r="N129" s="21"/>
      <c r="O129" s="18"/>
      <c r="P129" s="19"/>
      <c r="Q129" s="18" t="s">
        <v>47</v>
      </c>
      <c r="R129" s="18" t="s">
        <v>50</v>
      </c>
    </row>
    <row r="130" customFormat="false" ht="15" hidden="false" customHeight="false" outlineLevel="0" collapsed="false">
      <c r="A130" s="14" t="n">
        <v>2024</v>
      </c>
      <c r="B130" s="14" t="s">
        <v>23</v>
      </c>
      <c r="C130" s="14" t="s">
        <v>54</v>
      </c>
      <c r="D130" s="15" t="n">
        <v>3910</v>
      </c>
      <c r="E130" s="16"/>
      <c r="F130" s="15" t="n">
        <v>137.67</v>
      </c>
      <c r="G130" s="16"/>
      <c r="H130" s="16"/>
      <c r="I130" s="16" t="n">
        <v>3250000</v>
      </c>
      <c r="J130" s="17" t="n">
        <v>4.17</v>
      </c>
      <c r="K130" s="14" t="s">
        <v>55</v>
      </c>
      <c r="L130" s="17"/>
      <c r="M130" s="17"/>
      <c r="N130" s="17"/>
      <c r="O130" s="14" t="n">
        <v>42.36</v>
      </c>
      <c r="P130" s="15" t="n">
        <v>3250000</v>
      </c>
      <c r="Q130" s="14" t="s">
        <v>49</v>
      </c>
      <c r="R130" s="14" t="s">
        <v>50</v>
      </c>
    </row>
    <row r="131" customFormat="false" ht="15" hidden="false" customHeight="false" outlineLevel="0" collapsed="false">
      <c r="A131" s="18" t="n">
        <v>2025</v>
      </c>
      <c r="B131" s="18" t="s">
        <v>23</v>
      </c>
      <c r="C131" s="18" t="s">
        <v>54</v>
      </c>
      <c r="D131" s="19"/>
      <c r="E131" s="20"/>
      <c r="F131" s="19"/>
      <c r="G131" s="20"/>
      <c r="H131" s="20"/>
      <c r="I131" s="20"/>
      <c r="J131" s="21" t="n">
        <v>4.22</v>
      </c>
      <c r="K131" s="18" t="s">
        <v>55</v>
      </c>
      <c r="L131" s="21"/>
      <c r="M131" s="21"/>
      <c r="N131" s="21"/>
      <c r="O131" s="18"/>
      <c r="P131" s="19" t="n">
        <v>3250000</v>
      </c>
      <c r="Q131" s="18" t="s">
        <v>47</v>
      </c>
      <c r="R131" s="18" t="s">
        <v>50</v>
      </c>
    </row>
    <row r="132" customFormat="false" ht="15" hidden="false" customHeight="false" outlineLevel="0" collapsed="false">
      <c r="A132" s="14" t="n">
        <v>2000</v>
      </c>
      <c r="B132" s="14" t="s">
        <v>24</v>
      </c>
      <c r="C132" s="14" t="s">
        <v>52</v>
      </c>
      <c r="D132" s="15" t="n">
        <v>468.4</v>
      </c>
      <c r="E132" s="16"/>
      <c r="F132" s="15" t="n">
        <v>12.88</v>
      </c>
      <c r="G132" s="16"/>
      <c r="H132" s="16"/>
      <c r="I132" s="16" t="n">
        <v>570000</v>
      </c>
      <c r="J132" s="17" t="n">
        <v>7.62</v>
      </c>
      <c r="K132" s="14" t="s">
        <v>56</v>
      </c>
      <c r="L132" s="17"/>
      <c r="M132" s="17"/>
      <c r="N132" s="17"/>
      <c r="O132" s="14" t="n">
        <v>22.5964912280702</v>
      </c>
      <c r="P132" s="15" t="n">
        <v>570000</v>
      </c>
      <c r="Q132" s="14" t="s">
        <v>47</v>
      </c>
      <c r="R132" s="14" t="s">
        <v>48</v>
      </c>
    </row>
    <row r="133" customFormat="false" ht="15" hidden="false" customHeight="false" outlineLevel="0" collapsed="false">
      <c r="A133" s="18" t="n">
        <v>2001</v>
      </c>
      <c r="B133" s="18" t="s">
        <v>24</v>
      </c>
      <c r="C133" s="18" t="s">
        <v>52</v>
      </c>
      <c r="D133" s="19" t="n">
        <v>485.44</v>
      </c>
      <c r="E133" s="20"/>
      <c r="F133" s="19" t="n">
        <v>14.27</v>
      </c>
      <c r="G133" s="20"/>
      <c r="H133" s="20"/>
      <c r="I133" s="20"/>
      <c r="J133" s="21" t="n">
        <v>7.61</v>
      </c>
      <c r="K133" s="18" t="s">
        <v>56</v>
      </c>
      <c r="L133" s="21"/>
      <c r="M133" s="21"/>
      <c r="N133" s="21"/>
      <c r="O133" s="18"/>
      <c r="P133" s="19" t="n">
        <v>570000</v>
      </c>
      <c r="Q133" s="18" t="s">
        <v>47</v>
      </c>
      <c r="R133" s="18" t="s">
        <v>48</v>
      </c>
    </row>
    <row r="134" customFormat="false" ht="15" hidden="false" customHeight="false" outlineLevel="0" collapsed="false">
      <c r="A134" s="14" t="n">
        <v>2002</v>
      </c>
      <c r="B134" s="14" t="s">
        <v>24</v>
      </c>
      <c r="C134" s="14" t="s">
        <v>52</v>
      </c>
      <c r="D134" s="15" t="n">
        <v>514.94</v>
      </c>
      <c r="E134" s="16"/>
      <c r="F134" s="15" t="n">
        <v>15.74</v>
      </c>
      <c r="G134" s="16"/>
      <c r="H134" s="16"/>
      <c r="I134" s="16"/>
      <c r="J134" s="17" t="n">
        <v>7.68</v>
      </c>
      <c r="K134" s="14" t="s">
        <v>56</v>
      </c>
      <c r="L134" s="17"/>
      <c r="M134" s="17"/>
      <c r="N134" s="17"/>
      <c r="O134" s="14"/>
      <c r="P134" s="15" t="n">
        <v>570000</v>
      </c>
      <c r="Q134" s="14" t="s">
        <v>47</v>
      </c>
      <c r="R134" s="14" t="s">
        <v>48</v>
      </c>
    </row>
    <row r="135" customFormat="false" ht="15" hidden="false" customHeight="false" outlineLevel="0" collapsed="false">
      <c r="A135" s="18" t="n">
        <v>2003</v>
      </c>
      <c r="B135" s="18" t="s">
        <v>24</v>
      </c>
      <c r="C135" s="18" t="s">
        <v>52</v>
      </c>
      <c r="D135" s="19" t="n">
        <v>607.7</v>
      </c>
      <c r="E135" s="20"/>
      <c r="F135" s="19" t="n">
        <v>21</v>
      </c>
      <c r="G135" s="20"/>
      <c r="H135" s="20"/>
      <c r="I135" s="20"/>
      <c r="J135" s="21" t="n">
        <v>7.63</v>
      </c>
      <c r="K135" s="18" t="s">
        <v>56</v>
      </c>
      <c r="L135" s="21"/>
      <c r="M135" s="21"/>
      <c r="N135" s="21"/>
      <c r="O135" s="18"/>
      <c r="P135" s="19"/>
      <c r="Q135" s="18" t="s">
        <v>47</v>
      </c>
      <c r="R135" s="18" t="s">
        <v>48</v>
      </c>
    </row>
    <row r="136" customFormat="false" ht="15" hidden="false" customHeight="false" outlineLevel="0" collapsed="false">
      <c r="A136" s="14" t="n">
        <v>2004</v>
      </c>
      <c r="B136" s="14" t="s">
        <v>24</v>
      </c>
      <c r="C136" s="14" t="s">
        <v>52</v>
      </c>
      <c r="D136" s="15" t="n">
        <v>709.15</v>
      </c>
      <c r="E136" s="16"/>
      <c r="F136" s="15" t="n">
        <v>18.75</v>
      </c>
      <c r="G136" s="16"/>
      <c r="H136" s="16"/>
      <c r="I136" s="16"/>
      <c r="J136" s="17" t="n">
        <v>7.6</v>
      </c>
      <c r="K136" s="14" t="s">
        <v>56</v>
      </c>
      <c r="L136" s="17"/>
      <c r="M136" s="17"/>
      <c r="N136" s="17"/>
      <c r="O136" s="14"/>
      <c r="P136" s="15"/>
      <c r="Q136" s="14" t="s">
        <v>47</v>
      </c>
      <c r="R136" s="14" t="s">
        <v>48</v>
      </c>
    </row>
    <row r="137" customFormat="false" ht="15" hidden="false" customHeight="false" outlineLevel="0" collapsed="false">
      <c r="A137" s="18" t="n">
        <v>2005</v>
      </c>
      <c r="B137" s="18" t="s">
        <v>24</v>
      </c>
      <c r="C137" s="18" t="s">
        <v>52</v>
      </c>
      <c r="D137" s="19" t="n">
        <v>820.38</v>
      </c>
      <c r="E137" s="20"/>
      <c r="F137" s="19" t="n">
        <v>22.13</v>
      </c>
      <c r="G137" s="20"/>
      <c r="H137" s="20"/>
      <c r="I137" s="20"/>
      <c r="J137" s="21" t="n">
        <v>7.55</v>
      </c>
      <c r="K137" s="18" t="s">
        <v>56</v>
      </c>
      <c r="L137" s="21"/>
      <c r="M137" s="21"/>
      <c r="N137" s="21"/>
      <c r="O137" s="18"/>
      <c r="P137" s="19"/>
      <c r="Q137" s="18" t="s">
        <v>47</v>
      </c>
      <c r="R137" s="18" t="s">
        <v>48</v>
      </c>
    </row>
    <row r="138" customFormat="false" ht="15" hidden="false" customHeight="false" outlineLevel="0" collapsed="false">
      <c r="A138" s="14" t="n">
        <v>2006</v>
      </c>
      <c r="B138" s="14" t="s">
        <v>24</v>
      </c>
      <c r="C138" s="14" t="s">
        <v>52</v>
      </c>
      <c r="D138" s="15" t="n">
        <v>940.26</v>
      </c>
      <c r="E138" s="16"/>
      <c r="F138" s="15" t="n">
        <v>28.33</v>
      </c>
      <c r="G138" s="16"/>
      <c r="H138" s="16"/>
      <c r="I138" s="16"/>
      <c r="J138" s="17" t="n">
        <v>7.55</v>
      </c>
      <c r="K138" s="14" t="s">
        <v>56</v>
      </c>
      <c r="L138" s="17"/>
      <c r="M138" s="17"/>
      <c r="N138" s="17"/>
      <c r="O138" s="14"/>
      <c r="P138" s="15"/>
      <c r="Q138" s="14" t="s">
        <v>47</v>
      </c>
      <c r="R138" s="14" t="s">
        <v>48</v>
      </c>
    </row>
    <row r="139" customFormat="false" ht="15" hidden="false" customHeight="false" outlineLevel="0" collapsed="false">
      <c r="A139" s="18" t="n">
        <v>2007</v>
      </c>
      <c r="B139" s="18" t="s">
        <v>24</v>
      </c>
      <c r="C139" s="18" t="s">
        <v>52</v>
      </c>
      <c r="D139" s="19" t="n">
        <v>1217</v>
      </c>
      <c r="E139" s="20"/>
      <c r="F139" s="19" t="n">
        <v>37.22</v>
      </c>
      <c r="G139" s="20"/>
      <c r="H139" s="20"/>
      <c r="I139" s="20"/>
      <c r="J139" s="21" t="n">
        <v>7.56</v>
      </c>
      <c r="K139" s="18" t="s">
        <v>56</v>
      </c>
      <c r="L139" s="21"/>
      <c r="M139" s="21"/>
      <c r="N139" s="21"/>
      <c r="O139" s="18"/>
      <c r="P139" s="19"/>
      <c r="Q139" s="18" t="s">
        <v>47</v>
      </c>
      <c r="R139" s="18" t="s">
        <v>48</v>
      </c>
    </row>
    <row r="140" customFormat="false" ht="15" hidden="false" customHeight="false" outlineLevel="0" collapsed="false">
      <c r="A140" s="14" t="n">
        <v>2008</v>
      </c>
      <c r="B140" s="14" t="s">
        <v>24</v>
      </c>
      <c r="C140" s="14" t="s">
        <v>52</v>
      </c>
      <c r="D140" s="15" t="n">
        <v>1199</v>
      </c>
      <c r="E140" s="16"/>
      <c r="F140" s="15" t="n">
        <v>49.98</v>
      </c>
      <c r="G140" s="16"/>
      <c r="H140" s="16"/>
      <c r="I140" s="16"/>
      <c r="J140" s="17" t="n">
        <v>7.63</v>
      </c>
      <c r="K140" s="14" t="s">
        <v>56</v>
      </c>
      <c r="L140" s="17"/>
      <c r="M140" s="17"/>
      <c r="N140" s="17"/>
      <c r="O140" s="14"/>
      <c r="P140" s="15"/>
      <c r="Q140" s="14" t="s">
        <v>47</v>
      </c>
      <c r="R140" s="14" t="s">
        <v>48</v>
      </c>
    </row>
    <row r="141" customFormat="false" ht="15" hidden="false" customHeight="false" outlineLevel="0" collapsed="false">
      <c r="A141" s="18" t="n">
        <v>2009</v>
      </c>
      <c r="B141" s="18" t="s">
        <v>24</v>
      </c>
      <c r="C141" s="18" t="s">
        <v>52</v>
      </c>
      <c r="D141" s="19" t="n">
        <v>1342</v>
      </c>
      <c r="E141" s="20"/>
      <c r="F141" s="19" t="n">
        <v>49.2</v>
      </c>
      <c r="G141" s="20"/>
      <c r="H141" s="20"/>
      <c r="I141" s="20"/>
      <c r="J141" s="21" t="n">
        <v>7.64</v>
      </c>
      <c r="K141" s="18" t="s">
        <v>56</v>
      </c>
      <c r="L141" s="21"/>
      <c r="M141" s="21"/>
      <c r="N141" s="21"/>
      <c r="O141" s="18"/>
      <c r="P141" s="19"/>
      <c r="Q141" s="18" t="s">
        <v>47</v>
      </c>
      <c r="R141" s="18" t="s">
        <v>48</v>
      </c>
    </row>
    <row r="142" customFormat="false" ht="15" hidden="false" customHeight="false" outlineLevel="0" collapsed="false">
      <c r="A142" s="14" t="n">
        <v>2010</v>
      </c>
      <c r="B142" s="14" t="s">
        <v>24</v>
      </c>
      <c r="C142" s="14" t="s">
        <v>52</v>
      </c>
      <c r="D142" s="15" t="n">
        <v>1676</v>
      </c>
      <c r="E142" s="16"/>
      <c r="F142" s="15" t="n">
        <v>53.48</v>
      </c>
      <c r="G142" s="16"/>
      <c r="H142" s="16"/>
      <c r="I142" s="16" t="n">
        <v>710000</v>
      </c>
      <c r="J142" s="17" t="n">
        <v>7.63</v>
      </c>
      <c r="K142" s="14" t="s">
        <v>56</v>
      </c>
      <c r="L142" s="17"/>
      <c r="M142" s="17"/>
      <c r="N142" s="17"/>
      <c r="O142" s="14" t="n">
        <v>75.3239436619718</v>
      </c>
      <c r="P142" s="15" t="n">
        <v>710000</v>
      </c>
      <c r="Q142" s="14" t="s">
        <v>47</v>
      </c>
      <c r="R142" s="14" t="s">
        <v>48</v>
      </c>
    </row>
    <row r="143" customFormat="false" ht="15" hidden="false" customHeight="false" outlineLevel="0" collapsed="false">
      <c r="A143" s="18" t="n">
        <v>2011</v>
      </c>
      <c r="B143" s="18" t="s">
        <v>24</v>
      </c>
      <c r="C143" s="18" t="s">
        <v>52</v>
      </c>
      <c r="D143" s="19" t="n">
        <v>1823</v>
      </c>
      <c r="E143" s="20"/>
      <c r="F143" s="19" t="n">
        <v>62.5</v>
      </c>
      <c r="G143" s="20"/>
      <c r="H143" s="20"/>
      <c r="I143" s="20"/>
      <c r="J143" s="21" t="n">
        <v>7.61</v>
      </c>
      <c r="K143" s="18" t="s">
        <v>56</v>
      </c>
      <c r="L143" s="21"/>
      <c r="M143" s="21"/>
      <c r="N143" s="21"/>
      <c r="O143" s="18"/>
      <c r="P143" s="19" t="n">
        <v>710000</v>
      </c>
      <c r="Q143" s="18" t="s">
        <v>47</v>
      </c>
      <c r="R143" s="18" t="s">
        <v>48</v>
      </c>
    </row>
    <row r="144" customFormat="false" ht="15" hidden="false" customHeight="false" outlineLevel="0" collapsed="false">
      <c r="A144" s="14" t="n">
        <v>2012</v>
      </c>
      <c r="B144" s="14" t="s">
        <v>24</v>
      </c>
      <c r="C144" s="14" t="s">
        <v>52</v>
      </c>
      <c r="D144" s="15" t="n">
        <v>1828</v>
      </c>
      <c r="E144" s="16"/>
      <c r="F144" s="15" t="n">
        <v>68.82</v>
      </c>
      <c r="G144" s="16"/>
      <c r="H144" s="16"/>
      <c r="I144" s="16"/>
      <c r="J144" s="17" t="n">
        <v>7.64</v>
      </c>
      <c r="K144" s="14" t="s">
        <v>56</v>
      </c>
      <c r="L144" s="17"/>
      <c r="M144" s="17"/>
      <c r="N144" s="17"/>
      <c r="O144" s="14"/>
      <c r="P144" s="15" t="n">
        <v>710000</v>
      </c>
      <c r="Q144" s="14" t="s">
        <v>47</v>
      </c>
      <c r="R144" s="14" t="s">
        <v>48</v>
      </c>
    </row>
    <row r="145" customFormat="false" ht="15" hidden="false" customHeight="false" outlineLevel="0" collapsed="false">
      <c r="A145" s="18" t="n">
        <v>2013</v>
      </c>
      <c r="B145" s="18" t="s">
        <v>24</v>
      </c>
      <c r="C145" s="18" t="s">
        <v>52</v>
      </c>
      <c r="D145" s="19" t="n">
        <v>1857</v>
      </c>
      <c r="E145" s="20"/>
      <c r="F145" s="19" t="n">
        <v>69.97</v>
      </c>
      <c r="G145" s="20"/>
      <c r="H145" s="20"/>
      <c r="I145" s="20"/>
      <c r="J145" s="21" t="n">
        <v>7.68</v>
      </c>
      <c r="K145" s="18" t="s">
        <v>56</v>
      </c>
      <c r="L145" s="21"/>
      <c r="M145" s="21"/>
      <c r="N145" s="21"/>
      <c r="O145" s="18"/>
      <c r="P145" s="19"/>
      <c r="Q145" s="18" t="s">
        <v>47</v>
      </c>
      <c r="R145" s="18" t="s">
        <v>48</v>
      </c>
    </row>
    <row r="146" customFormat="false" ht="15" hidden="false" customHeight="false" outlineLevel="0" collapsed="false">
      <c r="A146" s="14" t="n">
        <v>2014</v>
      </c>
      <c r="B146" s="14" t="s">
        <v>24</v>
      </c>
      <c r="C146" s="14" t="s">
        <v>52</v>
      </c>
      <c r="D146" s="15" t="n">
        <v>2039</v>
      </c>
      <c r="E146" s="16"/>
      <c r="F146" s="15" t="n">
        <v>70.39</v>
      </c>
      <c r="G146" s="16"/>
      <c r="H146" s="16"/>
      <c r="I146" s="16"/>
      <c r="J146" s="17" t="n">
        <v>7.66</v>
      </c>
      <c r="K146" s="14" t="s">
        <v>56</v>
      </c>
      <c r="L146" s="17"/>
      <c r="M146" s="17"/>
      <c r="N146" s="17"/>
      <c r="O146" s="14"/>
      <c r="P146" s="15"/>
      <c r="Q146" s="14" t="s">
        <v>47</v>
      </c>
      <c r="R146" s="14" t="s">
        <v>48</v>
      </c>
    </row>
    <row r="147" customFormat="false" ht="15" hidden="false" customHeight="false" outlineLevel="0" collapsed="false">
      <c r="A147" s="18" t="n">
        <v>2015</v>
      </c>
      <c r="B147" s="18" t="s">
        <v>24</v>
      </c>
      <c r="C147" s="18" t="s">
        <v>52</v>
      </c>
      <c r="D147" s="19" t="n">
        <v>2104</v>
      </c>
      <c r="E147" s="20"/>
      <c r="F147" s="19" t="n">
        <v>68.91</v>
      </c>
      <c r="G147" s="20"/>
      <c r="H147" s="20"/>
      <c r="I147" s="20" t="n">
        <v>800000</v>
      </c>
      <c r="J147" s="21" t="n">
        <v>7.63</v>
      </c>
      <c r="K147" s="18" t="s">
        <v>56</v>
      </c>
      <c r="L147" s="21"/>
      <c r="M147" s="21"/>
      <c r="N147" s="21"/>
      <c r="O147" s="18" t="n">
        <v>86.1375</v>
      </c>
      <c r="P147" s="19" t="n">
        <v>800000</v>
      </c>
      <c r="Q147" s="18" t="s">
        <v>47</v>
      </c>
      <c r="R147" s="18" t="s">
        <v>48</v>
      </c>
    </row>
    <row r="148" customFormat="false" ht="15" hidden="false" customHeight="false" outlineLevel="0" collapsed="false">
      <c r="A148" s="14" t="n">
        <v>2016</v>
      </c>
      <c r="B148" s="14" t="s">
        <v>24</v>
      </c>
      <c r="C148" s="14" t="s">
        <v>52</v>
      </c>
      <c r="D148" s="15" t="n">
        <v>2295</v>
      </c>
      <c r="E148" s="16"/>
      <c r="F148" s="15" t="n">
        <v>62.74</v>
      </c>
      <c r="G148" s="16"/>
      <c r="H148" s="16"/>
      <c r="I148" s="16"/>
      <c r="J148" s="17" t="n">
        <v>7.61</v>
      </c>
      <c r="K148" s="14" t="s">
        <v>56</v>
      </c>
      <c r="L148" s="17"/>
      <c r="M148" s="17"/>
      <c r="N148" s="17"/>
      <c r="O148" s="14"/>
      <c r="P148" s="15" t="n">
        <v>800000</v>
      </c>
      <c r="Q148" s="14" t="s">
        <v>47</v>
      </c>
      <c r="R148" s="14" t="s">
        <v>48</v>
      </c>
    </row>
    <row r="149" customFormat="false" ht="15" hidden="false" customHeight="false" outlineLevel="0" collapsed="false">
      <c r="A149" s="18" t="n">
        <v>2017</v>
      </c>
      <c r="B149" s="18" t="s">
        <v>24</v>
      </c>
      <c r="C149" s="18" t="s">
        <v>52</v>
      </c>
      <c r="D149" s="19" t="n">
        <v>2651</v>
      </c>
      <c r="E149" s="20"/>
      <c r="F149" s="19" t="n">
        <v>68.97</v>
      </c>
      <c r="G149" s="20"/>
      <c r="H149" s="20"/>
      <c r="I149" s="20"/>
      <c r="J149" s="21" t="n">
        <v>7.63</v>
      </c>
      <c r="K149" s="18" t="s">
        <v>56</v>
      </c>
      <c r="L149" s="21"/>
      <c r="M149" s="21"/>
      <c r="N149" s="21"/>
      <c r="O149" s="18"/>
      <c r="P149" s="19" t="n">
        <v>800000</v>
      </c>
      <c r="Q149" s="18" t="s">
        <v>47</v>
      </c>
      <c r="R149" s="18" t="s">
        <v>48</v>
      </c>
    </row>
    <row r="150" customFormat="false" ht="15" hidden="false" customHeight="false" outlineLevel="0" collapsed="false">
      <c r="A150" s="14" t="n">
        <v>2018</v>
      </c>
      <c r="B150" s="14" t="s">
        <v>24</v>
      </c>
      <c r="C150" s="14" t="s">
        <v>52</v>
      </c>
      <c r="D150" s="15" t="n">
        <v>2703</v>
      </c>
      <c r="E150" s="16"/>
      <c r="F150" s="15" t="n">
        <v>78.79</v>
      </c>
      <c r="G150" s="16"/>
      <c r="H150" s="16"/>
      <c r="I150" s="16"/>
      <c r="J150" s="17" t="n">
        <v>7.65</v>
      </c>
      <c r="K150" s="14" t="s">
        <v>56</v>
      </c>
      <c r="L150" s="17"/>
      <c r="M150" s="17"/>
      <c r="N150" s="17"/>
      <c r="O150" s="14"/>
      <c r="P150" s="15"/>
      <c r="Q150" s="14" t="s">
        <v>47</v>
      </c>
      <c r="R150" s="14" t="s">
        <v>48</v>
      </c>
    </row>
    <row r="151" customFormat="false" ht="15" hidden="false" customHeight="false" outlineLevel="0" collapsed="false">
      <c r="A151" s="18" t="n">
        <v>2019</v>
      </c>
      <c r="B151" s="18" t="s">
        <v>24</v>
      </c>
      <c r="C151" s="18" t="s">
        <v>52</v>
      </c>
      <c r="D151" s="19" t="n">
        <v>2836</v>
      </c>
      <c r="E151" s="20"/>
      <c r="F151" s="19" t="n">
        <v>83.33</v>
      </c>
      <c r="G151" s="20"/>
      <c r="H151" s="20" t="n">
        <v>57087</v>
      </c>
      <c r="I151" s="20"/>
      <c r="J151" s="21" t="n">
        <v>6.51</v>
      </c>
      <c r="K151" s="18" t="s">
        <v>56</v>
      </c>
      <c r="L151" s="21"/>
      <c r="M151" s="21"/>
      <c r="N151" s="21"/>
      <c r="O151" s="18"/>
      <c r="P151" s="19"/>
      <c r="Q151" s="18" t="s">
        <v>47</v>
      </c>
      <c r="R151" s="18" t="s">
        <v>48</v>
      </c>
    </row>
    <row r="152" customFormat="false" ht="15" hidden="false" customHeight="false" outlineLevel="0" collapsed="false">
      <c r="A152" s="14" t="n">
        <v>2020</v>
      </c>
      <c r="B152" s="14" t="s">
        <v>24</v>
      </c>
      <c r="C152" s="14" t="s">
        <v>52</v>
      </c>
      <c r="D152" s="15" t="n">
        <v>2675</v>
      </c>
      <c r="E152" s="16"/>
      <c r="F152" s="15" t="n">
        <v>83.15</v>
      </c>
      <c r="G152" s="16"/>
      <c r="H152" s="16" t="n">
        <v>31238</v>
      </c>
      <c r="I152" s="16" t="n">
        <v>890000</v>
      </c>
      <c r="J152" s="17" t="n">
        <v>7.86</v>
      </c>
      <c r="K152" s="14" t="s">
        <v>56</v>
      </c>
      <c r="L152" s="17"/>
      <c r="M152" s="17" t="n">
        <v>3.50988764044944</v>
      </c>
      <c r="N152" s="17"/>
      <c r="O152" s="14" t="n">
        <v>93.4269662921348</v>
      </c>
      <c r="P152" s="15" t="n">
        <v>890000</v>
      </c>
      <c r="Q152" s="14" t="s">
        <v>49</v>
      </c>
      <c r="R152" s="14" t="s">
        <v>48</v>
      </c>
    </row>
    <row r="153" customFormat="false" ht="15" hidden="false" customHeight="false" outlineLevel="0" collapsed="false">
      <c r="A153" s="18" t="n">
        <v>2021</v>
      </c>
      <c r="B153" s="18" t="s">
        <v>24</v>
      </c>
      <c r="C153" s="18" t="s">
        <v>52</v>
      </c>
      <c r="D153" s="19" t="n">
        <v>3167</v>
      </c>
      <c r="E153" s="20"/>
      <c r="F153" s="19" t="n">
        <v>89.38</v>
      </c>
      <c r="G153" s="20"/>
      <c r="H153" s="20" t="n">
        <v>64839</v>
      </c>
      <c r="I153" s="20"/>
      <c r="J153" s="21" t="n">
        <v>6.38</v>
      </c>
      <c r="K153" s="18" t="s">
        <v>56</v>
      </c>
      <c r="L153" s="21"/>
      <c r="M153" s="21"/>
      <c r="N153" s="21"/>
      <c r="O153" s="18"/>
      <c r="P153" s="19" t="n">
        <v>890000</v>
      </c>
      <c r="Q153" s="18" t="s">
        <v>47</v>
      </c>
      <c r="R153" s="18" t="s">
        <v>48</v>
      </c>
    </row>
    <row r="154" customFormat="false" ht="15" hidden="false" customHeight="false" outlineLevel="0" collapsed="false">
      <c r="A154" s="14" t="n">
        <v>2022</v>
      </c>
      <c r="B154" s="14" t="s">
        <v>24</v>
      </c>
      <c r="C154" s="14" t="s">
        <v>52</v>
      </c>
      <c r="D154" s="15" t="n">
        <v>3346</v>
      </c>
      <c r="E154" s="16"/>
      <c r="F154" s="15" t="n">
        <v>111.22</v>
      </c>
      <c r="G154" s="16"/>
      <c r="H154" s="16" t="n">
        <v>59944</v>
      </c>
      <c r="I154" s="16"/>
      <c r="J154" s="17" t="n">
        <v>4.82</v>
      </c>
      <c r="K154" s="14" t="s">
        <v>56</v>
      </c>
      <c r="L154" s="17"/>
      <c r="M154" s="17"/>
      <c r="N154" s="17"/>
      <c r="O154" s="14"/>
      <c r="P154" s="15" t="n">
        <v>890000</v>
      </c>
      <c r="Q154" s="14" t="s">
        <v>47</v>
      </c>
      <c r="R154" s="14" t="s">
        <v>50</v>
      </c>
    </row>
    <row r="155" customFormat="false" ht="15" hidden="false" customHeight="false" outlineLevel="0" collapsed="false">
      <c r="A155" s="18" t="n">
        <v>2023</v>
      </c>
      <c r="B155" s="18" t="s">
        <v>24</v>
      </c>
      <c r="C155" s="18" t="s">
        <v>52</v>
      </c>
      <c r="D155" s="19" t="n">
        <v>3638</v>
      </c>
      <c r="E155" s="20"/>
      <c r="F155" s="19" t="n">
        <v>119.53</v>
      </c>
      <c r="G155" s="20" t="n">
        <v>159371</v>
      </c>
      <c r="H155" s="20" t="n">
        <v>162655</v>
      </c>
      <c r="I155" s="20"/>
      <c r="J155" s="21" t="n">
        <v>4.17</v>
      </c>
      <c r="K155" s="18" t="s">
        <v>56</v>
      </c>
      <c r="L155" s="21"/>
      <c r="M155" s="21"/>
      <c r="N155" s="21"/>
      <c r="O155" s="18"/>
      <c r="P155" s="19"/>
      <c r="Q155" s="18" t="s">
        <v>47</v>
      </c>
      <c r="R155" s="18" t="s">
        <v>50</v>
      </c>
    </row>
    <row r="156" customFormat="false" ht="15" hidden="false" customHeight="false" outlineLevel="0" collapsed="false">
      <c r="A156" s="14" t="n">
        <v>2024</v>
      </c>
      <c r="B156" s="14" t="s">
        <v>24</v>
      </c>
      <c r="C156" s="14" t="s">
        <v>52</v>
      </c>
      <c r="D156" s="15" t="n">
        <v>3910</v>
      </c>
      <c r="E156" s="16"/>
      <c r="F156" s="15" t="n">
        <v>137.67</v>
      </c>
      <c r="G156" s="16" t="n">
        <v>92355</v>
      </c>
      <c r="H156" s="16" t="n">
        <v>81463</v>
      </c>
      <c r="I156" s="16" t="n">
        <v>970000</v>
      </c>
      <c r="J156" s="17" t="n">
        <v>4.17</v>
      </c>
      <c r="K156" s="14" t="s">
        <v>56</v>
      </c>
      <c r="L156" s="17"/>
      <c r="M156" s="17" t="n">
        <v>8.39824742268041</v>
      </c>
      <c r="N156" s="17" t="n">
        <v>9.52113402061856</v>
      </c>
      <c r="O156" s="14" t="n">
        <v>141.927835051546</v>
      </c>
      <c r="P156" s="15" t="n">
        <v>970000</v>
      </c>
      <c r="Q156" s="14" t="s">
        <v>49</v>
      </c>
      <c r="R156" s="14" t="s">
        <v>50</v>
      </c>
    </row>
    <row r="157" customFormat="false" ht="15" hidden="false" customHeight="false" outlineLevel="0" collapsed="false">
      <c r="A157" s="18" t="n">
        <v>2025</v>
      </c>
      <c r="B157" s="18" t="s">
        <v>24</v>
      </c>
      <c r="C157" s="18" t="s">
        <v>52</v>
      </c>
      <c r="D157" s="19"/>
      <c r="E157" s="20"/>
      <c r="F157" s="19"/>
      <c r="G157" s="20"/>
      <c r="H157" s="20"/>
      <c r="I157" s="20"/>
      <c r="J157" s="21" t="n">
        <v>4.22</v>
      </c>
      <c r="K157" s="18" t="s">
        <v>56</v>
      </c>
      <c r="L157" s="21"/>
      <c r="M157" s="21"/>
      <c r="N157" s="21"/>
      <c r="O157" s="18"/>
      <c r="P157" s="19" t="n">
        <v>970000</v>
      </c>
      <c r="Q157" s="18" t="s">
        <v>47</v>
      </c>
      <c r="R157" s="18" t="s">
        <v>50</v>
      </c>
    </row>
    <row r="158" customFormat="false" ht="15" hidden="false" customHeight="false" outlineLevel="0" collapsed="false">
      <c r="A158" s="14" t="n">
        <v>2000</v>
      </c>
      <c r="B158" s="14" t="s">
        <v>25</v>
      </c>
      <c r="C158" s="14" t="s">
        <v>51</v>
      </c>
      <c r="D158" s="15" t="n">
        <v>468.4</v>
      </c>
      <c r="E158" s="16"/>
      <c r="F158" s="15" t="n">
        <v>12.88</v>
      </c>
      <c r="G158" s="16"/>
      <c r="H158" s="16"/>
      <c r="I158" s="16" t="n">
        <v>1005000</v>
      </c>
      <c r="J158" s="17" t="n">
        <v>7.62</v>
      </c>
      <c r="K158" s="14" t="s">
        <v>57</v>
      </c>
      <c r="L158" s="17"/>
      <c r="M158" s="17"/>
      <c r="N158" s="17"/>
      <c r="O158" s="14" t="n">
        <v>12.81592039801</v>
      </c>
      <c r="P158" s="15" t="n">
        <v>1005000</v>
      </c>
      <c r="Q158" s="14" t="s">
        <v>47</v>
      </c>
      <c r="R158" s="14" t="s">
        <v>48</v>
      </c>
    </row>
    <row r="159" customFormat="false" ht="15" hidden="false" customHeight="false" outlineLevel="0" collapsed="false">
      <c r="A159" s="18" t="n">
        <v>2001</v>
      </c>
      <c r="B159" s="18" t="s">
        <v>25</v>
      </c>
      <c r="C159" s="18" t="s">
        <v>51</v>
      </c>
      <c r="D159" s="19" t="n">
        <v>485.44</v>
      </c>
      <c r="E159" s="20"/>
      <c r="F159" s="19" t="n">
        <v>14.27</v>
      </c>
      <c r="G159" s="20"/>
      <c r="H159" s="20"/>
      <c r="I159" s="20"/>
      <c r="J159" s="21" t="n">
        <v>7.61</v>
      </c>
      <c r="K159" s="18" t="s">
        <v>57</v>
      </c>
      <c r="L159" s="21"/>
      <c r="M159" s="21"/>
      <c r="N159" s="21"/>
      <c r="O159" s="18"/>
      <c r="P159" s="19" t="n">
        <v>1005000</v>
      </c>
      <c r="Q159" s="18" t="s">
        <v>47</v>
      </c>
      <c r="R159" s="18" t="s">
        <v>48</v>
      </c>
    </row>
    <row r="160" customFormat="false" ht="15" hidden="false" customHeight="false" outlineLevel="0" collapsed="false">
      <c r="A160" s="14" t="n">
        <v>2002</v>
      </c>
      <c r="B160" s="14" t="s">
        <v>25</v>
      </c>
      <c r="C160" s="14" t="s">
        <v>51</v>
      </c>
      <c r="D160" s="15" t="n">
        <v>514.94</v>
      </c>
      <c r="E160" s="16"/>
      <c r="F160" s="15" t="n">
        <v>15.74</v>
      </c>
      <c r="G160" s="16"/>
      <c r="H160" s="16"/>
      <c r="I160" s="16"/>
      <c r="J160" s="17" t="n">
        <v>7.68</v>
      </c>
      <c r="K160" s="14" t="s">
        <v>57</v>
      </c>
      <c r="L160" s="17"/>
      <c r="M160" s="17"/>
      <c r="N160" s="17"/>
      <c r="O160" s="14"/>
      <c r="P160" s="15" t="n">
        <v>1005000</v>
      </c>
      <c r="Q160" s="14" t="s">
        <v>47</v>
      </c>
      <c r="R160" s="14" t="s">
        <v>48</v>
      </c>
    </row>
    <row r="161" customFormat="false" ht="15" hidden="false" customHeight="false" outlineLevel="0" collapsed="false">
      <c r="A161" s="18" t="n">
        <v>2003</v>
      </c>
      <c r="B161" s="18" t="s">
        <v>25</v>
      </c>
      <c r="C161" s="18" t="s">
        <v>51</v>
      </c>
      <c r="D161" s="19" t="n">
        <v>607.7</v>
      </c>
      <c r="E161" s="20"/>
      <c r="F161" s="19" t="n">
        <v>21</v>
      </c>
      <c r="G161" s="20"/>
      <c r="H161" s="20"/>
      <c r="I161" s="20"/>
      <c r="J161" s="21" t="n">
        <v>7.63</v>
      </c>
      <c r="K161" s="18" t="s">
        <v>57</v>
      </c>
      <c r="L161" s="21"/>
      <c r="M161" s="21"/>
      <c r="N161" s="21"/>
      <c r="O161" s="18"/>
      <c r="P161" s="19"/>
      <c r="Q161" s="18" t="s">
        <v>47</v>
      </c>
      <c r="R161" s="18" t="s">
        <v>48</v>
      </c>
    </row>
    <row r="162" customFormat="false" ht="15" hidden="false" customHeight="false" outlineLevel="0" collapsed="false">
      <c r="A162" s="14" t="n">
        <v>2004</v>
      </c>
      <c r="B162" s="14" t="s">
        <v>25</v>
      </c>
      <c r="C162" s="14" t="s">
        <v>51</v>
      </c>
      <c r="D162" s="15" t="n">
        <v>709.15</v>
      </c>
      <c r="E162" s="16"/>
      <c r="F162" s="15" t="n">
        <v>18.75</v>
      </c>
      <c r="G162" s="16"/>
      <c r="H162" s="16"/>
      <c r="I162" s="16"/>
      <c r="J162" s="17" t="n">
        <v>7.6</v>
      </c>
      <c r="K162" s="14" t="s">
        <v>57</v>
      </c>
      <c r="L162" s="17"/>
      <c r="M162" s="17"/>
      <c r="N162" s="17"/>
      <c r="O162" s="14"/>
      <c r="P162" s="15"/>
      <c r="Q162" s="14" t="s">
        <v>47</v>
      </c>
      <c r="R162" s="14" t="s">
        <v>48</v>
      </c>
    </row>
    <row r="163" customFormat="false" ht="15" hidden="false" customHeight="false" outlineLevel="0" collapsed="false">
      <c r="A163" s="18" t="n">
        <v>2005</v>
      </c>
      <c r="B163" s="18" t="s">
        <v>25</v>
      </c>
      <c r="C163" s="18" t="s">
        <v>51</v>
      </c>
      <c r="D163" s="19" t="n">
        <v>820.38</v>
      </c>
      <c r="E163" s="20"/>
      <c r="F163" s="19" t="n">
        <v>22.13</v>
      </c>
      <c r="G163" s="20"/>
      <c r="H163" s="20"/>
      <c r="I163" s="20" t="n">
        <v>1390000</v>
      </c>
      <c r="J163" s="21" t="n">
        <v>7.55</v>
      </c>
      <c r="K163" s="18" t="s">
        <v>57</v>
      </c>
      <c r="L163" s="21"/>
      <c r="M163" s="21"/>
      <c r="N163" s="21"/>
      <c r="O163" s="18" t="n">
        <v>15.9208633093525</v>
      </c>
      <c r="P163" s="19" t="n">
        <v>1390000</v>
      </c>
      <c r="Q163" s="18" t="s">
        <v>47</v>
      </c>
      <c r="R163" s="18" t="s">
        <v>48</v>
      </c>
    </row>
    <row r="164" customFormat="false" ht="15" hidden="false" customHeight="false" outlineLevel="0" collapsed="false">
      <c r="A164" s="14" t="n">
        <v>2006</v>
      </c>
      <c r="B164" s="14" t="s">
        <v>25</v>
      </c>
      <c r="C164" s="14" t="s">
        <v>51</v>
      </c>
      <c r="D164" s="15" t="n">
        <v>940.26</v>
      </c>
      <c r="E164" s="16"/>
      <c r="F164" s="15" t="n">
        <v>28.33</v>
      </c>
      <c r="G164" s="16"/>
      <c r="H164" s="16"/>
      <c r="I164" s="16"/>
      <c r="J164" s="17" t="n">
        <v>7.55</v>
      </c>
      <c r="K164" s="14" t="s">
        <v>57</v>
      </c>
      <c r="L164" s="17"/>
      <c r="M164" s="17"/>
      <c r="N164" s="17"/>
      <c r="O164" s="14"/>
      <c r="P164" s="15" t="n">
        <v>1390000</v>
      </c>
      <c r="Q164" s="14" t="s">
        <v>47</v>
      </c>
      <c r="R164" s="14" t="s">
        <v>48</v>
      </c>
    </row>
    <row r="165" customFormat="false" ht="15" hidden="false" customHeight="false" outlineLevel="0" collapsed="false">
      <c r="A165" s="18" t="n">
        <v>2007</v>
      </c>
      <c r="B165" s="18" t="s">
        <v>25</v>
      </c>
      <c r="C165" s="18" t="s">
        <v>51</v>
      </c>
      <c r="D165" s="19" t="n">
        <v>1217</v>
      </c>
      <c r="E165" s="20"/>
      <c r="F165" s="19" t="n">
        <v>37.22</v>
      </c>
      <c r="G165" s="20"/>
      <c r="H165" s="20"/>
      <c r="I165" s="20"/>
      <c r="J165" s="21" t="n">
        <v>7.56</v>
      </c>
      <c r="K165" s="18" t="s">
        <v>57</v>
      </c>
      <c r="L165" s="21"/>
      <c r="M165" s="21"/>
      <c r="N165" s="21"/>
      <c r="O165" s="18"/>
      <c r="P165" s="19" t="n">
        <v>1390000</v>
      </c>
      <c r="Q165" s="18" t="s">
        <v>47</v>
      </c>
      <c r="R165" s="18" t="s">
        <v>48</v>
      </c>
    </row>
    <row r="166" customFormat="false" ht="15" hidden="false" customHeight="false" outlineLevel="0" collapsed="false">
      <c r="A166" s="14" t="n">
        <v>2008</v>
      </c>
      <c r="B166" s="14" t="s">
        <v>25</v>
      </c>
      <c r="C166" s="14" t="s">
        <v>51</v>
      </c>
      <c r="D166" s="15" t="n">
        <v>1199</v>
      </c>
      <c r="E166" s="16"/>
      <c r="F166" s="15" t="n">
        <v>49.98</v>
      </c>
      <c r="G166" s="16"/>
      <c r="H166" s="16"/>
      <c r="I166" s="16"/>
      <c r="J166" s="17" t="n">
        <v>7.63</v>
      </c>
      <c r="K166" s="14" t="s">
        <v>57</v>
      </c>
      <c r="L166" s="17"/>
      <c r="M166" s="17"/>
      <c r="N166" s="17"/>
      <c r="O166" s="14"/>
      <c r="P166" s="15"/>
      <c r="Q166" s="14" t="s">
        <v>47</v>
      </c>
      <c r="R166" s="14" t="s">
        <v>48</v>
      </c>
    </row>
    <row r="167" customFormat="false" ht="15" hidden="false" customHeight="false" outlineLevel="0" collapsed="false">
      <c r="A167" s="18" t="n">
        <v>2009</v>
      </c>
      <c r="B167" s="18" t="s">
        <v>25</v>
      </c>
      <c r="C167" s="18" t="s">
        <v>51</v>
      </c>
      <c r="D167" s="19" t="n">
        <v>1342</v>
      </c>
      <c r="E167" s="20"/>
      <c r="F167" s="19" t="n">
        <v>49.2</v>
      </c>
      <c r="G167" s="20"/>
      <c r="H167" s="20"/>
      <c r="I167" s="20"/>
      <c r="J167" s="21" t="n">
        <v>7.64</v>
      </c>
      <c r="K167" s="18" t="s">
        <v>57</v>
      </c>
      <c r="L167" s="21"/>
      <c r="M167" s="21"/>
      <c r="N167" s="21"/>
      <c r="O167" s="18"/>
      <c r="P167" s="19"/>
      <c r="Q167" s="18" t="s">
        <v>47</v>
      </c>
      <c r="R167" s="18" t="s">
        <v>48</v>
      </c>
    </row>
    <row r="168" customFormat="false" ht="15" hidden="false" customHeight="false" outlineLevel="0" collapsed="false">
      <c r="A168" s="14" t="n">
        <v>2010</v>
      </c>
      <c r="B168" s="14" t="s">
        <v>25</v>
      </c>
      <c r="C168" s="14" t="s">
        <v>51</v>
      </c>
      <c r="D168" s="15" t="n">
        <v>1676</v>
      </c>
      <c r="E168" s="16"/>
      <c r="F168" s="15" t="n">
        <v>53.48</v>
      </c>
      <c r="G168" s="16"/>
      <c r="H168" s="16"/>
      <c r="I168" s="16" t="n">
        <v>2060000</v>
      </c>
      <c r="J168" s="17" t="n">
        <v>7.63</v>
      </c>
      <c r="K168" s="14" t="s">
        <v>57</v>
      </c>
      <c r="L168" s="17"/>
      <c r="M168" s="17"/>
      <c r="N168" s="17"/>
      <c r="O168" s="14" t="n">
        <v>25.9611650485437</v>
      </c>
      <c r="P168" s="15" t="n">
        <v>2060000</v>
      </c>
      <c r="Q168" s="14" t="s">
        <v>47</v>
      </c>
      <c r="R168" s="14" t="s">
        <v>48</v>
      </c>
    </row>
    <row r="169" customFormat="false" ht="15" hidden="false" customHeight="false" outlineLevel="0" collapsed="false">
      <c r="A169" s="18" t="n">
        <v>2011</v>
      </c>
      <c r="B169" s="18" t="s">
        <v>25</v>
      </c>
      <c r="C169" s="18" t="s">
        <v>51</v>
      </c>
      <c r="D169" s="19" t="n">
        <v>1823</v>
      </c>
      <c r="E169" s="20"/>
      <c r="F169" s="19" t="n">
        <v>62.5</v>
      </c>
      <c r="G169" s="20"/>
      <c r="H169" s="20"/>
      <c r="I169" s="20"/>
      <c r="J169" s="21" t="n">
        <v>7.61</v>
      </c>
      <c r="K169" s="18" t="s">
        <v>57</v>
      </c>
      <c r="L169" s="21"/>
      <c r="M169" s="21"/>
      <c r="N169" s="21"/>
      <c r="O169" s="18"/>
      <c r="P169" s="19" t="n">
        <v>2060000</v>
      </c>
      <c r="Q169" s="18" t="s">
        <v>47</v>
      </c>
      <c r="R169" s="18" t="s">
        <v>48</v>
      </c>
    </row>
    <row r="170" customFormat="false" ht="15" hidden="false" customHeight="false" outlineLevel="0" collapsed="false">
      <c r="A170" s="14" t="n">
        <v>2012</v>
      </c>
      <c r="B170" s="14" t="s">
        <v>25</v>
      </c>
      <c r="C170" s="14" t="s">
        <v>51</v>
      </c>
      <c r="D170" s="15" t="n">
        <v>1828</v>
      </c>
      <c r="E170" s="16"/>
      <c r="F170" s="15" t="n">
        <v>68.82</v>
      </c>
      <c r="G170" s="16"/>
      <c r="H170" s="16"/>
      <c r="I170" s="16"/>
      <c r="J170" s="17" t="n">
        <v>7.64</v>
      </c>
      <c r="K170" s="14" t="s">
        <v>57</v>
      </c>
      <c r="L170" s="17"/>
      <c r="M170" s="17"/>
      <c r="N170" s="17"/>
      <c r="O170" s="14"/>
      <c r="P170" s="15" t="n">
        <v>2060000</v>
      </c>
      <c r="Q170" s="14" t="s">
        <v>47</v>
      </c>
      <c r="R170" s="14" t="s">
        <v>48</v>
      </c>
    </row>
    <row r="171" customFormat="false" ht="15" hidden="false" customHeight="false" outlineLevel="0" collapsed="false">
      <c r="A171" s="18" t="n">
        <v>2013</v>
      </c>
      <c r="B171" s="18" t="s">
        <v>25</v>
      </c>
      <c r="C171" s="18" t="s">
        <v>51</v>
      </c>
      <c r="D171" s="19" t="n">
        <v>1857</v>
      </c>
      <c r="E171" s="20"/>
      <c r="F171" s="19" t="n">
        <v>69.97</v>
      </c>
      <c r="G171" s="20"/>
      <c r="H171" s="20"/>
      <c r="I171" s="20"/>
      <c r="J171" s="21" t="n">
        <v>7.68</v>
      </c>
      <c r="K171" s="18" t="s">
        <v>57</v>
      </c>
      <c r="L171" s="21"/>
      <c r="M171" s="21"/>
      <c r="N171" s="21"/>
      <c r="O171" s="18"/>
      <c r="P171" s="19"/>
      <c r="Q171" s="18" t="s">
        <v>47</v>
      </c>
      <c r="R171" s="18" t="s">
        <v>48</v>
      </c>
    </row>
    <row r="172" customFormat="false" ht="15" hidden="false" customHeight="false" outlineLevel="0" collapsed="false">
      <c r="A172" s="14" t="n">
        <v>2014</v>
      </c>
      <c r="B172" s="14" t="s">
        <v>25</v>
      </c>
      <c r="C172" s="14" t="s">
        <v>51</v>
      </c>
      <c r="D172" s="15" t="n">
        <v>2039</v>
      </c>
      <c r="E172" s="16"/>
      <c r="F172" s="15" t="n">
        <v>70.39</v>
      </c>
      <c r="G172" s="16"/>
      <c r="H172" s="16"/>
      <c r="I172" s="16"/>
      <c r="J172" s="17" t="n">
        <v>7.66</v>
      </c>
      <c r="K172" s="14" t="s">
        <v>57</v>
      </c>
      <c r="L172" s="17"/>
      <c r="M172" s="17"/>
      <c r="N172" s="17"/>
      <c r="O172" s="14"/>
      <c r="P172" s="15"/>
      <c r="Q172" s="14" t="s">
        <v>47</v>
      </c>
      <c r="R172" s="14" t="s">
        <v>48</v>
      </c>
    </row>
    <row r="173" customFormat="false" ht="15" hidden="false" customHeight="false" outlineLevel="0" collapsed="false">
      <c r="A173" s="18" t="n">
        <v>2015</v>
      </c>
      <c r="B173" s="18" t="s">
        <v>25</v>
      </c>
      <c r="C173" s="18" t="s">
        <v>51</v>
      </c>
      <c r="D173" s="19" t="n">
        <v>2104</v>
      </c>
      <c r="E173" s="20"/>
      <c r="F173" s="19" t="n">
        <v>68.91</v>
      </c>
      <c r="G173" s="20" t="n">
        <v>165918</v>
      </c>
      <c r="H173" s="20"/>
      <c r="I173" s="20" t="n">
        <v>2400000</v>
      </c>
      <c r="J173" s="21" t="n">
        <v>7.63</v>
      </c>
      <c r="K173" s="18" t="s">
        <v>57</v>
      </c>
      <c r="L173" s="21"/>
      <c r="M173" s="21"/>
      <c r="N173" s="21" t="n">
        <v>6.91325</v>
      </c>
      <c r="O173" s="18" t="n">
        <v>28.7125</v>
      </c>
      <c r="P173" s="19" t="n">
        <v>2400000</v>
      </c>
      <c r="Q173" s="18" t="s">
        <v>47</v>
      </c>
      <c r="R173" s="18" t="s">
        <v>48</v>
      </c>
    </row>
    <row r="174" customFormat="false" ht="15" hidden="false" customHeight="false" outlineLevel="0" collapsed="false">
      <c r="A174" s="14" t="n">
        <v>2016</v>
      </c>
      <c r="B174" s="14" t="s">
        <v>25</v>
      </c>
      <c r="C174" s="14" t="s">
        <v>51</v>
      </c>
      <c r="D174" s="15" t="n">
        <v>2295</v>
      </c>
      <c r="E174" s="16"/>
      <c r="F174" s="15" t="n">
        <v>62.74</v>
      </c>
      <c r="G174" s="16" t="n">
        <v>186267</v>
      </c>
      <c r="H174" s="16"/>
      <c r="I174" s="16"/>
      <c r="J174" s="17" t="n">
        <v>7.61</v>
      </c>
      <c r="K174" s="14" t="s">
        <v>57</v>
      </c>
      <c r="L174" s="17"/>
      <c r="M174" s="17"/>
      <c r="N174" s="17"/>
      <c r="O174" s="14"/>
      <c r="P174" s="15" t="n">
        <v>2400000</v>
      </c>
      <c r="Q174" s="14" t="s">
        <v>47</v>
      </c>
      <c r="R174" s="14" t="s">
        <v>48</v>
      </c>
    </row>
    <row r="175" customFormat="false" ht="15" hidden="false" customHeight="false" outlineLevel="0" collapsed="false">
      <c r="A175" s="18" t="n">
        <v>2017</v>
      </c>
      <c r="B175" s="18" t="s">
        <v>25</v>
      </c>
      <c r="C175" s="18" t="s">
        <v>51</v>
      </c>
      <c r="D175" s="19" t="n">
        <v>2651</v>
      </c>
      <c r="E175" s="20"/>
      <c r="F175" s="19" t="n">
        <v>68.97</v>
      </c>
      <c r="G175" s="20" t="n">
        <v>196271</v>
      </c>
      <c r="H175" s="20"/>
      <c r="I175" s="20"/>
      <c r="J175" s="21" t="n">
        <v>7.63</v>
      </c>
      <c r="K175" s="18" t="s">
        <v>57</v>
      </c>
      <c r="L175" s="21"/>
      <c r="M175" s="21"/>
      <c r="N175" s="21"/>
      <c r="O175" s="18"/>
      <c r="P175" s="19" t="n">
        <v>2400000</v>
      </c>
      <c r="Q175" s="18" t="s">
        <v>47</v>
      </c>
      <c r="R175" s="18" t="s">
        <v>48</v>
      </c>
    </row>
    <row r="176" customFormat="false" ht="15" hidden="false" customHeight="false" outlineLevel="0" collapsed="false">
      <c r="A176" s="14" t="n">
        <v>2018</v>
      </c>
      <c r="B176" s="14" t="s">
        <v>25</v>
      </c>
      <c r="C176" s="14" t="s">
        <v>51</v>
      </c>
      <c r="D176" s="15" t="n">
        <v>2703</v>
      </c>
      <c r="E176" s="16"/>
      <c r="F176" s="15" t="n">
        <v>78.79</v>
      </c>
      <c r="G176" s="16" t="n">
        <v>202014</v>
      </c>
      <c r="H176" s="16"/>
      <c r="I176" s="16"/>
      <c r="J176" s="17" t="n">
        <v>7.65</v>
      </c>
      <c r="K176" s="14" t="s">
        <v>57</v>
      </c>
      <c r="L176" s="17"/>
      <c r="M176" s="17"/>
      <c r="N176" s="17"/>
      <c r="O176" s="14"/>
      <c r="P176" s="15"/>
      <c r="Q176" s="14" t="s">
        <v>47</v>
      </c>
      <c r="R176" s="14" t="s">
        <v>48</v>
      </c>
    </row>
    <row r="177" customFormat="false" ht="15" hidden="false" customHeight="false" outlineLevel="0" collapsed="false">
      <c r="A177" s="18" t="n">
        <v>2019</v>
      </c>
      <c r="B177" s="18" t="s">
        <v>25</v>
      </c>
      <c r="C177" s="18" t="s">
        <v>51</v>
      </c>
      <c r="D177" s="19" t="n">
        <v>2836</v>
      </c>
      <c r="E177" s="20"/>
      <c r="F177" s="19" t="n">
        <v>83.33</v>
      </c>
      <c r="G177" s="20" t="n">
        <v>193124</v>
      </c>
      <c r="H177" s="20"/>
      <c r="I177" s="20"/>
      <c r="J177" s="21" t="n">
        <v>6.51</v>
      </c>
      <c r="K177" s="18" t="s">
        <v>57</v>
      </c>
      <c r="L177" s="21"/>
      <c r="M177" s="21"/>
      <c r="N177" s="21"/>
      <c r="O177" s="18"/>
      <c r="P177" s="19"/>
      <c r="Q177" s="18" t="s">
        <v>47</v>
      </c>
      <c r="R177" s="18" t="s">
        <v>48</v>
      </c>
    </row>
    <row r="178" customFormat="false" ht="15" hidden="false" customHeight="false" outlineLevel="0" collapsed="false">
      <c r="A178" s="14" t="n">
        <v>2020</v>
      </c>
      <c r="B178" s="14" t="s">
        <v>25</v>
      </c>
      <c r="C178" s="14" t="s">
        <v>51</v>
      </c>
      <c r="D178" s="15" t="n">
        <v>2675</v>
      </c>
      <c r="E178" s="16"/>
      <c r="F178" s="15" t="n">
        <v>83.15</v>
      </c>
      <c r="G178" s="16" t="n">
        <v>167582</v>
      </c>
      <c r="H178" s="16"/>
      <c r="I178" s="16" t="n">
        <v>2700000</v>
      </c>
      <c r="J178" s="17" t="n">
        <v>7.86</v>
      </c>
      <c r="K178" s="14" t="s">
        <v>57</v>
      </c>
      <c r="L178" s="17"/>
      <c r="M178" s="17"/>
      <c r="N178" s="17" t="n">
        <v>6.20674074074074</v>
      </c>
      <c r="O178" s="14" t="n">
        <v>30.7962962962963</v>
      </c>
      <c r="P178" s="15" t="n">
        <v>2700000</v>
      </c>
      <c r="Q178" s="14" t="s">
        <v>49</v>
      </c>
      <c r="R178" s="14" t="s">
        <v>48</v>
      </c>
    </row>
    <row r="179" customFormat="false" ht="15" hidden="false" customHeight="false" outlineLevel="0" collapsed="false">
      <c r="A179" s="18" t="n">
        <v>2021</v>
      </c>
      <c r="B179" s="18" t="s">
        <v>25</v>
      </c>
      <c r="C179" s="18" t="s">
        <v>51</v>
      </c>
      <c r="D179" s="19" t="n">
        <v>3167</v>
      </c>
      <c r="E179" s="20"/>
      <c r="F179" s="19" t="n">
        <v>89.38</v>
      </c>
      <c r="G179" s="20" t="n">
        <v>199182</v>
      </c>
      <c r="H179" s="20"/>
      <c r="I179" s="20"/>
      <c r="J179" s="21" t="n">
        <v>6.38</v>
      </c>
      <c r="K179" s="18" t="s">
        <v>57</v>
      </c>
      <c r="L179" s="21"/>
      <c r="M179" s="21"/>
      <c r="N179" s="21"/>
      <c r="O179" s="18"/>
      <c r="P179" s="19" t="n">
        <v>2700000</v>
      </c>
      <c r="Q179" s="18" t="s">
        <v>47</v>
      </c>
      <c r="R179" s="18" t="s">
        <v>48</v>
      </c>
    </row>
    <row r="180" customFormat="false" ht="15" hidden="false" customHeight="false" outlineLevel="0" collapsed="false">
      <c r="A180" s="14" t="n">
        <v>2022</v>
      </c>
      <c r="B180" s="14" t="s">
        <v>25</v>
      </c>
      <c r="C180" s="14" t="s">
        <v>51</v>
      </c>
      <c r="D180" s="15" t="n">
        <v>3346</v>
      </c>
      <c r="E180" s="16"/>
      <c r="F180" s="15" t="n">
        <v>111.22</v>
      </c>
      <c r="G180" s="16" t="n">
        <v>268923</v>
      </c>
      <c r="H180" s="16"/>
      <c r="I180" s="16"/>
      <c r="J180" s="17" t="n">
        <v>4.82</v>
      </c>
      <c r="K180" s="14" t="s">
        <v>57</v>
      </c>
      <c r="L180" s="17"/>
      <c r="M180" s="17"/>
      <c r="N180" s="17"/>
      <c r="O180" s="14"/>
      <c r="P180" s="15" t="n">
        <v>2700000</v>
      </c>
      <c r="Q180" s="14" t="s">
        <v>47</v>
      </c>
      <c r="R180" s="14" t="s">
        <v>50</v>
      </c>
    </row>
    <row r="181" customFormat="false" ht="15" hidden="false" customHeight="false" outlineLevel="0" collapsed="false">
      <c r="A181" s="18" t="n">
        <v>2023</v>
      </c>
      <c r="B181" s="18" t="s">
        <v>25</v>
      </c>
      <c r="C181" s="18" t="s">
        <v>51</v>
      </c>
      <c r="D181" s="19" t="n">
        <v>3638</v>
      </c>
      <c r="E181" s="20"/>
      <c r="F181" s="19" t="n">
        <v>119.53</v>
      </c>
      <c r="G181" s="20" t="n">
        <v>331602</v>
      </c>
      <c r="H181" s="20"/>
      <c r="I181" s="20"/>
      <c r="J181" s="21" t="n">
        <v>4.17</v>
      </c>
      <c r="K181" s="18" t="s">
        <v>57</v>
      </c>
      <c r="L181" s="21"/>
      <c r="M181" s="21"/>
      <c r="N181" s="21"/>
      <c r="O181" s="18"/>
      <c r="P181" s="19"/>
      <c r="Q181" s="18" t="s">
        <v>47</v>
      </c>
      <c r="R181" s="18" t="s">
        <v>50</v>
      </c>
    </row>
    <row r="182" customFormat="false" ht="15" hidden="false" customHeight="false" outlineLevel="0" collapsed="false">
      <c r="A182" s="14" t="n">
        <v>2024</v>
      </c>
      <c r="B182" s="14" t="s">
        <v>25</v>
      </c>
      <c r="C182" s="14" t="s">
        <v>51</v>
      </c>
      <c r="D182" s="15" t="n">
        <v>3910</v>
      </c>
      <c r="E182" s="16"/>
      <c r="F182" s="15" t="n">
        <v>137.67</v>
      </c>
      <c r="G182" s="16"/>
      <c r="H182" s="16"/>
      <c r="I182" s="16" t="n">
        <v>3170000</v>
      </c>
      <c r="J182" s="17" t="n">
        <v>4.17</v>
      </c>
      <c r="K182" s="14" t="s">
        <v>57</v>
      </c>
      <c r="L182" s="17"/>
      <c r="M182" s="17"/>
      <c r="N182" s="17"/>
      <c r="O182" s="14" t="n">
        <v>43.4290220820189</v>
      </c>
      <c r="P182" s="15" t="n">
        <v>3170000</v>
      </c>
      <c r="Q182" s="14" t="s">
        <v>49</v>
      </c>
      <c r="R182" s="14" t="s">
        <v>50</v>
      </c>
    </row>
    <row r="183" customFormat="false" ht="15" hidden="false" customHeight="false" outlineLevel="0" collapsed="false">
      <c r="A183" s="18" t="n">
        <v>2025</v>
      </c>
      <c r="B183" s="18" t="s">
        <v>25</v>
      </c>
      <c r="C183" s="18" t="s">
        <v>51</v>
      </c>
      <c r="D183" s="19"/>
      <c r="E183" s="20"/>
      <c r="F183" s="19"/>
      <c r="G183" s="20"/>
      <c r="H183" s="20"/>
      <c r="I183" s="20"/>
      <c r="J183" s="21" t="n">
        <v>4.22</v>
      </c>
      <c r="K183" s="18" t="s">
        <v>57</v>
      </c>
      <c r="L183" s="21"/>
      <c r="M183" s="21"/>
      <c r="N183" s="21"/>
      <c r="O183" s="18"/>
      <c r="P183" s="19" t="n">
        <v>3170000</v>
      </c>
      <c r="Q183" s="18" t="s">
        <v>47</v>
      </c>
      <c r="R183" s="18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4"/>
    <col collapsed="false" customWidth="true" hidden="false" outlineLevel="0" max="5" min="3" style="0" width="38"/>
  </cols>
  <sheetData>
    <row r="2" customFormat="false" ht="22.05" hidden="false" customHeight="false" outlineLevel="0" collapsed="false">
      <c r="B2" s="22" t="s">
        <v>58</v>
      </c>
    </row>
    <row r="3" customFormat="false" ht="15" hidden="false" customHeight="false" outlineLevel="0" collapsed="false">
      <c r="B3" s="23" t="s">
        <v>59</v>
      </c>
    </row>
    <row r="5" customFormat="false" ht="15" hidden="false" customHeight="false" outlineLevel="0" collapsed="false">
      <c r="B5" s="24" t="s">
        <v>60</v>
      </c>
      <c r="C5" s="24" t="s">
        <v>61</v>
      </c>
      <c r="D5" s="24" t="s">
        <v>62</v>
      </c>
      <c r="E5" s="24" t="s">
        <v>63</v>
      </c>
    </row>
    <row r="6" customFormat="false" ht="60" hidden="false" customHeight="true" outlineLevel="0" collapsed="false">
      <c r="B6" s="25" t="s">
        <v>64</v>
      </c>
      <c r="C6" s="26" t="s">
        <v>65</v>
      </c>
      <c r="D6" s="26" t="s">
        <v>66</v>
      </c>
      <c r="E6" s="26" t="s">
        <v>67</v>
      </c>
    </row>
    <row r="7" customFormat="false" ht="60" hidden="false" customHeight="true" outlineLevel="0" collapsed="false">
      <c r="B7" s="27" t="s">
        <v>68</v>
      </c>
      <c r="C7" s="28" t="s">
        <v>69</v>
      </c>
      <c r="D7" s="28" t="s">
        <v>70</v>
      </c>
      <c r="E7" s="28" t="s">
        <v>71</v>
      </c>
    </row>
    <row r="8" customFormat="false" ht="60" hidden="false" customHeight="true" outlineLevel="0" collapsed="false">
      <c r="B8" s="25" t="s">
        <v>72</v>
      </c>
      <c r="C8" s="26" t="s">
        <v>73</v>
      </c>
      <c r="D8" s="26" t="s">
        <v>74</v>
      </c>
      <c r="E8" s="26" t="s">
        <v>75</v>
      </c>
    </row>
    <row r="9" customFormat="false" ht="60" hidden="false" customHeight="true" outlineLevel="0" collapsed="false">
      <c r="B9" s="27" t="s">
        <v>76</v>
      </c>
      <c r="C9" s="28" t="s">
        <v>77</v>
      </c>
      <c r="D9" s="28" t="s">
        <v>78</v>
      </c>
      <c r="E9" s="28" t="s">
        <v>79</v>
      </c>
    </row>
    <row r="10" customFormat="false" ht="60" hidden="false" customHeight="true" outlineLevel="0" collapsed="false">
      <c r="B10" s="25" t="s">
        <v>80</v>
      </c>
      <c r="C10" s="26" t="s">
        <v>81</v>
      </c>
      <c r="D10" s="26" t="s">
        <v>82</v>
      </c>
      <c r="E10" s="26" t="s">
        <v>83</v>
      </c>
    </row>
    <row r="11" customFormat="false" ht="60" hidden="false" customHeight="true" outlineLevel="0" collapsed="false">
      <c r="B11" s="27" t="s">
        <v>84</v>
      </c>
      <c r="C11" s="28" t="s">
        <v>85</v>
      </c>
      <c r="D11" s="28" t="s">
        <v>86</v>
      </c>
      <c r="E11" s="28" t="s">
        <v>87</v>
      </c>
    </row>
    <row r="12" customFormat="false" ht="60" hidden="false" customHeight="true" outlineLevel="0" collapsed="false">
      <c r="B12" s="25" t="s">
        <v>88</v>
      </c>
      <c r="C12" s="26" t="s">
        <v>89</v>
      </c>
      <c r="D12" s="26" t="s">
        <v>90</v>
      </c>
      <c r="E12" s="26" t="s">
        <v>91</v>
      </c>
    </row>
    <row r="13" customFormat="false" ht="60" hidden="false" customHeight="true" outlineLevel="0" collapsed="false">
      <c r="B13" s="27" t="s">
        <v>92</v>
      </c>
      <c r="C13" s="28" t="s">
        <v>93</v>
      </c>
      <c r="D13" s="28" t="s">
        <v>94</v>
      </c>
      <c r="E13" s="28" t="s">
        <v>95</v>
      </c>
    </row>
    <row r="14" customFormat="false" ht="60" hidden="false" customHeight="true" outlineLevel="0" collapsed="false">
      <c r="B14" s="25" t="s">
        <v>96</v>
      </c>
      <c r="C14" s="26" t="s">
        <v>97</v>
      </c>
      <c r="D14" s="26" t="s">
        <v>98</v>
      </c>
      <c r="E14" s="26" t="s">
        <v>99</v>
      </c>
    </row>
    <row r="15" customFormat="false" ht="60" hidden="false" customHeight="true" outlineLevel="0" collapsed="false">
      <c r="B15" s="27" t="s">
        <v>100</v>
      </c>
      <c r="C15" s="28" t="s">
        <v>101</v>
      </c>
      <c r="D15" s="28" t="s">
        <v>102</v>
      </c>
      <c r="E15" s="28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0"/>
    <col collapsed="false" customWidth="true" hidden="false" outlineLevel="0" max="8" min="3" style="0" width="14"/>
  </cols>
  <sheetData>
    <row r="2" customFormat="false" ht="22.05" hidden="false" customHeight="false" outlineLevel="0" collapsed="false">
      <c r="B2" s="22" t="s">
        <v>104</v>
      </c>
    </row>
    <row r="4" customFormat="false" ht="15" hidden="false" customHeight="false" outlineLevel="0" collapsed="false">
      <c r="B4" s="29" t="s">
        <v>105</v>
      </c>
    </row>
    <row r="5" customFormat="false" ht="18" hidden="false" customHeight="true" outlineLevel="0" collapsed="false">
      <c r="B5" s="30" t="s">
        <v>106</v>
      </c>
      <c r="C5" s="31" t="s">
        <v>107</v>
      </c>
      <c r="D5" s="31"/>
      <c r="E5" s="31"/>
      <c r="F5" s="31"/>
      <c r="G5" s="31"/>
      <c r="H5" s="31"/>
    </row>
    <row r="6" customFormat="false" ht="18" hidden="false" customHeight="true" outlineLevel="0" collapsed="false">
      <c r="B6" s="30" t="s">
        <v>108</v>
      </c>
      <c r="C6" s="31" t="s">
        <v>109</v>
      </c>
      <c r="D6" s="31"/>
      <c r="E6" s="31"/>
      <c r="F6" s="31"/>
      <c r="G6" s="31"/>
      <c r="H6" s="31"/>
    </row>
    <row r="7" customFormat="false" ht="18" hidden="false" customHeight="true" outlineLevel="0" collapsed="false">
      <c r="B7" s="30" t="s">
        <v>110</v>
      </c>
      <c r="C7" s="31" t="s">
        <v>111</v>
      </c>
      <c r="D7" s="31"/>
      <c r="E7" s="31"/>
      <c r="F7" s="31"/>
      <c r="G7" s="31"/>
      <c r="H7" s="31"/>
    </row>
    <row r="8" customFormat="false" ht="18" hidden="false" customHeight="true" outlineLevel="0" collapsed="false">
      <c r="B8" s="30" t="s">
        <v>112</v>
      </c>
      <c r="C8" s="31" t="s">
        <v>113</v>
      </c>
      <c r="D8" s="31"/>
      <c r="E8" s="31"/>
      <c r="F8" s="31"/>
      <c r="G8" s="31"/>
      <c r="H8" s="31"/>
    </row>
    <row r="9" customFormat="false" ht="18" hidden="false" customHeight="true" outlineLevel="0" collapsed="false">
      <c r="B9" s="30" t="s">
        <v>114</v>
      </c>
      <c r="C9" s="31" t="s">
        <v>115</v>
      </c>
      <c r="D9" s="31"/>
      <c r="E9" s="31"/>
      <c r="F9" s="31"/>
      <c r="G9" s="31"/>
      <c r="H9" s="31"/>
    </row>
    <row r="10" customFormat="false" ht="18" hidden="false" customHeight="true" outlineLevel="0" collapsed="false">
      <c r="B10" s="30" t="s">
        <v>116</v>
      </c>
      <c r="C10" s="31" t="s">
        <v>117</v>
      </c>
      <c r="D10" s="31"/>
      <c r="E10" s="31"/>
      <c r="F10" s="31"/>
      <c r="G10" s="31"/>
      <c r="H10" s="31"/>
    </row>
    <row r="11" customFormat="false" ht="18" hidden="false" customHeight="true" outlineLevel="0" collapsed="false">
      <c r="B11" s="30" t="s">
        <v>118</v>
      </c>
      <c r="C11" s="31" t="s">
        <v>119</v>
      </c>
      <c r="D11" s="31"/>
      <c r="E11" s="31"/>
      <c r="F11" s="31"/>
      <c r="G11" s="31"/>
      <c r="H11" s="31"/>
    </row>
    <row r="13" customFormat="false" ht="15" hidden="false" customHeight="false" outlineLevel="0" collapsed="false">
      <c r="B13" s="29" t="s">
        <v>120</v>
      </c>
    </row>
    <row r="14" customFormat="false" ht="15" hidden="false" customHeight="false" outlineLevel="0" collapsed="false">
      <c r="B14" s="32" t="s">
        <v>121</v>
      </c>
      <c r="C14" s="32" t="s">
        <v>122</v>
      </c>
      <c r="D14" s="32" t="s">
        <v>123</v>
      </c>
    </row>
    <row r="15" customFormat="false" ht="15" hidden="false" customHeight="false" outlineLevel="0" collapsed="false">
      <c r="B15" s="33" t="s">
        <v>26</v>
      </c>
      <c r="C15" s="33" t="n">
        <v>0</v>
      </c>
      <c r="D15" s="33" t="s">
        <v>124</v>
      </c>
    </row>
    <row r="16" customFormat="false" ht="15" hidden="false" customHeight="false" outlineLevel="0" collapsed="false">
      <c r="B16" s="33" t="s">
        <v>29</v>
      </c>
      <c r="C16" s="33" t="n">
        <v>0</v>
      </c>
      <c r="D16" s="33" t="s">
        <v>124</v>
      </c>
    </row>
    <row r="17" customFormat="false" ht="15" hidden="false" customHeight="false" outlineLevel="0" collapsed="false">
      <c r="B17" s="33" t="s">
        <v>30</v>
      </c>
      <c r="C17" s="33" t="n">
        <v>0</v>
      </c>
      <c r="D17" s="33" t="s">
        <v>124</v>
      </c>
    </row>
    <row r="18" customFormat="false" ht="15" hidden="false" customHeight="false" outlineLevel="0" collapsed="false">
      <c r="B18" s="33" t="s">
        <v>31</v>
      </c>
      <c r="C18" s="33" t="n">
        <v>7</v>
      </c>
      <c r="D18" s="33" t="s">
        <v>125</v>
      </c>
    </row>
    <row r="19" customFormat="false" ht="15" hidden="false" customHeight="false" outlineLevel="0" collapsed="false">
      <c r="B19" s="33" t="s">
        <v>32</v>
      </c>
      <c r="C19" s="33" t="n">
        <v>164</v>
      </c>
      <c r="D19" s="33" t="s">
        <v>126</v>
      </c>
    </row>
    <row r="20" customFormat="false" ht="15" hidden="false" customHeight="false" outlineLevel="0" collapsed="false">
      <c r="B20" s="33" t="s">
        <v>33</v>
      </c>
      <c r="C20" s="33" t="n">
        <v>7</v>
      </c>
      <c r="D20" s="33" t="s">
        <v>125</v>
      </c>
    </row>
    <row r="21" customFormat="false" ht="15" hidden="false" customHeight="false" outlineLevel="0" collapsed="false">
      <c r="B21" s="33" t="s">
        <v>34</v>
      </c>
      <c r="C21" s="33" t="n">
        <v>159</v>
      </c>
      <c r="D21" s="33" t="s">
        <v>127</v>
      </c>
    </row>
    <row r="22" customFormat="false" ht="15" hidden="false" customHeight="false" outlineLevel="0" collapsed="false">
      <c r="B22" s="33" t="s">
        <v>35</v>
      </c>
      <c r="C22" s="33" t="n">
        <v>170</v>
      </c>
      <c r="D22" s="33" t="s">
        <v>128</v>
      </c>
    </row>
    <row r="23" customFormat="false" ht="15" hidden="false" customHeight="false" outlineLevel="0" collapsed="false">
      <c r="B23" s="33" t="s">
        <v>36</v>
      </c>
      <c r="C23" s="33" t="n">
        <v>147</v>
      </c>
      <c r="D23" s="33" t="s">
        <v>129</v>
      </c>
    </row>
    <row r="24" customFormat="false" ht="15" hidden="false" customHeight="false" outlineLevel="0" collapsed="false">
      <c r="B24" s="33" t="s">
        <v>37</v>
      </c>
      <c r="C24" s="33" t="n">
        <v>0</v>
      </c>
      <c r="D24" s="33" t="s">
        <v>124</v>
      </c>
    </row>
    <row r="25" customFormat="false" ht="15" hidden="false" customHeight="false" outlineLevel="0" collapsed="false">
      <c r="B25" s="33" t="s">
        <v>38</v>
      </c>
      <c r="C25" s="33" t="n">
        <v>0</v>
      </c>
      <c r="D25" s="33" t="s">
        <v>124</v>
      </c>
    </row>
    <row r="26" customFormat="false" ht="15" hidden="false" customHeight="false" outlineLevel="0" collapsed="false">
      <c r="B26" s="33" t="s">
        <v>39</v>
      </c>
      <c r="C26" s="33" t="n">
        <v>182</v>
      </c>
      <c r="D26" s="33" t="s">
        <v>130</v>
      </c>
    </row>
    <row r="27" customFormat="false" ht="15" hidden="false" customHeight="false" outlineLevel="0" collapsed="false">
      <c r="B27" s="33" t="s">
        <v>40</v>
      </c>
      <c r="C27" s="33" t="n">
        <v>179</v>
      </c>
      <c r="D27" s="33" t="s">
        <v>131</v>
      </c>
    </row>
    <row r="28" customFormat="false" ht="15" hidden="false" customHeight="false" outlineLevel="0" collapsed="false">
      <c r="B28" s="33" t="s">
        <v>41</v>
      </c>
      <c r="C28" s="33" t="n">
        <v>175</v>
      </c>
      <c r="D28" s="33" t="s">
        <v>132</v>
      </c>
    </row>
    <row r="29" customFormat="false" ht="15" hidden="false" customHeight="false" outlineLevel="0" collapsed="false">
      <c r="B29" s="33" t="s">
        <v>42</v>
      </c>
      <c r="C29" s="33" t="n">
        <v>147</v>
      </c>
      <c r="D29" s="33" t="s">
        <v>129</v>
      </c>
    </row>
    <row r="30" customFormat="false" ht="15" hidden="false" customHeight="false" outlineLevel="0" collapsed="false">
      <c r="B30" s="33" t="s">
        <v>43</v>
      </c>
      <c r="C30" s="33" t="n">
        <v>84</v>
      </c>
      <c r="D30" s="33" t="s">
        <v>133</v>
      </c>
    </row>
    <row r="31" customFormat="false" ht="15" hidden="false" customHeight="false" outlineLevel="0" collapsed="false">
      <c r="B31" s="33" t="s">
        <v>44</v>
      </c>
      <c r="C31" s="33" t="n">
        <v>0</v>
      </c>
      <c r="D31" s="33" t="s">
        <v>124</v>
      </c>
    </row>
    <row r="32" customFormat="false" ht="15" hidden="false" customHeight="false" outlineLevel="0" collapsed="false">
      <c r="B32" s="33" t="s">
        <v>45</v>
      </c>
      <c r="C32" s="33" t="n">
        <v>0</v>
      </c>
      <c r="D32" s="33" t="s">
        <v>124</v>
      </c>
    </row>
    <row r="34" customFormat="false" ht="15" hidden="false" customHeight="false" outlineLevel="0" collapsed="false">
      <c r="B34" s="29" t="s">
        <v>134</v>
      </c>
    </row>
    <row r="35" customFormat="false" ht="18" hidden="false" customHeight="true" outlineLevel="0" collapsed="false">
      <c r="B35" s="31" t="s">
        <v>135</v>
      </c>
      <c r="C35" s="31"/>
      <c r="D35" s="31"/>
      <c r="E35" s="31"/>
      <c r="F35" s="31"/>
      <c r="G35" s="31"/>
      <c r="H35" s="31"/>
    </row>
    <row r="36" customFormat="false" ht="18" hidden="false" customHeight="true" outlineLevel="0" collapsed="false">
      <c r="B36" s="31" t="s">
        <v>136</v>
      </c>
      <c r="C36" s="31"/>
      <c r="D36" s="31"/>
      <c r="E36" s="31"/>
      <c r="F36" s="31"/>
      <c r="G36" s="31"/>
      <c r="H36" s="31"/>
    </row>
    <row r="37" customFormat="false" ht="18" hidden="false" customHeight="true" outlineLevel="0" collapsed="false">
      <c r="B37" s="31" t="s">
        <v>137</v>
      </c>
      <c r="C37" s="31"/>
      <c r="D37" s="31"/>
      <c r="E37" s="31"/>
      <c r="F37" s="31"/>
      <c r="G37" s="31"/>
      <c r="H37" s="31"/>
    </row>
    <row r="38" customFormat="false" ht="18" hidden="false" customHeight="true" outlineLevel="0" collapsed="false">
      <c r="B38" s="31" t="s">
        <v>138</v>
      </c>
      <c r="C38" s="31"/>
      <c r="D38" s="31"/>
      <c r="E38" s="31"/>
      <c r="F38" s="31"/>
      <c r="G38" s="31"/>
      <c r="H38" s="31"/>
    </row>
    <row r="39" customFormat="false" ht="18" hidden="false" customHeight="true" outlineLevel="0" collapsed="false">
      <c r="B39" s="31" t="s">
        <v>139</v>
      </c>
      <c r="C39" s="31"/>
      <c r="D39" s="31"/>
      <c r="E39" s="31"/>
      <c r="F39" s="31"/>
      <c r="G39" s="31"/>
      <c r="H39" s="31"/>
    </row>
  </sheetData>
  <mergeCells count="12">
    <mergeCell ref="C5:H5"/>
    <mergeCell ref="C6:H6"/>
    <mergeCell ref="C7:H7"/>
    <mergeCell ref="C8:H8"/>
    <mergeCell ref="C9:H9"/>
    <mergeCell ref="C10:H10"/>
    <mergeCell ref="C11:H11"/>
    <mergeCell ref="B35:H35"/>
    <mergeCell ref="B36:H36"/>
    <mergeCell ref="B37:H37"/>
    <mergeCell ref="B38:H38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55"/>
    <col collapsed="false" customWidth="true" hidden="false" outlineLevel="0" max="4" min="4" style="0" width="38"/>
  </cols>
  <sheetData>
    <row r="2" customFormat="false" ht="22.05" hidden="false" customHeight="false" outlineLevel="0" collapsed="false">
      <c r="B2" s="22" t="s">
        <v>140</v>
      </c>
    </row>
    <row r="4" customFormat="false" ht="15" hidden="false" customHeight="false" outlineLevel="0" collapsed="false">
      <c r="B4" s="34" t="s">
        <v>121</v>
      </c>
      <c r="C4" s="34" t="s">
        <v>141</v>
      </c>
      <c r="D4" s="34" t="s">
        <v>142</v>
      </c>
    </row>
    <row r="5" customFormat="false" ht="31.5" hidden="false" customHeight="true" outlineLevel="0" collapsed="false">
      <c r="B5" s="25" t="s">
        <v>26</v>
      </c>
      <c r="C5" s="26" t="s">
        <v>143</v>
      </c>
      <c r="D5" s="26" t="s">
        <v>144</v>
      </c>
    </row>
    <row r="6" customFormat="false" ht="31.5" hidden="false" customHeight="true" outlineLevel="0" collapsed="false">
      <c r="B6" s="27" t="s">
        <v>29</v>
      </c>
      <c r="C6" s="28" t="s">
        <v>145</v>
      </c>
      <c r="D6" s="28" t="s">
        <v>146</v>
      </c>
    </row>
    <row r="7" customFormat="false" ht="31.5" hidden="false" customHeight="true" outlineLevel="0" collapsed="false">
      <c r="B7" s="25" t="s">
        <v>38</v>
      </c>
      <c r="C7" s="26" t="s">
        <v>147</v>
      </c>
      <c r="D7" s="26" t="s">
        <v>146</v>
      </c>
    </row>
    <row r="8" customFormat="false" ht="31.5" hidden="false" customHeight="true" outlineLevel="0" collapsed="false">
      <c r="B8" s="27" t="s">
        <v>30</v>
      </c>
      <c r="C8" s="28" t="s">
        <v>148</v>
      </c>
      <c r="D8" s="28" t="s">
        <v>146</v>
      </c>
    </row>
    <row r="9" customFormat="false" ht="31.5" hidden="false" customHeight="true" outlineLevel="0" collapsed="false">
      <c r="B9" s="25" t="s">
        <v>36</v>
      </c>
      <c r="C9" s="26" t="s">
        <v>149</v>
      </c>
      <c r="D9" s="26" t="s">
        <v>150</v>
      </c>
    </row>
    <row r="10" customFormat="false" ht="31.5" hidden="false" customHeight="true" outlineLevel="0" collapsed="false">
      <c r="B10" s="27" t="s">
        <v>32</v>
      </c>
      <c r="C10" s="28" t="s">
        <v>151</v>
      </c>
      <c r="D10" s="28" t="s">
        <v>152</v>
      </c>
    </row>
    <row r="11" customFormat="false" ht="31.5" hidden="false" customHeight="true" outlineLevel="0" collapsed="false">
      <c r="B11" s="25" t="s">
        <v>35</v>
      </c>
      <c r="C11" s="26" t="s">
        <v>153</v>
      </c>
      <c r="D11" s="26" t="s">
        <v>152</v>
      </c>
    </row>
    <row r="12" customFormat="false" ht="31.5" hidden="false" customHeight="true" outlineLevel="0" collapsed="false">
      <c r="B12" s="27" t="s">
        <v>34</v>
      </c>
      <c r="C12" s="28" t="s">
        <v>154</v>
      </c>
      <c r="D12" s="28" t="s">
        <v>152</v>
      </c>
    </row>
    <row r="13" customFormat="false" ht="31.5" hidden="false" customHeight="true" outlineLevel="0" collapsed="false">
      <c r="B13" s="25" t="s">
        <v>33</v>
      </c>
      <c r="C13" s="26" t="s">
        <v>155</v>
      </c>
      <c r="D13" s="26" t="s">
        <v>156</v>
      </c>
    </row>
    <row r="14" customFormat="false" ht="31.5" hidden="false" customHeight="true" outlineLevel="0" collapsed="false">
      <c r="B14" s="27" t="s">
        <v>37</v>
      </c>
      <c r="C14" s="28" t="s">
        <v>157</v>
      </c>
      <c r="D14" s="28" t="s">
        <v>146</v>
      </c>
    </row>
    <row r="15" customFormat="false" ht="31.5" hidden="false" customHeight="true" outlineLevel="0" collapsed="false">
      <c r="B15" s="25" t="s">
        <v>31</v>
      </c>
      <c r="C15" s="26" t="s">
        <v>158</v>
      </c>
      <c r="D15" s="26" t="s">
        <v>159</v>
      </c>
    </row>
    <row r="16" customFormat="false" ht="31.5" hidden="false" customHeight="true" outlineLevel="0" collapsed="false">
      <c r="B16" s="27" t="s">
        <v>39</v>
      </c>
      <c r="C16" s="28" t="s">
        <v>160</v>
      </c>
      <c r="D16" s="28" t="s">
        <v>161</v>
      </c>
    </row>
    <row r="17" customFormat="false" ht="31.5" hidden="false" customHeight="true" outlineLevel="0" collapsed="false">
      <c r="B17" s="25" t="s">
        <v>40</v>
      </c>
      <c r="C17" s="26" t="s">
        <v>162</v>
      </c>
      <c r="D17" s="26" t="s">
        <v>163</v>
      </c>
    </row>
    <row r="18" customFormat="false" ht="31.5" hidden="false" customHeight="true" outlineLevel="0" collapsed="false">
      <c r="B18" s="27" t="s">
        <v>41</v>
      </c>
      <c r="C18" s="28" t="s">
        <v>164</v>
      </c>
      <c r="D18" s="28" t="s">
        <v>163</v>
      </c>
    </row>
    <row r="19" customFormat="false" ht="31.5" hidden="false" customHeight="true" outlineLevel="0" collapsed="false">
      <c r="B19" s="25" t="s">
        <v>42</v>
      </c>
      <c r="C19" s="26" t="s">
        <v>165</v>
      </c>
      <c r="D19" s="26" t="s">
        <v>166</v>
      </c>
    </row>
    <row r="20" customFormat="false" ht="31.5" hidden="false" customHeight="true" outlineLevel="0" collapsed="false">
      <c r="B20" s="27" t="s">
        <v>43</v>
      </c>
      <c r="C20" s="28" t="s">
        <v>167</v>
      </c>
      <c r="D20" s="28" t="s">
        <v>168</v>
      </c>
    </row>
    <row r="21" customFormat="false" ht="31.5" hidden="false" customHeight="true" outlineLevel="0" collapsed="false">
      <c r="B21" s="25" t="s">
        <v>44</v>
      </c>
      <c r="C21" s="26" t="s">
        <v>169</v>
      </c>
      <c r="D21" s="26" t="s">
        <v>168</v>
      </c>
    </row>
    <row r="22" customFormat="false" ht="31.5" hidden="false" customHeight="true" outlineLevel="0" collapsed="false">
      <c r="B22" s="27" t="s">
        <v>45</v>
      </c>
      <c r="C22" s="28" t="s">
        <v>170</v>
      </c>
      <c r="D22" s="28" t="s">
        <v>168</v>
      </c>
    </row>
    <row r="25" customFormat="false" ht="15" hidden="false" customHeight="false" outlineLevel="0" collapsed="false">
      <c r="B25" s="29" t="s">
        <v>171</v>
      </c>
    </row>
    <row r="26" customFormat="false" ht="30" hidden="false" customHeight="true" outlineLevel="0" collapsed="false">
      <c r="B26" s="31" t="s">
        <v>172</v>
      </c>
      <c r="C26" s="31"/>
      <c r="D26" s="31"/>
    </row>
    <row r="27" customFormat="false" ht="30" hidden="false" customHeight="true" outlineLevel="0" collapsed="false">
      <c r="B27" s="31" t="s">
        <v>173</v>
      </c>
      <c r="C27" s="31"/>
      <c r="D27" s="31"/>
    </row>
    <row r="28" customFormat="false" ht="30" hidden="false" customHeight="true" outlineLevel="0" collapsed="false">
      <c r="B28" s="31" t="s">
        <v>174</v>
      </c>
      <c r="C28" s="31"/>
      <c r="D28" s="31"/>
    </row>
  </sheetData>
  <mergeCells count="3">
    <mergeCell ref="B26:D26"/>
    <mergeCell ref="B27:D27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2026-07-17T04:08:18Z</dcterms:created>
  <dc:creator>openpyxl</dc:creator>
  <dc:description/>
  <dc:language>en-US</dc:language>
  <cp:lastModifiedBy/>
  <dcterms:modified xsi:type="dcterms:W3CDTF">2026-07-17T04:08:21Z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